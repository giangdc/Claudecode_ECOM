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\Ecom\ecom-pdh\03_test-cases\functional\"/>
    </mc:Choice>
  </mc:AlternateContent>
  <bookViews>
    <workbookView xWindow="0" yWindow="0" windowWidth="22260" windowHeight="1264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54" i="1" l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AR7" i="1"/>
  <c r="AN7" i="1"/>
  <c r="AJ7" i="1"/>
  <c r="AF7" i="1"/>
  <c r="AB7" i="1"/>
  <c r="X7" i="1"/>
  <c r="T7" i="1"/>
  <c r="P7" i="1"/>
  <c r="L7" i="1"/>
  <c r="H7" i="1"/>
</calcChain>
</file>

<file path=xl/sharedStrings.xml><?xml version="1.0" encoding="utf-8"?>
<sst xmlns="http://schemas.openxmlformats.org/spreadsheetml/2006/main" count="814" uniqueCount="528">
  <si>
    <t>Mã chức năng
(Function ID)</t>
  </si>
  <si>
    <t>TC_02</t>
  </si>
  <si>
    <t>Tên chức năng 
(Function Name)</t>
  </si>
  <si>
    <t>Quản lý nội dung gói bán</t>
  </si>
  <si>
    <t>QC/AI</t>
  </si>
  <si>
    <t>Testcase ID</t>
  </si>
  <si>
    <t>Mức Độ Ưu Tiên
(Priority)</t>
  </si>
  <si>
    <t>Nội Dung Test
(Test Title)</t>
  </si>
  <si>
    <t>Điều Kiện/ Dữ Liệu Test
(Pre-condition/ Test Data)</t>
  </si>
  <si>
    <t>Các Bước Thực Hiện
(Test Steps)</t>
  </si>
  <si>
    <t>Kết Quả Mong Đợi
(Expected Results)</t>
  </si>
  <si>
    <t>Kết Quả Thực Hiện
(Actual Result)</t>
  </si>
  <si>
    <t>Người Thực Hiện
(Executed By)</t>
  </si>
  <si>
    <t>ID Bugs</t>
  </si>
  <si>
    <t>Ghi Chú
(Remark)</t>
  </si>
  <si>
    <t>DANH SÁCH NỘI DUNG GÓI BÁN</t>
  </si>
  <si>
    <t>High</t>
  </si>
  <si>
    <t>Kiểm tra truy cập màn hình Danh sách khi người dùng không có quyền</t>
  </si>
  <si>
    <t>1. Người dùng đã đăng nhập hệ thống.
2. Tài khoản KHÔNG có quyền 'Xem danh sách nội dung Gói bán'.</t>
  </si>
  <si>
    <t>1. Truy cập menu Nội dung hiển thị.
2. Chọn Gói bán.</t>
  </si>
  <si>
    <t>Hệ thống hiển thị thông báo lỗi: 'Bạn không có quyền truy cập chức năng này'. Danh sách không được hiển thị.</t>
  </si>
  <si>
    <t>Kiểm tra truy cập màn hình Danh sách khi người dùng có quyền hợp lệ</t>
  </si>
  <si>
    <t>1. Người dùng đã đăng nhập hệ thống.
2. Tài khoản có quyền 'Xem danh sách nội dung Gói bán'.</t>
  </si>
  <si>
    <t>Hệ thống điều hướng thành công đến màn hình Danh sách nội dung Gói bán. Tiêu đề 'Danh sách nội dung gói bán' được hiển thị.</t>
  </si>
  <si>
    <t>Medium</t>
  </si>
  <si>
    <t>Kiểm tra truy cập màn hình Danh sách khi chưa đăng nhập</t>
  </si>
  <si>
    <t>Người dùng CHƯA đăng nhập hệ thống.</t>
  </si>
  <si>
    <t>1. Truy cập trực tiếp URL màn hình Danh sách nội dung Gói bán.</t>
  </si>
  <si>
    <t>Hệ thống chuyển hướng về trang đăng nhập. Danh sách nội dung không được hiển thị.</t>
  </si>
  <si>
    <t>Kiểm tra hiển thị danh sách khi có dữ liệu trong hệ thống</t>
  </si>
  <si>
    <t>1. Đã đăng nhập, có quyền xem.
2. Hệ thống có dữ liệu nội dung gói bán được tạo.</t>
  </si>
  <si>
    <t>1. Truy cập menu Nội dung hiển thị.
2. Chọn Gói bán.
3. Quan sát danh sách hiển thị.</t>
  </si>
  <si>
    <t>Danh sách gói bán hiển thị đủ các cột: STT, Gói bán, Kênh bán, Thời gian cập nhật, Người cập nhật, Thời gian tạo, Người tạo, Icon '...'. Mặc định hiển thị 20 bản ghi đầu tiên.</t>
  </si>
  <si>
    <t>Kiểm tra hiển thị danh sách khi không có dữ liệu trong hệ thống</t>
  </si>
  <si>
    <t>1. Đã đăng nhập, có quyền xem.
2. Hệ thống KHÔNG có dữ liệu gói bán.</t>
  </si>
  <si>
    <t>1. Truy cập menu Nội dung hiển thị.
2. Chọn Gói bán.
3. Quan sát khu vực hiển thị danh sách.</t>
  </si>
  <si>
    <t>Danh sách rỗng. Hệ thống hiển thị thông báo: 'Không có dữ liệu'.</t>
  </si>
  <si>
    <t>Kiểm tra sắp xếp danh sách theo thời gian cập nhật gần nhất (giảm dần)</t>
  </si>
  <si>
    <t>1. Đã đăng nhập, có quyền xem.
2. Hệ thống có nhiều bản ghi với thời gian cập nhật khác nhau.</t>
  </si>
  <si>
    <t>1. Truy cập menu Nội dung hiển thị.
2. Chọn Gói bán.
3. Quan sát thứ tự các bản ghi theo cột 'Thời gian cập nhật'.</t>
  </si>
  <si>
    <t>Bản ghi có 'Thời gian cập nhật' mới nhất được hiển thị đầu tiên (sắp xếp giảm dần theo thời gian cập nhật).</t>
  </si>
  <si>
    <t>AI</t>
  </si>
  <si>
    <t>Kiểm tra phân trang - hiển thị 20 bản ghi mặc định mỗi trang</t>
  </si>
  <si>
    <t>1. Đã đăng nhập, có quyền xem.
2. Hệ thống có hơn 21 bản ghi gói bán.</t>
  </si>
  <si>
    <t>1. Truy cập menu Nội dung hiển thị.
2. Chọn Gói bán.
3. Đếm số bản ghi hiển thị trên trang đầu tiên.</t>
  </si>
  <si>
    <t>Trang đầu tiên hiển thị đúng 20 bản ghi. Thanh điều hướng trang được hiển thị.</t>
  </si>
  <si>
    <t>[UPDATE V1.2] Phân trang 20 bản ghi/trang (v1.0: 10)</t>
  </si>
  <si>
    <t>Kiểm tra phân trang - chuyển sang trang tiếp theo</t>
  </si>
  <si>
    <t>1. Đã đăng nhập, có quyền xem.
2. Hệ thống có hơn 11 bản ghi gói bán.</t>
  </si>
  <si>
    <t>1. Truy cập menu Nội dung hiển thị.
2. Chọn Gói bán.
3. Nhấn nút điều hướng sang trang 2.
4. Quan sát danh sách trang 2.</t>
  </si>
  <si>
    <t>Trang 2 hiển thị đúng các bản ghi tiếp theo. STT tiếp tục từ bản ghi thứ 21.</t>
  </si>
  <si>
    <t>[UPDATE V1.2] STT trang 2 bắt đầu từ 21 (v1.0: 11)</t>
  </si>
  <si>
    <t>Low</t>
  </si>
  <si>
    <t>Kiểm tra định dạng cột 'Thời gian cập nhật' đúng dd/mm/yyyy HH:mm</t>
  </si>
  <si>
    <t>1. Truy cập menu Nội dung hiển thị.
2. Chọn Gói bán.
3. Quan sát giá trị hiển thị trong cột 'Thời gian cập nhật' của bất kỳ bản ghi nào.</t>
  </si>
  <si>
    <t>Cột 'Thời gian cập nhật' hiển thị đúng định dạng dd/mm/yyyy HH:mm (24h). Ví dụ: 28/03/2026 14:30.</t>
  </si>
  <si>
    <t>Kiểm tra định dạng cột 'Thời gian tạo' đúng dd/mm/yyyy HH:mm</t>
  </si>
  <si>
    <t>1. Truy cập menu Nội dung hiển thị.
2. Chọn Gói bán.
3. Quan sát giá trị hiển thị trong cột 'Thời gian tạo' của bất kỳ bản ghi nào.</t>
  </si>
  <si>
    <t>Cột 'Thời gian tạo' hiển thị đúng định dạng dd/mm/yyyy HH:mm (24h). Ví dụ: 01/01/2026 09:00.</t>
  </si>
  <si>
    <t>Kiểm tra tìm kiếm theo tên gói bán - từ khóa khớp chính xác</t>
  </si>
  <si>
    <t>1. Đã đăng nhập, có quyền xem.
2. Hệ thống có ít nhất 1 gói bán tên 'Gói Internet 100Mbps'.</t>
  </si>
  <si>
    <t>1. Truy cập menu Nội dung hiển thị.
2. Chọn Gói bán.
3. Nhập từ khóa 'Gói Internet 100Mbps' vào ô tìm kiếm.
4. Nhấn nút 'Tìm kiếm'.
5. Quan sát kết quả trả về trong danh sách.</t>
  </si>
  <si>
    <t>Danh sách chỉ hiển thị bản ghi 'Gói Internet 100Mbps'. Các bản ghi không khớp bị ẩn.</t>
  </si>
  <si>
    <t>Kiểm tra tìm kiếm không phân biệt hoa/thường</t>
  </si>
  <si>
    <t>1. Đã đăng nhập, có quyền xem.
2. Hệ thống có gói bán tên 'Gói Internet 100Mbps'.</t>
  </si>
  <si>
    <t>1. Truy cập menu Nội dung hiển thị.
2. Chọn Gói bán.
3. Nhập từ khóa 'gói internet 100mbps' (chữ thường) vào ô tìm kiếm.
4. Nhấn nút 'Tìm kiếm'.
5. Quan sát kết quả trả về trong danh sách.</t>
  </si>
  <si>
    <t>Danh sách hiển thị bản ghi 'Gói Internet 100Mbps'. Hệ thống không phân biệt hoa/thường.</t>
  </si>
  <si>
    <t>Kiểm tra tìm kiếm bằng phím Enter</t>
  </si>
  <si>
    <t>1. Đã đăng nhập, có quyền xem.
2. Hệ thống có gói bán chứa từ 'Internet'.</t>
  </si>
  <si>
    <t>1. Truy cập menu Nội dung hiển thị.
2. Chọn Gói bán.
3. Nhập từ khóa 'Internet' vào ô tìm kiếm.
4. Nhấn phím Enter.
5. Quan sát kết quả trả về trong danh sách.</t>
  </si>
  <si>
    <t>Danh sách hiển thị các bản ghi có tên chứa 'Internet'. Kết quả tương đương với nhấn nút 'Tìm kiếm'.</t>
  </si>
  <si>
    <t>Kiểm tra tìm kiếm với từ khóa một phần (partial match)</t>
  </si>
  <si>
    <t>1. Đã đăng nhập, có quyền xem.
2. Hệ thống có 'Gói Internet 100Mbps' và 'Gói Internet 200Mbps'.</t>
  </si>
  <si>
    <t>1. Truy cập menu Nội dung hiển thị.
2. Chọn Gói bán.
3. Nhập từ khóa 'Internet' vào ô tìm kiếm.
4. Nhấn nút 'Tìm kiếm'.
5. Quan sát kết quả trả về trong danh sách.</t>
  </si>
  <si>
    <t>Danh sách hiển thị cả 'Gói Internet 100Mbps' và 'Gói Internet 200Mbps'. Hệ thống hỗ trợ tìm kiếm substring.</t>
  </si>
  <si>
    <t>Kiểm tra tìm kiếm không có kết quả</t>
  </si>
  <si>
    <t>1. Truy cập menu Nội dung hiển thị.
2. Chọn Gói bán.
3. Nhập từ khóa 'XYZXYZXYZ_khong_ton_tai' vào ô tìm kiếm.
4. Nhấn nút 'Tìm kiếm'.
5. Quan sát khu vực hiển thị danh sách.</t>
  </si>
  <si>
    <t>Danh sách rỗng. Hệ thống hiển thị thông báo: 'Không tìm thấy kết quả phù hợp'.</t>
  </si>
  <si>
    <t>Kiểm tra tìm kiếm với ô tìm kiếm để trống</t>
  </si>
  <si>
    <t>1. Truy cập menu Nội dung hiển thị.
2. Chọn Gói bán.
3. Để trống ô tìm kiếm.
4. Nhấn nút 'Tìm kiếm'.
5. Quan sát danh sách hiển thị.</t>
  </si>
  <si>
    <t>Hệ thống hiển thị toàn bộ danh sách gói bán (20 bản ghi mặc định/trang).</t>
  </si>
  <si>
    <t>[UPDATE V1.2] 20 bản ghi/trang (v1.0: 10)</t>
  </si>
  <si>
    <t>Kiểm tra placeholder ô tìm kiếm</t>
  </si>
  <si>
    <t>Đã đăng nhập, có quyền xem.</t>
  </si>
  <si>
    <t>1. Truy cập menu Nội dung hiển thị.
2. Chọn Gói bán.
3. Quan sát ô tìm kiếm khi chưa nhập dữ liệu.</t>
  </si>
  <si>
    <t>Ô tìm kiếm hiển thị placeholder text: 'Tìm kiếm gói bán'.</t>
  </si>
  <si>
    <t>Kiểm tra tìm kiếm với ký tự đặc biệt (XSS)</t>
  </si>
  <si>
    <t>1. Truy cập menu Nội dung hiển thị.
2. Chọn Gói bán.
3. Nhập ký tự '&lt;script&gt;alert(1)&lt;/script&gt;' vào ô tìm kiếm.
4. Nhấn nút 'Tìm kiếm'.
5. Quan sát phản hồi của hệ thống.</t>
  </si>
  <si>
    <t>Hệ thống xử lý an toàn, không thực thi script. Hiển thị kết quả rỗng hoặc không tìm thấy. Không có lỗi XSS.</t>
  </si>
  <si>
    <t xml:space="preserve">Kiểm tra nhấn 'Chỉnh sửa' </t>
  </si>
  <si>
    <t>1. Đã đăng nhập, có quyền xem và quyền chỉnh sửa.
2. Danh sách có ít nhất 1 bản ghi.</t>
  </si>
  <si>
    <t>1. Truy cập menu Nội dung hiển thị.
2. Chọn Gói bán.
3. Nhấn 'Chỉnh sửa'.</t>
  </si>
  <si>
    <t>Hệ thống điều hướng đến màn hình Chỉnh sửa nội dung gói bán với dữ liệu của bản ghi đó được load sẵn.</t>
  </si>
  <si>
    <t>Kiểm tra nhấn nút '+ Tạo mới' điều hướng đến màn hình Tạo mới</t>
  </si>
  <si>
    <t>1. Đã đăng nhập, có quyền xem và quyền tạo mới.</t>
  </si>
  <si>
    <t>1. Truy cập menu Nội dung hiển thị.
2. Chọn Gói bán.
3. Nhấn nút '+ Tạo mới'.</t>
  </si>
  <si>
    <t>Hệ thống điều hướng đến màn hình Tạo mới nội dung Gói bán. Tất cả các trường ở trạng thái trống hoặc giá trị mặc định.</t>
  </si>
  <si>
    <t>Kiểm tra hiển thị thông báo lỗi khi mất kết nối/lỗi máy chủ</t>
  </si>
  <si>
    <t>1. Đã đăng nhập, có quyền xem.
2. Hệ thống mạng bị ngắt hoặc máy chủ trả về lỗi 5xx.</t>
  </si>
  <si>
    <t>1. Truy cập menu Nội dung hiển thị.
2. Chọn Gói bán.
3. Quan sát thông báo hiển thị trên màn hình.</t>
  </si>
  <si>
    <t>Hệ thống hiển thị thông báo: 'Không thể tải dữ liệu. Vui lòng thử lại sau'. Không hiển thị dữ liệu lỗi.</t>
  </si>
  <si>
    <t>TẠO MỚI NỘI DUNG GÓI BÁN</t>
  </si>
  <si>
    <t>Kiểm tra truy cập màn hình Tạo mới khi không có quyền</t>
  </si>
  <si>
    <t>1. Đã đăng nhập.
 2. Tài khoản KHÔNG có quyền 'Tạo mới nội dung Gói bán'.</t>
  </si>
  <si>
    <t>1. Truy cập menu Product Hub → Gói bán.
 2. Nhấn '+ Tạo mới'.</t>
  </si>
  <si>
    <t>Hệ thống hiển thị thông báo lỗi phân quyền. Không điều hướng đến màn hình Tạo mới.</t>
  </si>
  <si>
    <t>Kiểm tra giao diện màn hình Tạo mới - hiển thị đủ các trường theo v1.2</t>
  </si>
  <si>
    <t>1. Đã đăng nhập, có quyền tạo mới.
 2. Hệ thống có ít nhất 1 Gói bán hoạt động và đã có giá bán.</t>
  </si>
  <si>
    <t>1. Truy cập menu Product Hub → Gói bán.
 2. Nhấn '+ Tạo mới'.
 3. Quan sát giao diện form.</t>
  </si>
  <si>
    <t>Form Tạo mới hiển thị đầy đủ theo v1.2:
 - Dropdown Gói bán (bắt buộc)
 - Dropdown Kênh bán (bắt buộc, multi-select)
 - Bảng line items: Sản phẩm (SKU), Tên hiển thị trên kênh, Phương thức hiển thị, Sản phẩm nhận trong gói (checkbox), Hình ảnh SKU nhận trong gói
 - Tên hiển thị trên kênh (cấp Gói bán)
 - Icon gói bán (upload JPG/PNG/SVG &lt;=1MB)
 - Mô tả card gói (text, không bắt buộc)
 - Mô tả ngắn gói bán (text editor, max 2000 ký tự)
 - Mô tả dài gói bán (text editor, max 12000 ký tự)
 - Ảnh gói bán (JPG/PNG &lt;=1MB, max 10 ảnh)
 - Đặc tính gói bán (section read-only, load từ cấu hình)
 - Block Đặc quyền (Collapse/Expand)
 - Link video gói bán (URL http/https, không bắt buộc)
 - Hình ảnh banner đầu trang (max 10 JPG/PNG)
 - Hình ảnh banner giữa trang (bảng: STT/Ảnh/Hoạt động/Xóa)
 - Button Lưu, Button Hủy</t>
  </si>
  <si>
    <t>[UPDATE V1.2] Thêm: Kênh bán multi-select, Icon gói bán, Mô tả card gói, Đặc tính read-only, Link video</t>
  </si>
  <si>
    <t>Kiểm tra Dropdown Gói bán chỉ load gói bán đang hoạt động và đã có giá bán</t>
  </si>
  <si>
    <t>1. Đã đăng nhập, có quyền tạo mới.
 2. Hệ thống có: (A) gói hoạt động + có giá; (B) gói bị tắt; (C) gói hoạt động nhưng chưa có giá.</t>
  </si>
  <si>
    <t>1. Truy cập Tạo mới.
 2. Mở dropdown 'Gói bán'.
 3. Quan sát danh sách.</t>
  </si>
  <si>
    <t>Chỉ hiển thị gói loại (A). Gói (B) không xuất hiện.</t>
  </si>
  <si>
    <t>Kiểm tra validate bắt buộc trường Gói bán khi để trống</t>
  </si>
  <si>
    <t>Đã đăng nhập, có quyền tạo mới.</t>
  </si>
  <si>
    <t>1. Mở màn hình Tạo mới.
 2. Không chọn Gói bán.
 3. Nhấn 'Lưu'.</t>
  </si>
  <si>
    <t>Hệ thống hiển thị thông báo. Dữ liệu không được lưu.</t>
  </si>
  <si>
    <t>Kiểm tra Gói bán là Single select</t>
  </si>
  <si>
    <t>1. Đã đăng nhập, có quyền tạo mới.
 2. Hệ thống có ít nhất 2 gói bán hợp lệ.</t>
  </si>
  <si>
    <t>1. Mở màn hình Tạo mới.
 2. Chọn Gói bán A.
 3. Đổi sang Gói bán B.
 4. Quan sát dropdown.</t>
  </si>
  <si>
    <t>Chỉ Gói bán B được chọn. Dropdown hiển thị đúng 1 giá trị.</t>
  </si>
  <si>
    <t>Kiểm tra Kênh bán load động theo Gói bán đã chọn (BR-C03)</t>
  </si>
  <si>
    <t>1. Đã đăng nhập, có quyền tạo mới.
 2. Gói bán X chỉ áp dụng cho FPT.vn.</t>
  </si>
  <si>
    <t>1. Mở màn hình Tạo mới.
 2. Chọn Gói bán X.
 3. Mở dropdown Kênh bán.
 4. Quan sát danh sách.</t>
  </si>
  <si>
    <t>Dropdown Kênh bán chỉ hiển thị FPT.vn (load đúng theo Gói bán đã chọn).</t>
  </si>
  <si>
    <t>Kiểm tra validate bắt buộc trường Kênh bán khi để trống</t>
  </si>
  <si>
    <t>1. Đã đăng nhập, có quyền tạo mới.
 2. Đã chọn Gói bán hợp lệ.</t>
  </si>
  <si>
    <t>1. Mở màn hình Tạo mới.
 2. Chọn Gói bán.
 3. Không chọn Kênh bán.
 4. Nhấn 'Lưu'.</t>
  </si>
  <si>
    <t>Hệ thống hiển thị thông báo lỗi validation tại trường Kênh bán. Dữ liệu không được lưu.</t>
  </si>
  <si>
    <t>Kiểm tra Kênh bán Multi-select - chọn nhiều kênh cùng lúc [V1.2]</t>
  </si>
  <si>
    <t>1. Đã đăng nhập, có quyền tạo mới.
 2. Gói bán có nhiều kênh hợp lệ (FPT.vn, tongdaiwifi.vn).</t>
  </si>
  <si>
    <t>1. Mở màn hình Tạo mới.
 2. Chọn Gói bán.
 3. Chọn Kênh bán A (FPT.vn).
 4. Chọn thêm Kênh bán B (tongdaiwifi.vn).
 5. Quan sát dropdown Kênh bán.</t>
  </si>
  <si>
    <t>Cả Kênh bán A và B đều được chọn và hiển thị. Hệ thống cho phép multi-select. Không deselect kênh khi chọn thêm.</t>
  </si>
  <si>
    <t>[UPDATE V1.2] Kênh bán đổi từ single-select sang multi-select</t>
  </si>
  <si>
    <t>Kiểm tra reset Kênh bán khi thay đổi Gói bán (BR-C04)</t>
  </si>
  <si>
    <t>1. Đã đăng nhập, có quyền tạo mới.
 2. Đã chọn Gói bán A và Kênh bán tương ứng.</t>
  </si>
  <si>
    <t>1. Mở màn hình Tạo mới.
 2. Chọn Gói bán A.
 3. Chọn Kênh bán.
 4. Thay đổi sang Gói bán B.
 5. Quan sát dropdown Kênh bán.</t>
  </si>
  <si>
    <t>Kênh bán bị reset về trạng thái trống sau khi thay đổi Gói bán.</t>
  </si>
  <si>
    <t>Kiểm tra bảng line items - hiển thị đủ 5 cột theo v1.1</t>
  </si>
  <si>
    <t>1. Mở màn hình Tạo mới.
 2. Chọn Gói bán.
 3. Quan sát bảng line items.</t>
  </si>
  <si>
    <t>Bảng hiển thị đủ 5 cột:
 1. Sản phẩm (SKU) - read-only
 2. Tên hiển thị trên kênh - input text
 3. Phương thức hiển thị - dropdown
 4. Sản phẩm nhận trong gói - checkbox
 5. Hình ảnh SKU nhận trong gói - image upload</t>
  </si>
  <si>
    <t>Kiểm tra auto-fill 'Tên hiển thị trên kênh' (cột bảng) sau khi chọn Gói bán - SKU đơn</t>
  </si>
  <si>
    <t>1. Đã đăng nhập, có quyền tạo mới.
 2. Gói bán Z có SKU đơn với Display name = 'SKU_Name_A'.</t>
  </si>
  <si>
    <t>1. Mở màn hình Tạo mới.
 2. Chọn Gói bán Z.
 3. Quan sát cột 'Tên hiển thị trên kênh' trong bảng.</t>
  </si>
  <si>
    <t>Cột 'Tên hiển thị trên kênh' tự động điền 'SKU_Name_A' (Display name của SKU).</t>
  </si>
  <si>
    <t>Kiểm tra auto-fill 'Tên hiển thị trên kênh' (cột bảng) - Phí đi kèm</t>
  </si>
  <si>
    <t>1. Đã đăng nhập, có quyền tạo mới.
 2. Gói bán Q có line item Phí đi kèm với Name = 'Phí lắp đặt'.</t>
  </si>
  <si>
    <t>1. Mở màn hình Tạo mới.
 2. Chọn Gói bán Q.
 3. Quan sát cột 'Tên hiển thị trên kênh' trong bảng.</t>
  </si>
  <si>
    <t>Cột 'Tên hiển thị trên kênh' tự động điền 'Phí lắp đặt' (Name của Phí đi kèm).</t>
  </si>
  <si>
    <t>Kiểm tra validate bắt buộc 'Tên hiển thị trên kênh' (cột bảng) khi xóa trắng</t>
  </si>
  <si>
    <t>1. Đã đăng nhập, có quyền tạo mới.
 2. Đã chọn Gói bán, Kênh bán.</t>
  </si>
  <si>
    <t>1. Mở màn hình Tạo mới.
 2. Chọn Gói bán, Kênh bán.
 3. Xóa nội dung trường 'Tên hiển thị trên kênh' trong bảng.
 4. Nhấn 'Lưu'.</t>
  </si>
  <si>
    <t>Hệ thống hiển thị thông báo lỗi validation tại trường 'Tên hiển thị trên kênh'. Dữ liệu không được lưu.</t>
  </si>
  <si>
    <t>Kiểm tra giới hạn 255 ký tự 'Tên hiển thị trên kênh' (cột bảng) - cận trên</t>
  </si>
  <si>
    <t>1. Mở màn hình Tạo mới.
 2. Chọn Gói bán, Kênh bán.
 3. Nhập đúng 255 ký tự vào 'Tên hiển thị trên kênh'.
 4. Nhấn 'Lưu'.</t>
  </si>
  <si>
    <t>Hệ thống chấp nhận và lưu thành công.</t>
  </si>
  <si>
    <t>Kiểm tra vượt giới hạn 'Tên hiển thị trên kênh' (cột bảng) - 256 ký tự</t>
  </si>
  <si>
    <t>1. Mở màn hình Tạo mới.
 2. Chọn Gói bán, Kênh bán.
 3. Nhập 256 ký tự vào 'Tên hiển thị trên kênh'.
 4. Nhấn 'Lưu'.</t>
  </si>
  <si>
    <t>Chặn không cho nhập quá 255 ký tự.</t>
  </si>
  <si>
    <t>Kiểm tra checkbox 'Sản phẩm nhận trong gói' - giá trị mặc định Checked (BR-T02)</t>
  </si>
  <si>
    <t>1. Mở màn hình Tạo mới.
 2. Chọn Gói bán.
 3. Quan sát checkbox 'Sản phẩm nhận trong gói' mỗi line item.</t>
  </si>
  <si>
    <t>Tất cả checkbox 'Sản phẩm nhận trong gói' mặc định = Checked (tick).</t>
  </si>
  <si>
    <t>Kiểm tra Uncheck 'Sản phẩm nhận trong gói' - ẩn toàn bộ thông tin sản phẩm trên kênh (BR-T03)</t>
  </si>
  <si>
    <t>1. Mở màn hình Tạo mới.
 2. Chọn Gói bán, Kênh bán.
 3. Uncheck checkbox 'Sản phẩm nhận trong gói' tại 1 line item.
 4. Nhấn 'Lưu'.
 5. Kiểm tra thông tin sản phẩm nhận trong gói trên kênh đã thiết lập.</t>
  </si>
  <si>
    <t>Sản phẩm uncheck sẽ không hiển thị trên kênh bán (ẩn toàn bộ thông tin sản phẩm trên kênh).</t>
  </si>
  <si>
    <t>[UPDATE V1.2] Mở rộng expected result: áp dụng mọi kênh (v1.0: chỉ ghi tongdaiwifi)</t>
  </si>
  <si>
    <t>Kiểm tra mỗi line item có 1 checkbox 'Sản phẩm nhận trong gói' riêng (BR-T01)</t>
  </si>
  <si>
    <t>1. Đã đăng nhập, có quyền tạo mới.
 2. Gói bán có nhiều line item.</t>
  </si>
  <si>
    <t>1. Mở màn hình Tạo mới.
 2. Chọn Gói bán nhiều line item.
 3. Quan sát cột 'Sản phẩm nhận trong gói'.</t>
  </si>
  <si>
    <t>Mỗi dòng trong bảng có 1 checkbox riêng biệt (per-row).</t>
  </si>
  <si>
    <t>Kiểm tra 'Hình ảnh SKU nhận trong gói' - load ảnh từ cấu hình SKU nếu có (BR-T04)</t>
  </si>
  <si>
    <t>1. Đã đăng nhập, có quyền tạo mới.
 2. Gói bán có SKU đã cấu hình ảnh trong hệ thống.</t>
  </si>
  <si>
    <t>1. Mở màn hình Tạo mới.
 2. Chọn Gói bán.
 3. Quan sát cột 'Hình ảnh SKU nhận trong gói'.</t>
  </si>
  <si>
    <t>Ảnh của SKU được load sẵn (lấy từ cấu hình SKU trong hệ thống).</t>
  </si>
  <si>
    <t>Kiểm tra 'Hình ảnh SKU nhận trong gói' - hiển thị button '+' khi SKU chưa có ảnh</t>
  </si>
  <si>
    <t>1. Đã đăng nhập, có quyền tạo mới.
 2. Gói bán có SKU chưa cấu hình ảnh.</t>
  </si>
  <si>
    <t>1. Mở màn hình Tạo mới.
 2. Chọn Gói bán có SKU chưa có ảnh.
 3. Quan sát cột 'Hình ảnh SKU nhận trong gói'.</t>
  </si>
  <si>
    <t>Cột hiển thị button '+' để người dùng upload ảnh.</t>
  </si>
  <si>
    <t>Kiểm tra upload 'Hình ảnh SKU nhận trong gói' - đúng định dạng JPG/PNG, ≤1MB</t>
  </si>
  <si>
    <t>1. Đã đăng nhập, có quyền tạo mới.
 2. Có file JPG/PNG ≤ 1MB.</t>
  </si>
  <si>
    <t>1. Mở màn hình Tạo mới.
 2. Chọn Gói bán.
 3. Nhấn '+' tại 1 line item.
 4. Upload file JPG/PNG ≤ 1MB.</t>
  </si>
  <si>
    <t>Ảnh được upload thành công và hiển thị preview (BR-T06).</t>
  </si>
  <si>
    <t>Kiểm tra từ chối 'Hình ảnh SKU nhận trong gói' - sai định dạng</t>
  </si>
  <si>
    <t>1. Đã đăng nhập, có quyền tạo mới.
 2. Có file .gif.</t>
  </si>
  <si>
    <t>1. Mở màn hình Tạo mới.
 2. Chọn Gói bán.
 3. Nhấn '+' tại 1 line item.
 4. Chọn file .gif.</t>
  </si>
  <si>
    <t>Hệ thống từ chối và hiển thị thông báo: chỉ chấp nhận JPG hoặc PNG.</t>
  </si>
  <si>
    <t>Kiểm tra từ chối 'Hình ảnh SKU nhận trong gói' - vượt 1MB</t>
  </si>
  <si>
    <t>1. Đã đăng nhập, có quyền tạo mới.
 2. Có file JPG &gt; 1MB.</t>
  </si>
  <si>
    <t>1. Mở màn hình Tạo mới.
 2. Chọn Gói bán.
 3. Nhấn '+' tại 1 line item.
 4. Chọn file JPG &gt; 1MB.</t>
  </si>
  <si>
    <t>Hệ thống từ chối và hiển thị thông báo: dung lượng tối đa 1MB/ảnh.</t>
  </si>
  <si>
    <t>Kiểm tra mỗi SKU chỉ được chọn tối đa 1 ảnh (BR-T05)</t>
  </si>
  <si>
    <t>1. Đã đăng nhập, có quyền tạo mới.
 2. Đã upload 1 ảnh cho 1 SKU.</t>
  </si>
  <si>
    <t>1. Mở màn hình Tạo mới.
 2. Chọn Gói bán.
 3. Upload 1 ảnh cho SKU.
 4. Thử upload ảnh thứ 2 cho cùng SKU đó.</t>
  </si>
  <si>
    <t xml:space="preserve">Hệ thống chỉ cho phép 1 ảnh/SKU. </t>
  </si>
  <si>
    <t>Kiểm tra 'Hình ảnh SKU nhận trong gói' không bắt buộc - lưu được khi để trống (BR-T07)</t>
  </si>
  <si>
    <t>1. Đã đăng nhập, có quyền tạo mới.
 2. Đã điền đủ trường bắt buộc.</t>
  </si>
  <si>
    <t>1. Mở màn hình Tạo mới.
 2. Điền đủ trường bắt buộc, không upload ảnh SKU.
 3. Nhấn 'Lưu'.</t>
  </si>
  <si>
    <t>Hệ thống lưu thành công. Không có lỗi validation cho trường ảnh SKU.</t>
  </si>
  <si>
    <t>Kiểm tra 'Phương thức hiển thị' mặc định = 'Hiển thị toàn bộ'</t>
  </si>
  <si>
    <t>1. Đã đăng nhập, có quyền tạo mới.
 2. Đã chọn Gói bán.</t>
  </si>
  <si>
    <t>1. Mở màn hình Tạo mới.
 2. Chọn Gói bán.
 3. Quan sát giá trị mặc định cột 'Phương thức hiển thị'.</t>
  </si>
  <si>
    <t>Tất cả line item có 'Phương thức hiển thị' = 'Hiển thị toàn bộ'.</t>
  </si>
  <si>
    <t>Kiểm tra dropdown 'Phương thức hiển thị' có đúng 3 giá trị</t>
  </si>
  <si>
    <t>1. Mở màn hình Tạo mới.
 2. Chọn Gói bán.
 3. Mở dropdown 'Phương thức hiển thị' của 1 line item.</t>
  </si>
  <si>
    <t>Dropdown hiển thị đúng 3 giá trị: 'Hiển thị toàn bộ', 'Ẩn toàn bộ', 'Chỉ hiển thị ở Summary'.</t>
  </si>
  <si>
    <t>Kiểm tra SKU con trong nhóm SKU kế thừa 'Phương thức hiển thị' từ nhóm cha, không cho chọn riêng (BR-T08)</t>
  </si>
  <si>
    <t>1. Đã đăng nhập, có quyền tạo mới.
 2. Gói bán có Nhóm SKU với SKU con.</t>
  </si>
  <si>
    <t>1. Mở màn hình Tạo mới.
 2. Chọn Gói bán có Nhóm SKU.
 3. Quan sát 'Phương thức hiển thị' của SKU con.</t>
  </si>
  <si>
    <t>Trường 'Phương thức hiển thị' của SKU con bị disabled. Giá trị kế thừa từ nhóm SKU cha.</t>
  </si>
  <si>
    <t>Kiểm tra bắt buộc phải có 1 sản phẩm cha phải có 'Phương thức hiển thị' = 'Hiển thị toàn bộ'.</t>
  </si>
  <si>
    <t>1. Mở màn hình Tạo mới.
 2. Chọn 'Phương thức hiển thị' của tất cả sản phẩm cha # 'Hiển thị toàn bộ'.
3. Click btn Lưu</t>
  </si>
  <si>
    <t>Hiển thị cảnh báo bắt buộc phải có 1 sản phầm cha có  'Phương thức hiển thị' = 'Hiển thị toàn bộ'.</t>
  </si>
  <si>
    <t>Kiểm tra auto-fill 'Tên hiển thị trên kênh' cấp Gói bán (BR-C05)</t>
  </si>
  <si>
    <t>1. Đã đăng nhập, có quyền tạo mới.
 2. Gói bán có SKU với Display name = 'SKU_Name_A'.</t>
  </si>
  <si>
    <t>1. Mở màn hình Tạo mới.
 2. Chọn Gói bán.
 3. Quan sát trường 'Tên hiển thị trên kênh' cấp Gói bán.</t>
  </si>
  <si>
    <t>Trường auto-fill theo cùng quy tắc với SKU (Display name / Name). Người dùng có thể chỉnh sửa sau.</t>
  </si>
  <si>
    <t>Kiểm tra validate bắt buộc 'Tên hiển thị trên kênh' cấp Gói bán</t>
  </si>
  <si>
    <t>1. Mở màn hình Tạo mới.
 2. Chọn Gói bán, Kênh bán.
 3. Xóa nội dung 'Tên hiển thị trên kênh' cấp Gói bán.
 4. Nhấn 'Lưu'.</t>
  </si>
  <si>
    <t>Hệ thống hiển thị lỗi validation. Dữ liệu không được lưu.</t>
  </si>
  <si>
    <t>Kiểm tra giới hạn 255 ký tự 'Tên hiển thị trên kênh' cấp Gói bán - cận trên</t>
  </si>
  <si>
    <t>1. Mở màn hình Tạo mới.
 2. Chọn Gói bán, Kênh bán.
 3. Nhập đúng 255 ký tự vào trường.
 4. Nhấn 'Lưu'.</t>
  </si>
  <si>
    <t>Kiểm tra vượt giới hạn 'Tên hiển thị trên kênh' cấp Gói bán - 256 ký tự</t>
  </si>
  <si>
    <t>1. Mở màn hình Tạo mới.
 2. Chọn Gói bán, Kênh bán.
 3. Nhập 256 ký tự.
 4. Nhấn 'Lưu'.</t>
  </si>
  <si>
    <t>Hệ thống hiển thị lỗi: không cho nhập quá 255 ký tự.</t>
  </si>
  <si>
    <t>Kiểm tra trường Mô tả ngắn không bắt buộc</t>
  </si>
  <si>
    <t>1. Mở màn hình Tạo mới.
 2. Điền đủ trường bắt buộc, để trống 'Mô tả ngắn '.
 3. Nhấn 'Lưu'.</t>
  </si>
  <si>
    <t>Hệ thống lưu thành công.</t>
  </si>
  <si>
    <t>Kiểm tra giới hạn 2000 ký tự 'Mô tả ngắn ' - cận trên</t>
  </si>
  <si>
    <t>1. Mở màn hình Tạo mới.
 2. Điền đủ trường bắt buộc.
 3. Nhập đúng 500 ký tự vào 'Mô tả ngắn '.
 4. Nhấn 'Lưu'.</t>
  </si>
  <si>
    <t>Hệ thống chấp nhận và lưu thành công 2000  ký tự.</t>
  </si>
  <si>
    <t>Kiểm tra vượt giới hạn 'Mô tả ngắn ' - 2001 ký tự</t>
  </si>
  <si>
    <t>1. Mở màn hình Tạo mới.
 2. Điền đủ trường bắt buộc.
 3. Nhập 501 ký tự vào 'Mô tả ngắn '.
 4. Nhấn 'Lưu'.</t>
  </si>
  <si>
    <t>Hệ thống hiển thị lỗi validation: không cho nhập quá 2001 ký tự.
** texteditor nằm trong thẻ html ẩn: &lt;p&gt;&lt;/p&gt;</t>
  </si>
  <si>
    <t xml:space="preserve">Kiểm tra nhập data tại trường Mô tả ngắn </t>
  </si>
  <si>
    <t xml:space="preserve">1. Mở màn hình Tạo mới.
 2. Điền đủ trường bắt buộc.
 3. Nhập data bất kỳ tại Mô tả ngắn </t>
  </si>
  <si>
    <t>Trường Mô tả ngắn là 1 text editor, hỗ trợ in đậm, in nghiêng , đánh stt, đính kèm ảnh</t>
  </si>
  <si>
    <t>Kiểm tra trường Mô tả dài gói bán không bắt buộc</t>
  </si>
  <si>
    <t>1. Mở màn hình Tạo mới.
 2. Để trống 'Mô tả dài'.
 3. Nhấn 'Lưu'.</t>
  </si>
  <si>
    <t>Kiểm tra giới hạn 12000 ký tự 'Mô tả dài' - cận trên</t>
  </si>
  <si>
    <t>1. Mở màn hình Tạo mới.
 2. Nhập đúng 12000 ký tự vào 'Mô tả dài'.
 3. Nhấn 'Lưu'.</t>
  </si>
  <si>
    <t>Kiểm tra vượt giới hạn 'Mô tả dài' - 2001 ký tự</t>
  </si>
  <si>
    <t>1. Mở màn hình Tạo mới.
 2. Nhập 2001 ký tự vào 'Mô tả dài'.
 3. Nhấn 'Lưu'.
4. Check lại nội dung hiển thị trên kênh</t>
  </si>
  <si>
    <t>Hệ thống hiển thị lỗi validation: không cho nhập quá 12001 ký tự.
** texteditor nằm trong thẻ html ẩn: &lt;p&gt;&lt;/p&gt;</t>
  </si>
  <si>
    <t>Kiểm tra nhập data tại trường Mô tả dài</t>
  </si>
  <si>
    <t xml:space="preserve">1. Mở màn hình Tạo mới.
 2. Điền đủ trường bắt buộc.
 3. Nhập data bất kỳ tại Mô tả dài </t>
  </si>
  <si>
    <t>Trường Mô tả dài là 1 text editor, hỗ trợ in đậm, in nghiêng , đánh stt, đính kèm ảnh</t>
  </si>
  <si>
    <t>Kiểm tra upload Ảnh gói bán - JPG hợp lệ (&lt; 1MB)</t>
  </si>
  <si>
    <t>Đã đăng nhập, có quyền tạo mới. Có file JPG &lt; 1MB.</t>
  </si>
  <si>
    <t>1. Mở màn hình Tạo mới.
 2. Upload 'Ảnh gói bán' với file JPG hợp lệ.</t>
  </si>
  <si>
    <t>File ảnh JPG được upload thành công, hiển thị preview.</t>
  </si>
  <si>
    <t>Kiểm tra upload Ảnh gói bán - từ chối sai định dạng</t>
  </si>
  <si>
    <t>Đã đăng nhập. Có file .gif.</t>
  </si>
  <si>
    <t>1. Mở màn hình Tạo mới.
 2. Upload 'Ảnh gói bán' với file .gif.</t>
  </si>
  <si>
    <t>Hệ thống từ chối và thông báo: chỉ chấp nhận JPG hoặc PNG.</t>
  </si>
  <si>
    <t>Kiểm tra upload Ảnh gói bán - từ chối vượt 1MB</t>
  </si>
  <si>
    <t>Đã đăng nhập. Có file JPG &gt; 1MB.</t>
  </si>
  <si>
    <t>1. Mở màn hình Tạo mới.
 2. Upload 'Ảnh gói bán' với file &gt; 1MB.</t>
  </si>
  <si>
    <t>Hệ thống từ chối và thông báo: dung lượng tối đa 1MB/ảnh.</t>
  </si>
  <si>
    <t>Kiểm tra upload Ảnh gói bán - giới hạn 10 ảnh</t>
  </si>
  <si>
    <t>Đã đăng nhập. Có 11 file JPG hợp lệ.</t>
  </si>
  <si>
    <t>1. Mở màn hình Tạo mới.
 2. Upload 10 ảnh thành công.
 3. Thử upload ảnh thứ 11.</t>
  </si>
  <si>
    <t>Hệ thống từ chối ảnh thứ 11 và thông báo: đã đạt tối đa 10 ảnh.</t>
  </si>
  <si>
    <t>Kiểm tra block Đặc quyền hiển thị dạng Collapse/Expand</t>
  </si>
  <si>
    <t>1. Mở màn hình Tạo mới.
 2. Chọn Gói bán, Kênh bán.
 3. Quan sát block 'Đặc quyền'.</t>
  </si>
  <si>
    <t>Block 'Đặc quyền' hiển thị dạng Collapse/Expand. Mặc định có thể thu gọn/mở rộng.</t>
  </si>
  <si>
    <t>Kiểm tra block Đặc quyền không bắt buộc - lưu khi để trống (BR-P01)</t>
  </si>
  <si>
    <t>Đã đăng nhập, có quyền tạo mới. Đã điền đủ trường bắt buộc.</t>
  </si>
  <si>
    <t>1. Mở màn hình Tạo mới.
 2. Điền đủ trường bắt buộc.
 3. Không điền block Đặc quyền.
 4. Nhấn 'Lưu'.</t>
  </si>
  <si>
    <t>Hệ thống lưu thành công. Không có lỗi validation cho block Đặc quyền.</t>
  </si>
  <si>
    <t>Kiểm tra cấu trúc block Đặc quyền - Tiêu đề block, Hình ảnh đặc quyền, Bảng danh sách</t>
  </si>
  <si>
    <t>1. Mở màn hình Tạo mới.
 2. Mở block Đặc quyền.
 3. Quan sát giao diện.</t>
  </si>
  <si>
    <t>Block hiển thị:
 - Textbox 'Tiêu đề chung đặc quyền' (max 255 ký tự)
 - Upload 'Hình ảnh đặc quyền' (1 ảnh)
 - Bảng danh sách đặc quyền (STT, Icon, Tiêu đề đặc quyền, Nội dung đặc quyền, Xóa) -- mặc định rỗng
 - Button '+' để thêm dòng (tối đa 10 dòng)</t>
  </si>
  <si>
    <t>Kiểm tra Tiêu đề chung đặc quyền block Đặc quyền - giới hạn 255 ký tự</t>
  </si>
  <si>
    <t>1. Mở block Đặc quyền.
 2. Nhập 256 ký tự vào 'Tiêu đề'.
 3. Nhấn 'Lưu'.</t>
  </si>
  <si>
    <t>Kiểm tra không nhập tiêu đề chung đặc quyền khi có thêm dòng đặc quyền</t>
  </si>
  <si>
    <t>1. Mở màn hình Tạo mới.
 2. Điền đủ trường bắt buộc.
 3. Không điền Tiêu đề chung đặc quyền 
 4. Click btn + để thêm dòng đặc quyền
5. Nhấn 'Lưu'.</t>
  </si>
  <si>
    <t xml:space="preserve">Hệ thống hiển thị lỗi bắt buộc nhập Tiêu đề chung đặc quyền </t>
  </si>
  <si>
    <t>Kiểm tra upload Icon đặc quyền - JPG/PNG hợp lệ (&lt; 1MB)</t>
  </si>
  <si>
    <t>1. Mở màn hình Tạo mới.
 2. Upload 'Icon đặc quyền' với file JPG/PNG hợp lệ.</t>
  </si>
  <si>
    <t>Kiểm tra upload Icon đặc quyền - từ chối sai định dạng</t>
  </si>
  <si>
    <t>1. Mở màn hình Tạo mới.
 2. Upload 'Icon đặc quyền' với file .gif.</t>
  </si>
  <si>
    <t>Kiểm tra upload Icon đặc quyền - từ chối vượt 1MB</t>
  </si>
  <si>
    <t>1. Mở màn hình Tạo mới.
 2. Upload 'Icon đặc quyền' với file &gt; 1MB.</t>
  </si>
  <si>
    <t>Kiểm tra upload Icon đặc quyền - tối đa 1 icon/dòng (BR-P04)</t>
  </si>
  <si>
    <t>Đã đăng nhập. Có file JPG/PNG hợp lệ.</t>
  </si>
  <si>
    <t>1. Mở block Đặc quyền.
 2. Thêm dòng.
 3. Upload 1 icon.
 4. Thử upload icon thứ 2 cho cùng dòng.</t>
  </si>
  <si>
    <t>Hệ thống chỉ cho phép 1 icon/dòng.</t>
  </si>
  <si>
    <t>Kiểm tra không nhậpTiêu đề đặc quyền khi có thêm dòng đặc quyền</t>
  </si>
  <si>
    <t>1. Mở màn hình Tạo mới.
 2. Điền đủ trường bắt buộc.
 3. Không điền Tiêu đề đặc quyền
 4. Click btn + để thêm dòng đặc quyền
5. Nhấn 'Lưu'.</t>
  </si>
  <si>
    <t>Hệ thống hiển thị lỗi validation: 'Tiêu đề đặc quyền là bắt buộc'. Dữ liệu không được lưu.</t>
  </si>
  <si>
    <t>[UPDATE V1.2] Tiêu đề đặc quyền là bắt buộc khi có dòng (v1.0: không bắt buộc)</t>
  </si>
  <si>
    <t>Kiểm tra 'Tiêu đề đặc quyền'vượt giới hạn 255 ký tự</t>
  </si>
  <si>
    <t>1. Mở block Đặc quyền.
 2. Thêm dòng.
 3. Nhập 256 ký tự vào 'Tiêu đề đặc quyền'.
 4. Nhấn 'Lưu'.</t>
  </si>
  <si>
    <t>Kiểm tra 'Tiêu đề đặc quyền' đúng giới hạn 255 ký tự</t>
  </si>
  <si>
    <t>1. Mở block Đặc quyền.
 2. Thêm dòng.
 3. Nhập 255 ký tự vào 'Tiêu đề đặc quyền'.
 4. Nhấn 'Lưu'.</t>
  </si>
  <si>
    <t>Kiểm tra không nhập Nội dung đặc quyền khi có thêm dòng đặc quyền</t>
  </si>
  <si>
    <t>1. Mở màn hình Tạo mới.
 2. Điền đủ trường bắt buộc.
 3. Không điền Nội dung đặc quyền
 4. Click btn + để thêm dòng đặc quyền
5. Nhấn 'Lưu'.</t>
  </si>
  <si>
    <t>Hệ thông báo lỗi bắt buộc nhập Nội dung đặc quyền</t>
  </si>
  <si>
    <t>Kiểm tra 'Nội dung đặc quyền'vượt giới hạn 255 ký tự</t>
  </si>
  <si>
    <t>1. Mở block Đặc quyền.
 2. Thêm dòng.
 3. Nhập 256 ký tự vào 'Nội dung đặc quyền'.
 4. Nhấn 'Lưu'.</t>
  </si>
  <si>
    <t>Kiểm tra 'Nội dung đặc quyền' đúng giới hạn 255 ký tự</t>
  </si>
  <si>
    <t>1. Mở block Đặc quyền.
 2. Thêm dòng.
 3. Nhập 255 ký tự vào 'Nội dung đặc quyền'.
 4. Nhấn 'Lưu'.</t>
  </si>
  <si>
    <t>Kiểm tra upload Hình ảnh đặc quyền - JPG/PNG hợp lệ (&lt; 1MB)</t>
  </si>
  <si>
    <t>1. Mở màn hình Tạo mới.
 2. Upload 'Hình ảnh đặc quyền' với file JPG/PNG hợp lệ.</t>
  </si>
  <si>
    <t>Kiểm tra upload Hình ảnh đặc quyền - từ chối sai định dạng</t>
  </si>
  <si>
    <t>1. Mở màn hình Tạo mới.
 2. Upload 'Hình ảnh đặc quyền' với file .gif.</t>
  </si>
  <si>
    <t>Kiểm tra upload Hình ảnh đặc quyền (cấp block) - tối đa 1 ảnh (BR-P05)</t>
  </si>
  <si>
    <t>Đã đăng nhập. Có 2 file ảnh JPG hợp lệ.</t>
  </si>
  <si>
    <t>1. Mở block Đặc quyền.
 2. Upload 1 ảnh đặc quyền thành công.
 3. Thử upload ảnh thứ 2.</t>
  </si>
  <si>
    <t>Hệ thống chỉ cho phép 1 ảnh. Ảnh mới thay thế ảnh cũ hoặc từ chối upload thêm.</t>
  </si>
  <si>
    <t>Kiểm tra xóa dòng đặc quyền bằng icon X</t>
  </si>
  <si>
    <t>1. Mở block Đặc quyền.
 2. Thêm 2 dòng đặc quyền.
 3. Nhấn icon X xóa 1 dòng.
 4. Quan sát bảng.</t>
  </si>
  <si>
    <t>Dòng được chọn bị xóa. STT tự cập nhật.</t>
  </si>
  <si>
    <t>Kiểm tra dữ liệu block Đặc quyền truyền cho kênh theo nguyên tắc có thì hiển thị (BR-P06)</t>
  </si>
  <si>
    <t>Đã tạo thành công bản ghi có block Đặc quyền.</t>
  </si>
  <si>
    <t>1. Truy cập kênh bán tương ứng.
 2. Quan sát thông tin Đặc quyền.</t>
  </si>
  <si>
    <t>Kênh bán hiển thị đúng thông tin Đặc quyền đã cấu hình. Nếu không cấu hình thì không hiển thị.</t>
  </si>
  <si>
    <t>Kiểm tra trường 'Hình ảnh banner đầu trang' hiển thị bên cạnh 'Hình ảnh gói bán' (không thay thế)</t>
  </si>
  <si>
    <t>1. Mở màn hình Tạo mới.
 2. Chọn Gói bán.
 3. Quan sát khu vực Banner.</t>
  </si>
  <si>
    <t>Màn hình hiển thị đồng thời cả 2 trường: 'Hình ảnh gói bán' và 'Hình ảnh banner đầu trang'. Hai trường độc lập nhau.</t>
  </si>
  <si>
    <t>Kiểm tra upload 'Hình ảnh banner đầu trang' - JPG hợp lệ</t>
  </si>
  <si>
    <t>Đã đăng nhập. Có file JPG &lt; 1MB.</t>
  </si>
  <si>
    <t>1. Mở màn hình Tạo mới.
 2. Upload 'Hình ảnh banner đầu trang' với file JPG hợp lệ.</t>
  </si>
  <si>
    <t>File upload thành công, hiển thị preview.</t>
  </si>
  <si>
    <t>Kiểm tra upload 'Hình ảnh banner đầu trang' - từ chối sai định dạng</t>
  </si>
  <si>
    <t>1. Mở màn hình Tạo mới.
 2. Upload 'Hình ảnh banner đầu trang' với file .gif.</t>
  </si>
  <si>
    <t>Hệ thống từ chối: chỉ chấp nhận JPG/PNG.</t>
  </si>
  <si>
    <t>Kiểm tra upload 'Hình ảnh banner đầu trang' - từ chối vượt 1MB</t>
  </si>
  <si>
    <t>1. Mở màn hình Tạo mới.
 2. Upload 'Hình ảnh banner đầu trang' với file &gt; 1MB.</t>
  </si>
  <si>
    <t>Hệ thống từ chối: tối đa 1MB/ảnh.</t>
  </si>
  <si>
    <t>Kiểm tra upload 'Hình ảnh banner đầu trang' - giới hạn 10 ảnh</t>
  </si>
  <si>
    <t>1. Mở màn hình Tạo mới.
 2. Upload 10 ảnh.
 3. Thử upload ảnh thứ 11.</t>
  </si>
  <si>
    <t>Hệ thống từ chối ảnh thứ 11: đã đạt tối đa 10 ảnh (BR-B03).</t>
  </si>
  <si>
    <t>Kiểm tra 'Hình ảnh banner đầu trang' không bắt buộc</t>
  </si>
  <si>
    <t>Đã đăng nhập. Đã điền đủ trường bắt buộc.</t>
  </si>
  <si>
    <t>1. Mở màn hình Tạo mới.
 2. Không upload 'Hình ảnh banner đầu trang'.
 3. Nhấn 'Lưu'.</t>
  </si>
  <si>
    <t>Hệ thống lưu thành công (BR-B05).</t>
  </si>
  <si>
    <t>Kiểm tra 'Hình ảnh banner giữa trang' hiển thị dạng bảng (STT/Ảnh/Toggle/Xóa)</t>
  </si>
  <si>
    <t>1. Mở màn hình Tạo mới.
 2. Quan sát khu vực 'Hình ảnh banner giữa trang'.</t>
  </si>
  <si>
    <t>Hiển thị bảng gồm các cột: STT (tự tăng), Ảnh (1 ảnh/dòng), Hoạt động (toggle on/off), Xóa (icon X). Button '+' để thêm dòng mới.</t>
  </si>
  <si>
    <t>Kiểm tra toggle 'Hoạt động' banner giữa trang mặc định = OFF (BR-B08) [V1.2]</t>
  </si>
  <si>
    <t>1. Mở màn hình Tạo mới.
 2. Nhấn '+' thêm dòng trong bảng Banner giữa trang.
 3. Quan sát toggle 'Hoạt động'.</t>
  </si>
  <si>
    <t>Toggle mặc định = Không hoạt động (OFF). Ảnh sẽ không hiển thị trên kênh nếu không bật toggle.</t>
  </si>
  <si>
    <t>[UPDATE V1.2] Toggle mặc định OFF (v1.0: ON)</t>
  </si>
  <si>
    <t>Kiểm tra toggle off = ảnh không hiển thị trên kênh (BR-B08)</t>
  </si>
  <si>
    <t>1. Mở màn hình Tạo mới.
 2. Thêm dòng Banner giữa trang.
 3. Toggle sang Off.
 4. Nhấn 'Lưu'.
 5. Kiểm tra trên kênh bán.</t>
  </si>
  <si>
    <t>Ảnh tương ứng không hiển thị trên kênh bán khi toggle = Off.</t>
  </si>
  <si>
    <t>Kiểm tra upload ảnh Banner giữa trang - 1 ảnh/dòng (BR-B07)</t>
  </si>
  <si>
    <t>Đã đăng nhập. Có file JPG hợp lệ.</t>
  </si>
  <si>
    <t>1. Mở màn hình Tạo mới.
 2. Thêm dòng Banner giữa trang.
 3. Upload 1 ảnh.
 4. Thử upload ảnh thứ 2 cho cùng dòng.</t>
  </si>
  <si>
    <t>Hệ thống chỉ cho phép 1 ảnh/dòng.</t>
  </si>
  <si>
    <t>Kiểm tra upload ảnh Banner giữa trang - từ chối sai định dạng</t>
  </si>
  <si>
    <t>1. Mở màn hình Tạo mới.
 2. Thêm dòng Banner giữa trang.
 3. Upload file .gif.</t>
  </si>
  <si>
    <t>Hệ thống từ chối: chỉ chấp nhận JPG/PNG (BR-B01).</t>
  </si>
  <si>
    <t>Kiểm tra upload ảnh Banner giữa trang - từ chối vượt 1MB</t>
  </si>
  <si>
    <t>1. Mở màn hình Tạo mới.
 2. Thêm dòng Banner giữa trang.
 3. Upload file &gt; 1MB.</t>
  </si>
  <si>
    <t>Hệ thống từ chối: tối đa 1MB/ảnh (BR-B02).</t>
  </si>
  <si>
    <t>Kiểm tra Banner giữa trang giới hạn 10 dòng (BR-B06)</t>
  </si>
  <si>
    <t>Đã đăng nhập.</t>
  </si>
  <si>
    <t>1. Mở màn hình Tạo mới.
 2. Thêm 10 dòng Banner giữa trang.
 3. Nhấn '+' thêm dòng thứ 11.</t>
  </si>
  <si>
    <t>Hệ thống từ chối: đã đạt tối đa 10 dòng.</t>
  </si>
  <si>
    <t>Kiểm tra xóa dòng Banner giữa trang bằng icon X (BR-B09)</t>
  </si>
  <si>
    <t>1. Mở màn hình Tạo mới.
 2. Thêm 2 dòng Banner giữa trang.
 3. Nhấn icon X xóa dòng thứ 2.</t>
  </si>
  <si>
    <t>Dòng bị xóa. STT tự cập nhật lại.</t>
  </si>
  <si>
    <t>Kiểm tra 'Hình ảnh banner giữa trang' không bắt buộc</t>
  </si>
  <si>
    <t>1. Mở màn hình Tạo mới.
 2. Không thêm Banner giữa trang.
 3. Nhấn 'Lưu'.</t>
  </si>
  <si>
    <t>Kiểm tra lưu thành công với đầy đủ trường bắt buộc</t>
  </si>
  <si>
    <t>Đã đăng nhập, có quyền tạo mới. Hệ thống có Gói bán hợp lệ.</t>
  </si>
  <si>
    <t>1. Mở màn hình Tạo mới.
 2. Chọn Gói bán, Kênh bán.
 3. Kiểm tra Tên hiển thị auto-fill.
 4. Nhấn 'Lưu'.</t>
  </si>
  <si>
    <t>Hiển thị thông báo thành công. Ghi nhận Thời gian tạo + Người tạo. Quay về Danh sách. Bản ghi mới xuất hiện đầu danh sách.</t>
  </si>
  <si>
    <t>Kiểm tra nút 'Hủy' (Tạo mới) hiển thị popup xác nhận hủy đúng nội dung [V1.2]</t>
  </si>
  <si>
    <t>1. Mở màn hình Tạo mới.
 2. Nhập một số thông tin.
 3. Nhấn nút 'Hủy'.
 4. Quan sát popup hiển thị.</t>
  </si>
  <si>
    <t>Popup hiển thị với nội dung: 'Bạn có chắc muốn hủy? Dữ liệu chưa lưu sẽ bị mất.' Có 2 button: 'Quay lại' và 'Xác nhận'.</t>
  </si>
  <si>
    <t>[UPDATE V1.2] Hủy có popup xác nhận (v1.0: không có popup, về Danh sách liền)</t>
  </si>
  <si>
    <t>Kiểm tra lưu thất bại khi thiếu các trường bắt buộc</t>
  </si>
  <si>
    <t>1. Mở màn hình Tạo mới.
 2. Để trống tất cả trường.
 3. Nhấn 'Lưu'.</t>
  </si>
  <si>
    <t>Hệ thống hiển thị lỗi validation tại từng trường bắt buộc (Gói bán, Kênh bán, Tên hiển thị trên kênh). Không lưu.</t>
  </si>
  <si>
    <t>Kiểm tra sau lưu thành công - bản ghi mới xuất hiện đầu danh sách</t>
  </si>
  <si>
    <t>Đã đăng nhập, có quyền tạo mới và xem.</t>
  </si>
  <si>
    <t>1. Tạo mới và lưu thành công.
 2. Quay về Danh sách.
 3. Quan sát vị trí bản ghi.</t>
  </si>
  <si>
    <t>Bản ghi mới xuất hiện đầu danh sách. 'Thời gian tạo' và 'Người tạo' được ghi nhận chính xác.</t>
  </si>
  <si>
    <t>Kiểm tra kênh bán đã sử dụng không hiển thị trong dropdown Tạo mới [V1.2]</t>
  </si>
  <si>
    <t>1. Đã đăng nhập, có quyền tạo mới.
 2. Gói bán "Gói A" đã có nội dung tạo với kênh "FPT.vn".</t>
  </si>
  <si>
    <t>1. Mở màn hình Tạo mới.
 2. Chọn Gói bán "Gói A".
 3. Mở dropdown Kênh bán.
 4. Quan sát danh sách.</t>
  </si>
  <si>
    <t>Kênh "FPT.vn" không xuất hiện trong dropdown (đã được sử dụng). Chỉ hiển thị kênh chưa tạo nội dung cho Gói A.</t>
  </si>
  <si>
    <t>[NEW V1.2] SC-TAOMOI-002</t>
  </si>
  <si>
    <t>Kiểm tra upload Icon gói bán hợp lệ (JPG/PNG/SVG &lt;=1MB) - Tạo mới [V1.2]</t>
  </si>
  <si>
    <t>1. Đã đăng nhập, có quyền tạo mới.
 2. Có file icon.png (PNG, 500KB).</t>
  </si>
  <si>
    <t>1. Mở màn hình Tạo mới.
 2. Tại field "Icon gói bán" nhấn upload.
 3. Chọn file icon.png (500KB).
 4. Quan sát kết quả.</t>
  </si>
  <si>
    <t>File icon upload thành công. Hiển thị preview trong field. Không hiển thị thông báo lỗi.</t>
  </si>
  <si>
    <t>[NEW V1.2] SC-TAOMOI-006</t>
  </si>
  <si>
    <t>Kiểm tra upload Icon gói bán - từ chối sai định dạng (GIF) - Tạo mới [V1.2]</t>
  </si>
  <si>
    <t>1. Đã đăng nhập, có quyền tạo mới.
 2. Có file icon.gif (GIF, 200KB).</t>
  </si>
  <si>
    <t>1. Mở màn hình Tạo mới.
 2. Tại field "Icon gói bán" nhấn upload.
 3. Chọn file icon.gif.</t>
  </si>
  <si>
    <t>Hệ thống từ chối file. Hiển thị thông báo lỗi: chỉ chấp nhận JPG, PNG hoặc SVG.</t>
  </si>
  <si>
    <t>[NEW V1.2] SC-TAOMOI-007</t>
  </si>
  <si>
    <t>Kiểm tra upload Icon gói bán - từ chối vượt 1MB - Tạo mới [V1.2]</t>
  </si>
  <si>
    <t>1. Đã đăng nhập, có quyền tạo mới.
 2. Có file icon_large.jpg (1.5MB).</t>
  </si>
  <si>
    <t>1. Mở màn hình Tạo mới.
 2. Tại field "Icon gói bán" nhấn upload.
 3. Chọn file 1.5MB.
 4. Quan sát kết quả.</t>
  </si>
  <si>
    <t>Hệ thống từ chối file. Hiển thị thông báo lỗi: dung lượng tối đa 1MB/ảnh.</t>
  </si>
  <si>
    <t>[NEW V1.2] SC-TAOMOI-006 negative</t>
  </si>
  <si>
    <t>Kiểm tra trường "Mô tả card gói" - không bắt buộc, lưu thành công khi để trống - Tạo mới [V1.2]</t>
  </si>
  <si>
    <t>1. Đã đăng nhập, có quyền tạo mới.
 2. Đã điền đủ trường bắt buộc (Gói bán, Kênh bán, Tên hiển thị trên kênh).</t>
  </si>
  <si>
    <t>1. Mở màn hình Tạo mới.
 2. Điền đủ trường bắt buộc.
 3. Để trống field "Mô tả card gói".
 4. Nhấn "Lưu".</t>
  </si>
  <si>
    <t>Hệ thống lưu thành công. Không có lỗi validation cho trường Mô tả card gói.</t>
  </si>
  <si>
    <t>[NEW V1.2] REQ-TAOMOI-012</t>
  </si>
  <si>
    <t>Kiểm tra section "Đặc tính gói bán" hiển thị read-only - Tạo mới [V1.2]</t>
  </si>
  <si>
    <t>1. Đã đăng nhập, có quyền tạo mới.
 2. Gói bán "Gói A" có cấu hình đặc tính gói bán.</t>
  </si>
  <si>
    <t>1. Mở màn hình Tạo mới.
 2. Chọn Gói bán "Gói A".
 3. Quan sát section "Đặc tính gói bán".
 4. Thử chỉnh sửa bất kỳ trường nào trong section.</t>
  </si>
  <si>
    <t>Section "Đặc tính gói bán" hiển thị dữ liệu từ cấu hình Gói bán. Tất cả trường ở trạng thái read-only, không chỉnh sửa được.</t>
  </si>
  <si>
    <t>[NEW V1.2] SC-TAOMOI-017 | CLA-008</t>
  </si>
  <si>
    <t>Kiểm tra section "Đặc tính gói bán" load đúng theo Gói bán đã chọn - Tạo mới [V1.2]</t>
  </si>
  <si>
    <t>1. Đã đăng nhập.
 2. Có "Gói A" và "Gói B" với cấu hình đặc tính khác nhau.</t>
  </si>
  <si>
    <t>1. Mở màn hình Tạo mới.
 2. Chọn Gói bán "Gói A", quan sát đặc tính.
 3. Đổi sang Gói bán "Gói B".
 4. Quan sát lại đặc tính.</t>
  </si>
  <si>
    <t>Khi chọn Gói A: hiển thị đặc tính Gói A. Đổi sang Gói B: section cập nhật hiển thị đặc tính Gói B. Không hiển thị đặc tính gói khác.</t>
  </si>
  <si>
    <t>[NEW V1.2] SC-TAOMOI-018 | CLA-008</t>
  </si>
  <si>
    <t>Kiểm tra field "Link video gói bán" - URL hợp lệ http/https - Tạo mới [V1.2]</t>
  </si>
  <si>
    <t>1. Đã đăng nhập, có quyền tạo mới.</t>
  </si>
  <si>
    <t>1. Mở màn hình Tạo mới.
 2. Nhập "https://youtube.com/watch?v=example123" vào field "Link video gói bán".
 3. Nhấn "Lưu" (đã điền đủ trường bắt buộc).</t>
  </si>
  <si>
    <t>Hệ thống chấp nhận URL hợp lệ. Không hiển thị thông báo lỗi. Dữ liệu được lưu thành công.</t>
  </si>
  <si>
    <t>[NEW V1.2] SC-TAOMOI-028</t>
  </si>
  <si>
    <t>Kiểm tra field "Link video gói bán" - URL sai định dạng thiếu http/https - Tạo mới [V1.2]</t>
  </si>
  <si>
    <t>1. Mở màn hình Tạo mới.
 2. Nhập "youtube.com/watch?v=example" (thiếu http/https) vào "Link video".
 3. Nhấn "Lưu".</t>
  </si>
  <si>
    <t>Hệ thống hiển thị lỗi: "Link video không hợp lệ. Vui lòng nhập đúng định dạng URL (http:// hoặc https://)". Không lưu.</t>
  </si>
  <si>
    <t>[NEW V1.2] SC-TAOMOI-029</t>
  </si>
  <si>
    <t>Kiểm tra lưu với nhiều kênh bán - tạo N records theo N kênh đã chọn [V1.2]</t>
  </si>
  <si>
    <t>1. Đã đăng nhập, có quyền tạo mới.
 2. Gói bán "Gói A" có giá trên 2 kênh: FPT.vn và tongdaiwifi.vn. Cả 2 kênh chưa có nội dung.</t>
  </si>
  <si>
    <t>1. Mở màn hình Tạo mới.
 2. Chọn Gói bán "Gói A".
 3. Chọn Kênh bán: FPT.vn VÀ tongdaiwifi.vn (multi-select).
 4. Điền đủ thông tin bắt buộc.
 5. Nhấn "Lưu".</t>
  </si>
  <si>
    <t>Hệ thống lưu thành công. Tạo 2 records riêng biệt trong DB. Hiển thị thông báo thành công. Chuyển về Danh sách với 2 dòng mới: "Gói A - FPT.vn" và "Gói A - tongdaiwifi.vn".</t>
  </si>
  <si>
    <t>[NEW V1.2] SC-TAOMOI-033 | CLA-005</t>
  </si>
  <si>
    <t>Kiểm tra popup Hủy (Tạo mới) - nhấn "Xác nhận" -&gt; về Danh sách, không lưu [V1.2]</t>
  </si>
  <si>
    <t>1. Đã đăng nhập, có quyền tạo mới.
 2. Đang ở màn hình Tạo mới, đã nhập thông tin.
 3. Popup "Bạn có chắc muốn hủy? Dữ liệu chưa lưu sẽ bị mất." đang hiển thị.</t>
  </si>
  <si>
    <t>1. Mở màn hình Tạo mới.
 2. Nhập một số thông tin.
 3. Nhấn "Hủy" để popup hiện ra.
 4. Nhấn button "Xác nhận".</t>
  </si>
  <si>
    <t>Popup đóng. Dữ liệu không được lưu. Hệ thống quay về màn hình Danh sách. Không có bản ghi mới.</t>
  </si>
  <si>
    <t>[NEW V1.2] SC-TAOMOI-036 | CLA-001</t>
  </si>
  <si>
    <t>Kiểm tra popup Hủy (Tạo mới) - nhấn "Quay lại" -&gt; đóng popup, tiếp tục nhập [V1.2]</t>
  </si>
  <si>
    <t>1. Mở màn hình Tạo mới.
 2. Nhập một số thông tin.
 3. Nhấn "Hủy" để popup hiện ra.
 4. Nhấn button "Quay lại".</t>
  </si>
  <si>
    <t>Popup đóng. Hệ thống quay về form Tạo mới. Tất cả dữ liệu đã nhập trước đó vẫn còn nguyên trong form.</t>
  </si>
  <si>
    <t>[NEW V1.2] SC-TAOMOI-037 | CLA-001</t>
  </si>
  <si>
    <t>CHỈNH SỬA NỘI DUNG GÓI BÁN</t>
  </si>
  <si>
    <t>Kiểm tra truy cập màn hình Chỉnh sửa khi không có quyền</t>
  </si>
  <si>
    <t>1. Đã đăng nhập.
 2. Tài khoản KHÔNG có quyền 'Chỉnh sửa nội dung Gói bán'.
 3. Danh sách có ít nhất 1 bản ghi.</t>
  </si>
  <si>
    <t>1. Truy cập Danh sách.
 2. Nhấn icon '...' → 'Chỉnh sửa'.</t>
  </si>
  <si>
    <t>Hệ thống hiển thị thông báo lỗi phân quyền. Màn hình Chỉnh sửa không được mở.</t>
  </si>
  <si>
    <t>Kiểm tra truy cập màn hình Chỉnh sửa khi có quyền hợp lệ</t>
  </si>
  <si>
    <t>1. Đã đăng nhập, có quyền chỉnh sửa.
 2. Danh sách có ít nhất 1 bản ghi.</t>
  </si>
  <si>
    <t>Hệ thống mở màn hình Chỉnh sửa. Tất cả trường được load sẵn dữ liệu.</t>
  </si>
  <si>
    <t>Kiểm tra load đúng dữ liệu bản ghi vào màn hình Chỉnh sửa theo v1.2</t>
  </si>
  <si>
    <t>1. Đã đăng nhập, có quyền chỉnh sửa.
 2. Bản ghi có đầy đủ thông tin kể cả Đặc quyền, Banner đầu trang, Banner giữa trang.</t>
  </si>
  <si>
    <t>1. Truy cập Danh sách.
 2. Nhấn icon '...' → 'Chỉnh sửa'.
 3. Quan sát từng trường dữ liệu.</t>
  </si>
  <si>
    <t>Màn hình Chỉnh sửa load đúng toàn bộ dữ liệu theo v1.2:
 - Gói bán, Kênh bán (read-only)
 - Bảng line items (Sản phẩm, Tên hiển thị trên kênh, Phương thức hiển thị, Sản phẩm nhận trong gói, Hình ảnh SKU)
 - Tên hiển thị trên kênh (cấp Gói bán)
 - Icon gói bán (hiển thị ảnh đã upload nếu có)
 - Mô tả card gói (text)
 - Mô tả ngắn, Mô tả dài (text editor)
 - Ảnh gói bán
 - Đặc tính gói bán (read-only section)
 - Block Đặc quyền (Tiêu đề chung, Hình ảnh đặc quyền, danh sách đặc quyền)
 - Hình ảnh banner đầu trang
 - Hình ảnh banner giữa trang (bảng STT/Ảnh/Toggle/Xóa)
 - Link video gói bán</t>
  </si>
  <si>
    <t>[UPDATE V1.2] Thêm kiểm tra: Icon gói bán, Mô tả card gói, Đặc tính (read-only), Link video</t>
  </si>
  <si>
    <t>Kiểm tra Gói bán và Kênh bán hiển thị read-only trong màn hình Chỉnh sửa</t>
  </si>
  <si>
    <t>Đã đăng nhập, có quyền chỉnh sửa.</t>
  </si>
  <si>
    <t>1. Mở màn hình Chỉnh sửa.
 2. Thử thay đổi trường 'Gói bán' hoặc 'Kênh bán'.</t>
  </si>
  <si>
    <t>Trường 'Gói bán' và 'Kênh bán' hiển thị read-only, không cho phép thay đổi.</t>
  </si>
  <si>
    <t>Kiểm tra validate bắt buộc 'Tên hiển thị trên kênh' (cột bảng) khi xóa trắng - Chỉnh sửa</t>
  </si>
  <si>
    <t>1. Mở Chỉnh sửa.
 2. Xóa nội dung 'Tên hiển thị trên kênh' trong bảng.
 3. Nhấn 'Lưu'.</t>
  </si>
  <si>
    <t>Kiểm tra checkbox 'Sản phẩm nhận trong gói' load đúng trạng thái đã lưu - Chỉnh sửa</t>
  </si>
  <si>
    <t>Đã tạo bản ghi với 1 line item Unchecked 'Sản phẩm nhận trong gói'.</t>
  </si>
  <si>
    <t>1. Mở Chỉnh sửa bản ghi đó.
 2. Quan sát checkbox 'Sản phẩm nhận trong gói'.</t>
  </si>
  <si>
    <t>Checkbox load đúng trạng thái đã lưu (Unchecked).</t>
  </si>
  <si>
    <t>Kiểm tra thay đổi checkbox 'Sản phẩm nhận trong gói' và lưu - Chỉnh sửa</t>
  </si>
  <si>
    <t>1. Mở Chỉnh sửa.
 2. Thay đổi trạng thái checkbox 'Sản phẩm nhận trong gói' của 1 line item.
 3. Nhấn 'Lưu'.</t>
  </si>
  <si>
    <t>Hệ thống lưu thành công. Trạng thái mới được ghi nhận.</t>
  </si>
  <si>
    <t>Kiểm tra hiển thị đúng dữ liệu đã nhập tại texteditor Mô tả ngắn, Mô tả dài</t>
  </si>
  <si>
    <t>1. Mở Chỉnh sửa.
 2. Quan sát dữ liệu load tại texteditor Mô tả ngắn, Mô tả dài</t>
  </si>
  <si>
    <t xml:space="preserve">Load đúng thông tin đã nhập </t>
  </si>
  <si>
    <t>Kiểm tra 'Hình ảnh SKU nhận trong gói' load đúng dữ liệu - Chỉnh sửa</t>
  </si>
  <si>
    <t>Đã tạo bản ghi với ảnh SKU đã upload.</t>
  </si>
  <si>
    <t>1. Mở Chỉnh sửa.
 2. Quan sát cột 'Hình ảnh SKU nhận trong gói'.</t>
  </si>
  <si>
    <t>Ảnh SKU đã upload hiển thị đúng.</t>
  </si>
  <si>
    <t>Kiểm tra thay đổi/xóa 'Hình ảnh SKU nhận trong gói' và lưu - Chỉnh sửa</t>
  </si>
  <si>
    <t>1. Mở Chỉnh sửa.
 2. Xóa/thay đổi ảnh SKU.
 3. Nhấn 'Lưu'.</t>
  </si>
  <si>
    <t>Hệ thống lưu thành công với ảnh mới.</t>
  </si>
  <si>
    <t>Kiểm tra block Đặc quyền load đúng dữ liệu - Chỉnh sửa</t>
  </si>
  <si>
    <t>Đã tạo bản ghi có block Đặc quyền với dữ liệu.</t>
  </si>
  <si>
    <t>1. Mở Chỉnh sửa.
 2. Quan sát block Đặc quyền.</t>
  </si>
  <si>
    <t>Block Đặc quyền load đúng: Tiêu đề, Hình ảnh, danh sách đặc quyền (STT, Icon, Tiêu đề, Nội dung).</t>
  </si>
  <si>
    <t>Kiểm tra chỉnh sửa block Đặc quyền và lưu thành công</t>
  </si>
  <si>
    <t>1. Mở Chỉnh sửa.
 2. Thay đổi 'Tiêu đề' hoặc thêm/xóa dòng đặc quyền.
 3. Nhấn 'Lưu'.</t>
  </si>
  <si>
    <t>Hệ thống lưu thành công. Dữ liệu Đặc quyền được cập nhật.</t>
  </si>
  <si>
    <t>Kiểm tra 'Hình ảnh banner đầu trang' load đúng dữ liệu - Chỉnh sửa</t>
  </si>
  <si>
    <t>Đã tạo bản ghi có 'Hình ảnh banner đầu trang'.</t>
  </si>
  <si>
    <t>1. Mở Chỉnh sửa.
 2. Quan sát khu vực 'Hình ảnh banner đầu trang'.</t>
  </si>
  <si>
    <t>Ảnh Banner đầu trang đã upload hiển thị đúng.</t>
  </si>
  <si>
    <t>Kiểm tra thêm/xóa ảnh 'Hình ảnh banner đầu trang' và lưu - Chỉnh sửa</t>
  </si>
  <si>
    <t>1. Mở Chỉnh sửa.
 2. Upload thêm hoặc xóa ảnh Banner đầu trang.
 3. Nhấn 'Lưu'.</t>
  </si>
  <si>
    <t>Hệ thống lưu thành công. Ảnh được cập nhật.</t>
  </si>
  <si>
    <t>Kiểm tra 'Hình ảnh banner giữa trang' load đúng dữ liệu (STT, Ảnh, Toggle, Xóa) - Chỉnh sửa</t>
  </si>
  <si>
    <t>Đã tạo bản ghi có 'Hình ảnh banner giữa trang' với trạng thái toggle.</t>
  </si>
  <si>
    <t>1. Mở Chỉnh sửa.
 2. Quan sát bảng 'Hình ảnh banner giữa trang'.</t>
  </si>
  <si>
    <t>Bảng load đúng: STT, Ảnh, trạng thái Toggle (on/off đã lưu), icon Xóa.</t>
  </si>
  <si>
    <t>Kiểm tra thay đổi toggle Banner giữa trang và lưu - Chỉnh sửa</t>
  </si>
  <si>
    <t>1. Mở Chỉnh sửa.
 2. Thay đổi toggle của 1 dòng Banner giữa trang.
 3. Nhấn 'Lưu'.</t>
  </si>
  <si>
    <t>Hệ thống lưu thành công. Trạng thái toggle mới được ghi nhận.</t>
  </si>
  <si>
    <t>Kiểm tra thêm/xóa ảnh Banner giữa trang và lưu - Chỉnh sửa</t>
  </si>
  <si>
    <t>1. Mở Chỉnh sửa.
 2. Thêm/Xóa ảnh baner giữu trang bất kỳ 
 3. Nhấn 'Lưu'.</t>
  </si>
  <si>
    <t>Hệ thống lưu thành công. Kênh cập nhật đúng thông tin đã thay đổi</t>
  </si>
  <si>
    <t>Kiểm tra trường Mô ngắn/Mô tả dài</t>
  </si>
  <si>
    <t>1. Mở Chỉnh sửa.
 2. Nhập data vào Mô tả ngắn/Mô tả dài
 3. Nhấn 'Lưu'.</t>
  </si>
  <si>
    <t>Có giói hạn ký tự phù hợp
- Mô tả ngắn: khoảng 2000 kí tự 
- Mô tả dài: Khoảng 12000 ký tự</t>
  </si>
  <si>
    <t>Kiểm tra upload Banner gói bán - từ chối vượt 1MB - Chỉnh sửa</t>
  </si>
  <si>
    <t>Đã đăng nhập, có quyền chỉnh sửa. Có file JPG &gt; 1MB.</t>
  </si>
  <si>
    <t>1. Mở Chỉnh sửa.
 2. Upload Banner với file &gt; 1MB.</t>
  </si>
  <si>
    <t>Kiểm tra lưu thành công sau khi chỉnh sửa thông tin</t>
  </si>
  <si>
    <t>1. Mở Chỉnh sửa.
 2. Thay đổi 'Tên hiển thị trên kênh' cấp Gói bán.
 3. Nhấn 'Lưu'.</t>
  </si>
  <si>
    <t>Hiển thị thông báo thành công. Cập nhật 'Thời gian cập nhật' + 'Người cập nhật'. Bản ghi được cập nhật trong Danh sách.</t>
  </si>
  <si>
    <t>Kiểm tra nút 'Hủy' (Chỉnh sửa) hiển thị popup xác nhận hủy đúng nội dung [V1.2]</t>
  </si>
  <si>
    <t>1. Mở màn hình Chỉnh sửa.
 2. Thay đổi 1 trường bất kỳ.
 3. Nhấn nút 'Hủy'.
 4. Quan sát popup hiển thị.</t>
  </si>
  <si>
    <t>Kiểm tra lưu khi không thay đổi field nào - vẫn lưu thành công và ghi audit log (BR-E01)</t>
  </si>
  <si>
    <t>1. Mở Chỉnh sửa.
 2. Không thay đổi field nào.
 3. Nhấn 'Lưu'.</t>
  </si>
  <si>
    <t>Hệ thống vẫn xử lý lưu thành công, hiển thị thông báo thành công, ghi nhận audit log. Nội dung dữ liệu không thay đổi.</t>
  </si>
  <si>
    <t>Kiểm tra 'Thời gian tạo' và 'Người tạo' không thay đổi sau Chỉnh sửa</t>
  </si>
  <si>
    <t>Đã tạo bản ghi, ghi nhận Thời gian tạo và Người tạo.</t>
  </si>
  <si>
    <t>1. Mở Chỉnh sửa.
 2. Thay đổi thông tin.
 3. Nhấn 'Lưu'.
 4. Quan sát cột 'Thời gian tạo' và 'Người tạo' trong Danh sách.</t>
  </si>
  <si>
    <t>Thời gian tạo' và 'Người tạo' không thay đổi. Chỉ 'Thời gian cập nhật' và 'Người cập nhật' được cập nhật.</t>
  </si>
  <si>
    <t>Kiểm tra popup Hủy (Chỉnh sửa) - nhấn "Xác nhận" -&gt; về Danh sách, không lưu [V1.2]</t>
  </si>
  <si>
    <t>1. Đã đăng nhập, có quyền chỉnh sửa.
 2. Đang ở màn hình Chỉnh sửa, đã thay đổi một số field.
 3. Popup "Bạn có chắc muốn hủy? Dữ liệu chưa lưu sẽ bị mất." đang hiển thị.</t>
  </si>
  <si>
    <t>1. Mở màn hình Chỉnh sửa.
 2. Thay đổi 1 trường bất kỳ.
 3. Nhấn "Hủy" để popup hiện ra.
 4. Nhấn button "Xác nhận".</t>
  </si>
  <si>
    <t>Popup đóng. Thay đổi không được lưu. Hệ thống quay về màn hình Danh sách. Dữ liệu bản ghi không bị thay đổi.</t>
  </si>
  <si>
    <t>[NEW V1.2] SC-CHINHSUA-011 | CLA-001</t>
  </si>
  <si>
    <t>Kiểm tra popup Hủy (Chỉnh sửa) - nhấn "Quay lại" -&gt; đóng popup, tiếp tục sửa [V1.2]</t>
  </si>
  <si>
    <t>1. Mở màn hình Chỉnh sửa.
 2. Thay đổi 1 trường bất kỳ.
 3. Nhấn "Hủy" để popup hiện ra.
 4. Nhấn button "Quay lại".</t>
  </si>
  <si>
    <t>Popup đóng. Hệ thống quay về form Chỉnh sửa. Tất cả thay đổi vẫn còn nguyên trong form. Người dùng có thể tiếp tục chỉnh sửa.</t>
  </si>
  <si>
    <t>[NEW V1.2] SC-CHINHSUA-012 | CLA-001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</si>
</sst>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2"/>
      <color rgb="FF000000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rgb="FFFFFFFF"/>
      <name val="Calibri"/>
    </font>
    <font>
      <b/>
      <sz val="12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u/>
      <sz val="11"/>
      <color rgb="FF0000FF"/>
      <name val="Calibri"/>
    </font>
    <font>
      <sz val="11"/>
      <color rgb="FFFF0000"/>
      <name val="Arial"/>
    </font>
    <font>
      <u/>
      <sz val="11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A9D08E"/>
        <bgColor rgb="FFA9D08E"/>
      </patternFill>
    </fill>
    <fill>
      <patternFill patternType="solid">
        <fgColor rgb="FF93C47D"/>
        <bgColor rgb="FF93C47D"/>
      </patternFill>
    </fill>
    <fill>
      <patternFill patternType="solid">
        <fgColor rgb="FF93C47D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8" fillId="0" borderId="6" xfId="0" applyFont="1" applyBorder="1"/>
    <xf numFmtId="0" fontId="8" fillId="0" borderId="6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2" fillId="0" borderId="6" xfId="0" applyFont="1" applyBorder="1" applyAlignment="1">
      <alignment wrapText="1"/>
    </xf>
    <xf numFmtId="0" fontId="13" fillId="0" borderId="6" xfId="0" applyFont="1" applyBorder="1" applyAlignment="1">
      <alignment vertical="top" wrapText="1"/>
    </xf>
    <xf numFmtId="0" fontId="6" fillId="5" borderId="0" xfId="0" applyFont="1" applyFill="1" applyAlignment="1">
      <alignment vertical="center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right" vertical="top" wrapText="1"/>
    </xf>
    <xf numFmtId="0" fontId="8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vertical="top" wrapText="1"/>
    </xf>
    <xf numFmtId="0" fontId="11" fillId="7" borderId="6" xfId="0" applyFont="1" applyFill="1" applyBorder="1" applyAlignment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vertical="top" wrapText="1"/>
    </xf>
    <xf numFmtId="0" fontId="0" fillId="7" borderId="9" xfId="0" applyFill="1" applyBorder="1" applyAlignment="1">
      <alignment horizontal="center" vertical="center" wrapText="1"/>
    </xf>
    <xf numFmtId="0" fontId="0" fillId="7" borderId="9" xfId="0" applyFill="1" applyBorder="1" applyAlignment="1">
      <alignment vertical="top" wrapText="1"/>
    </xf>
    <xf numFmtId="0" fontId="11" fillId="7" borderId="6" xfId="0" applyFont="1" applyFill="1" applyBorder="1" applyAlignment="1">
      <alignment horizontal="center" vertical="top" wrapText="1"/>
    </xf>
    <xf numFmtId="0" fontId="11" fillId="7" borderId="6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3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6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0" fillId="0" borderId="5" xfId="0" applyBorder="1"/>
    <xf numFmtId="0" fontId="5" fillId="3" borderId="8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6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fill>
        <patternFill patternType="solid">
          <fgColor rgb="FFFFE699"/>
          <bgColor rgb="FFFFE6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6FAC46"/>
          <bgColor rgb="FF6FAC4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699"/>
          <bgColor rgb="FFFFE69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6FAC46"/>
          <bgColor rgb="FF6FAC4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E699"/>
          <bgColor rgb="FFFFE699"/>
        </patternFill>
      </fill>
    </dxf>
    <dxf>
      <font>
        <b/>
        <color rgb="FFFFFFFF"/>
      </font>
      <fill>
        <patternFill patternType="solid">
          <fgColor rgb="FF6FAC46"/>
          <bgColor rgb="FF6FAC46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4"/>
  <sheetViews>
    <sheetView tabSelected="1" topLeftCell="A131" workbookViewId="0">
      <selection activeCell="K138" sqref="K138"/>
    </sheetView>
  </sheetViews>
  <sheetFormatPr defaultColWidth="14.42578125" defaultRowHeight="15" outlineLevelRow="1" x14ac:dyDescent="0.25"/>
  <cols>
    <col min="1" max="2" width="10.140625" style="11" customWidth="1"/>
    <col min="3" max="3" width="12.85546875" style="11" customWidth="1"/>
    <col min="4" max="4" width="40.7109375" style="11" customWidth="1"/>
    <col min="5" max="5" width="28" style="11" customWidth="1"/>
    <col min="6" max="6" width="36.28515625" style="11" customWidth="1"/>
    <col min="7" max="7" width="37.85546875" style="11" customWidth="1"/>
    <col min="8" max="8" width="9.5703125" style="11" customWidth="1"/>
    <col min="9" max="9" width="11.7109375" style="11" customWidth="1"/>
    <col min="10" max="10" width="9.5703125" style="11" customWidth="1"/>
    <col min="11" max="11" width="20.28515625" style="69" customWidth="1"/>
    <col min="12" max="14" width="9.5703125" style="11" customWidth="1"/>
    <col min="15" max="15" width="20.28515625" style="11" customWidth="1"/>
    <col min="16" max="47" width="9.5703125" style="11" customWidth="1"/>
    <col min="48" max="48" width="14.42578125" style="11" customWidth="1"/>
    <col min="49" max="16384" width="14.42578125" style="11"/>
  </cols>
  <sheetData>
    <row r="1" spans="1:47" ht="30" customHeight="1" outlineLevel="1" x14ac:dyDescent="0.25">
      <c r="A1" s="1"/>
      <c r="B1" s="12"/>
      <c r="C1" s="2"/>
      <c r="D1" s="3"/>
      <c r="E1" s="3"/>
      <c r="F1" s="4"/>
      <c r="G1" s="5"/>
      <c r="H1" s="2"/>
      <c r="I1" s="6"/>
      <c r="J1" s="6"/>
      <c r="K1" s="7"/>
      <c r="L1" s="2"/>
      <c r="M1" s="8"/>
      <c r="N1" s="6"/>
      <c r="O1" s="9"/>
      <c r="P1" s="10"/>
      <c r="Q1" s="8"/>
      <c r="R1" s="8"/>
      <c r="S1" s="9"/>
      <c r="T1" s="10"/>
      <c r="U1" s="8"/>
      <c r="V1" s="8"/>
      <c r="W1" s="9"/>
      <c r="X1" s="10"/>
      <c r="Y1" s="8"/>
      <c r="Z1" s="8"/>
      <c r="AA1" s="9"/>
      <c r="AB1" s="10"/>
      <c r="AC1" s="8"/>
      <c r="AD1" s="8"/>
      <c r="AE1" s="9"/>
      <c r="AF1" s="10"/>
      <c r="AG1" s="8"/>
      <c r="AH1" s="8"/>
      <c r="AI1" s="9"/>
      <c r="AJ1" s="10"/>
      <c r="AK1" s="8"/>
      <c r="AL1" s="8"/>
      <c r="AM1" s="9"/>
      <c r="AN1" s="10"/>
      <c r="AO1" s="8"/>
      <c r="AP1" s="8"/>
      <c r="AQ1" s="9"/>
      <c r="AR1" s="10"/>
      <c r="AS1" s="8"/>
      <c r="AT1" s="8"/>
      <c r="AU1" s="9"/>
    </row>
    <row r="2" spans="1:47" ht="30" customHeight="1" outlineLevel="1" x14ac:dyDescent="0.25">
      <c r="A2" s="1"/>
      <c r="B2" s="4"/>
      <c r="C2" s="56"/>
      <c r="D2" s="57"/>
      <c r="E2" s="57"/>
      <c r="F2" s="57"/>
      <c r="G2" s="13"/>
      <c r="H2" s="2"/>
      <c r="I2" s="6"/>
      <c r="J2" s="6"/>
      <c r="K2" s="7"/>
      <c r="L2" s="2"/>
      <c r="M2" s="8"/>
      <c r="N2" s="6"/>
      <c r="O2" s="9"/>
      <c r="P2" s="10"/>
      <c r="Q2" s="8"/>
      <c r="R2" s="8"/>
      <c r="S2" s="9"/>
      <c r="T2" s="10"/>
      <c r="U2" s="8"/>
      <c r="V2" s="8"/>
      <c r="W2" s="9"/>
      <c r="X2" s="10"/>
      <c r="Y2" s="8"/>
      <c r="Z2" s="8"/>
      <c r="AA2" s="9"/>
      <c r="AB2" s="10"/>
      <c r="AC2" s="8"/>
      <c r="AD2" s="8"/>
      <c r="AE2" s="9"/>
      <c r="AF2" s="10"/>
      <c r="AG2" s="8"/>
      <c r="AH2" s="8"/>
      <c r="AI2" s="9"/>
      <c r="AJ2" s="10"/>
      <c r="AK2" s="8"/>
      <c r="AL2" s="8"/>
      <c r="AM2" s="9"/>
      <c r="AN2" s="10"/>
      <c r="AO2" s="8"/>
      <c r="AP2" s="8"/>
      <c r="AQ2" s="9"/>
      <c r="AR2" s="10"/>
      <c r="AS2" s="8"/>
      <c r="AT2" s="8"/>
      <c r="AU2" s="9"/>
    </row>
    <row r="3" spans="1:47" ht="36.75" customHeight="1" outlineLevel="1" x14ac:dyDescent="0.25">
      <c r="A3" s="64" t="s">
        <v>0</v>
      </c>
      <c r="B3" s="65"/>
      <c r="C3" s="66"/>
      <c r="D3" s="68" t="s">
        <v>1</v>
      </c>
      <c r="E3" s="66"/>
      <c r="F3" s="14"/>
      <c r="G3" s="15"/>
      <c r="H3" s="2"/>
      <c r="I3" s="6"/>
      <c r="J3" s="6"/>
      <c r="K3" s="16"/>
      <c r="L3" s="2"/>
      <c r="M3" s="8"/>
      <c r="N3" s="6"/>
      <c r="O3" s="14"/>
      <c r="P3" s="10"/>
      <c r="Q3" s="8"/>
      <c r="R3" s="8"/>
      <c r="S3" s="14"/>
      <c r="T3" s="10"/>
      <c r="U3" s="8"/>
      <c r="V3" s="8"/>
      <c r="W3" s="14"/>
      <c r="X3" s="10"/>
      <c r="Y3" s="8"/>
      <c r="Z3" s="8"/>
      <c r="AA3" s="14"/>
      <c r="AB3" s="10"/>
      <c r="AC3" s="8"/>
      <c r="AD3" s="8"/>
      <c r="AE3" s="14"/>
      <c r="AF3" s="10"/>
      <c r="AG3" s="8"/>
      <c r="AH3" s="8"/>
      <c r="AI3" s="14"/>
      <c r="AJ3" s="10"/>
      <c r="AK3" s="8"/>
      <c r="AL3" s="8"/>
      <c r="AM3" s="14"/>
      <c r="AN3" s="10"/>
      <c r="AO3" s="8"/>
      <c r="AP3" s="8"/>
      <c r="AQ3" s="14"/>
      <c r="AR3" s="10"/>
      <c r="AS3" s="8"/>
      <c r="AT3" s="8"/>
      <c r="AU3" s="14"/>
    </row>
    <row r="4" spans="1:47" ht="36" customHeight="1" outlineLevel="1" x14ac:dyDescent="0.25">
      <c r="A4" s="64" t="s">
        <v>2</v>
      </c>
      <c r="B4" s="65"/>
      <c r="C4" s="66"/>
      <c r="D4" s="67" t="s">
        <v>3</v>
      </c>
      <c r="E4" s="66"/>
      <c r="F4" s="14"/>
      <c r="G4" s="15"/>
      <c r="H4" s="2"/>
      <c r="I4" s="6"/>
      <c r="J4" s="6"/>
      <c r="K4" s="16"/>
      <c r="L4" s="2"/>
      <c r="M4" s="8"/>
      <c r="N4" s="6"/>
      <c r="O4" s="14"/>
      <c r="P4" s="10"/>
      <c r="Q4" s="8"/>
      <c r="R4" s="8"/>
      <c r="S4" s="14"/>
      <c r="T4" s="10"/>
      <c r="U4" s="8"/>
      <c r="V4" s="8"/>
      <c r="W4" s="14"/>
      <c r="X4" s="10"/>
      <c r="Y4" s="8"/>
      <c r="Z4" s="8"/>
      <c r="AA4" s="14"/>
      <c r="AB4" s="10"/>
      <c r="AC4" s="8"/>
      <c r="AD4" s="8"/>
      <c r="AE4" s="14"/>
      <c r="AF4" s="10"/>
      <c r="AG4" s="8"/>
      <c r="AH4" s="8"/>
      <c r="AI4" s="14"/>
      <c r="AJ4" s="10"/>
      <c r="AK4" s="8"/>
      <c r="AL4" s="8"/>
      <c r="AM4" s="14"/>
      <c r="AN4" s="10"/>
      <c r="AO4" s="8"/>
      <c r="AP4" s="8"/>
      <c r="AQ4" s="14"/>
      <c r="AR4" s="10"/>
      <c r="AS4" s="8"/>
      <c r="AT4" s="8"/>
      <c r="AU4" s="14"/>
    </row>
    <row r="5" spans="1:47" ht="10.5" customHeight="1" outlineLevel="1" x14ac:dyDescent="0.25">
      <c r="A5" s="1"/>
      <c r="B5" s="17"/>
      <c r="C5" s="17"/>
      <c r="D5" s="17"/>
      <c r="E5" s="17"/>
      <c r="F5" s="17"/>
      <c r="G5" s="18"/>
      <c r="H5" s="2"/>
      <c r="I5" s="6"/>
      <c r="J5" s="6"/>
      <c r="K5" s="7"/>
      <c r="L5" s="2"/>
      <c r="M5" s="8"/>
      <c r="N5" s="6"/>
      <c r="O5" s="9"/>
      <c r="P5" s="10"/>
      <c r="Q5" s="8"/>
      <c r="R5" s="8"/>
      <c r="S5" s="9"/>
      <c r="T5" s="10"/>
      <c r="U5" s="8"/>
      <c r="V5" s="8"/>
      <c r="W5" s="9"/>
      <c r="X5" s="10"/>
      <c r="Y5" s="8"/>
      <c r="Z5" s="8"/>
      <c r="AA5" s="9"/>
      <c r="AB5" s="10"/>
      <c r="AC5" s="8"/>
      <c r="AD5" s="8"/>
      <c r="AE5" s="9"/>
      <c r="AF5" s="10"/>
      <c r="AG5" s="8"/>
      <c r="AH5" s="8"/>
      <c r="AI5" s="9"/>
      <c r="AJ5" s="10"/>
      <c r="AK5" s="8"/>
      <c r="AL5" s="8"/>
      <c r="AM5" s="9"/>
      <c r="AN5" s="10"/>
      <c r="AO5" s="8"/>
      <c r="AP5" s="8"/>
      <c r="AQ5" s="9"/>
      <c r="AR5" s="10"/>
      <c r="AS5" s="8"/>
      <c r="AT5" s="8"/>
      <c r="AU5" s="9"/>
    </row>
    <row r="6" spans="1:47" ht="10.5" customHeight="1" outlineLevel="1" x14ac:dyDescent="0.25">
      <c r="A6" s="1"/>
      <c r="B6" s="17"/>
      <c r="C6" s="17"/>
      <c r="D6" s="17"/>
      <c r="E6" s="17"/>
      <c r="F6" s="17"/>
      <c r="G6" s="18"/>
      <c r="H6" s="2"/>
      <c r="I6" s="6"/>
      <c r="J6" s="6"/>
      <c r="K6" s="7"/>
      <c r="L6" s="2"/>
      <c r="M6" s="8"/>
      <c r="N6" s="6"/>
      <c r="O6" s="9"/>
      <c r="P6" s="10"/>
      <c r="Q6" s="8"/>
      <c r="R6" s="8"/>
      <c r="S6" s="9"/>
      <c r="T6" s="10"/>
      <c r="U6" s="8"/>
      <c r="V6" s="8"/>
      <c r="W6" s="9"/>
      <c r="X6" s="10"/>
      <c r="Y6" s="8"/>
      <c r="Z6" s="8"/>
      <c r="AA6" s="9"/>
      <c r="AB6" s="10"/>
      <c r="AC6" s="8"/>
      <c r="AD6" s="8"/>
      <c r="AE6" s="9"/>
      <c r="AF6" s="10"/>
      <c r="AG6" s="8"/>
      <c r="AH6" s="8"/>
      <c r="AI6" s="9"/>
      <c r="AJ6" s="10"/>
      <c r="AK6" s="8"/>
      <c r="AL6" s="8"/>
      <c r="AM6" s="9"/>
      <c r="AN6" s="10"/>
      <c r="AO6" s="8"/>
      <c r="AP6" s="8"/>
      <c r="AQ6" s="9"/>
      <c r="AR6" s="10"/>
      <c r="AS6" s="8"/>
      <c r="AT6" s="8"/>
      <c r="AU6" s="9"/>
    </row>
    <row r="7" spans="1:47" x14ac:dyDescent="0.25">
      <c r="A7" s="58" t="s">
        <v>4</v>
      </c>
      <c r="B7" s="58" t="s">
        <v>5</v>
      </c>
      <c r="C7" s="58" t="s">
        <v>6</v>
      </c>
      <c r="D7" s="58" t="s">
        <v>7</v>
      </c>
      <c r="E7" s="58" t="s">
        <v>8</v>
      </c>
      <c r="F7" s="58" t="s">
        <v>9</v>
      </c>
      <c r="G7" s="58" t="s">
        <v>10</v>
      </c>
      <c r="H7" s="58" t="e">
        <f>#REF!</f>
        <v>#REF!</v>
      </c>
      <c r="I7" s="59"/>
      <c r="J7" s="59"/>
      <c r="K7" s="60"/>
      <c r="L7" s="58" t="e">
        <f>#REF!</f>
        <v>#REF!</v>
      </c>
      <c r="M7" s="59"/>
      <c r="N7" s="59"/>
      <c r="O7" s="60"/>
      <c r="P7" s="58" t="e">
        <f>#REF!</f>
        <v>#REF!</v>
      </c>
      <c r="Q7" s="59"/>
      <c r="R7" s="59"/>
      <c r="S7" s="60"/>
      <c r="T7" s="58" t="e">
        <f>#REF!</f>
        <v>#REF!</v>
      </c>
      <c r="U7" s="59"/>
      <c r="V7" s="59"/>
      <c r="W7" s="60"/>
      <c r="X7" s="58" t="e">
        <f>#REF!</f>
        <v>#REF!</v>
      </c>
      <c r="Y7" s="59"/>
      <c r="Z7" s="59"/>
      <c r="AA7" s="60"/>
      <c r="AB7" s="58" t="e">
        <f>#REF!</f>
        <v>#REF!</v>
      </c>
      <c r="AC7" s="59"/>
      <c r="AD7" s="59"/>
      <c r="AE7" s="60"/>
      <c r="AF7" s="58" t="e">
        <f>#REF!</f>
        <v>#REF!</v>
      </c>
      <c r="AG7" s="59"/>
      <c r="AH7" s="59"/>
      <c r="AI7" s="60"/>
      <c r="AJ7" s="58" t="e">
        <f>#REF!</f>
        <v>#REF!</v>
      </c>
      <c r="AK7" s="59"/>
      <c r="AL7" s="59"/>
      <c r="AM7" s="60"/>
      <c r="AN7" s="58" t="e">
        <f>#REF!</f>
        <v>#REF!</v>
      </c>
      <c r="AO7" s="59"/>
      <c r="AP7" s="59"/>
      <c r="AQ7" s="60"/>
      <c r="AR7" s="58" t="e">
        <f>#REF!</f>
        <v>#REF!</v>
      </c>
      <c r="AS7" s="59"/>
      <c r="AT7" s="59"/>
      <c r="AU7" s="60"/>
    </row>
    <row r="8" spans="1:47" ht="75" customHeight="1" x14ac:dyDescent="0.25">
      <c r="A8" s="63"/>
      <c r="B8" s="63"/>
      <c r="C8" s="63"/>
      <c r="D8" s="63"/>
      <c r="E8" s="63"/>
      <c r="F8" s="63"/>
      <c r="G8" s="63"/>
      <c r="H8" s="19" t="s">
        <v>11</v>
      </c>
      <c r="I8" s="19" t="s">
        <v>12</v>
      </c>
      <c r="J8" s="19" t="s">
        <v>13</v>
      </c>
      <c r="K8" s="55" t="s">
        <v>14</v>
      </c>
      <c r="L8" s="19" t="s">
        <v>11</v>
      </c>
      <c r="M8" s="19" t="s">
        <v>12</v>
      </c>
      <c r="N8" s="19" t="s">
        <v>13</v>
      </c>
      <c r="O8" s="19" t="s">
        <v>14</v>
      </c>
      <c r="P8" s="19" t="s">
        <v>11</v>
      </c>
      <c r="Q8" s="19" t="s">
        <v>12</v>
      </c>
      <c r="R8" s="19" t="s">
        <v>13</v>
      </c>
      <c r="S8" s="19" t="s">
        <v>14</v>
      </c>
      <c r="T8" s="19" t="s">
        <v>11</v>
      </c>
      <c r="U8" s="19" t="s">
        <v>12</v>
      </c>
      <c r="V8" s="19" t="s">
        <v>13</v>
      </c>
      <c r="W8" s="19" t="s">
        <v>14</v>
      </c>
      <c r="X8" s="19" t="s">
        <v>11</v>
      </c>
      <c r="Y8" s="19" t="s">
        <v>12</v>
      </c>
      <c r="Z8" s="19" t="s">
        <v>13</v>
      </c>
      <c r="AA8" s="19" t="s">
        <v>14</v>
      </c>
      <c r="AB8" s="19" t="s">
        <v>11</v>
      </c>
      <c r="AC8" s="19" t="s">
        <v>12</v>
      </c>
      <c r="AD8" s="19" t="s">
        <v>13</v>
      </c>
      <c r="AE8" s="19" t="s">
        <v>14</v>
      </c>
      <c r="AF8" s="19" t="s">
        <v>11</v>
      </c>
      <c r="AG8" s="19" t="s">
        <v>12</v>
      </c>
      <c r="AH8" s="19" t="s">
        <v>13</v>
      </c>
      <c r="AI8" s="19" t="s">
        <v>14</v>
      </c>
      <c r="AJ8" s="19" t="s">
        <v>11</v>
      </c>
      <c r="AK8" s="19" t="s">
        <v>12</v>
      </c>
      <c r="AL8" s="19" t="s">
        <v>13</v>
      </c>
      <c r="AM8" s="19" t="s">
        <v>14</v>
      </c>
      <c r="AN8" s="19" t="s">
        <v>11</v>
      </c>
      <c r="AO8" s="19" t="s">
        <v>12</v>
      </c>
      <c r="AP8" s="19" t="s">
        <v>13</v>
      </c>
      <c r="AQ8" s="19" t="s">
        <v>14</v>
      </c>
      <c r="AR8" s="19" t="s">
        <v>11</v>
      </c>
      <c r="AS8" s="19" t="s">
        <v>12</v>
      </c>
      <c r="AT8" s="19" t="s">
        <v>13</v>
      </c>
      <c r="AU8" s="19" t="s">
        <v>14</v>
      </c>
    </row>
    <row r="9" spans="1:47" ht="15.75" customHeight="1" x14ac:dyDescent="0.25">
      <c r="A9" s="20"/>
      <c r="B9" s="62" t="s">
        <v>15</v>
      </c>
      <c r="C9" s="59"/>
      <c r="D9" s="59"/>
      <c r="E9" s="59"/>
      <c r="F9" s="59"/>
      <c r="G9" s="60"/>
      <c r="H9" s="21"/>
      <c r="I9" s="22"/>
      <c r="J9" s="22"/>
      <c r="K9" s="22"/>
      <c r="L9" s="21"/>
      <c r="M9" s="21"/>
      <c r="N9" s="22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3"/>
      <c r="AC9" s="24"/>
      <c r="AD9" s="24"/>
      <c r="AE9" s="25"/>
      <c r="AF9" s="23"/>
      <c r="AG9" s="24"/>
      <c r="AH9" s="24"/>
      <c r="AI9" s="25"/>
      <c r="AJ9" s="23"/>
      <c r="AK9" s="24"/>
      <c r="AL9" s="24"/>
      <c r="AM9" s="25"/>
      <c r="AN9" s="23"/>
      <c r="AO9" s="24"/>
      <c r="AP9" s="24"/>
      <c r="AQ9" s="25"/>
      <c r="AR9" s="23"/>
      <c r="AS9" s="24"/>
      <c r="AT9" s="24"/>
      <c r="AU9" s="25"/>
    </row>
    <row r="10" spans="1:47" ht="75" customHeight="1" outlineLevel="1" x14ac:dyDescent="0.25">
      <c r="A10" s="26"/>
      <c r="B10" s="24" t="str">
        <f>IF(F10="","",$D$3&amp;"."&amp;COUNTA($F$9:F10)&amp;"")</f>
        <v>TC_02.1</v>
      </c>
      <c r="C10" s="23" t="s">
        <v>16</v>
      </c>
      <c r="D10" s="27" t="s">
        <v>17</v>
      </c>
      <c r="E10" s="27" t="s">
        <v>18</v>
      </c>
      <c r="F10" s="27" t="s">
        <v>19</v>
      </c>
      <c r="G10" s="27" t="s">
        <v>20</v>
      </c>
      <c r="H10" s="28"/>
      <c r="I10" s="29"/>
      <c r="J10" s="22"/>
      <c r="K10" s="29"/>
      <c r="L10" s="28"/>
      <c r="M10" s="30"/>
      <c r="N10" s="22"/>
      <c r="O10" s="29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3"/>
      <c r="AC10" s="24"/>
      <c r="AD10" s="24"/>
      <c r="AE10" s="25"/>
      <c r="AF10" s="23"/>
      <c r="AG10" s="24"/>
      <c r="AH10" s="24"/>
      <c r="AI10" s="25"/>
      <c r="AJ10" s="23"/>
      <c r="AK10" s="24"/>
      <c r="AL10" s="24"/>
      <c r="AM10" s="25"/>
      <c r="AN10" s="23"/>
      <c r="AO10" s="24"/>
      <c r="AP10" s="24"/>
      <c r="AQ10" s="25"/>
      <c r="AR10" s="23"/>
      <c r="AS10" s="24"/>
      <c r="AT10" s="24"/>
      <c r="AU10" s="25"/>
    </row>
    <row r="11" spans="1:47" ht="60" customHeight="1" outlineLevel="1" x14ac:dyDescent="0.25">
      <c r="A11" s="26"/>
      <c r="B11" s="24" t="str">
        <f>IF(F11="","",$D$3&amp;"."&amp;COUNTA($F$9:F11)&amp;"")</f>
        <v>TC_02.2</v>
      </c>
      <c r="C11" s="23" t="s">
        <v>16</v>
      </c>
      <c r="D11" s="27" t="s">
        <v>21</v>
      </c>
      <c r="E11" s="27" t="s">
        <v>22</v>
      </c>
      <c r="F11" s="27" t="s">
        <v>19</v>
      </c>
      <c r="G11" s="27" t="s">
        <v>23</v>
      </c>
      <c r="H11" s="28"/>
      <c r="I11" s="29"/>
      <c r="J11" s="22"/>
      <c r="K11" s="29"/>
      <c r="L11" s="28"/>
      <c r="M11" s="30"/>
      <c r="N11" s="22"/>
      <c r="O11" s="29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3"/>
      <c r="AC11" s="24"/>
      <c r="AD11" s="24"/>
      <c r="AE11" s="25"/>
      <c r="AF11" s="23"/>
      <c r="AG11" s="24"/>
      <c r="AH11" s="24"/>
      <c r="AI11" s="25"/>
      <c r="AJ11" s="23"/>
      <c r="AK11" s="24"/>
      <c r="AL11" s="24"/>
      <c r="AM11" s="25"/>
      <c r="AN11" s="23"/>
      <c r="AO11" s="24"/>
      <c r="AP11" s="24"/>
      <c r="AQ11" s="25"/>
      <c r="AR11" s="23"/>
      <c r="AS11" s="24"/>
      <c r="AT11" s="24"/>
      <c r="AU11" s="25"/>
    </row>
    <row r="12" spans="1:47" ht="45" customHeight="1" outlineLevel="1" x14ac:dyDescent="0.25">
      <c r="A12" s="26"/>
      <c r="B12" s="24" t="str">
        <f>IF(F12="","",$D$3&amp;"."&amp;COUNTA($F$9:F12)&amp;"")</f>
        <v>TC_02.3</v>
      </c>
      <c r="C12" s="23" t="s">
        <v>24</v>
      </c>
      <c r="D12" s="27" t="s">
        <v>25</v>
      </c>
      <c r="E12" s="27" t="s">
        <v>26</v>
      </c>
      <c r="F12" s="27" t="s">
        <v>27</v>
      </c>
      <c r="G12" s="27" t="s">
        <v>28</v>
      </c>
      <c r="H12" s="28"/>
      <c r="I12" s="29"/>
      <c r="J12" s="22"/>
      <c r="K12" s="29"/>
      <c r="L12" s="28"/>
      <c r="M12" s="30"/>
      <c r="N12" s="22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3"/>
      <c r="AC12" s="24"/>
      <c r="AD12" s="24"/>
      <c r="AE12" s="25"/>
      <c r="AF12" s="23"/>
      <c r="AG12" s="24"/>
      <c r="AH12" s="24"/>
      <c r="AI12" s="25"/>
      <c r="AJ12" s="23"/>
      <c r="AK12" s="24"/>
      <c r="AL12" s="24"/>
      <c r="AM12" s="25"/>
      <c r="AN12" s="23"/>
      <c r="AO12" s="24"/>
      <c r="AP12" s="24"/>
      <c r="AQ12" s="25"/>
      <c r="AR12" s="23"/>
      <c r="AS12" s="24"/>
      <c r="AT12" s="24"/>
      <c r="AU12" s="25"/>
    </row>
    <row r="13" spans="1:47" ht="75" customHeight="1" outlineLevel="1" x14ac:dyDescent="0.25">
      <c r="A13" s="26"/>
      <c r="B13" s="24" t="str">
        <f>IF(F13="","",$D$3&amp;"."&amp;COUNTA($F$9:F13)&amp;"")</f>
        <v>TC_02.4</v>
      </c>
      <c r="C13" s="23" t="s">
        <v>16</v>
      </c>
      <c r="D13" s="27" t="s">
        <v>29</v>
      </c>
      <c r="E13" s="27" t="s">
        <v>30</v>
      </c>
      <c r="F13" s="27" t="s">
        <v>31</v>
      </c>
      <c r="G13" s="27" t="s">
        <v>32</v>
      </c>
      <c r="H13" s="28"/>
      <c r="I13" s="29"/>
      <c r="J13" s="22"/>
      <c r="K13" s="29"/>
      <c r="L13" s="28"/>
      <c r="M13" s="30"/>
      <c r="N13" s="22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3"/>
      <c r="AC13" s="24"/>
      <c r="AD13" s="24"/>
      <c r="AE13" s="25"/>
      <c r="AF13" s="23"/>
      <c r="AG13" s="24"/>
      <c r="AH13" s="24"/>
      <c r="AI13" s="25"/>
      <c r="AJ13" s="23"/>
      <c r="AK13" s="24"/>
      <c r="AL13" s="24"/>
      <c r="AM13" s="25"/>
      <c r="AN13" s="23"/>
      <c r="AO13" s="24"/>
      <c r="AP13" s="24"/>
      <c r="AQ13" s="25"/>
      <c r="AR13" s="23"/>
      <c r="AS13" s="24"/>
      <c r="AT13" s="24"/>
      <c r="AU13" s="25"/>
    </row>
    <row r="14" spans="1:47" ht="60" customHeight="1" outlineLevel="1" x14ac:dyDescent="0.25">
      <c r="A14" s="26"/>
      <c r="B14" s="24" t="str">
        <f>IF(F14="","",$D$3&amp;"."&amp;COUNTA($F$9:F14)&amp;"")</f>
        <v>TC_02.5</v>
      </c>
      <c r="C14" s="23" t="s">
        <v>16</v>
      </c>
      <c r="D14" s="27" t="s">
        <v>33</v>
      </c>
      <c r="E14" s="27" t="s">
        <v>34</v>
      </c>
      <c r="F14" s="27" t="s">
        <v>35</v>
      </c>
      <c r="G14" s="27" t="s">
        <v>36</v>
      </c>
      <c r="H14" s="28"/>
      <c r="I14" s="29"/>
      <c r="J14" s="22"/>
      <c r="K14" s="29"/>
      <c r="L14" s="28"/>
      <c r="M14" s="30"/>
      <c r="N14" s="22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3"/>
      <c r="AC14" s="24"/>
      <c r="AD14" s="24"/>
      <c r="AE14" s="25"/>
      <c r="AF14" s="23"/>
      <c r="AG14" s="24"/>
      <c r="AH14" s="24"/>
      <c r="AI14" s="25"/>
      <c r="AJ14" s="23"/>
      <c r="AK14" s="24"/>
      <c r="AL14" s="24"/>
      <c r="AM14" s="25"/>
      <c r="AN14" s="23"/>
      <c r="AO14" s="24"/>
      <c r="AP14" s="24"/>
      <c r="AQ14" s="25"/>
      <c r="AR14" s="23"/>
      <c r="AS14" s="24"/>
      <c r="AT14" s="24"/>
      <c r="AU14" s="25"/>
    </row>
    <row r="15" spans="1:47" ht="75" customHeight="1" outlineLevel="1" x14ac:dyDescent="0.25">
      <c r="A15" s="26"/>
      <c r="B15" s="24" t="str">
        <f>IF(F15="","",$D$3&amp;"."&amp;COUNTA($F$9:F15)&amp;"")</f>
        <v>TC_02.6</v>
      </c>
      <c r="C15" s="23" t="s">
        <v>16</v>
      </c>
      <c r="D15" s="27" t="s">
        <v>37</v>
      </c>
      <c r="E15" s="27" t="s">
        <v>38</v>
      </c>
      <c r="F15" s="27" t="s">
        <v>39</v>
      </c>
      <c r="G15" s="27" t="s">
        <v>40</v>
      </c>
      <c r="H15" s="28"/>
      <c r="I15" s="29"/>
      <c r="J15" s="22"/>
      <c r="K15" s="29"/>
      <c r="L15" s="28"/>
      <c r="M15" s="30"/>
      <c r="N15" s="22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3"/>
      <c r="AC15" s="24"/>
      <c r="AD15" s="24"/>
      <c r="AE15" s="25"/>
      <c r="AF15" s="23"/>
      <c r="AG15" s="24"/>
      <c r="AH15" s="24"/>
      <c r="AI15" s="25"/>
      <c r="AJ15" s="23"/>
      <c r="AK15" s="24"/>
      <c r="AL15" s="24"/>
      <c r="AM15" s="25"/>
      <c r="AN15" s="23"/>
      <c r="AO15" s="24"/>
      <c r="AP15" s="24"/>
      <c r="AQ15" s="25"/>
      <c r="AR15" s="23"/>
      <c r="AS15" s="24"/>
      <c r="AT15" s="24"/>
      <c r="AU15" s="25"/>
    </row>
    <row r="16" spans="1:47" ht="60" customHeight="1" outlineLevel="1" x14ac:dyDescent="0.25">
      <c r="A16" s="44" t="s">
        <v>41</v>
      </c>
      <c r="B16" s="45" t="str">
        <f>IF(F16="","",$D$3&amp;"."&amp;COUNTA($F$9:F16)&amp;"")</f>
        <v>TC_02.7</v>
      </c>
      <c r="C16" s="46" t="s">
        <v>24</v>
      </c>
      <c r="D16" s="47" t="s">
        <v>42</v>
      </c>
      <c r="E16" s="47" t="s">
        <v>43</v>
      </c>
      <c r="F16" s="47" t="s">
        <v>44</v>
      </c>
      <c r="G16" s="47" t="s">
        <v>45</v>
      </c>
      <c r="H16" s="28"/>
      <c r="I16" s="29"/>
      <c r="J16" s="22"/>
      <c r="K16" s="29" t="s">
        <v>46</v>
      </c>
      <c r="L16" s="28"/>
      <c r="M16" s="30"/>
      <c r="N16" s="22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3"/>
      <c r="AC16" s="24"/>
      <c r="AD16" s="24"/>
      <c r="AE16" s="25"/>
      <c r="AF16" s="23"/>
      <c r="AG16" s="24"/>
      <c r="AH16" s="24"/>
      <c r="AI16" s="25"/>
      <c r="AJ16" s="23"/>
      <c r="AK16" s="24"/>
      <c r="AL16" s="24"/>
      <c r="AM16" s="25"/>
      <c r="AN16" s="23"/>
      <c r="AO16" s="24"/>
      <c r="AP16" s="24"/>
      <c r="AQ16" s="25"/>
      <c r="AR16" s="23"/>
      <c r="AS16" s="24"/>
      <c r="AT16" s="24"/>
      <c r="AU16" s="25"/>
    </row>
    <row r="17" spans="1:47" ht="60" customHeight="1" outlineLevel="1" x14ac:dyDescent="0.25">
      <c r="A17" s="44" t="s">
        <v>41</v>
      </c>
      <c r="B17" s="45" t="str">
        <f>IF(F17="","",$D$3&amp;"."&amp;COUNTA($F$9:F17)&amp;"")</f>
        <v>TC_02.8</v>
      </c>
      <c r="C17" s="46" t="s">
        <v>24</v>
      </c>
      <c r="D17" s="47" t="s">
        <v>47</v>
      </c>
      <c r="E17" s="47" t="s">
        <v>48</v>
      </c>
      <c r="F17" s="47" t="s">
        <v>49</v>
      </c>
      <c r="G17" s="47" t="s">
        <v>50</v>
      </c>
      <c r="H17" s="28"/>
      <c r="I17" s="29"/>
      <c r="J17" s="22"/>
      <c r="K17" s="29" t="s">
        <v>51</v>
      </c>
      <c r="L17" s="28"/>
      <c r="M17" s="30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3"/>
      <c r="AC17" s="24"/>
      <c r="AD17" s="24"/>
      <c r="AE17" s="25"/>
      <c r="AF17" s="23"/>
      <c r="AG17" s="24"/>
      <c r="AH17" s="24"/>
      <c r="AI17" s="25"/>
      <c r="AJ17" s="23"/>
      <c r="AK17" s="24"/>
      <c r="AL17" s="24"/>
      <c r="AM17" s="25"/>
      <c r="AN17" s="23"/>
      <c r="AO17" s="24"/>
      <c r="AP17" s="24"/>
      <c r="AQ17" s="25"/>
      <c r="AR17" s="23"/>
      <c r="AS17" s="24"/>
      <c r="AT17" s="24"/>
      <c r="AU17" s="25"/>
    </row>
    <row r="18" spans="1:47" ht="75" customHeight="1" outlineLevel="1" x14ac:dyDescent="0.25">
      <c r="A18" s="26"/>
      <c r="B18" s="24" t="str">
        <f>IF(F18="","",$D$3&amp;"."&amp;COUNTA($F$9:F18)&amp;"")</f>
        <v>TC_02.9</v>
      </c>
      <c r="C18" s="23" t="s">
        <v>52</v>
      </c>
      <c r="D18" s="27" t="s">
        <v>53</v>
      </c>
      <c r="E18" s="27" t="s">
        <v>30</v>
      </c>
      <c r="F18" s="27" t="s">
        <v>54</v>
      </c>
      <c r="G18" s="27" t="s">
        <v>55</v>
      </c>
      <c r="H18" s="28"/>
      <c r="I18" s="29"/>
      <c r="J18" s="22"/>
      <c r="K18" s="29"/>
      <c r="L18" s="28"/>
      <c r="M18" s="30"/>
      <c r="N18" s="22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3"/>
      <c r="AC18" s="24"/>
      <c r="AD18" s="24"/>
      <c r="AE18" s="25"/>
      <c r="AF18" s="23"/>
      <c r="AG18" s="24"/>
      <c r="AH18" s="24"/>
      <c r="AI18" s="25"/>
      <c r="AJ18" s="23"/>
      <c r="AK18" s="24"/>
      <c r="AL18" s="24"/>
      <c r="AM18" s="25"/>
      <c r="AN18" s="23"/>
      <c r="AO18" s="24"/>
      <c r="AP18" s="24"/>
      <c r="AQ18" s="25"/>
      <c r="AR18" s="23"/>
      <c r="AS18" s="24"/>
      <c r="AT18" s="24"/>
      <c r="AU18" s="25"/>
    </row>
    <row r="19" spans="1:47" ht="60" customHeight="1" outlineLevel="1" x14ac:dyDescent="0.25">
      <c r="A19" s="26"/>
      <c r="B19" s="24" t="str">
        <f>IF(F19="","",$D$3&amp;"."&amp;COUNTA($F$9:F19)&amp;"")</f>
        <v>TC_02.10</v>
      </c>
      <c r="C19" s="23" t="s">
        <v>52</v>
      </c>
      <c r="D19" s="27" t="s">
        <v>56</v>
      </c>
      <c r="E19" s="27" t="s">
        <v>30</v>
      </c>
      <c r="F19" s="27" t="s">
        <v>57</v>
      </c>
      <c r="G19" s="27" t="s">
        <v>58</v>
      </c>
      <c r="H19" s="28"/>
      <c r="I19" s="29"/>
      <c r="J19" s="22"/>
      <c r="K19" s="29"/>
      <c r="L19" s="28"/>
      <c r="M19" s="30"/>
      <c r="N19" s="22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3"/>
      <c r="AC19" s="24"/>
      <c r="AD19" s="24"/>
      <c r="AE19" s="25"/>
      <c r="AF19" s="23"/>
      <c r="AG19" s="24"/>
      <c r="AH19" s="24"/>
      <c r="AI19" s="25"/>
      <c r="AJ19" s="23"/>
      <c r="AK19" s="24"/>
      <c r="AL19" s="24"/>
      <c r="AM19" s="25"/>
      <c r="AN19" s="23"/>
      <c r="AO19" s="24"/>
      <c r="AP19" s="24"/>
      <c r="AQ19" s="25"/>
      <c r="AR19" s="23"/>
      <c r="AS19" s="24"/>
      <c r="AT19" s="24"/>
      <c r="AU19" s="25"/>
    </row>
    <row r="20" spans="1:47" ht="105" customHeight="1" outlineLevel="1" x14ac:dyDescent="0.25">
      <c r="A20" s="26"/>
      <c r="B20" s="24" t="str">
        <f>IF(F20="","",$D$3&amp;"."&amp;COUNTA($F$9:F20)&amp;"")</f>
        <v>TC_02.11</v>
      </c>
      <c r="C20" s="23" t="s">
        <v>16</v>
      </c>
      <c r="D20" s="27" t="s">
        <v>59</v>
      </c>
      <c r="E20" s="27" t="s">
        <v>60</v>
      </c>
      <c r="F20" s="27" t="s">
        <v>61</v>
      </c>
      <c r="G20" s="27" t="s">
        <v>62</v>
      </c>
      <c r="H20" s="28"/>
      <c r="I20" s="29"/>
      <c r="J20" s="22"/>
      <c r="K20" s="29"/>
      <c r="L20" s="28"/>
      <c r="M20" s="30"/>
      <c r="N20" s="22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3"/>
      <c r="AC20" s="24"/>
      <c r="AD20" s="24"/>
      <c r="AE20" s="25"/>
      <c r="AF20" s="23"/>
      <c r="AG20" s="24"/>
      <c r="AH20" s="24"/>
      <c r="AI20" s="25"/>
      <c r="AJ20" s="23"/>
      <c r="AK20" s="24"/>
      <c r="AL20" s="24"/>
      <c r="AM20" s="25"/>
      <c r="AN20" s="23"/>
      <c r="AO20" s="24"/>
      <c r="AP20" s="24"/>
      <c r="AQ20" s="25"/>
      <c r="AR20" s="23"/>
      <c r="AS20" s="24"/>
      <c r="AT20" s="24"/>
      <c r="AU20" s="25"/>
    </row>
    <row r="21" spans="1:47" ht="105" customHeight="1" outlineLevel="1" x14ac:dyDescent="0.25">
      <c r="A21" s="26"/>
      <c r="B21" s="24" t="str">
        <f>IF(F21="","",$D$3&amp;"."&amp;COUNTA($F$9:F21)&amp;"")</f>
        <v>TC_02.12</v>
      </c>
      <c r="C21" s="23" t="s">
        <v>16</v>
      </c>
      <c r="D21" s="27" t="s">
        <v>63</v>
      </c>
      <c r="E21" s="27" t="s">
        <v>64</v>
      </c>
      <c r="F21" s="27" t="s">
        <v>65</v>
      </c>
      <c r="G21" s="27" t="s">
        <v>66</v>
      </c>
      <c r="H21" s="28"/>
      <c r="I21" s="29"/>
      <c r="J21" s="22"/>
      <c r="K21" s="29"/>
      <c r="L21" s="28"/>
      <c r="M21" s="30"/>
      <c r="N21" s="22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3"/>
      <c r="AC21" s="24"/>
      <c r="AD21" s="24"/>
      <c r="AE21" s="25"/>
      <c r="AF21" s="23"/>
      <c r="AG21" s="24"/>
      <c r="AH21" s="24"/>
      <c r="AI21" s="25"/>
      <c r="AJ21" s="23"/>
      <c r="AK21" s="24"/>
      <c r="AL21" s="24"/>
      <c r="AM21" s="25"/>
      <c r="AN21" s="23"/>
      <c r="AO21" s="24"/>
      <c r="AP21" s="24"/>
      <c r="AQ21" s="25"/>
      <c r="AR21" s="23"/>
      <c r="AS21" s="24"/>
      <c r="AT21" s="24"/>
      <c r="AU21" s="25"/>
    </row>
    <row r="22" spans="1:47" ht="105" customHeight="1" outlineLevel="1" x14ac:dyDescent="0.25">
      <c r="A22" s="26"/>
      <c r="B22" s="24" t="str">
        <f>IF(F22="","",$D$3&amp;"."&amp;COUNTA($F$9:F22)&amp;"")</f>
        <v>TC_02.13</v>
      </c>
      <c r="C22" s="23" t="s">
        <v>16</v>
      </c>
      <c r="D22" s="27" t="s">
        <v>67</v>
      </c>
      <c r="E22" s="27" t="s">
        <v>68</v>
      </c>
      <c r="F22" s="27" t="s">
        <v>69</v>
      </c>
      <c r="G22" s="27" t="s">
        <v>70</v>
      </c>
      <c r="H22" s="28"/>
      <c r="I22" s="29"/>
      <c r="J22" s="22"/>
      <c r="K22" s="29"/>
      <c r="L22" s="28"/>
      <c r="M22" s="30"/>
      <c r="N22" s="22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3"/>
      <c r="AC22" s="24"/>
      <c r="AD22" s="24"/>
      <c r="AE22" s="25"/>
      <c r="AF22" s="23"/>
      <c r="AG22" s="24"/>
      <c r="AH22" s="24"/>
      <c r="AI22" s="25"/>
      <c r="AJ22" s="23"/>
      <c r="AK22" s="24"/>
      <c r="AL22" s="24"/>
      <c r="AM22" s="25"/>
      <c r="AN22" s="23"/>
      <c r="AO22" s="24"/>
      <c r="AP22" s="24"/>
      <c r="AQ22" s="25"/>
      <c r="AR22" s="23"/>
      <c r="AS22" s="24"/>
      <c r="AT22" s="24"/>
      <c r="AU22" s="25"/>
    </row>
    <row r="23" spans="1:47" ht="105" customHeight="1" outlineLevel="1" x14ac:dyDescent="0.25">
      <c r="A23" s="26"/>
      <c r="B23" s="24" t="str">
        <f>IF(F23="","",$D$3&amp;"."&amp;COUNTA($F$9:F23)&amp;"")</f>
        <v>TC_02.14</v>
      </c>
      <c r="C23" s="23" t="s">
        <v>24</v>
      </c>
      <c r="D23" s="27" t="s">
        <v>71</v>
      </c>
      <c r="E23" s="27" t="s">
        <v>72</v>
      </c>
      <c r="F23" s="27" t="s">
        <v>73</v>
      </c>
      <c r="G23" s="27" t="s">
        <v>74</v>
      </c>
      <c r="H23" s="28"/>
      <c r="I23" s="29"/>
      <c r="J23" s="22"/>
      <c r="K23" s="29"/>
      <c r="L23" s="28"/>
      <c r="M23" s="30"/>
      <c r="N23" s="22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3"/>
      <c r="AC23" s="24"/>
      <c r="AD23" s="24"/>
      <c r="AE23" s="25"/>
      <c r="AF23" s="23"/>
      <c r="AG23" s="24"/>
      <c r="AH23" s="24"/>
      <c r="AI23" s="25"/>
      <c r="AJ23" s="23"/>
      <c r="AK23" s="24"/>
      <c r="AL23" s="24"/>
      <c r="AM23" s="25"/>
      <c r="AN23" s="23"/>
      <c r="AO23" s="24"/>
      <c r="AP23" s="24"/>
      <c r="AQ23" s="25"/>
      <c r="AR23" s="23"/>
      <c r="AS23" s="24"/>
      <c r="AT23" s="24"/>
      <c r="AU23" s="25"/>
    </row>
    <row r="24" spans="1:47" ht="105" customHeight="1" outlineLevel="1" x14ac:dyDescent="0.25">
      <c r="A24" s="26"/>
      <c r="B24" s="24" t="str">
        <f>IF(F24="","",$D$3&amp;"."&amp;COUNTA($F$9:F24)&amp;"")</f>
        <v>TC_02.15</v>
      </c>
      <c r="C24" s="23" t="s">
        <v>16</v>
      </c>
      <c r="D24" s="27" t="s">
        <v>75</v>
      </c>
      <c r="E24" s="27" t="s">
        <v>30</v>
      </c>
      <c r="F24" s="27" t="s">
        <v>76</v>
      </c>
      <c r="G24" s="27" t="s">
        <v>77</v>
      </c>
      <c r="H24" s="28"/>
      <c r="I24" s="29"/>
      <c r="J24" s="22"/>
      <c r="K24" s="29"/>
      <c r="L24" s="28"/>
      <c r="M24" s="30"/>
      <c r="N24" s="22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3"/>
      <c r="AC24" s="24"/>
      <c r="AD24" s="24"/>
      <c r="AE24" s="25"/>
      <c r="AF24" s="23"/>
      <c r="AG24" s="24"/>
      <c r="AH24" s="24"/>
      <c r="AI24" s="25"/>
      <c r="AJ24" s="23"/>
      <c r="AK24" s="24"/>
      <c r="AL24" s="24"/>
      <c r="AM24" s="25"/>
      <c r="AN24" s="23"/>
      <c r="AO24" s="24"/>
      <c r="AP24" s="24"/>
      <c r="AQ24" s="25"/>
      <c r="AR24" s="23"/>
      <c r="AS24" s="24"/>
      <c r="AT24" s="24"/>
      <c r="AU24" s="25"/>
    </row>
    <row r="25" spans="1:47" ht="75" customHeight="1" outlineLevel="1" x14ac:dyDescent="0.25">
      <c r="A25" s="44" t="s">
        <v>41</v>
      </c>
      <c r="B25" s="45" t="str">
        <f>IF(F25="","",$D$3&amp;"."&amp;COUNTA($F$9:F25)&amp;"")</f>
        <v>TC_02.16</v>
      </c>
      <c r="C25" s="46" t="s">
        <v>24</v>
      </c>
      <c r="D25" s="47" t="s">
        <v>78</v>
      </c>
      <c r="E25" s="47" t="s">
        <v>30</v>
      </c>
      <c r="F25" s="47" t="s">
        <v>79</v>
      </c>
      <c r="G25" s="47" t="s">
        <v>80</v>
      </c>
      <c r="H25" s="28"/>
      <c r="I25" s="29"/>
      <c r="J25" s="22"/>
      <c r="K25" s="29" t="s">
        <v>81</v>
      </c>
      <c r="L25" s="28"/>
      <c r="M25" s="30"/>
      <c r="N25" s="22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3"/>
      <c r="AC25" s="24"/>
      <c r="AD25" s="24"/>
      <c r="AE25" s="25"/>
      <c r="AF25" s="23"/>
      <c r="AG25" s="24"/>
      <c r="AH25" s="24"/>
      <c r="AI25" s="25"/>
      <c r="AJ25" s="23"/>
      <c r="AK25" s="24"/>
      <c r="AL25" s="24"/>
      <c r="AM25" s="25"/>
      <c r="AN25" s="23"/>
      <c r="AO25" s="24"/>
      <c r="AP25" s="24"/>
      <c r="AQ25" s="25"/>
      <c r="AR25" s="23"/>
      <c r="AS25" s="24"/>
      <c r="AT25" s="24"/>
      <c r="AU25" s="25"/>
    </row>
    <row r="26" spans="1:47" ht="60" customHeight="1" outlineLevel="1" x14ac:dyDescent="0.25">
      <c r="A26" s="26"/>
      <c r="B26" s="24" t="str">
        <f>IF(F26="","",$D$3&amp;"."&amp;COUNTA($F$9:F26)&amp;"")</f>
        <v>TC_02.17</v>
      </c>
      <c r="C26" s="23" t="s">
        <v>52</v>
      </c>
      <c r="D26" s="27" t="s">
        <v>82</v>
      </c>
      <c r="E26" s="27" t="s">
        <v>83</v>
      </c>
      <c r="F26" s="27" t="s">
        <v>84</v>
      </c>
      <c r="G26" s="27" t="s">
        <v>85</v>
      </c>
      <c r="H26" s="28"/>
      <c r="I26" s="29"/>
      <c r="J26" s="22"/>
      <c r="K26" s="29"/>
      <c r="L26" s="28"/>
      <c r="M26" s="30"/>
      <c r="N26" s="22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3"/>
      <c r="AC26" s="24"/>
      <c r="AD26" s="24"/>
      <c r="AE26" s="25"/>
      <c r="AF26" s="23"/>
      <c r="AG26" s="24"/>
      <c r="AH26" s="24"/>
      <c r="AI26" s="25"/>
      <c r="AJ26" s="23"/>
      <c r="AK26" s="24"/>
      <c r="AL26" s="24"/>
      <c r="AM26" s="25"/>
      <c r="AN26" s="23"/>
      <c r="AO26" s="24"/>
      <c r="AP26" s="24"/>
      <c r="AQ26" s="25"/>
      <c r="AR26" s="23"/>
      <c r="AS26" s="24"/>
      <c r="AT26" s="24"/>
      <c r="AU26" s="25"/>
    </row>
    <row r="27" spans="1:47" ht="90" customHeight="1" outlineLevel="1" x14ac:dyDescent="0.25">
      <c r="A27" s="26"/>
      <c r="B27" s="24" t="str">
        <f>IF(F27="","",$D$3&amp;"."&amp;COUNTA($F$9:F27)&amp;"")</f>
        <v>TC_02.18</v>
      </c>
      <c r="C27" s="23" t="s">
        <v>24</v>
      </c>
      <c r="D27" s="27" t="s">
        <v>86</v>
      </c>
      <c r="E27" s="27" t="s">
        <v>30</v>
      </c>
      <c r="F27" s="27" t="s">
        <v>87</v>
      </c>
      <c r="G27" s="27" t="s">
        <v>88</v>
      </c>
      <c r="H27" s="28"/>
      <c r="I27" s="29"/>
      <c r="J27" s="22"/>
      <c r="K27" s="29"/>
      <c r="L27" s="28"/>
      <c r="M27" s="30"/>
      <c r="N27" s="22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3"/>
      <c r="AC27" s="24"/>
      <c r="AD27" s="24"/>
      <c r="AE27" s="25"/>
      <c r="AF27" s="23"/>
      <c r="AG27" s="24"/>
      <c r="AH27" s="24"/>
      <c r="AI27" s="25"/>
      <c r="AJ27" s="23"/>
      <c r="AK27" s="24"/>
      <c r="AL27" s="24"/>
      <c r="AM27" s="25"/>
      <c r="AN27" s="23"/>
      <c r="AO27" s="24"/>
      <c r="AP27" s="24"/>
      <c r="AQ27" s="25"/>
      <c r="AR27" s="23"/>
      <c r="AS27" s="24"/>
      <c r="AT27" s="24"/>
      <c r="AU27" s="25"/>
    </row>
    <row r="28" spans="1:47" ht="60" customHeight="1" outlineLevel="1" x14ac:dyDescent="0.25">
      <c r="A28" s="26"/>
      <c r="B28" s="24" t="str">
        <f>IF(F28="","",$D$3&amp;"."&amp;COUNTA($F$9:F28)&amp;"")</f>
        <v>TC_02.19</v>
      </c>
      <c r="C28" s="23" t="s">
        <v>16</v>
      </c>
      <c r="D28" s="27" t="s">
        <v>89</v>
      </c>
      <c r="E28" s="27" t="s">
        <v>90</v>
      </c>
      <c r="F28" s="27" t="s">
        <v>91</v>
      </c>
      <c r="G28" s="27" t="s">
        <v>92</v>
      </c>
      <c r="H28" s="28"/>
      <c r="I28" s="29"/>
      <c r="J28" s="22"/>
      <c r="K28" s="29"/>
      <c r="L28" s="28"/>
      <c r="M28" s="30"/>
      <c r="N28" s="22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3"/>
      <c r="AC28" s="24"/>
      <c r="AD28" s="24"/>
      <c r="AE28" s="25"/>
      <c r="AF28" s="23"/>
      <c r="AG28" s="24"/>
      <c r="AH28" s="24"/>
      <c r="AI28" s="25"/>
      <c r="AJ28" s="23"/>
      <c r="AK28" s="24"/>
      <c r="AL28" s="24"/>
      <c r="AM28" s="25"/>
      <c r="AN28" s="23"/>
      <c r="AO28" s="24"/>
      <c r="AP28" s="24"/>
      <c r="AQ28" s="25"/>
      <c r="AR28" s="23"/>
      <c r="AS28" s="24"/>
      <c r="AT28" s="24"/>
      <c r="AU28" s="25"/>
    </row>
    <row r="29" spans="1:47" ht="45" customHeight="1" outlineLevel="1" x14ac:dyDescent="0.25">
      <c r="A29" s="26"/>
      <c r="B29" s="24" t="str">
        <f>IF(F29="","",$D$3&amp;"."&amp;COUNTA($F$9:F29)&amp;"")</f>
        <v>TC_02.20</v>
      </c>
      <c r="C29" s="23" t="s">
        <v>16</v>
      </c>
      <c r="D29" s="27" t="s">
        <v>93</v>
      </c>
      <c r="E29" s="27" t="s">
        <v>94</v>
      </c>
      <c r="F29" s="27" t="s">
        <v>95</v>
      </c>
      <c r="G29" s="27" t="s">
        <v>96</v>
      </c>
      <c r="H29" s="28"/>
      <c r="I29" s="29"/>
      <c r="J29" s="22"/>
      <c r="K29" s="29"/>
      <c r="L29" s="28"/>
      <c r="M29" s="30"/>
      <c r="N29" s="22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3"/>
      <c r="AC29" s="24"/>
      <c r="AD29" s="24"/>
      <c r="AE29" s="25"/>
      <c r="AF29" s="23"/>
      <c r="AG29" s="24"/>
      <c r="AH29" s="24"/>
      <c r="AI29" s="25"/>
      <c r="AJ29" s="23"/>
      <c r="AK29" s="24"/>
      <c r="AL29" s="24"/>
      <c r="AM29" s="25"/>
      <c r="AN29" s="23"/>
      <c r="AO29" s="24"/>
      <c r="AP29" s="24"/>
      <c r="AQ29" s="25"/>
      <c r="AR29" s="23"/>
      <c r="AS29" s="24"/>
      <c r="AT29" s="24"/>
      <c r="AU29" s="25"/>
    </row>
    <row r="30" spans="1:47" ht="60" customHeight="1" outlineLevel="1" x14ac:dyDescent="0.25">
      <c r="A30" s="26"/>
      <c r="B30" s="24" t="str">
        <f>IF(F30="","",$D$3&amp;"."&amp;COUNTA($F$9:F30)&amp;"")</f>
        <v>TC_02.21</v>
      </c>
      <c r="C30" s="23" t="s">
        <v>24</v>
      </c>
      <c r="D30" s="27" t="s">
        <v>97</v>
      </c>
      <c r="E30" s="27" t="s">
        <v>98</v>
      </c>
      <c r="F30" s="27" t="s">
        <v>99</v>
      </c>
      <c r="G30" s="27" t="s">
        <v>100</v>
      </c>
      <c r="H30" s="28"/>
      <c r="I30" s="29"/>
      <c r="J30" s="22"/>
      <c r="K30" s="29"/>
      <c r="L30" s="28"/>
      <c r="M30" s="30"/>
      <c r="N30" s="22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3"/>
      <c r="AC30" s="24"/>
      <c r="AD30" s="24"/>
      <c r="AE30" s="25"/>
      <c r="AF30" s="23"/>
      <c r="AG30" s="24"/>
      <c r="AH30" s="24"/>
      <c r="AI30" s="25"/>
      <c r="AJ30" s="23"/>
      <c r="AK30" s="24"/>
      <c r="AL30" s="24"/>
      <c r="AM30" s="25"/>
      <c r="AN30" s="23"/>
      <c r="AO30" s="24"/>
      <c r="AP30" s="24"/>
      <c r="AQ30" s="25"/>
      <c r="AR30" s="23"/>
      <c r="AS30" s="24"/>
      <c r="AT30" s="24"/>
      <c r="AU30" s="25"/>
    </row>
    <row r="31" spans="1:47" ht="15.75" customHeight="1" x14ac:dyDescent="0.25">
      <c r="A31" s="20"/>
      <c r="B31" s="62" t="s">
        <v>101</v>
      </c>
      <c r="C31" s="59"/>
      <c r="D31" s="59"/>
      <c r="E31" s="59"/>
      <c r="F31" s="59"/>
      <c r="G31" s="60"/>
      <c r="H31" s="21"/>
      <c r="I31" s="29"/>
      <c r="J31" s="22"/>
      <c r="K31" s="22"/>
      <c r="L31" s="21"/>
      <c r="M31" s="30"/>
      <c r="N31" s="22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3"/>
      <c r="AC31" s="24"/>
      <c r="AD31" s="24"/>
      <c r="AE31" s="25"/>
      <c r="AF31" s="23"/>
      <c r="AG31" s="24"/>
      <c r="AH31" s="24"/>
      <c r="AI31" s="25"/>
      <c r="AJ31" s="23"/>
      <c r="AK31" s="24"/>
      <c r="AL31" s="24"/>
      <c r="AM31" s="25"/>
      <c r="AN31" s="23"/>
      <c r="AO31" s="24"/>
      <c r="AP31" s="24"/>
      <c r="AQ31" s="25"/>
      <c r="AR31" s="23"/>
      <c r="AS31" s="24"/>
      <c r="AT31" s="24"/>
      <c r="AU31" s="25"/>
    </row>
    <row r="32" spans="1:47" ht="57" customHeight="1" outlineLevel="1" x14ac:dyDescent="0.25">
      <c r="A32" s="31"/>
      <c r="B32" s="24" t="str">
        <f>IF(F32="","",$D$3&amp;"."&amp;COUNTA($F$9:F32)&amp;"")</f>
        <v>TC_02.22</v>
      </c>
      <c r="C32" s="32" t="s">
        <v>16</v>
      </c>
      <c r="D32" s="33" t="s">
        <v>102</v>
      </c>
      <c r="E32" s="33" t="s">
        <v>103</v>
      </c>
      <c r="F32" s="33" t="s">
        <v>104</v>
      </c>
      <c r="G32" s="33" t="s">
        <v>105</v>
      </c>
      <c r="H32" s="28"/>
      <c r="I32" s="29"/>
      <c r="J32" s="22"/>
      <c r="K32" s="22"/>
      <c r="L32" s="28"/>
      <c r="M32" s="30"/>
      <c r="N32" s="22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3"/>
      <c r="AC32" s="24"/>
      <c r="AD32" s="24"/>
      <c r="AE32" s="25"/>
      <c r="AF32" s="23"/>
      <c r="AG32" s="24"/>
      <c r="AH32" s="24"/>
      <c r="AI32" s="25"/>
      <c r="AJ32" s="23"/>
      <c r="AK32" s="24"/>
      <c r="AL32" s="24"/>
      <c r="AM32" s="25"/>
      <c r="AN32" s="23"/>
      <c r="AO32" s="24"/>
      <c r="AP32" s="24"/>
      <c r="AQ32" s="25"/>
      <c r="AR32" s="23"/>
      <c r="AS32" s="24"/>
      <c r="AT32" s="24"/>
      <c r="AU32" s="25"/>
    </row>
    <row r="33" spans="1:47" ht="213.75" customHeight="1" outlineLevel="1" x14ac:dyDescent="0.25">
      <c r="A33" s="48" t="s">
        <v>41</v>
      </c>
      <c r="B33" s="45" t="str">
        <f>IF(F33="","",$D$3&amp;"."&amp;COUNTA($F$9:F33)&amp;"")</f>
        <v>TC_02.23</v>
      </c>
      <c r="C33" s="49" t="s">
        <v>16</v>
      </c>
      <c r="D33" s="50" t="s">
        <v>106</v>
      </c>
      <c r="E33" s="50" t="s">
        <v>107</v>
      </c>
      <c r="F33" s="50" t="s">
        <v>108</v>
      </c>
      <c r="G33" s="50" t="s">
        <v>109</v>
      </c>
      <c r="H33" s="28"/>
      <c r="I33" s="29"/>
      <c r="J33" s="34"/>
      <c r="K33" s="22" t="s">
        <v>110</v>
      </c>
      <c r="L33" s="28"/>
      <c r="M33" s="30"/>
      <c r="N33" s="22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3"/>
      <c r="AC33" s="24"/>
      <c r="AD33" s="24"/>
      <c r="AE33" s="25"/>
      <c r="AF33" s="23"/>
      <c r="AG33" s="24"/>
      <c r="AH33" s="24"/>
      <c r="AI33" s="25"/>
      <c r="AJ33" s="23"/>
      <c r="AK33" s="24"/>
      <c r="AL33" s="24"/>
      <c r="AM33" s="25"/>
      <c r="AN33" s="23"/>
      <c r="AO33" s="24"/>
      <c r="AP33" s="24"/>
      <c r="AQ33" s="25"/>
      <c r="AR33" s="23"/>
      <c r="AS33" s="24"/>
      <c r="AT33" s="24"/>
      <c r="AU33" s="25"/>
    </row>
    <row r="34" spans="1:47" ht="85.5" customHeight="1" outlineLevel="1" x14ac:dyDescent="0.25">
      <c r="A34" s="31"/>
      <c r="B34" s="24" t="str">
        <f>IF(F34="","",$D$3&amp;"."&amp;COUNTA($F$9:F34)&amp;"")</f>
        <v>TC_02.24</v>
      </c>
      <c r="C34" s="32" t="s">
        <v>16</v>
      </c>
      <c r="D34" s="33" t="s">
        <v>111</v>
      </c>
      <c r="E34" s="33" t="s">
        <v>112</v>
      </c>
      <c r="F34" s="33" t="s">
        <v>113</v>
      </c>
      <c r="G34" s="33" t="s">
        <v>114</v>
      </c>
      <c r="H34" s="28"/>
      <c r="I34" s="29"/>
      <c r="J34" s="22"/>
      <c r="K34" s="22"/>
      <c r="L34" s="28"/>
      <c r="M34" s="30"/>
      <c r="N34" s="22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3"/>
      <c r="AC34" s="24"/>
      <c r="AD34" s="24"/>
      <c r="AE34" s="25"/>
      <c r="AF34" s="23"/>
      <c r="AG34" s="24"/>
      <c r="AH34" s="24"/>
      <c r="AI34" s="25"/>
      <c r="AJ34" s="23"/>
      <c r="AK34" s="24"/>
      <c r="AL34" s="24"/>
      <c r="AM34" s="25"/>
      <c r="AN34" s="23"/>
      <c r="AO34" s="24"/>
      <c r="AP34" s="24"/>
      <c r="AQ34" s="25"/>
      <c r="AR34" s="23"/>
      <c r="AS34" s="24"/>
      <c r="AT34" s="24"/>
      <c r="AU34" s="25"/>
    </row>
    <row r="35" spans="1:47" ht="42.75" customHeight="1" outlineLevel="1" x14ac:dyDescent="0.25">
      <c r="A35" s="31"/>
      <c r="B35" s="24" t="str">
        <f>IF(F35="","",$D$3&amp;"."&amp;COUNTA($F$9:F35)&amp;"")</f>
        <v>TC_02.25</v>
      </c>
      <c r="C35" s="32" t="s">
        <v>16</v>
      </c>
      <c r="D35" s="33" t="s">
        <v>115</v>
      </c>
      <c r="E35" s="33" t="s">
        <v>116</v>
      </c>
      <c r="F35" s="33" t="s">
        <v>117</v>
      </c>
      <c r="G35" s="33" t="s">
        <v>118</v>
      </c>
      <c r="H35" s="28"/>
      <c r="I35" s="29"/>
      <c r="J35" s="22"/>
      <c r="K35" s="22"/>
      <c r="L35" s="28"/>
      <c r="M35" s="30"/>
      <c r="N35" s="22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3"/>
      <c r="AC35" s="24"/>
      <c r="AD35" s="24"/>
      <c r="AE35" s="25"/>
      <c r="AF35" s="23"/>
      <c r="AG35" s="24"/>
      <c r="AH35" s="24"/>
      <c r="AI35" s="25"/>
      <c r="AJ35" s="23"/>
      <c r="AK35" s="24"/>
      <c r="AL35" s="24"/>
      <c r="AM35" s="25"/>
      <c r="AN35" s="23"/>
      <c r="AO35" s="24"/>
      <c r="AP35" s="24"/>
      <c r="AQ35" s="25"/>
      <c r="AR35" s="23"/>
      <c r="AS35" s="24"/>
      <c r="AT35" s="24"/>
      <c r="AU35" s="25"/>
    </row>
    <row r="36" spans="1:47" ht="57" customHeight="1" outlineLevel="1" x14ac:dyDescent="0.25">
      <c r="A36" s="31"/>
      <c r="B36" s="24" t="str">
        <f>IF(F36="","",$D$3&amp;"."&amp;COUNTA($F$9:F36)&amp;"")</f>
        <v>TC_02.26</v>
      </c>
      <c r="C36" s="32" t="s">
        <v>24</v>
      </c>
      <c r="D36" s="33" t="s">
        <v>119</v>
      </c>
      <c r="E36" s="33" t="s">
        <v>120</v>
      </c>
      <c r="F36" s="33" t="s">
        <v>121</v>
      </c>
      <c r="G36" s="33" t="s">
        <v>122</v>
      </c>
      <c r="H36" s="28"/>
      <c r="I36" s="29"/>
      <c r="J36" s="22"/>
      <c r="K36" s="22"/>
      <c r="L36" s="28"/>
      <c r="M36" s="30"/>
      <c r="N36" s="22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3"/>
      <c r="AC36" s="24"/>
      <c r="AD36" s="24"/>
      <c r="AE36" s="25"/>
      <c r="AF36" s="23"/>
      <c r="AG36" s="24"/>
      <c r="AH36" s="24"/>
      <c r="AI36" s="25"/>
      <c r="AJ36" s="23"/>
      <c r="AK36" s="24"/>
      <c r="AL36" s="24"/>
      <c r="AM36" s="25"/>
      <c r="AN36" s="23"/>
      <c r="AO36" s="24"/>
      <c r="AP36" s="24"/>
      <c r="AQ36" s="25"/>
      <c r="AR36" s="23"/>
      <c r="AS36" s="24"/>
      <c r="AT36" s="24"/>
      <c r="AU36" s="25"/>
    </row>
    <row r="37" spans="1:47" ht="57" customHeight="1" outlineLevel="1" x14ac:dyDescent="0.25">
      <c r="A37" s="31"/>
      <c r="B37" s="24" t="str">
        <f>IF(F37="","",$D$3&amp;"."&amp;COUNTA($F$9:F37)&amp;"")</f>
        <v>TC_02.27</v>
      </c>
      <c r="C37" s="32" t="s">
        <v>16</v>
      </c>
      <c r="D37" s="33" t="s">
        <v>123</v>
      </c>
      <c r="E37" s="33" t="s">
        <v>124</v>
      </c>
      <c r="F37" s="33" t="s">
        <v>125</v>
      </c>
      <c r="G37" s="33" t="s">
        <v>126</v>
      </c>
      <c r="H37" s="28"/>
      <c r="I37" s="29"/>
      <c r="J37" s="22"/>
      <c r="K37" s="22"/>
      <c r="L37" s="28"/>
      <c r="M37" s="30"/>
      <c r="N37" s="22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3"/>
      <c r="AC37" s="24"/>
      <c r="AD37" s="24"/>
      <c r="AE37" s="25"/>
      <c r="AF37" s="23"/>
      <c r="AG37" s="24"/>
      <c r="AH37" s="24"/>
      <c r="AI37" s="25"/>
      <c r="AJ37" s="23"/>
      <c r="AK37" s="24"/>
      <c r="AL37" s="24"/>
      <c r="AM37" s="25"/>
      <c r="AN37" s="23"/>
      <c r="AO37" s="24"/>
      <c r="AP37" s="24"/>
      <c r="AQ37" s="25"/>
      <c r="AR37" s="23"/>
      <c r="AS37" s="24"/>
      <c r="AT37" s="24"/>
      <c r="AU37" s="25"/>
    </row>
    <row r="38" spans="1:47" ht="57" customHeight="1" outlineLevel="1" x14ac:dyDescent="0.25">
      <c r="A38" s="31"/>
      <c r="B38" s="24" t="str">
        <f>IF(F38="","",$D$3&amp;"."&amp;COUNTA($F$9:F38)&amp;"")</f>
        <v>TC_02.28</v>
      </c>
      <c r="C38" s="32" t="s">
        <v>16</v>
      </c>
      <c r="D38" s="33" t="s">
        <v>127</v>
      </c>
      <c r="E38" s="33" t="s">
        <v>128</v>
      </c>
      <c r="F38" s="33" t="s">
        <v>129</v>
      </c>
      <c r="G38" s="33" t="s">
        <v>130</v>
      </c>
      <c r="H38" s="28"/>
      <c r="I38" s="29"/>
      <c r="J38" s="22"/>
      <c r="K38" s="22"/>
      <c r="L38" s="28"/>
      <c r="M38" s="30"/>
      <c r="N38" s="22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3"/>
      <c r="AC38" s="24"/>
      <c r="AD38" s="24"/>
      <c r="AE38" s="25"/>
      <c r="AF38" s="23"/>
      <c r="AG38" s="24"/>
      <c r="AH38" s="24"/>
      <c r="AI38" s="25"/>
      <c r="AJ38" s="23"/>
      <c r="AK38" s="24"/>
      <c r="AL38" s="24"/>
      <c r="AM38" s="25"/>
      <c r="AN38" s="23"/>
      <c r="AO38" s="24"/>
      <c r="AP38" s="24"/>
      <c r="AQ38" s="25"/>
      <c r="AR38" s="23"/>
      <c r="AS38" s="24"/>
      <c r="AT38" s="24"/>
      <c r="AU38" s="25"/>
    </row>
    <row r="39" spans="1:47" ht="57" customHeight="1" outlineLevel="1" x14ac:dyDescent="0.25">
      <c r="A39" s="48" t="s">
        <v>41</v>
      </c>
      <c r="B39" s="45" t="str">
        <f>IF(F39="","",$D$3&amp;"."&amp;COUNTA($F$9:F39)&amp;"")</f>
        <v>TC_02.29</v>
      </c>
      <c r="C39" s="49" t="s">
        <v>24</v>
      </c>
      <c r="D39" s="50" t="s">
        <v>131</v>
      </c>
      <c r="E39" s="50" t="s">
        <v>132</v>
      </c>
      <c r="F39" s="50" t="s">
        <v>133</v>
      </c>
      <c r="G39" s="50" t="s">
        <v>134</v>
      </c>
      <c r="H39" s="28"/>
      <c r="I39" s="29"/>
      <c r="J39" s="22"/>
      <c r="K39" s="22" t="s">
        <v>135</v>
      </c>
      <c r="L39" s="28"/>
      <c r="M39" s="30"/>
      <c r="N39" s="22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3"/>
      <c r="AC39" s="24"/>
      <c r="AD39" s="24"/>
      <c r="AE39" s="25"/>
      <c r="AF39" s="23"/>
      <c r="AG39" s="24"/>
      <c r="AH39" s="24"/>
      <c r="AI39" s="25"/>
      <c r="AJ39" s="23"/>
      <c r="AK39" s="24"/>
      <c r="AL39" s="24"/>
      <c r="AM39" s="25"/>
      <c r="AN39" s="23"/>
      <c r="AO39" s="24"/>
      <c r="AP39" s="24"/>
      <c r="AQ39" s="25"/>
      <c r="AR39" s="23"/>
      <c r="AS39" s="24"/>
      <c r="AT39" s="24"/>
      <c r="AU39" s="25"/>
    </row>
    <row r="40" spans="1:47" ht="71.25" customHeight="1" outlineLevel="1" x14ac:dyDescent="0.25">
      <c r="A40" s="31"/>
      <c r="B40" s="24" t="str">
        <f>IF(F40="","",$D$3&amp;"."&amp;COUNTA($F$9:F40)&amp;"")</f>
        <v>TC_02.30</v>
      </c>
      <c r="C40" s="32" t="s">
        <v>16</v>
      </c>
      <c r="D40" s="33" t="s">
        <v>136</v>
      </c>
      <c r="E40" s="33" t="s">
        <v>137</v>
      </c>
      <c r="F40" s="33" t="s">
        <v>138</v>
      </c>
      <c r="G40" s="33" t="s">
        <v>139</v>
      </c>
      <c r="H40" s="28"/>
      <c r="I40" s="29"/>
      <c r="J40" s="22"/>
      <c r="K40" s="22"/>
      <c r="L40" s="28"/>
      <c r="M40" s="30"/>
      <c r="N40" s="22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3"/>
      <c r="AC40" s="24"/>
      <c r="AD40" s="24"/>
      <c r="AE40" s="25"/>
      <c r="AF40" s="23"/>
      <c r="AG40" s="24"/>
      <c r="AH40" s="24"/>
      <c r="AI40" s="25"/>
      <c r="AJ40" s="23"/>
      <c r="AK40" s="24"/>
      <c r="AL40" s="24"/>
      <c r="AM40" s="25"/>
      <c r="AN40" s="23"/>
      <c r="AO40" s="24"/>
      <c r="AP40" s="24"/>
      <c r="AQ40" s="25"/>
      <c r="AR40" s="23"/>
      <c r="AS40" s="24"/>
      <c r="AT40" s="24"/>
      <c r="AU40" s="25"/>
    </row>
    <row r="41" spans="1:47" ht="114" customHeight="1" outlineLevel="1" x14ac:dyDescent="0.25">
      <c r="A41" s="31"/>
      <c r="B41" s="24" t="str">
        <f>IF(F41="","",$D$3&amp;"."&amp;COUNTA($F$9:F41)&amp;"")</f>
        <v>TC_02.31</v>
      </c>
      <c r="C41" s="32" t="s">
        <v>16</v>
      </c>
      <c r="D41" s="33" t="s">
        <v>140</v>
      </c>
      <c r="E41" s="33" t="s">
        <v>128</v>
      </c>
      <c r="F41" s="33" t="s">
        <v>141</v>
      </c>
      <c r="G41" s="33" t="s">
        <v>142</v>
      </c>
      <c r="H41" s="28"/>
      <c r="I41" s="29"/>
      <c r="J41" s="22"/>
      <c r="K41" s="22"/>
      <c r="L41" s="28"/>
      <c r="M41" s="30"/>
      <c r="N41" s="22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3"/>
      <c r="AC41" s="24"/>
      <c r="AD41" s="24"/>
      <c r="AE41" s="25"/>
      <c r="AF41" s="23"/>
      <c r="AG41" s="24"/>
      <c r="AH41" s="24"/>
      <c r="AI41" s="25"/>
      <c r="AJ41" s="23"/>
      <c r="AK41" s="24"/>
      <c r="AL41" s="24"/>
      <c r="AM41" s="25"/>
      <c r="AN41" s="23"/>
      <c r="AO41" s="24"/>
      <c r="AP41" s="24"/>
      <c r="AQ41" s="25"/>
      <c r="AR41" s="23"/>
      <c r="AS41" s="24"/>
      <c r="AT41" s="24"/>
      <c r="AU41" s="25"/>
    </row>
    <row r="42" spans="1:47" ht="71.25" customHeight="1" outlineLevel="1" x14ac:dyDescent="0.25">
      <c r="A42" s="31"/>
      <c r="B42" s="24" t="str">
        <f>IF(F42="","",$D$3&amp;"."&amp;COUNTA($F$9:F42)&amp;"")</f>
        <v>TC_02.32</v>
      </c>
      <c r="C42" s="32" t="s">
        <v>16</v>
      </c>
      <c r="D42" s="33" t="s">
        <v>143</v>
      </c>
      <c r="E42" s="33" t="s">
        <v>144</v>
      </c>
      <c r="F42" s="33" t="s">
        <v>145</v>
      </c>
      <c r="G42" s="33" t="s">
        <v>146</v>
      </c>
      <c r="H42" s="28"/>
      <c r="I42" s="29"/>
      <c r="J42" s="22"/>
      <c r="K42" s="22"/>
      <c r="L42" s="28"/>
      <c r="M42" s="30"/>
      <c r="N42" s="22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3"/>
      <c r="AC42" s="24"/>
      <c r="AD42" s="24"/>
      <c r="AE42" s="25"/>
      <c r="AF42" s="23"/>
      <c r="AG42" s="24"/>
      <c r="AH42" s="24"/>
      <c r="AI42" s="25"/>
      <c r="AJ42" s="23"/>
      <c r="AK42" s="24"/>
      <c r="AL42" s="24"/>
      <c r="AM42" s="25"/>
      <c r="AN42" s="23"/>
      <c r="AO42" s="24"/>
      <c r="AP42" s="24"/>
      <c r="AQ42" s="25"/>
      <c r="AR42" s="23"/>
      <c r="AS42" s="24"/>
      <c r="AT42" s="24"/>
      <c r="AU42" s="25"/>
    </row>
    <row r="43" spans="1:47" ht="71.25" customHeight="1" outlineLevel="1" x14ac:dyDescent="0.25">
      <c r="A43" s="31"/>
      <c r="B43" s="24" t="str">
        <f>IF(F43="","",$D$3&amp;"."&amp;COUNTA($F$9:F43)&amp;"")</f>
        <v>TC_02.33</v>
      </c>
      <c r="C43" s="32" t="s">
        <v>16</v>
      </c>
      <c r="D43" s="33" t="s">
        <v>147</v>
      </c>
      <c r="E43" s="33" t="s">
        <v>148</v>
      </c>
      <c r="F43" s="33" t="s">
        <v>149</v>
      </c>
      <c r="G43" s="33" t="s">
        <v>150</v>
      </c>
      <c r="H43" s="28"/>
      <c r="I43" s="29"/>
      <c r="J43" s="22"/>
      <c r="K43" s="22"/>
      <c r="L43" s="28"/>
      <c r="M43" s="30"/>
      <c r="N43" s="22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3"/>
      <c r="AC43" s="24"/>
      <c r="AD43" s="24"/>
      <c r="AE43" s="25"/>
      <c r="AF43" s="23"/>
      <c r="AG43" s="24"/>
      <c r="AH43" s="24"/>
      <c r="AI43" s="25"/>
      <c r="AJ43" s="23"/>
      <c r="AK43" s="24"/>
      <c r="AL43" s="24"/>
      <c r="AM43" s="25"/>
      <c r="AN43" s="23"/>
      <c r="AO43" s="24"/>
      <c r="AP43" s="24"/>
      <c r="AQ43" s="25"/>
      <c r="AR43" s="23"/>
      <c r="AS43" s="24"/>
      <c r="AT43" s="24"/>
      <c r="AU43" s="25"/>
    </row>
    <row r="44" spans="1:47" ht="71.25" customHeight="1" outlineLevel="1" x14ac:dyDescent="0.25">
      <c r="A44" s="31"/>
      <c r="B44" s="24" t="str">
        <f>IF(F44="","",$D$3&amp;"."&amp;COUNTA($F$9:F44)&amp;"")</f>
        <v>TC_02.34</v>
      </c>
      <c r="C44" s="32" t="s">
        <v>16</v>
      </c>
      <c r="D44" s="33" t="s">
        <v>151</v>
      </c>
      <c r="E44" s="33" t="s">
        <v>152</v>
      </c>
      <c r="F44" s="33" t="s">
        <v>153</v>
      </c>
      <c r="G44" s="33" t="s">
        <v>154</v>
      </c>
      <c r="H44" s="28"/>
      <c r="I44" s="29"/>
      <c r="J44" s="22"/>
      <c r="K44" s="22"/>
      <c r="L44" s="28"/>
      <c r="M44" s="30"/>
      <c r="N44" s="22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3"/>
      <c r="AC44" s="24"/>
      <c r="AD44" s="24"/>
      <c r="AE44" s="25"/>
      <c r="AF44" s="23"/>
      <c r="AG44" s="24"/>
      <c r="AH44" s="24"/>
      <c r="AI44" s="25"/>
      <c r="AJ44" s="23"/>
      <c r="AK44" s="24"/>
      <c r="AL44" s="24"/>
      <c r="AM44" s="25"/>
      <c r="AN44" s="23"/>
      <c r="AO44" s="24"/>
      <c r="AP44" s="24"/>
      <c r="AQ44" s="25"/>
      <c r="AR44" s="23"/>
      <c r="AS44" s="24"/>
      <c r="AT44" s="24"/>
      <c r="AU44" s="25"/>
    </row>
    <row r="45" spans="1:47" ht="71.25" customHeight="1" outlineLevel="1" x14ac:dyDescent="0.25">
      <c r="A45" s="31"/>
      <c r="B45" s="24" t="str">
        <f>IF(F45="","",$D$3&amp;"."&amp;COUNTA($F$9:F45)&amp;"")</f>
        <v>TC_02.35</v>
      </c>
      <c r="C45" s="32" t="s">
        <v>16</v>
      </c>
      <c r="D45" s="33" t="s">
        <v>155</v>
      </c>
      <c r="E45" s="33" t="s">
        <v>152</v>
      </c>
      <c r="F45" s="33" t="s">
        <v>156</v>
      </c>
      <c r="G45" s="33" t="s">
        <v>157</v>
      </c>
      <c r="H45" s="28"/>
      <c r="I45" s="29"/>
      <c r="J45" s="22"/>
      <c r="K45" s="22"/>
      <c r="L45" s="28"/>
      <c r="M45" s="30"/>
      <c r="N45" s="22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3"/>
      <c r="AC45" s="24"/>
      <c r="AD45" s="24"/>
      <c r="AE45" s="25"/>
      <c r="AF45" s="23"/>
      <c r="AG45" s="24"/>
      <c r="AH45" s="24"/>
      <c r="AI45" s="25"/>
      <c r="AJ45" s="23"/>
      <c r="AK45" s="24"/>
      <c r="AL45" s="24"/>
      <c r="AM45" s="25"/>
      <c r="AN45" s="23"/>
      <c r="AO45" s="24"/>
      <c r="AP45" s="24"/>
      <c r="AQ45" s="25"/>
      <c r="AR45" s="23"/>
      <c r="AS45" s="24"/>
      <c r="AT45" s="24"/>
      <c r="AU45" s="25"/>
    </row>
    <row r="46" spans="1:47" ht="71.25" customHeight="1" outlineLevel="1" x14ac:dyDescent="0.25">
      <c r="A46" s="31"/>
      <c r="B46" s="24" t="str">
        <f>IF(F46="","",$D$3&amp;"."&amp;COUNTA($F$9:F46)&amp;"")</f>
        <v>TC_02.36</v>
      </c>
      <c r="C46" s="32" t="s">
        <v>16</v>
      </c>
      <c r="D46" s="33" t="s">
        <v>158</v>
      </c>
      <c r="E46" s="33" t="s">
        <v>152</v>
      </c>
      <c r="F46" s="33" t="s">
        <v>159</v>
      </c>
      <c r="G46" s="33" t="s">
        <v>160</v>
      </c>
      <c r="H46" s="28"/>
      <c r="I46" s="29"/>
      <c r="J46" s="22"/>
      <c r="K46" s="22"/>
      <c r="L46" s="28"/>
      <c r="M46" s="30"/>
      <c r="N46" s="22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3"/>
      <c r="AC46" s="24"/>
      <c r="AD46" s="24"/>
      <c r="AE46" s="25"/>
      <c r="AF46" s="23"/>
      <c r="AG46" s="24"/>
      <c r="AH46" s="24"/>
      <c r="AI46" s="25"/>
      <c r="AJ46" s="23"/>
      <c r="AK46" s="24"/>
      <c r="AL46" s="24"/>
      <c r="AM46" s="25"/>
      <c r="AN46" s="23"/>
      <c r="AO46" s="24"/>
      <c r="AP46" s="24"/>
      <c r="AQ46" s="25"/>
      <c r="AR46" s="23"/>
      <c r="AS46" s="24"/>
      <c r="AT46" s="24"/>
      <c r="AU46" s="25"/>
    </row>
    <row r="47" spans="1:47" ht="57" customHeight="1" outlineLevel="1" x14ac:dyDescent="0.25">
      <c r="A47" s="31"/>
      <c r="B47" s="24" t="str">
        <f>IF(F47="","",$D$3&amp;"."&amp;COUNTA($F$9:F47)&amp;"")</f>
        <v>TC_02.37</v>
      </c>
      <c r="C47" s="32" t="s">
        <v>16</v>
      </c>
      <c r="D47" s="33" t="s">
        <v>161</v>
      </c>
      <c r="E47" s="33" t="s">
        <v>128</v>
      </c>
      <c r="F47" s="33" t="s">
        <v>162</v>
      </c>
      <c r="G47" s="33" t="s">
        <v>163</v>
      </c>
      <c r="H47" s="28"/>
      <c r="I47" s="29"/>
      <c r="J47" s="22"/>
      <c r="K47" s="22"/>
      <c r="L47" s="28"/>
      <c r="M47" s="30"/>
      <c r="N47" s="22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3"/>
      <c r="AC47" s="24"/>
      <c r="AD47" s="24"/>
      <c r="AE47" s="25"/>
      <c r="AF47" s="23"/>
      <c r="AG47" s="24"/>
      <c r="AH47" s="24"/>
      <c r="AI47" s="25"/>
      <c r="AJ47" s="23"/>
      <c r="AK47" s="24"/>
      <c r="AL47" s="24"/>
      <c r="AM47" s="25"/>
      <c r="AN47" s="23"/>
      <c r="AO47" s="24"/>
      <c r="AP47" s="24"/>
      <c r="AQ47" s="25"/>
      <c r="AR47" s="23"/>
      <c r="AS47" s="24"/>
      <c r="AT47" s="24"/>
      <c r="AU47" s="25"/>
    </row>
    <row r="48" spans="1:47" ht="114" customHeight="1" outlineLevel="1" x14ac:dyDescent="0.25">
      <c r="A48" s="48" t="s">
        <v>41</v>
      </c>
      <c r="B48" s="45" t="str">
        <f>IF(F48="","",$D$3&amp;"."&amp;COUNTA($F$9:F48)&amp;"")</f>
        <v>TC_02.38</v>
      </c>
      <c r="C48" s="49" t="s">
        <v>16</v>
      </c>
      <c r="D48" s="50" t="s">
        <v>164</v>
      </c>
      <c r="E48" s="50" t="s">
        <v>152</v>
      </c>
      <c r="F48" s="50" t="s">
        <v>165</v>
      </c>
      <c r="G48" s="50" t="s">
        <v>166</v>
      </c>
      <c r="H48" s="28"/>
      <c r="I48" s="29"/>
      <c r="J48" s="22"/>
      <c r="K48" s="22" t="s">
        <v>167</v>
      </c>
      <c r="L48" s="28"/>
      <c r="M48" s="30"/>
      <c r="N48" s="22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3"/>
      <c r="AC48" s="24"/>
      <c r="AD48" s="24"/>
      <c r="AE48" s="25"/>
      <c r="AF48" s="23"/>
      <c r="AG48" s="24"/>
      <c r="AH48" s="24"/>
      <c r="AI48" s="25"/>
      <c r="AJ48" s="23"/>
      <c r="AK48" s="24"/>
      <c r="AL48" s="24"/>
      <c r="AM48" s="25"/>
      <c r="AN48" s="23"/>
      <c r="AO48" s="24"/>
      <c r="AP48" s="24"/>
      <c r="AQ48" s="25"/>
      <c r="AR48" s="23"/>
      <c r="AS48" s="24"/>
      <c r="AT48" s="24"/>
      <c r="AU48" s="25"/>
    </row>
    <row r="49" spans="1:47" ht="57" customHeight="1" outlineLevel="1" x14ac:dyDescent="0.25">
      <c r="A49" s="31"/>
      <c r="B49" s="24" t="str">
        <f>IF(F49="","",$D$3&amp;"."&amp;COUNTA($F$9:F49)&amp;"")</f>
        <v>TC_02.39</v>
      </c>
      <c r="C49" s="32" t="s">
        <v>24</v>
      </c>
      <c r="D49" s="33" t="s">
        <v>168</v>
      </c>
      <c r="E49" s="33" t="s">
        <v>169</v>
      </c>
      <c r="F49" s="33" t="s">
        <v>170</v>
      </c>
      <c r="G49" s="33" t="s">
        <v>171</v>
      </c>
      <c r="H49" s="28"/>
      <c r="I49" s="29"/>
      <c r="J49" s="22"/>
      <c r="K49" s="22"/>
      <c r="L49" s="28"/>
      <c r="M49" s="30"/>
      <c r="N49" s="22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3"/>
      <c r="AC49" s="24"/>
      <c r="AD49" s="24"/>
      <c r="AE49" s="25"/>
      <c r="AF49" s="23"/>
      <c r="AG49" s="24"/>
      <c r="AH49" s="24"/>
      <c r="AI49" s="25"/>
      <c r="AJ49" s="23"/>
      <c r="AK49" s="24"/>
      <c r="AL49" s="24"/>
      <c r="AM49" s="25"/>
      <c r="AN49" s="23"/>
      <c r="AO49" s="24"/>
      <c r="AP49" s="24"/>
      <c r="AQ49" s="25"/>
      <c r="AR49" s="23"/>
      <c r="AS49" s="24"/>
      <c r="AT49" s="24"/>
      <c r="AU49" s="25"/>
    </row>
    <row r="50" spans="1:47" ht="57" customHeight="1" outlineLevel="1" x14ac:dyDescent="0.25">
      <c r="A50" s="31"/>
      <c r="B50" s="24" t="str">
        <f>IF(F50="","",$D$3&amp;"."&amp;COUNTA($F$9:F50)&amp;"")</f>
        <v>TC_02.40</v>
      </c>
      <c r="C50" s="32" t="s">
        <v>16</v>
      </c>
      <c r="D50" s="33" t="s">
        <v>172</v>
      </c>
      <c r="E50" s="33" t="s">
        <v>173</v>
      </c>
      <c r="F50" s="33" t="s">
        <v>174</v>
      </c>
      <c r="G50" s="33" t="s">
        <v>175</v>
      </c>
      <c r="H50" s="28"/>
      <c r="I50" s="29"/>
      <c r="J50" s="22"/>
      <c r="K50" s="22"/>
      <c r="L50" s="28"/>
      <c r="M50" s="30"/>
      <c r="N50" s="22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3"/>
      <c r="AC50" s="24"/>
      <c r="AD50" s="24"/>
      <c r="AE50" s="25"/>
      <c r="AF50" s="23"/>
      <c r="AG50" s="24"/>
      <c r="AH50" s="24"/>
      <c r="AI50" s="25"/>
      <c r="AJ50" s="23"/>
      <c r="AK50" s="24"/>
      <c r="AL50" s="24"/>
      <c r="AM50" s="25"/>
      <c r="AN50" s="23"/>
      <c r="AO50" s="24"/>
      <c r="AP50" s="24"/>
      <c r="AQ50" s="25"/>
      <c r="AR50" s="23"/>
      <c r="AS50" s="24"/>
      <c r="AT50" s="24"/>
      <c r="AU50" s="25"/>
    </row>
    <row r="51" spans="1:47" ht="71.25" customHeight="1" outlineLevel="1" x14ac:dyDescent="0.25">
      <c r="A51" s="31"/>
      <c r="B51" s="24" t="str">
        <f>IF(F51="","",$D$3&amp;"."&amp;COUNTA($F$9:F51)&amp;"")</f>
        <v>TC_02.41</v>
      </c>
      <c r="C51" s="32" t="s">
        <v>16</v>
      </c>
      <c r="D51" s="33" t="s">
        <v>176</v>
      </c>
      <c r="E51" s="33" t="s">
        <v>177</v>
      </c>
      <c r="F51" s="33" t="s">
        <v>178</v>
      </c>
      <c r="G51" s="33" t="s">
        <v>179</v>
      </c>
      <c r="H51" s="28"/>
      <c r="I51" s="29"/>
      <c r="J51" s="22"/>
      <c r="K51" s="22"/>
      <c r="L51" s="28"/>
      <c r="M51" s="30"/>
      <c r="N51" s="22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3"/>
      <c r="AC51" s="24"/>
      <c r="AD51" s="24"/>
      <c r="AE51" s="25"/>
      <c r="AF51" s="23"/>
      <c r="AG51" s="24"/>
      <c r="AH51" s="24"/>
      <c r="AI51" s="25"/>
      <c r="AJ51" s="23"/>
      <c r="AK51" s="24"/>
      <c r="AL51" s="24"/>
      <c r="AM51" s="25"/>
      <c r="AN51" s="23"/>
      <c r="AO51" s="24"/>
      <c r="AP51" s="24"/>
      <c r="AQ51" s="25"/>
      <c r="AR51" s="23"/>
      <c r="AS51" s="24"/>
      <c r="AT51" s="24"/>
      <c r="AU51" s="25"/>
    </row>
    <row r="52" spans="1:47" ht="57" customHeight="1" outlineLevel="1" x14ac:dyDescent="0.25">
      <c r="A52" s="31"/>
      <c r="B52" s="24" t="str">
        <f>IF(F52="","",$D$3&amp;"."&amp;COUNTA($F$9:F52)&amp;"")</f>
        <v>TC_02.42</v>
      </c>
      <c r="C52" s="32" t="s">
        <v>16</v>
      </c>
      <c r="D52" s="33" t="s">
        <v>180</v>
      </c>
      <c r="E52" s="33" t="s">
        <v>181</v>
      </c>
      <c r="F52" s="33" t="s">
        <v>182</v>
      </c>
      <c r="G52" s="33" t="s">
        <v>183</v>
      </c>
      <c r="H52" s="28"/>
      <c r="I52" s="29"/>
      <c r="J52" s="22"/>
      <c r="K52" s="22"/>
      <c r="L52" s="28"/>
      <c r="M52" s="30"/>
      <c r="N52" s="22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3"/>
      <c r="AC52" s="24"/>
      <c r="AD52" s="24"/>
      <c r="AE52" s="25"/>
      <c r="AF52" s="23"/>
      <c r="AG52" s="24"/>
      <c r="AH52" s="24"/>
      <c r="AI52" s="25"/>
      <c r="AJ52" s="23"/>
      <c r="AK52" s="24"/>
      <c r="AL52" s="24"/>
      <c r="AM52" s="25"/>
      <c r="AN52" s="23"/>
      <c r="AO52" s="24"/>
      <c r="AP52" s="24"/>
      <c r="AQ52" s="25"/>
      <c r="AR52" s="23"/>
      <c r="AS52" s="24"/>
      <c r="AT52" s="24"/>
      <c r="AU52" s="25"/>
    </row>
    <row r="53" spans="1:47" ht="57" customHeight="1" outlineLevel="1" x14ac:dyDescent="0.25">
      <c r="A53" s="31"/>
      <c r="B53" s="24" t="str">
        <f>IF(F53="","",$D$3&amp;"."&amp;COUNTA($F$9:F53)&amp;"")</f>
        <v>TC_02.43</v>
      </c>
      <c r="C53" s="32" t="s">
        <v>16</v>
      </c>
      <c r="D53" s="33" t="s">
        <v>184</v>
      </c>
      <c r="E53" s="33" t="s">
        <v>185</v>
      </c>
      <c r="F53" s="33" t="s">
        <v>186</v>
      </c>
      <c r="G53" s="33" t="s">
        <v>187</v>
      </c>
      <c r="H53" s="28"/>
      <c r="I53" s="29"/>
      <c r="J53" s="22"/>
      <c r="K53" s="22"/>
      <c r="L53" s="28"/>
      <c r="M53" s="30"/>
      <c r="N53" s="22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3"/>
      <c r="AC53" s="24"/>
      <c r="AD53" s="24"/>
      <c r="AE53" s="25"/>
      <c r="AF53" s="23"/>
      <c r="AG53" s="24"/>
      <c r="AH53" s="24"/>
      <c r="AI53" s="25"/>
      <c r="AJ53" s="23"/>
      <c r="AK53" s="24"/>
      <c r="AL53" s="24"/>
      <c r="AM53" s="25"/>
      <c r="AN53" s="23"/>
      <c r="AO53" s="24"/>
      <c r="AP53" s="24"/>
      <c r="AQ53" s="25"/>
      <c r="AR53" s="23"/>
      <c r="AS53" s="24"/>
      <c r="AT53" s="24"/>
      <c r="AU53" s="25"/>
    </row>
    <row r="54" spans="1:47" ht="57" customHeight="1" outlineLevel="1" x14ac:dyDescent="0.25">
      <c r="A54" s="31"/>
      <c r="B54" s="24" t="str">
        <f>IF(F54="","",$D$3&amp;"."&amp;COUNTA($F$9:F54)&amp;"")</f>
        <v>TC_02.44</v>
      </c>
      <c r="C54" s="32" t="s">
        <v>16</v>
      </c>
      <c r="D54" s="33" t="s">
        <v>188</v>
      </c>
      <c r="E54" s="33" t="s">
        <v>189</v>
      </c>
      <c r="F54" s="33" t="s">
        <v>190</v>
      </c>
      <c r="G54" s="33" t="s">
        <v>191</v>
      </c>
      <c r="H54" s="28"/>
      <c r="I54" s="29"/>
      <c r="J54" s="34"/>
      <c r="K54" s="22"/>
      <c r="L54" s="28"/>
      <c r="M54" s="30"/>
      <c r="N54" s="22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3"/>
      <c r="AC54" s="24"/>
      <c r="AD54" s="24"/>
      <c r="AE54" s="25"/>
      <c r="AF54" s="23"/>
      <c r="AG54" s="24"/>
      <c r="AH54" s="24"/>
      <c r="AI54" s="25"/>
      <c r="AJ54" s="23"/>
      <c r="AK54" s="24"/>
      <c r="AL54" s="24"/>
      <c r="AM54" s="25"/>
      <c r="AN54" s="23"/>
      <c r="AO54" s="24"/>
      <c r="AP54" s="24"/>
      <c r="AQ54" s="25"/>
      <c r="AR54" s="23"/>
      <c r="AS54" s="24"/>
      <c r="AT54" s="24"/>
      <c r="AU54" s="25"/>
    </row>
    <row r="55" spans="1:47" ht="71.25" customHeight="1" outlineLevel="1" x14ac:dyDescent="0.25">
      <c r="A55" s="31"/>
      <c r="B55" s="24" t="str">
        <f>IF(F55="","",$D$3&amp;"."&amp;COUNTA($F$9:F55)&amp;"")</f>
        <v>TC_02.45</v>
      </c>
      <c r="C55" s="32" t="s">
        <v>24</v>
      </c>
      <c r="D55" s="33" t="s">
        <v>192</v>
      </c>
      <c r="E55" s="33" t="s">
        <v>193</v>
      </c>
      <c r="F55" s="33" t="s">
        <v>194</v>
      </c>
      <c r="G55" s="33" t="s">
        <v>195</v>
      </c>
      <c r="H55" s="28"/>
      <c r="I55" s="29"/>
      <c r="J55" s="22"/>
      <c r="K55" s="22"/>
      <c r="L55" s="28"/>
      <c r="M55" s="30"/>
      <c r="N55" s="22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3"/>
      <c r="AC55" s="24"/>
      <c r="AD55" s="24"/>
      <c r="AE55" s="25"/>
      <c r="AF55" s="23"/>
      <c r="AG55" s="24"/>
      <c r="AH55" s="24"/>
      <c r="AI55" s="25"/>
      <c r="AJ55" s="23"/>
      <c r="AK55" s="24"/>
      <c r="AL55" s="24"/>
      <c r="AM55" s="25"/>
      <c r="AN55" s="23"/>
      <c r="AO55" s="24"/>
      <c r="AP55" s="24"/>
      <c r="AQ55" s="25"/>
      <c r="AR55" s="23"/>
      <c r="AS55" s="24"/>
      <c r="AT55" s="24"/>
      <c r="AU55" s="25"/>
    </row>
    <row r="56" spans="1:47" ht="57" customHeight="1" outlineLevel="1" x14ac:dyDescent="0.25">
      <c r="A56" s="31"/>
      <c r="B56" s="24" t="str">
        <f>IF(F56="","",$D$3&amp;"."&amp;COUNTA($F$9:F56)&amp;"")</f>
        <v>TC_02.46</v>
      </c>
      <c r="C56" s="32" t="s">
        <v>24</v>
      </c>
      <c r="D56" s="33" t="s">
        <v>196</v>
      </c>
      <c r="E56" s="33" t="s">
        <v>197</v>
      </c>
      <c r="F56" s="33" t="s">
        <v>198</v>
      </c>
      <c r="G56" s="33" t="s">
        <v>199</v>
      </c>
      <c r="H56" s="28"/>
      <c r="I56" s="29"/>
      <c r="J56" s="22"/>
      <c r="K56" s="22"/>
      <c r="L56" s="28"/>
      <c r="M56" s="30"/>
      <c r="N56" s="22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3"/>
      <c r="AC56" s="24"/>
      <c r="AD56" s="24"/>
      <c r="AE56" s="25"/>
      <c r="AF56" s="23"/>
      <c r="AG56" s="24"/>
      <c r="AH56" s="24"/>
      <c r="AI56" s="25"/>
      <c r="AJ56" s="23"/>
      <c r="AK56" s="24"/>
      <c r="AL56" s="24"/>
      <c r="AM56" s="25"/>
      <c r="AN56" s="23"/>
      <c r="AO56" s="24"/>
      <c r="AP56" s="24"/>
      <c r="AQ56" s="25"/>
      <c r="AR56" s="23"/>
      <c r="AS56" s="24"/>
      <c r="AT56" s="24"/>
      <c r="AU56" s="25"/>
    </row>
    <row r="57" spans="1:47" ht="57" customHeight="1" outlineLevel="1" x14ac:dyDescent="0.25">
      <c r="A57" s="31"/>
      <c r="B57" s="24" t="str">
        <f>IF(F57="","",$D$3&amp;"."&amp;COUNTA($F$9:F57)&amp;"")</f>
        <v>TC_02.47</v>
      </c>
      <c r="C57" s="32" t="s">
        <v>16</v>
      </c>
      <c r="D57" s="33" t="s">
        <v>200</v>
      </c>
      <c r="E57" s="33" t="s">
        <v>201</v>
      </c>
      <c r="F57" s="33" t="s">
        <v>202</v>
      </c>
      <c r="G57" s="33" t="s">
        <v>203</v>
      </c>
      <c r="H57" s="28"/>
      <c r="I57" s="29"/>
      <c r="J57" s="22"/>
      <c r="K57" s="22"/>
      <c r="L57" s="28"/>
      <c r="M57" s="30"/>
      <c r="N57" s="22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3"/>
      <c r="AC57" s="24"/>
      <c r="AD57" s="24"/>
      <c r="AE57" s="25"/>
      <c r="AF57" s="23"/>
      <c r="AG57" s="24"/>
      <c r="AH57" s="24"/>
      <c r="AI57" s="25"/>
      <c r="AJ57" s="23"/>
      <c r="AK57" s="24"/>
      <c r="AL57" s="24"/>
      <c r="AM57" s="25"/>
      <c r="AN57" s="23"/>
      <c r="AO57" s="24"/>
      <c r="AP57" s="24"/>
      <c r="AQ57" s="25"/>
      <c r="AR57" s="23"/>
      <c r="AS57" s="24"/>
      <c r="AT57" s="24"/>
      <c r="AU57" s="25"/>
    </row>
    <row r="58" spans="1:47" ht="57" customHeight="1" outlineLevel="1" x14ac:dyDescent="0.25">
      <c r="A58" s="31"/>
      <c r="B58" s="24" t="str">
        <f>IF(F58="","",$D$3&amp;"."&amp;COUNTA($F$9:F58)&amp;"")</f>
        <v>TC_02.48</v>
      </c>
      <c r="C58" s="32" t="s">
        <v>16</v>
      </c>
      <c r="D58" s="33" t="s">
        <v>204</v>
      </c>
      <c r="E58" s="33" t="s">
        <v>116</v>
      </c>
      <c r="F58" s="33" t="s">
        <v>205</v>
      </c>
      <c r="G58" s="33" t="s">
        <v>206</v>
      </c>
      <c r="H58" s="28"/>
      <c r="I58" s="29"/>
      <c r="J58" s="22"/>
      <c r="K58" s="22"/>
      <c r="L58" s="28"/>
      <c r="M58" s="30"/>
      <c r="N58" s="22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3"/>
      <c r="AC58" s="24"/>
      <c r="AD58" s="24"/>
      <c r="AE58" s="25"/>
      <c r="AF58" s="23"/>
      <c r="AG58" s="24"/>
      <c r="AH58" s="24"/>
      <c r="AI58" s="25"/>
      <c r="AJ58" s="23"/>
      <c r="AK58" s="24"/>
      <c r="AL58" s="24"/>
      <c r="AM58" s="25"/>
      <c r="AN58" s="23"/>
      <c r="AO58" s="24"/>
      <c r="AP58" s="24"/>
      <c r="AQ58" s="25"/>
      <c r="AR58" s="23"/>
      <c r="AS58" s="24"/>
      <c r="AT58" s="24"/>
      <c r="AU58" s="25"/>
    </row>
    <row r="59" spans="1:47" ht="57" customHeight="1" outlineLevel="1" x14ac:dyDescent="0.25">
      <c r="A59" s="31"/>
      <c r="B59" s="24" t="str">
        <f>IF(F59="","",$D$3&amp;"."&amp;COUNTA($F$9:F59)&amp;"")</f>
        <v>TC_02.49</v>
      </c>
      <c r="C59" s="32" t="s">
        <v>24</v>
      </c>
      <c r="D59" s="33" t="s">
        <v>207</v>
      </c>
      <c r="E59" s="33" t="s">
        <v>208</v>
      </c>
      <c r="F59" s="33" t="s">
        <v>209</v>
      </c>
      <c r="G59" s="33" t="s">
        <v>210</v>
      </c>
      <c r="H59" s="28"/>
      <c r="I59" s="29"/>
      <c r="J59" s="22"/>
      <c r="K59" s="22"/>
      <c r="L59" s="28"/>
      <c r="M59" s="30"/>
      <c r="N59" s="22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3"/>
      <c r="AC59" s="24"/>
      <c r="AD59" s="24"/>
      <c r="AE59" s="25"/>
      <c r="AF59" s="23"/>
      <c r="AG59" s="24"/>
      <c r="AH59" s="24"/>
      <c r="AI59" s="25"/>
      <c r="AJ59" s="23"/>
      <c r="AK59" s="24"/>
      <c r="AL59" s="24"/>
      <c r="AM59" s="25"/>
      <c r="AN59" s="23"/>
      <c r="AO59" s="24"/>
      <c r="AP59" s="24"/>
      <c r="AQ59" s="25"/>
      <c r="AR59" s="23"/>
      <c r="AS59" s="24"/>
      <c r="AT59" s="24"/>
      <c r="AU59" s="25"/>
    </row>
    <row r="60" spans="1:47" ht="71.25" customHeight="1" outlineLevel="1" x14ac:dyDescent="0.25">
      <c r="A60" s="31"/>
      <c r="B60" s="24" t="str">
        <f>IF(F60="","",$D$3&amp;"."&amp;COUNTA($F$9:F60)&amp;"")</f>
        <v>TC_02.50</v>
      </c>
      <c r="C60" s="32" t="s">
        <v>24</v>
      </c>
      <c r="D60" s="33" t="s">
        <v>211</v>
      </c>
      <c r="E60" s="33" t="s">
        <v>208</v>
      </c>
      <c r="F60" s="33" t="s">
        <v>212</v>
      </c>
      <c r="G60" s="33" t="s">
        <v>213</v>
      </c>
      <c r="H60" s="28"/>
      <c r="I60" s="29"/>
      <c r="J60" s="34"/>
      <c r="K60" s="22"/>
      <c r="L60" s="28"/>
      <c r="M60" s="30"/>
      <c r="N60" s="22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3"/>
      <c r="AC60" s="24"/>
      <c r="AD60" s="24"/>
      <c r="AE60" s="25"/>
      <c r="AF60" s="23"/>
      <c r="AG60" s="24"/>
      <c r="AH60" s="24"/>
      <c r="AI60" s="25"/>
      <c r="AJ60" s="23"/>
      <c r="AK60" s="24"/>
      <c r="AL60" s="24"/>
      <c r="AM60" s="25"/>
      <c r="AN60" s="23"/>
      <c r="AO60" s="24"/>
      <c r="AP60" s="24"/>
      <c r="AQ60" s="25"/>
      <c r="AR60" s="23"/>
      <c r="AS60" s="24"/>
      <c r="AT60" s="24"/>
      <c r="AU60" s="25"/>
    </row>
    <row r="61" spans="1:47" ht="71.25" customHeight="1" outlineLevel="1" x14ac:dyDescent="0.25">
      <c r="A61" s="31"/>
      <c r="B61" s="24" t="str">
        <f>IF(F61="","",$D$3&amp;"."&amp;COUNTA($F$9:F61)&amp;"")</f>
        <v>TC_02.51</v>
      </c>
      <c r="C61" s="32" t="s">
        <v>16</v>
      </c>
      <c r="D61" s="33" t="s">
        <v>214</v>
      </c>
      <c r="E61" s="33" t="s">
        <v>215</v>
      </c>
      <c r="F61" s="33" t="s">
        <v>216</v>
      </c>
      <c r="G61" s="33" t="s">
        <v>217</v>
      </c>
      <c r="H61" s="28"/>
      <c r="I61" s="29"/>
      <c r="J61" s="22"/>
      <c r="K61" s="22"/>
      <c r="L61" s="28"/>
      <c r="M61" s="30"/>
      <c r="N61" s="22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3"/>
      <c r="AC61" s="24"/>
      <c r="AD61" s="24"/>
      <c r="AE61" s="25"/>
      <c r="AF61" s="23"/>
      <c r="AG61" s="24"/>
      <c r="AH61" s="24"/>
      <c r="AI61" s="25"/>
      <c r="AJ61" s="23"/>
      <c r="AK61" s="24"/>
      <c r="AL61" s="24"/>
      <c r="AM61" s="25"/>
      <c r="AN61" s="23"/>
      <c r="AO61" s="24"/>
      <c r="AP61" s="24"/>
      <c r="AQ61" s="25"/>
      <c r="AR61" s="23"/>
      <c r="AS61" s="24"/>
      <c r="AT61" s="24"/>
      <c r="AU61" s="25"/>
    </row>
    <row r="62" spans="1:47" ht="71.25" customHeight="1" outlineLevel="1" x14ac:dyDescent="0.25">
      <c r="A62" s="31"/>
      <c r="B62" s="24" t="str">
        <f>IF(F62="","",$D$3&amp;"."&amp;COUNTA($F$9:F62)&amp;"")</f>
        <v>TC_02.52</v>
      </c>
      <c r="C62" s="32" t="s">
        <v>16</v>
      </c>
      <c r="D62" s="33" t="s">
        <v>218</v>
      </c>
      <c r="E62" s="33" t="s">
        <v>152</v>
      </c>
      <c r="F62" s="33" t="s">
        <v>219</v>
      </c>
      <c r="G62" s="33" t="s">
        <v>220</v>
      </c>
      <c r="H62" s="28"/>
      <c r="I62" s="29"/>
      <c r="J62" s="22"/>
      <c r="K62" s="22"/>
      <c r="L62" s="28"/>
      <c r="M62" s="30"/>
      <c r="N62" s="22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3"/>
      <c r="AC62" s="24"/>
      <c r="AD62" s="24"/>
      <c r="AE62" s="25"/>
      <c r="AF62" s="23"/>
      <c r="AG62" s="24"/>
      <c r="AH62" s="24"/>
      <c r="AI62" s="25"/>
      <c r="AJ62" s="23"/>
      <c r="AK62" s="24"/>
      <c r="AL62" s="24"/>
      <c r="AM62" s="25"/>
      <c r="AN62" s="23"/>
      <c r="AO62" s="24"/>
      <c r="AP62" s="24"/>
      <c r="AQ62" s="25"/>
      <c r="AR62" s="23"/>
      <c r="AS62" s="24"/>
      <c r="AT62" s="24"/>
      <c r="AU62" s="25"/>
    </row>
    <row r="63" spans="1:47" ht="57" customHeight="1" outlineLevel="1" x14ac:dyDescent="0.25">
      <c r="A63" s="31"/>
      <c r="B63" s="24" t="str">
        <f>IF(F63="","",$D$3&amp;"."&amp;COUNTA($F$9:F63)&amp;"")</f>
        <v>TC_02.53</v>
      </c>
      <c r="C63" s="32" t="s">
        <v>16</v>
      </c>
      <c r="D63" s="33" t="s">
        <v>221</v>
      </c>
      <c r="E63" s="33" t="s">
        <v>116</v>
      </c>
      <c r="F63" s="33" t="s">
        <v>222</v>
      </c>
      <c r="G63" s="33" t="s">
        <v>157</v>
      </c>
      <c r="H63" s="28"/>
      <c r="I63" s="29"/>
      <c r="J63" s="22"/>
      <c r="K63" s="22"/>
      <c r="L63" s="28"/>
      <c r="M63" s="30"/>
      <c r="N63" s="22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3"/>
      <c r="AC63" s="24"/>
      <c r="AD63" s="24"/>
      <c r="AE63" s="25"/>
      <c r="AF63" s="23"/>
      <c r="AG63" s="24"/>
      <c r="AH63" s="24"/>
      <c r="AI63" s="25"/>
      <c r="AJ63" s="23"/>
      <c r="AK63" s="24"/>
      <c r="AL63" s="24"/>
      <c r="AM63" s="25"/>
      <c r="AN63" s="23"/>
      <c r="AO63" s="24"/>
      <c r="AP63" s="24"/>
      <c r="AQ63" s="25"/>
      <c r="AR63" s="23"/>
      <c r="AS63" s="24"/>
      <c r="AT63" s="24"/>
      <c r="AU63" s="25"/>
    </row>
    <row r="64" spans="1:47" ht="57" customHeight="1" outlineLevel="1" x14ac:dyDescent="0.25">
      <c r="A64" s="31"/>
      <c r="B64" s="24" t="str">
        <f>IF(F64="","",$D$3&amp;"."&amp;COUNTA($F$9:F64)&amp;"")</f>
        <v>TC_02.54</v>
      </c>
      <c r="C64" s="32" t="s">
        <v>16</v>
      </c>
      <c r="D64" s="33" t="s">
        <v>223</v>
      </c>
      <c r="E64" s="33" t="s">
        <v>116</v>
      </c>
      <c r="F64" s="33" t="s">
        <v>224</v>
      </c>
      <c r="G64" s="33" t="s">
        <v>225</v>
      </c>
      <c r="H64" s="28"/>
      <c r="I64" s="29"/>
      <c r="J64" s="22"/>
      <c r="K64" s="22"/>
      <c r="L64" s="28"/>
      <c r="M64" s="30"/>
      <c r="N64" s="22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3"/>
      <c r="AC64" s="24"/>
      <c r="AD64" s="24"/>
      <c r="AE64" s="25"/>
      <c r="AF64" s="23"/>
      <c r="AG64" s="24"/>
      <c r="AH64" s="24"/>
      <c r="AI64" s="25"/>
      <c r="AJ64" s="23"/>
      <c r="AK64" s="24"/>
      <c r="AL64" s="24"/>
      <c r="AM64" s="25"/>
      <c r="AN64" s="23"/>
      <c r="AO64" s="24"/>
      <c r="AP64" s="24"/>
      <c r="AQ64" s="25"/>
      <c r="AR64" s="23"/>
      <c r="AS64" s="24"/>
      <c r="AT64" s="24"/>
      <c r="AU64" s="25"/>
    </row>
    <row r="65" spans="1:47" ht="57" customHeight="1" outlineLevel="1" x14ac:dyDescent="0.25">
      <c r="A65" s="31"/>
      <c r="B65" s="24" t="str">
        <f>IF(F65="","",$D$3&amp;"."&amp;COUNTA($F$9:F65)&amp;"")</f>
        <v>TC_02.55</v>
      </c>
      <c r="C65" s="32" t="s">
        <v>24</v>
      </c>
      <c r="D65" s="33" t="s">
        <v>226</v>
      </c>
      <c r="E65" s="33" t="s">
        <v>197</v>
      </c>
      <c r="F65" s="33" t="s">
        <v>227</v>
      </c>
      <c r="G65" s="33" t="s">
        <v>228</v>
      </c>
      <c r="H65" s="28"/>
      <c r="I65" s="29"/>
      <c r="J65" s="22"/>
      <c r="K65" s="22"/>
      <c r="L65" s="28"/>
      <c r="M65" s="30"/>
      <c r="N65" s="22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3"/>
      <c r="AC65" s="24"/>
      <c r="AD65" s="24"/>
      <c r="AE65" s="25"/>
      <c r="AF65" s="23"/>
      <c r="AG65" s="24"/>
      <c r="AH65" s="24"/>
      <c r="AI65" s="25"/>
      <c r="AJ65" s="23"/>
      <c r="AK65" s="24"/>
      <c r="AL65" s="24"/>
      <c r="AM65" s="25"/>
      <c r="AN65" s="23"/>
      <c r="AO65" s="24"/>
      <c r="AP65" s="24"/>
      <c r="AQ65" s="25"/>
      <c r="AR65" s="23"/>
      <c r="AS65" s="24"/>
      <c r="AT65" s="24"/>
      <c r="AU65" s="25"/>
    </row>
    <row r="66" spans="1:47" ht="71.25" customHeight="1" outlineLevel="1" x14ac:dyDescent="0.25">
      <c r="A66" s="31"/>
      <c r="B66" s="24" t="str">
        <f>IF(F66="","",$D$3&amp;"."&amp;COUNTA($F$9:F66)&amp;"")</f>
        <v>TC_02.56</v>
      </c>
      <c r="C66" s="32" t="s">
        <v>16</v>
      </c>
      <c r="D66" s="33" t="s">
        <v>229</v>
      </c>
      <c r="E66" s="33" t="s">
        <v>116</v>
      </c>
      <c r="F66" s="33" t="s">
        <v>230</v>
      </c>
      <c r="G66" s="33" t="s">
        <v>231</v>
      </c>
      <c r="H66" s="28"/>
      <c r="I66" s="29"/>
      <c r="J66" s="22"/>
      <c r="K66" s="22"/>
      <c r="L66" s="28"/>
      <c r="M66" s="30"/>
      <c r="N66" s="22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3"/>
      <c r="AC66" s="24"/>
      <c r="AD66" s="24"/>
      <c r="AE66" s="25"/>
      <c r="AF66" s="23"/>
      <c r="AG66" s="24"/>
      <c r="AH66" s="24"/>
      <c r="AI66" s="25"/>
      <c r="AJ66" s="23"/>
      <c r="AK66" s="24"/>
      <c r="AL66" s="24"/>
      <c r="AM66" s="25"/>
      <c r="AN66" s="23"/>
      <c r="AO66" s="24"/>
      <c r="AP66" s="24"/>
      <c r="AQ66" s="25"/>
      <c r="AR66" s="23"/>
      <c r="AS66" s="24"/>
      <c r="AT66" s="24"/>
      <c r="AU66" s="25"/>
    </row>
    <row r="67" spans="1:47" ht="57" customHeight="1" outlineLevel="1" x14ac:dyDescent="0.25">
      <c r="A67" s="31"/>
      <c r="B67" s="24" t="str">
        <f>IF(F67="","",$D$3&amp;"."&amp;COUNTA($F$9:F67)&amp;"")</f>
        <v>TC_02.57</v>
      </c>
      <c r="C67" s="32" t="s">
        <v>16</v>
      </c>
      <c r="D67" s="33" t="s">
        <v>232</v>
      </c>
      <c r="E67" s="33" t="s">
        <v>116</v>
      </c>
      <c r="F67" s="33" t="s">
        <v>233</v>
      </c>
      <c r="G67" s="35" t="s">
        <v>234</v>
      </c>
      <c r="H67" s="28"/>
      <c r="I67" s="29"/>
      <c r="J67" s="34"/>
      <c r="K67" s="22"/>
      <c r="L67" s="28"/>
      <c r="M67" s="30"/>
      <c r="N67" s="22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3"/>
      <c r="AC67" s="24"/>
      <c r="AD67" s="24"/>
      <c r="AE67" s="25"/>
      <c r="AF67" s="23"/>
      <c r="AG67" s="24"/>
      <c r="AH67" s="24"/>
      <c r="AI67" s="25"/>
      <c r="AJ67" s="23"/>
      <c r="AK67" s="24"/>
      <c r="AL67" s="24"/>
      <c r="AM67" s="25"/>
      <c r="AN67" s="23"/>
      <c r="AO67" s="24"/>
      <c r="AP67" s="24"/>
      <c r="AQ67" s="25"/>
      <c r="AR67" s="23"/>
      <c r="AS67" s="24"/>
      <c r="AT67" s="24"/>
      <c r="AU67" s="25"/>
    </row>
    <row r="68" spans="1:47" ht="42.75" customHeight="1" outlineLevel="1" x14ac:dyDescent="0.25">
      <c r="A68" s="31"/>
      <c r="B68" s="24" t="str">
        <f>IF(F68="","",$D$3&amp;"."&amp;COUNTA($F$9:F68)&amp;"")</f>
        <v>TC_02.58</v>
      </c>
      <c r="C68" s="32" t="s">
        <v>16</v>
      </c>
      <c r="D68" s="33" t="s">
        <v>235</v>
      </c>
      <c r="E68" s="33" t="s">
        <v>116</v>
      </c>
      <c r="F68" s="33" t="s">
        <v>236</v>
      </c>
      <c r="G68" s="33" t="s">
        <v>237</v>
      </c>
      <c r="H68" s="28"/>
      <c r="I68" s="29"/>
      <c r="J68" s="22"/>
      <c r="K68" s="22"/>
      <c r="L68" s="28"/>
      <c r="M68" s="30"/>
      <c r="N68" s="22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3"/>
      <c r="AC68" s="24"/>
      <c r="AD68" s="24"/>
      <c r="AE68" s="25"/>
      <c r="AF68" s="23"/>
      <c r="AG68" s="24"/>
      <c r="AH68" s="24"/>
      <c r="AI68" s="25"/>
      <c r="AJ68" s="23"/>
      <c r="AK68" s="24"/>
      <c r="AL68" s="24"/>
      <c r="AM68" s="25"/>
      <c r="AN68" s="23"/>
      <c r="AO68" s="24"/>
      <c r="AP68" s="24"/>
      <c r="AQ68" s="25"/>
      <c r="AR68" s="23"/>
      <c r="AS68" s="24"/>
      <c r="AT68" s="24"/>
      <c r="AU68" s="25"/>
    </row>
    <row r="69" spans="1:47" ht="42.75" customHeight="1" outlineLevel="1" x14ac:dyDescent="0.25">
      <c r="A69" s="31"/>
      <c r="B69" s="24" t="str">
        <f>IF(F69="","",$D$3&amp;"."&amp;COUNTA($F$9:F69)&amp;"")</f>
        <v>TC_02.59</v>
      </c>
      <c r="C69" s="32" t="s">
        <v>24</v>
      </c>
      <c r="D69" s="33" t="s">
        <v>238</v>
      </c>
      <c r="E69" s="33" t="s">
        <v>116</v>
      </c>
      <c r="F69" s="33" t="s">
        <v>239</v>
      </c>
      <c r="G69" s="33" t="s">
        <v>228</v>
      </c>
      <c r="H69" s="28"/>
      <c r="I69" s="29"/>
      <c r="J69" s="22"/>
      <c r="K69" s="22"/>
      <c r="L69" s="28"/>
      <c r="M69" s="30"/>
      <c r="N69" s="22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3"/>
      <c r="AC69" s="24"/>
      <c r="AD69" s="24"/>
      <c r="AE69" s="25"/>
      <c r="AF69" s="23"/>
      <c r="AG69" s="24"/>
      <c r="AH69" s="24"/>
      <c r="AI69" s="25"/>
      <c r="AJ69" s="23"/>
      <c r="AK69" s="24"/>
      <c r="AL69" s="24"/>
      <c r="AM69" s="25"/>
      <c r="AN69" s="23"/>
      <c r="AO69" s="24"/>
      <c r="AP69" s="24"/>
      <c r="AQ69" s="25"/>
      <c r="AR69" s="23"/>
      <c r="AS69" s="24"/>
      <c r="AT69" s="24"/>
      <c r="AU69" s="25"/>
    </row>
    <row r="70" spans="1:47" ht="57" customHeight="1" outlineLevel="1" x14ac:dyDescent="0.25">
      <c r="A70" s="31"/>
      <c r="B70" s="24" t="str">
        <f>IF(F70="","",$D$3&amp;"."&amp;COUNTA($F$9:F70)&amp;"")</f>
        <v>TC_02.60</v>
      </c>
      <c r="C70" s="32" t="s">
        <v>16</v>
      </c>
      <c r="D70" s="33" t="s">
        <v>240</v>
      </c>
      <c r="E70" s="33" t="s">
        <v>116</v>
      </c>
      <c r="F70" s="33" t="s">
        <v>241</v>
      </c>
      <c r="G70" s="33" t="s">
        <v>157</v>
      </c>
      <c r="H70" s="28"/>
      <c r="I70" s="29"/>
      <c r="J70" s="22"/>
      <c r="K70" s="22"/>
      <c r="L70" s="28"/>
      <c r="M70" s="30"/>
      <c r="N70" s="22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3"/>
      <c r="AC70" s="24"/>
      <c r="AD70" s="24"/>
      <c r="AE70" s="25"/>
      <c r="AF70" s="23"/>
      <c r="AG70" s="24"/>
      <c r="AH70" s="24"/>
      <c r="AI70" s="25"/>
      <c r="AJ70" s="23"/>
      <c r="AK70" s="24"/>
      <c r="AL70" s="24"/>
      <c r="AM70" s="25"/>
      <c r="AN70" s="23"/>
      <c r="AO70" s="24"/>
      <c r="AP70" s="24"/>
      <c r="AQ70" s="25"/>
      <c r="AR70" s="23"/>
      <c r="AS70" s="24"/>
      <c r="AT70" s="24"/>
      <c r="AU70" s="25"/>
    </row>
    <row r="71" spans="1:47" ht="71.25" customHeight="1" outlineLevel="1" x14ac:dyDescent="0.25">
      <c r="A71" s="31"/>
      <c r="B71" s="24" t="str">
        <f>IF(F71="","",$D$3&amp;"."&amp;COUNTA($F$9:F71)&amp;"")</f>
        <v>TC_02.61</v>
      </c>
      <c r="C71" s="32" t="s">
        <v>16</v>
      </c>
      <c r="D71" s="33" t="s">
        <v>242</v>
      </c>
      <c r="E71" s="33" t="s">
        <v>116</v>
      </c>
      <c r="F71" s="33" t="s">
        <v>243</v>
      </c>
      <c r="G71" s="35" t="s">
        <v>244</v>
      </c>
      <c r="H71" s="28"/>
      <c r="I71" s="29"/>
      <c r="J71" s="34"/>
      <c r="K71" s="22"/>
      <c r="L71" s="28"/>
      <c r="M71" s="30"/>
      <c r="N71" s="22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3"/>
      <c r="AC71" s="24"/>
      <c r="AD71" s="24"/>
      <c r="AE71" s="25"/>
      <c r="AF71" s="23"/>
      <c r="AG71" s="24"/>
      <c r="AH71" s="24"/>
      <c r="AI71" s="25"/>
      <c r="AJ71" s="23"/>
      <c r="AK71" s="24"/>
      <c r="AL71" s="24"/>
      <c r="AM71" s="25"/>
      <c r="AN71" s="23"/>
      <c r="AO71" s="24"/>
      <c r="AP71" s="24"/>
      <c r="AQ71" s="25"/>
      <c r="AR71" s="23"/>
      <c r="AS71" s="24"/>
      <c r="AT71" s="24"/>
      <c r="AU71" s="25"/>
    </row>
    <row r="72" spans="1:47" ht="42.75" customHeight="1" outlineLevel="1" x14ac:dyDescent="0.25">
      <c r="A72" s="31"/>
      <c r="B72" s="24" t="str">
        <f>IF(F72="","",$D$3&amp;"."&amp;COUNTA($F$9:F72)&amp;"")</f>
        <v>TC_02.62</v>
      </c>
      <c r="C72" s="32" t="s">
        <v>16</v>
      </c>
      <c r="D72" s="33" t="s">
        <v>245</v>
      </c>
      <c r="E72" s="33" t="s">
        <v>116</v>
      </c>
      <c r="F72" s="33" t="s">
        <v>246</v>
      </c>
      <c r="G72" s="33" t="s">
        <v>247</v>
      </c>
      <c r="H72" s="28"/>
      <c r="I72" s="29"/>
      <c r="J72" s="22"/>
      <c r="K72" s="22"/>
      <c r="L72" s="28"/>
      <c r="M72" s="30"/>
      <c r="N72" s="22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3"/>
      <c r="AC72" s="24"/>
      <c r="AD72" s="24"/>
      <c r="AE72" s="25"/>
      <c r="AF72" s="23"/>
      <c r="AG72" s="24"/>
      <c r="AH72" s="24"/>
      <c r="AI72" s="25"/>
      <c r="AJ72" s="23"/>
      <c r="AK72" s="24"/>
      <c r="AL72" s="24"/>
      <c r="AM72" s="25"/>
      <c r="AN72" s="23"/>
      <c r="AO72" s="24"/>
      <c r="AP72" s="24"/>
      <c r="AQ72" s="25"/>
      <c r="AR72" s="23"/>
      <c r="AS72" s="24"/>
      <c r="AT72" s="24"/>
      <c r="AU72" s="25"/>
    </row>
    <row r="73" spans="1:47" ht="42.75" customHeight="1" outlineLevel="1" x14ac:dyDescent="0.25">
      <c r="A73" s="31"/>
      <c r="B73" s="24" t="str">
        <f>IF(F73="","",$D$3&amp;"."&amp;COUNTA($F$9:F73)&amp;"")</f>
        <v>TC_02.63</v>
      </c>
      <c r="C73" s="32" t="s">
        <v>16</v>
      </c>
      <c r="D73" s="33" t="s">
        <v>248</v>
      </c>
      <c r="E73" s="33" t="s">
        <v>249</v>
      </c>
      <c r="F73" s="33" t="s">
        <v>250</v>
      </c>
      <c r="G73" s="33" t="s">
        <v>251</v>
      </c>
      <c r="H73" s="28"/>
      <c r="I73" s="29"/>
      <c r="J73" s="22"/>
      <c r="K73" s="22"/>
      <c r="L73" s="28"/>
      <c r="M73" s="30"/>
      <c r="N73" s="22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3"/>
      <c r="AC73" s="24"/>
      <c r="AD73" s="24"/>
      <c r="AE73" s="25"/>
      <c r="AF73" s="23"/>
      <c r="AG73" s="24"/>
      <c r="AH73" s="24"/>
      <c r="AI73" s="25"/>
      <c r="AJ73" s="23"/>
      <c r="AK73" s="24"/>
      <c r="AL73" s="24"/>
      <c r="AM73" s="25"/>
      <c r="AN73" s="23"/>
      <c r="AO73" s="24"/>
      <c r="AP73" s="24"/>
      <c r="AQ73" s="25"/>
      <c r="AR73" s="23"/>
      <c r="AS73" s="24"/>
      <c r="AT73" s="24"/>
      <c r="AU73" s="25"/>
    </row>
    <row r="74" spans="1:47" ht="28.5" customHeight="1" outlineLevel="1" x14ac:dyDescent="0.25">
      <c r="A74" s="31"/>
      <c r="B74" s="24" t="str">
        <f>IF(F74="","",$D$3&amp;"."&amp;COUNTA($F$9:F74)&amp;"")</f>
        <v>TC_02.64</v>
      </c>
      <c r="C74" s="32" t="s">
        <v>16</v>
      </c>
      <c r="D74" s="33" t="s">
        <v>252</v>
      </c>
      <c r="E74" s="33" t="s">
        <v>253</v>
      </c>
      <c r="F74" s="33" t="s">
        <v>254</v>
      </c>
      <c r="G74" s="33" t="s">
        <v>255</v>
      </c>
      <c r="H74" s="28"/>
      <c r="I74" s="29"/>
      <c r="J74" s="22"/>
      <c r="K74" s="22"/>
      <c r="L74" s="28"/>
      <c r="M74" s="30"/>
      <c r="N74" s="22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3"/>
      <c r="AC74" s="24"/>
      <c r="AD74" s="24"/>
      <c r="AE74" s="25"/>
      <c r="AF74" s="23"/>
      <c r="AG74" s="24"/>
      <c r="AH74" s="24"/>
      <c r="AI74" s="25"/>
      <c r="AJ74" s="23"/>
      <c r="AK74" s="24"/>
      <c r="AL74" s="24"/>
      <c r="AM74" s="25"/>
      <c r="AN74" s="23"/>
      <c r="AO74" s="24"/>
      <c r="AP74" s="24"/>
      <c r="AQ74" s="25"/>
      <c r="AR74" s="23"/>
      <c r="AS74" s="24"/>
      <c r="AT74" s="24"/>
      <c r="AU74" s="25"/>
    </row>
    <row r="75" spans="1:47" ht="42.75" customHeight="1" outlineLevel="1" x14ac:dyDescent="0.25">
      <c r="A75" s="31"/>
      <c r="B75" s="24" t="str">
        <f>IF(F75="","",$D$3&amp;"."&amp;COUNTA($F$9:F75)&amp;"")</f>
        <v>TC_02.65</v>
      </c>
      <c r="C75" s="32" t="s">
        <v>16</v>
      </c>
      <c r="D75" s="33" t="s">
        <v>256</v>
      </c>
      <c r="E75" s="33" t="s">
        <v>257</v>
      </c>
      <c r="F75" s="33" t="s">
        <v>258</v>
      </c>
      <c r="G75" s="33" t="s">
        <v>259</v>
      </c>
      <c r="H75" s="28"/>
      <c r="I75" s="29"/>
      <c r="J75" s="22"/>
      <c r="K75" s="22"/>
      <c r="L75" s="28"/>
      <c r="M75" s="30"/>
      <c r="N75" s="22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3"/>
      <c r="AC75" s="24"/>
      <c r="AD75" s="24"/>
      <c r="AE75" s="25"/>
      <c r="AF75" s="23"/>
      <c r="AG75" s="24"/>
      <c r="AH75" s="24"/>
      <c r="AI75" s="25"/>
      <c r="AJ75" s="23"/>
      <c r="AK75" s="24"/>
      <c r="AL75" s="24"/>
      <c r="AM75" s="25"/>
      <c r="AN75" s="23"/>
      <c r="AO75" s="24"/>
      <c r="AP75" s="24"/>
      <c r="AQ75" s="25"/>
      <c r="AR75" s="23"/>
      <c r="AS75" s="24"/>
      <c r="AT75" s="24"/>
      <c r="AU75" s="25"/>
    </row>
    <row r="76" spans="1:47" ht="42.75" customHeight="1" outlineLevel="1" x14ac:dyDescent="0.25">
      <c r="A76" s="31"/>
      <c r="B76" s="24" t="str">
        <f>IF(F76="","",$D$3&amp;"."&amp;COUNTA($F$9:F76)&amp;"")</f>
        <v>TC_02.66</v>
      </c>
      <c r="C76" s="32" t="s">
        <v>16</v>
      </c>
      <c r="D76" s="33" t="s">
        <v>260</v>
      </c>
      <c r="E76" s="33" t="s">
        <v>261</v>
      </c>
      <c r="F76" s="33" t="s">
        <v>262</v>
      </c>
      <c r="G76" s="33" t="s">
        <v>263</v>
      </c>
      <c r="H76" s="28"/>
      <c r="I76" s="29"/>
      <c r="J76" s="22"/>
      <c r="K76" s="22"/>
      <c r="L76" s="28"/>
      <c r="M76" s="30"/>
      <c r="N76" s="22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3"/>
      <c r="AC76" s="24"/>
      <c r="AD76" s="24"/>
      <c r="AE76" s="25"/>
      <c r="AF76" s="23"/>
      <c r="AG76" s="24"/>
      <c r="AH76" s="24"/>
      <c r="AI76" s="25"/>
      <c r="AJ76" s="23"/>
      <c r="AK76" s="24"/>
      <c r="AL76" s="24"/>
      <c r="AM76" s="25"/>
      <c r="AN76" s="23"/>
      <c r="AO76" s="24"/>
      <c r="AP76" s="24"/>
      <c r="AQ76" s="25"/>
      <c r="AR76" s="23"/>
      <c r="AS76" s="24"/>
      <c r="AT76" s="24"/>
      <c r="AU76" s="25"/>
    </row>
    <row r="77" spans="1:47" ht="57" customHeight="1" outlineLevel="1" x14ac:dyDescent="0.25">
      <c r="A77" s="31"/>
      <c r="B77" s="24" t="str">
        <f>IF(F77="","",$D$3&amp;"."&amp;COUNTA($F$9:F77)&amp;"")</f>
        <v>TC_02.67</v>
      </c>
      <c r="C77" s="32" t="s">
        <v>16</v>
      </c>
      <c r="D77" s="33" t="s">
        <v>264</v>
      </c>
      <c r="E77" s="33" t="s">
        <v>152</v>
      </c>
      <c r="F77" s="33" t="s">
        <v>265</v>
      </c>
      <c r="G77" s="33" t="s">
        <v>266</v>
      </c>
      <c r="H77" s="28"/>
      <c r="I77" s="29"/>
      <c r="J77" s="34"/>
      <c r="K77" s="22"/>
      <c r="L77" s="28"/>
      <c r="M77" s="30"/>
      <c r="N77" s="22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3"/>
      <c r="AC77" s="24"/>
      <c r="AD77" s="24"/>
      <c r="AE77" s="25"/>
      <c r="AF77" s="23"/>
      <c r="AG77" s="24"/>
      <c r="AH77" s="24"/>
      <c r="AI77" s="25"/>
      <c r="AJ77" s="23"/>
      <c r="AK77" s="24"/>
      <c r="AL77" s="24"/>
      <c r="AM77" s="25"/>
      <c r="AN77" s="23"/>
      <c r="AO77" s="24"/>
      <c r="AP77" s="24"/>
      <c r="AQ77" s="25"/>
      <c r="AR77" s="23"/>
      <c r="AS77" s="24"/>
      <c r="AT77" s="24"/>
      <c r="AU77" s="25"/>
    </row>
    <row r="78" spans="1:47" ht="57" customHeight="1" outlineLevel="1" x14ac:dyDescent="0.25">
      <c r="A78" s="31"/>
      <c r="B78" s="24" t="str">
        <f>IF(F78="","",$D$3&amp;"."&amp;COUNTA($F$9:F78)&amp;"")</f>
        <v>TC_02.68</v>
      </c>
      <c r="C78" s="32" t="s">
        <v>16</v>
      </c>
      <c r="D78" s="33" t="s">
        <v>267</v>
      </c>
      <c r="E78" s="33" t="s">
        <v>268</v>
      </c>
      <c r="F78" s="33" t="s">
        <v>269</v>
      </c>
      <c r="G78" s="33" t="s">
        <v>270</v>
      </c>
      <c r="H78" s="28"/>
      <c r="I78" s="29"/>
      <c r="J78" s="22"/>
      <c r="K78" s="22"/>
      <c r="L78" s="28"/>
      <c r="M78" s="30"/>
      <c r="N78" s="22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3"/>
      <c r="AC78" s="24"/>
      <c r="AD78" s="24"/>
      <c r="AE78" s="25"/>
      <c r="AF78" s="23"/>
      <c r="AG78" s="24"/>
      <c r="AH78" s="24"/>
      <c r="AI78" s="25"/>
      <c r="AJ78" s="23"/>
      <c r="AK78" s="24"/>
      <c r="AL78" s="24"/>
      <c r="AM78" s="25"/>
      <c r="AN78" s="23"/>
      <c r="AO78" s="24"/>
      <c r="AP78" s="24"/>
      <c r="AQ78" s="25"/>
      <c r="AR78" s="23"/>
      <c r="AS78" s="24"/>
      <c r="AT78" s="24"/>
      <c r="AU78" s="25"/>
    </row>
    <row r="79" spans="1:47" ht="128.25" customHeight="1" outlineLevel="1" x14ac:dyDescent="0.25">
      <c r="A79" s="31"/>
      <c r="B79" s="24" t="str">
        <f>IF(F79="","",$D$3&amp;"."&amp;COUNTA($F$9:F79)&amp;"")</f>
        <v>TC_02.69</v>
      </c>
      <c r="C79" s="32" t="s">
        <v>16</v>
      </c>
      <c r="D79" s="33" t="s">
        <v>271</v>
      </c>
      <c r="E79" s="33" t="s">
        <v>116</v>
      </c>
      <c r="F79" s="33" t="s">
        <v>272</v>
      </c>
      <c r="G79" s="33" t="s">
        <v>273</v>
      </c>
      <c r="H79" s="28"/>
      <c r="I79" s="29"/>
      <c r="J79" s="22"/>
      <c r="K79" s="22"/>
      <c r="L79" s="28"/>
      <c r="M79" s="30"/>
      <c r="N79" s="22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3"/>
      <c r="AC79" s="24"/>
      <c r="AD79" s="24"/>
      <c r="AE79" s="25"/>
      <c r="AF79" s="23"/>
      <c r="AG79" s="24"/>
      <c r="AH79" s="24"/>
      <c r="AI79" s="25"/>
      <c r="AJ79" s="23"/>
      <c r="AK79" s="24"/>
      <c r="AL79" s="24"/>
      <c r="AM79" s="25"/>
      <c r="AN79" s="23"/>
      <c r="AO79" s="24"/>
      <c r="AP79" s="24"/>
      <c r="AQ79" s="25"/>
      <c r="AR79" s="23"/>
      <c r="AS79" s="24"/>
      <c r="AT79" s="24"/>
      <c r="AU79" s="25"/>
    </row>
    <row r="80" spans="1:47" ht="42.75" customHeight="1" outlineLevel="1" x14ac:dyDescent="0.25">
      <c r="A80" s="31"/>
      <c r="B80" s="24" t="str">
        <f>IF(F80="","",$D$3&amp;"."&amp;COUNTA($F$9:F80)&amp;"")</f>
        <v>TC_02.70</v>
      </c>
      <c r="C80" s="32" t="s">
        <v>16</v>
      </c>
      <c r="D80" s="33" t="s">
        <v>274</v>
      </c>
      <c r="E80" s="33" t="s">
        <v>116</v>
      </c>
      <c r="F80" s="33" t="s">
        <v>275</v>
      </c>
      <c r="G80" s="33" t="s">
        <v>225</v>
      </c>
      <c r="H80" s="28"/>
      <c r="I80" s="29"/>
      <c r="J80" s="22"/>
      <c r="K80" s="22"/>
      <c r="L80" s="28"/>
      <c r="M80" s="30"/>
      <c r="N80" s="22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3"/>
      <c r="AC80" s="24"/>
      <c r="AD80" s="24"/>
      <c r="AE80" s="25"/>
      <c r="AF80" s="23"/>
      <c r="AG80" s="24"/>
      <c r="AH80" s="24"/>
      <c r="AI80" s="25"/>
      <c r="AJ80" s="23"/>
      <c r="AK80" s="24"/>
      <c r="AL80" s="24"/>
      <c r="AM80" s="25"/>
      <c r="AN80" s="23"/>
      <c r="AO80" s="24"/>
      <c r="AP80" s="24"/>
      <c r="AQ80" s="25"/>
      <c r="AR80" s="23"/>
      <c r="AS80" s="24"/>
      <c r="AT80" s="24"/>
      <c r="AU80" s="25"/>
    </row>
    <row r="81" spans="1:47" ht="99.75" customHeight="1" outlineLevel="1" x14ac:dyDescent="0.25">
      <c r="A81" s="31"/>
      <c r="B81" s="24" t="str">
        <f>IF(F81="","",$D$3&amp;"."&amp;COUNTA($F$9:F81)&amp;"")</f>
        <v>TC_02.71</v>
      </c>
      <c r="C81" s="32" t="s">
        <v>16</v>
      </c>
      <c r="D81" s="33" t="s">
        <v>276</v>
      </c>
      <c r="E81" s="33" t="s">
        <v>116</v>
      </c>
      <c r="F81" s="33" t="s">
        <v>277</v>
      </c>
      <c r="G81" s="33" t="s">
        <v>278</v>
      </c>
      <c r="H81" s="28"/>
      <c r="I81" s="29"/>
      <c r="J81" s="22"/>
      <c r="K81" s="22"/>
      <c r="L81" s="28"/>
      <c r="M81" s="30"/>
      <c r="N81" s="22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3"/>
      <c r="AC81" s="24"/>
      <c r="AD81" s="24"/>
      <c r="AE81" s="25"/>
      <c r="AF81" s="23"/>
      <c r="AG81" s="24"/>
      <c r="AH81" s="24"/>
      <c r="AI81" s="25"/>
      <c r="AJ81" s="23"/>
      <c r="AK81" s="24"/>
      <c r="AL81" s="24"/>
      <c r="AM81" s="25"/>
      <c r="AN81" s="23"/>
      <c r="AO81" s="24"/>
      <c r="AP81" s="24"/>
      <c r="AQ81" s="25"/>
      <c r="AR81" s="23"/>
      <c r="AS81" s="24"/>
      <c r="AT81" s="24"/>
      <c r="AU81" s="25"/>
    </row>
    <row r="82" spans="1:47" ht="42.75" customHeight="1" outlineLevel="1" x14ac:dyDescent="0.25">
      <c r="A82" s="31"/>
      <c r="B82" s="24" t="str">
        <f>IF(F82="","",$D$3&amp;"."&amp;COUNTA($F$9:F82)&amp;"")</f>
        <v>TC_02.72</v>
      </c>
      <c r="C82" s="32" t="s">
        <v>16</v>
      </c>
      <c r="D82" s="33" t="s">
        <v>279</v>
      </c>
      <c r="E82" s="33" t="s">
        <v>249</v>
      </c>
      <c r="F82" s="33" t="s">
        <v>280</v>
      </c>
      <c r="G82" s="33" t="s">
        <v>251</v>
      </c>
      <c r="H82" s="28"/>
      <c r="I82" s="29"/>
      <c r="J82" s="22"/>
      <c r="K82" s="22"/>
      <c r="L82" s="28"/>
      <c r="M82" s="30"/>
      <c r="N82" s="22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3"/>
      <c r="AC82" s="24"/>
      <c r="AD82" s="24"/>
      <c r="AE82" s="25"/>
      <c r="AF82" s="23"/>
      <c r="AG82" s="24"/>
      <c r="AH82" s="24"/>
      <c r="AI82" s="25"/>
      <c r="AJ82" s="23"/>
      <c r="AK82" s="24"/>
      <c r="AL82" s="24"/>
      <c r="AM82" s="25"/>
      <c r="AN82" s="23"/>
      <c r="AO82" s="24"/>
      <c r="AP82" s="24"/>
      <c r="AQ82" s="25"/>
      <c r="AR82" s="23"/>
      <c r="AS82" s="24"/>
      <c r="AT82" s="24"/>
      <c r="AU82" s="25"/>
    </row>
    <row r="83" spans="1:47" ht="42.75" customHeight="1" outlineLevel="1" x14ac:dyDescent="0.25">
      <c r="A83" s="31"/>
      <c r="B83" s="24" t="str">
        <f>IF(F83="","",$D$3&amp;"."&amp;COUNTA($F$9:F83)&amp;"")</f>
        <v>TC_02.73</v>
      </c>
      <c r="C83" s="32" t="s">
        <v>16</v>
      </c>
      <c r="D83" s="33" t="s">
        <v>281</v>
      </c>
      <c r="E83" s="33" t="s">
        <v>253</v>
      </c>
      <c r="F83" s="33" t="s">
        <v>282</v>
      </c>
      <c r="G83" s="33" t="s">
        <v>255</v>
      </c>
      <c r="H83" s="28"/>
      <c r="I83" s="29"/>
      <c r="J83" s="22"/>
      <c r="K83" s="22"/>
      <c r="L83" s="28"/>
      <c r="M83" s="30"/>
      <c r="N83" s="22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3"/>
      <c r="AC83" s="24"/>
      <c r="AD83" s="24"/>
      <c r="AE83" s="25"/>
      <c r="AF83" s="23"/>
      <c r="AG83" s="24"/>
      <c r="AH83" s="24"/>
      <c r="AI83" s="25"/>
      <c r="AJ83" s="23"/>
      <c r="AK83" s="24"/>
      <c r="AL83" s="24"/>
      <c r="AM83" s="25"/>
      <c r="AN83" s="23"/>
      <c r="AO83" s="24"/>
      <c r="AP83" s="24"/>
      <c r="AQ83" s="25"/>
      <c r="AR83" s="23"/>
      <c r="AS83" s="24"/>
      <c r="AT83" s="24"/>
      <c r="AU83" s="25"/>
    </row>
    <row r="84" spans="1:47" ht="42.75" customHeight="1" outlineLevel="1" x14ac:dyDescent="0.25">
      <c r="A84" s="31"/>
      <c r="B84" s="24" t="str">
        <f>IF(F84="","",$D$3&amp;"."&amp;COUNTA($F$9:F84)&amp;"")</f>
        <v>TC_02.74</v>
      </c>
      <c r="C84" s="32" t="s">
        <v>16</v>
      </c>
      <c r="D84" s="33" t="s">
        <v>283</v>
      </c>
      <c r="E84" s="33" t="s">
        <v>257</v>
      </c>
      <c r="F84" s="33" t="s">
        <v>284</v>
      </c>
      <c r="G84" s="33" t="s">
        <v>259</v>
      </c>
      <c r="H84" s="28"/>
      <c r="I84" s="29"/>
      <c r="J84" s="34"/>
      <c r="K84" s="22"/>
      <c r="L84" s="28"/>
      <c r="M84" s="30"/>
      <c r="N84" s="22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3"/>
      <c r="AC84" s="24"/>
      <c r="AD84" s="24"/>
      <c r="AE84" s="25"/>
      <c r="AF84" s="23"/>
      <c r="AG84" s="24"/>
      <c r="AH84" s="24"/>
      <c r="AI84" s="25"/>
      <c r="AJ84" s="23"/>
      <c r="AK84" s="24"/>
      <c r="AL84" s="24"/>
      <c r="AM84" s="25"/>
      <c r="AN84" s="23"/>
      <c r="AO84" s="24"/>
      <c r="AP84" s="24"/>
      <c r="AQ84" s="25"/>
      <c r="AR84" s="23"/>
      <c r="AS84" s="24"/>
      <c r="AT84" s="24"/>
      <c r="AU84" s="25"/>
    </row>
    <row r="85" spans="1:47" ht="71.25" customHeight="1" outlineLevel="1" x14ac:dyDescent="0.25">
      <c r="A85" s="31"/>
      <c r="B85" s="24" t="str">
        <f>IF(F85="","",$D$3&amp;"."&amp;COUNTA($F$9:F85)&amp;"")</f>
        <v>TC_02.75</v>
      </c>
      <c r="C85" s="32" t="s">
        <v>24</v>
      </c>
      <c r="D85" s="33" t="s">
        <v>285</v>
      </c>
      <c r="E85" s="33" t="s">
        <v>286</v>
      </c>
      <c r="F85" s="33" t="s">
        <v>287</v>
      </c>
      <c r="G85" s="33" t="s">
        <v>288</v>
      </c>
      <c r="H85" s="28"/>
      <c r="I85" s="29"/>
      <c r="J85" s="22"/>
      <c r="K85" s="22"/>
      <c r="L85" s="28"/>
      <c r="M85" s="30"/>
      <c r="N85" s="22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3"/>
      <c r="AC85" s="24"/>
      <c r="AD85" s="24"/>
      <c r="AE85" s="25"/>
      <c r="AF85" s="23"/>
      <c r="AG85" s="24"/>
      <c r="AH85" s="24"/>
      <c r="AI85" s="25"/>
      <c r="AJ85" s="23"/>
      <c r="AK85" s="24"/>
      <c r="AL85" s="24"/>
      <c r="AM85" s="25"/>
      <c r="AN85" s="23"/>
      <c r="AO85" s="24"/>
      <c r="AP85" s="24"/>
      <c r="AQ85" s="25"/>
      <c r="AR85" s="23"/>
      <c r="AS85" s="24"/>
      <c r="AT85" s="24"/>
      <c r="AU85" s="25"/>
    </row>
    <row r="86" spans="1:47" ht="85.5" customHeight="1" outlineLevel="1" x14ac:dyDescent="0.25">
      <c r="A86" s="48" t="s">
        <v>41</v>
      </c>
      <c r="B86" s="45" t="str">
        <f>IF(F86="","",$D$3&amp;"."&amp;COUNTA($F$9:F86)&amp;"")</f>
        <v>TC_02.76</v>
      </c>
      <c r="C86" s="49" t="s">
        <v>16</v>
      </c>
      <c r="D86" s="50" t="s">
        <v>289</v>
      </c>
      <c r="E86" s="50" t="s">
        <v>116</v>
      </c>
      <c r="F86" s="50" t="s">
        <v>290</v>
      </c>
      <c r="G86" s="50" t="s">
        <v>291</v>
      </c>
      <c r="H86" s="28"/>
      <c r="I86" s="29"/>
      <c r="J86" s="22"/>
      <c r="K86" s="22" t="s">
        <v>292</v>
      </c>
      <c r="L86" s="28"/>
      <c r="M86" s="30"/>
      <c r="N86" s="22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3"/>
      <c r="AC86" s="24"/>
      <c r="AD86" s="24"/>
      <c r="AE86" s="25"/>
      <c r="AF86" s="23"/>
      <c r="AG86" s="24"/>
      <c r="AH86" s="24"/>
      <c r="AI86" s="25"/>
      <c r="AJ86" s="23"/>
      <c r="AK86" s="24"/>
      <c r="AL86" s="24"/>
      <c r="AM86" s="25"/>
      <c r="AN86" s="23"/>
      <c r="AO86" s="24"/>
      <c r="AP86" s="24"/>
      <c r="AQ86" s="25"/>
      <c r="AR86" s="23"/>
      <c r="AS86" s="24"/>
      <c r="AT86" s="24"/>
      <c r="AU86" s="25"/>
    </row>
    <row r="87" spans="1:47" ht="71.25" customHeight="1" outlineLevel="1" x14ac:dyDescent="0.25">
      <c r="A87" s="31"/>
      <c r="B87" s="24" t="str">
        <f>IF(F87="","",$D$3&amp;"."&amp;COUNTA($F$9:F87)&amp;"")</f>
        <v>TC_02.77</v>
      </c>
      <c r="C87" s="32" t="s">
        <v>16</v>
      </c>
      <c r="D87" s="33" t="s">
        <v>293</v>
      </c>
      <c r="E87" s="33" t="s">
        <v>116</v>
      </c>
      <c r="F87" s="33" t="s">
        <v>294</v>
      </c>
      <c r="G87" s="33" t="s">
        <v>225</v>
      </c>
      <c r="H87" s="28"/>
      <c r="I87" s="29"/>
      <c r="J87" s="22"/>
      <c r="K87" s="22"/>
      <c r="L87" s="28"/>
      <c r="M87" s="30"/>
      <c r="N87" s="22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3"/>
      <c r="AC87" s="24"/>
      <c r="AD87" s="24"/>
      <c r="AE87" s="25"/>
      <c r="AF87" s="23"/>
      <c r="AG87" s="24"/>
      <c r="AH87" s="24"/>
      <c r="AI87" s="25"/>
      <c r="AJ87" s="23"/>
      <c r="AK87" s="24"/>
      <c r="AL87" s="24"/>
      <c r="AM87" s="25"/>
      <c r="AN87" s="23"/>
      <c r="AO87" s="24"/>
      <c r="AP87" s="24"/>
      <c r="AQ87" s="25"/>
      <c r="AR87" s="23"/>
      <c r="AS87" s="24"/>
      <c r="AT87" s="24"/>
      <c r="AU87" s="25"/>
    </row>
    <row r="88" spans="1:47" ht="71.25" customHeight="1" outlineLevel="1" x14ac:dyDescent="0.25">
      <c r="A88" s="31"/>
      <c r="B88" s="24" t="str">
        <f>IF(F88="","",$D$3&amp;"."&amp;COUNTA($F$9:F88)&amp;"")</f>
        <v>TC_02.78</v>
      </c>
      <c r="C88" s="32" t="s">
        <v>16</v>
      </c>
      <c r="D88" s="33" t="s">
        <v>295</v>
      </c>
      <c r="E88" s="33" t="s">
        <v>116</v>
      </c>
      <c r="F88" s="33" t="s">
        <v>296</v>
      </c>
      <c r="G88" s="33" t="s">
        <v>157</v>
      </c>
      <c r="H88" s="28"/>
      <c r="I88" s="29"/>
      <c r="J88" s="22"/>
      <c r="K88" s="22"/>
      <c r="L88" s="28"/>
      <c r="M88" s="30"/>
      <c r="N88" s="22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3"/>
      <c r="AC88" s="24"/>
      <c r="AD88" s="24"/>
      <c r="AE88" s="25"/>
      <c r="AF88" s="23"/>
      <c r="AG88" s="24"/>
      <c r="AH88" s="24"/>
      <c r="AI88" s="25"/>
      <c r="AJ88" s="23"/>
      <c r="AK88" s="24"/>
      <c r="AL88" s="24"/>
      <c r="AM88" s="25"/>
      <c r="AN88" s="23"/>
      <c r="AO88" s="24"/>
      <c r="AP88" s="24"/>
      <c r="AQ88" s="25"/>
      <c r="AR88" s="23"/>
      <c r="AS88" s="24"/>
      <c r="AT88" s="24"/>
      <c r="AU88" s="25"/>
    </row>
    <row r="89" spans="1:47" ht="85.5" customHeight="1" outlineLevel="1" x14ac:dyDescent="0.25">
      <c r="A89" s="31"/>
      <c r="B89" s="24" t="str">
        <f>IF(F89="","",$D$3&amp;"."&amp;COUNTA($F$9:F89)&amp;"")</f>
        <v>TC_02.79</v>
      </c>
      <c r="C89" s="32" t="s">
        <v>16</v>
      </c>
      <c r="D89" s="33" t="s">
        <v>297</v>
      </c>
      <c r="E89" s="33" t="s">
        <v>116</v>
      </c>
      <c r="F89" s="33" t="s">
        <v>298</v>
      </c>
      <c r="G89" s="33" t="s">
        <v>299</v>
      </c>
      <c r="H89" s="28"/>
      <c r="I89" s="29"/>
      <c r="J89" s="22"/>
      <c r="K89" s="22"/>
      <c r="L89" s="28"/>
      <c r="M89" s="30"/>
      <c r="N89" s="22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3"/>
      <c r="AC89" s="24"/>
      <c r="AD89" s="24"/>
      <c r="AE89" s="25"/>
      <c r="AF89" s="23"/>
      <c r="AG89" s="24"/>
      <c r="AH89" s="24"/>
      <c r="AI89" s="25"/>
      <c r="AJ89" s="23"/>
      <c r="AK89" s="24"/>
      <c r="AL89" s="24"/>
      <c r="AM89" s="25"/>
      <c r="AN89" s="23"/>
      <c r="AO89" s="24"/>
      <c r="AP89" s="24"/>
      <c r="AQ89" s="25"/>
      <c r="AR89" s="23"/>
      <c r="AS89" s="24"/>
      <c r="AT89" s="24"/>
      <c r="AU89" s="25"/>
    </row>
    <row r="90" spans="1:47" ht="71.25" customHeight="1" outlineLevel="1" x14ac:dyDescent="0.25">
      <c r="A90" s="31"/>
      <c r="B90" s="24" t="str">
        <f>IF(F90="","",$D$3&amp;"."&amp;COUNTA($F$9:F90)&amp;"")</f>
        <v>TC_02.80</v>
      </c>
      <c r="C90" s="32" t="s">
        <v>16</v>
      </c>
      <c r="D90" s="33" t="s">
        <v>300</v>
      </c>
      <c r="E90" s="33" t="s">
        <v>116</v>
      </c>
      <c r="F90" s="33" t="s">
        <v>301</v>
      </c>
      <c r="G90" s="33" t="s">
        <v>225</v>
      </c>
      <c r="H90" s="28"/>
      <c r="I90" s="29"/>
      <c r="J90" s="22"/>
      <c r="K90" s="22"/>
      <c r="L90" s="28"/>
      <c r="M90" s="30"/>
      <c r="N90" s="22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3"/>
      <c r="AC90" s="24"/>
      <c r="AD90" s="24"/>
      <c r="AE90" s="25"/>
      <c r="AF90" s="23"/>
      <c r="AG90" s="24"/>
      <c r="AH90" s="24"/>
      <c r="AI90" s="25"/>
      <c r="AJ90" s="23"/>
      <c r="AK90" s="24"/>
      <c r="AL90" s="24"/>
      <c r="AM90" s="25"/>
      <c r="AN90" s="23"/>
      <c r="AO90" s="24"/>
      <c r="AP90" s="24"/>
      <c r="AQ90" s="25"/>
      <c r="AR90" s="23"/>
      <c r="AS90" s="24"/>
      <c r="AT90" s="24"/>
      <c r="AU90" s="25"/>
    </row>
    <row r="91" spans="1:47" ht="71.25" customHeight="1" outlineLevel="1" x14ac:dyDescent="0.25">
      <c r="A91" s="31"/>
      <c r="B91" s="24" t="str">
        <f>IF(F91="","",$D$3&amp;"."&amp;COUNTA($F$9:F91)&amp;"")</f>
        <v>TC_02.81</v>
      </c>
      <c r="C91" s="32" t="s">
        <v>16</v>
      </c>
      <c r="D91" s="33" t="s">
        <v>302</v>
      </c>
      <c r="E91" s="33" t="s">
        <v>116</v>
      </c>
      <c r="F91" s="33" t="s">
        <v>303</v>
      </c>
      <c r="G91" s="33" t="s">
        <v>157</v>
      </c>
      <c r="H91" s="28"/>
      <c r="I91" s="29"/>
      <c r="J91" s="22"/>
      <c r="K91" s="22"/>
      <c r="L91" s="28"/>
      <c r="M91" s="30"/>
      <c r="N91" s="22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3"/>
      <c r="AC91" s="24"/>
      <c r="AD91" s="24"/>
      <c r="AE91" s="25"/>
      <c r="AF91" s="23"/>
      <c r="AG91" s="24"/>
      <c r="AH91" s="24"/>
      <c r="AI91" s="25"/>
      <c r="AJ91" s="23"/>
      <c r="AK91" s="24"/>
      <c r="AL91" s="24"/>
      <c r="AM91" s="25"/>
      <c r="AN91" s="23"/>
      <c r="AO91" s="24"/>
      <c r="AP91" s="24"/>
      <c r="AQ91" s="25"/>
      <c r="AR91" s="23"/>
      <c r="AS91" s="24"/>
      <c r="AT91" s="24"/>
      <c r="AU91" s="25"/>
    </row>
    <row r="92" spans="1:47" ht="42.75" customHeight="1" outlineLevel="1" x14ac:dyDescent="0.25">
      <c r="A92" s="31"/>
      <c r="B92" s="24" t="str">
        <f>IF(F92="","",$D$3&amp;"."&amp;COUNTA($F$9:F92)&amp;"")</f>
        <v>TC_02.82</v>
      </c>
      <c r="C92" s="32" t="s">
        <v>16</v>
      </c>
      <c r="D92" s="33" t="s">
        <v>304</v>
      </c>
      <c r="E92" s="33" t="s">
        <v>249</v>
      </c>
      <c r="F92" s="33" t="s">
        <v>305</v>
      </c>
      <c r="G92" s="33" t="s">
        <v>251</v>
      </c>
      <c r="H92" s="28"/>
      <c r="I92" s="29"/>
      <c r="J92" s="22"/>
      <c r="K92" s="22"/>
      <c r="L92" s="28"/>
      <c r="M92" s="30"/>
      <c r="N92" s="22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3"/>
      <c r="AC92" s="24"/>
      <c r="AD92" s="24"/>
      <c r="AE92" s="25"/>
      <c r="AF92" s="23"/>
      <c r="AG92" s="24"/>
      <c r="AH92" s="24"/>
      <c r="AI92" s="25"/>
      <c r="AJ92" s="23"/>
      <c r="AK92" s="24"/>
      <c r="AL92" s="24"/>
      <c r="AM92" s="25"/>
      <c r="AN92" s="23"/>
      <c r="AO92" s="24"/>
      <c r="AP92" s="24"/>
      <c r="AQ92" s="25"/>
      <c r="AR92" s="23"/>
      <c r="AS92" s="24"/>
      <c r="AT92" s="24"/>
      <c r="AU92" s="25"/>
    </row>
    <row r="93" spans="1:47" ht="42.75" customHeight="1" outlineLevel="1" x14ac:dyDescent="0.25">
      <c r="A93" s="31"/>
      <c r="B93" s="24" t="str">
        <f>IF(F93="","",$D$3&amp;"."&amp;COUNTA($F$9:F93)&amp;"")</f>
        <v>TC_02.83</v>
      </c>
      <c r="C93" s="32" t="s">
        <v>16</v>
      </c>
      <c r="D93" s="33" t="s">
        <v>306</v>
      </c>
      <c r="E93" s="33" t="s">
        <v>253</v>
      </c>
      <c r="F93" s="33" t="s">
        <v>307</v>
      </c>
      <c r="G93" s="33" t="s">
        <v>255</v>
      </c>
      <c r="H93" s="28"/>
      <c r="I93" s="29"/>
      <c r="J93" s="22"/>
      <c r="K93" s="22"/>
      <c r="L93" s="28"/>
      <c r="M93" s="30"/>
      <c r="N93" s="22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3"/>
      <c r="AC93" s="24"/>
      <c r="AD93" s="24"/>
      <c r="AE93" s="25"/>
      <c r="AF93" s="23"/>
      <c r="AG93" s="24"/>
      <c r="AH93" s="24"/>
      <c r="AI93" s="25"/>
      <c r="AJ93" s="23"/>
      <c r="AK93" s="24"/>
      <c r="AL93" s="24"/>
      <c r="AM93" s="25"/>
      <c r="AN93" s="23"/>
      <c r="AO93" s="24"/>
      <c r="AP93" s="24"/>
      <c r="AQ93" s="25"/>
      <c r="AR93" s="23"/>
      <c r="AS93" s="24"/>
      <c r="AT93" s="24"/>
      <c r="AU93" s="25"/>
    </row>
    <row r="94" spans="1:47" ht="57" customHeight="1" outlineLevel="1" x14ac:dyDescent="0.25">
      <c r="A94" s="31"/>
      <c r="B94" s="24" t="str">
        <f>IF(F94="","",$D$3&amp;"."&amp;COUNTA($F$9:F94)&amp;"")</f>
        <v>TC_02.84</v>
      </c>
      <c r="C94" s="32" t="s">
        <v>16</v>
      </c>
      <c r="D94" s="33" t="s">
        <v>308</v>
      </c>
      <c r="E94" s="33" t="s">
        <v>309</v>
      </c>
      <c r="F94" s="33" t="s">
        <v>310</v>
      </c>
      <c r="G94" s="33" t="s">
        <v>311</v>
      </c>
      <c r="H94" s="28"/>
      <c r="I94" s="29"/>
      <c r="J94" s="22"/>
      <c r="K94" s="22"/>
      <c r="L94" s="28"/>
      <c r="M94" s="30"/>
      <c r="N94" s="22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3"/>
      <c r="AC94" s="24"/>
      <c r="AD94" s="24"/>
      <c r="AE94" s="25"/>
      <c r="AF94" s="23"/>
      <c r="AG94" s="24"/>
      <c r="AH94" s="24"/>
      <c r="AI94" s="25"/>
      <c r="AJ94" s="23"/>
      <c r="AK94" s="24"/>
      <c r="AL94" s="24"/>
      <c r="AM94" s="25"/>
      <c r="AN94" s="23"/>
      <c r="AO94" s="24"/>
      <c r="AP94" s="24"/>
      <c r="AQ94" s="25"/>
      <c r="AR94" s="23"/>
      <c r="AS94" s="24"/>
      <c r="AT94" s="24"/>
      <c r="AU94" s="25"/>
    </row>
    <row r="95" spans="1:47" ht="57" customHeight="1" outlineLevel="1" x14ac:dyDescent="0.25">
      <c r="A95" s="31"/>
      <c r="B95" s="24" t="str">
        <f>IF(F95="","",$D$3&amp;"."&amp;COUNTA($F$9:F95)&amp;"")</f>
        <v>TC_02.85</v>
      </c>
      <c r="C95" s="32" t="s">
        <v>24</v>
      </c>
      <c r="D95" s="33" t="s">
        <v>312</v>
      </c>
      <c r="E95" s="33" t="s">
        <v>116</v>
      </c>
      <c r="F95" s="33" t="s">
        <v>313</v>
      </c>
      <c r="G95" s="33" t="s">
        <v>314</v>
      </c>
      <c r="H95" s="28"/>
      <c r="I95" s="29"/>
      <c r="J95" s="22"/>
      <c r="K95" s="22"/>
      <c r="L95" s="28"/>
      <c r="M95" s="30"/>
      <c r="N95" s="22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3"/>
      <c r="AC95" s="24"/>
      <c r="AD95" s="24"/>
      <c r="AE95" s="25"/>
      <c r="AF95" s="23"/>
      <c r="AG95" s="24"/>
      <c r="AH95" s="24"/>
      <c r="AI95" s="25"/>
      <c r="AJ95" s="23"/>
      <c r="AK95" s="24"/>
      <c r="AL95" s="24"/>
      <c r="AM95" s="25"/>
      <c r="AN95" s="23"/>
      <c r="AO95" s="24"/>
      <c r="AP95" s="24"/>
      <c r="AQ95" s="25"/>
      <c r="AR95" s="23"/>
      <c r="AS95" s="24"/>
      <c r="AT95" s="24"/>
      <c r="AU95" s="25"/>
    </row>
    <row r="96" spans="1:47" ht="42.75" customHeight="1" outlineLevel="1" x14ac:dyDescent="0.25">
      <c r="A96" s="31"/>
      <c r="B96" s="24" t="str">
        <f>IF(F96="","",$D$3&amp;"."&amp;COUNTA($F$9:F96)&amp;"")</f>
        <v>TC_02.86</v>
      </c>
      <c r="C96" s="32" t="s">
        <v>24</v>
      </c>
      <c r="D96" s="33" t="s">
        <v>315</v>
      </c>
      <c r="E96" s="33" t="s">
        <v>316</v>
      </c>
      <c r="F96" s="33" t="s">
        <v>317</v>
      </c>
      <c r="G96" s="33" t="s">
        <v>318</v>
      </c>
      <c r="H96" s="28"/>
      <c r="I96" s="29"/>
      <c r="J96" s="34"/>
      <c r="K96" s="22"/>
      <c r="L96" s="28"/>
      <c r="M96" s="30"/>
      <c r="N96" s="22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3"/>
      <c r="AC96" s="24"/>
      <c r="AD96" s="24"/>
      <c r="AE96" s="25"/>
      <c r="AF96" s="23"/>
      <c r="AG96" s="24"/>
      <c r="AH96" s="24"/>
      <c r="AI96" s="25"/>
      <c r="AJ96" s="23"/>
      <c r="AK96" s="24"/>
      <c r="AL96" s="24"/>
      <c r="AM96" s="25"/>
      <c r="AN96" s="23"/>
      <c r="AO96" s="24"/>
      <c r="AP96" s="24"/>
      <c r="AQ96" s="25"/>
      <c r="AR96" s="23"/>
      <c r="AS96" s="24"/>
      <c r="AT96" s="24"/>
      <c r="AU96" s="25"/>
    </row>
    <row r="97" spans="1:47" ht="57" customHeight="1" outlineLevel="1" x14ac:dyDescent="0.25">
      <c r="A97" s="31"/>
      <c r="B97" s="24" t="str">
        <f>IF(F97="","",$D$3&amp;"."&amp;COUNTA($F$9:F97)&amp;"")</f>
        <v>TC_02.87</v>
      </c>
      <c r="C97" s="32" t="s">
        <v>16</v>
      </c>
      <c r="D97" s="33" t="s">
        <v>319</v>
      </c>
      <c r="E97" s="33" t="s">
        <v>116</v>
      </c>
      <c r="F97" s="33" t="s">
        <v>320</v>
      </c>
      <c r="G97" s="33" t="s">
        <v>321</v>
      </c>
      <c r="H97" s="28"/>
      <c r="I97" s="29"/>
      <c r="J97" s="22"/>
      <c r="K97" s="22"/>
      <c r="L97" s="28"/>
      <c r="M97" s="30"/>
      <c r="N97" s="22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3"/>
      <c r="AC97" s="24"/>
      <c r="AD97" s="24"/>
      <c r="AE97" s="25"/>
      <c r="AF97" s="23"/>
      <c r="AG97" s="24"/>
      <c r="AH97" s="24"/>
      <c r="AI97" s="25"/>
      <c r="AJ97" s="23"/>
      <c r="AK97" s="24"/>
      <c r="AL97" s="24"/>
      <c r="AM97" s="25"/>
      <c r="AN97" s="23"/>
      <c r="AO97" s="24"/>
      <c r="AP97" s="24"/>
      <c r="AQ97" s="25"/>
      <c r="AR97" s="23"/>
      <c r="AS97" s="24"/>
      <c r="AT97" s="24"/>
      <c r="AU97" s="25"/>
    </row>
    <row r="98" spans="1:47" ht="42.75" customHeight="1" outlineLevel="1" x14ac:dyDescent="0.25">
      <c r="A98" s="31"/>
      <c r="B98" s="24" t="str">
        <f>IF(F98="","",$D$3&amp;"."&amp;COUNTA($F$9:F98)&amp;"")</f>
        <v>TC_02.88</v>
      </c>
      <c r="C98" s="32" t="s">
        <v>16</v>
      </c>
      <c r="D98" s="33" t="s">
        <v>322</v>
      </c>
      <c r="E98" s="33" t="s">
        <v>323</v>
      </c>
      <c r="F98" s="33" t="s">
        <v>324</v>
      </c>
      <c r="G98" s="33" t="s">
        <v>325</v>
      </c>
      <c r="H98" s="28"/>
      <c r="I98" s="29"/>
      <c r="J98" s="22"/>
      <c r="K98" s="22"/>
      <c r="L98" s="28"/>
      <c r="M98" s="30"/>
      <c r="N98" s="22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3"/>
      <c r="AC98" s="24"/>
      <c r="AD98" s="24"/>
      <c r="AE98" s="25"/>
      <c r="AF98" s="23"/>
      <c r="AG98" s="24"/>
      <c r="AH98" s="24"/>
      <c r="AI98" s="25"/>
      <c r="AJ98" s="23"/>
      <c r="AK98" s="24"/>
      <c r="AL98" s="24"/>
      <c r="AM98" s="25"/>
      <c r="AN98" s="23"/>
      <c r="AO98" s="24"/>
      <c r="AP98" s="24"/>
      <c r="AQ98" s="25"/>
      <c r="AR98" s="23"/>
      <c r="AS98" s="24"/>
      <c r="AT98" s="24"/>
      <c r="AU98" s="25"/>
    </row>
    <row r="99" spans="1:47" ht="42.75" customHeight="1" outlineLevel="1" x14ac:dyDescent="0.25">
      <c r="A99" s="31"/>
      <c r="B99" s="24" t="str">
        <f>IF(F99="","",$D$3&amp;"."&amp;COUNTA($F$9:F99)&amp;"")</f>
        <v>TC_02.89</v>
      </c>
      <c r="C99" s="32" t="s">
        <v>16</v>
      </c>
      <c r="D99" s="33" t="s">
        <v>326</v>
      </c>
      <c r="E99" s="33" t="s">
        <v>253</v>
      </c>
      <c r="F99" s="33" t="s">
        <v>327</v>
      </c>
      <c r="G99" s="33" t="s">
        <v>328</v>
      </c>
      <c r="H99" s="28"/>
      <c r="I99" s="29"/>
      <c r="J99" s="22"/>
      <c r="K99" s="22"/>
      <c r="L99" s="28"/>
      <c r="M99" s="30"/>
      <c r="N99" s="22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3"/>
      <c r="AC99" s="24"/>
      <c r="AD99" s="24"/>
      <c r="AE99" s="25"/>
      <c r="AF99" s="23"/>
      <c r="AG99" s="24"/>
      <c r="AH99" s="24"/>
      <c r="AI99" s="25"/>
      <c r="AJ99" s="23"/>
      <c r="AK99" s="24"/>
      <c r="AL99" s="24"/>
      <c r="AM99" s="25"/>
      <c r="AN99" s="23"/>
      <c r="AO99" s="24"/>
      <c r="AP99" s="24"/>
      <c r="AQ99" s="25"/>
      <c r="AR99" s="23"/>
      <c r="AS99" s="24"/>
      <c r="AT99" s="24"/>
      <c r="AU99" s="25"/>
    </row>
    <row r="100" spans="1:47" ht="42.75" customHeight="1" outlineLevel="1" x14ac:dyDescent="0.25">
      <c r="A100" s="31"/>
      <c r="B100" s="24" t="str">
        <f>IF(F100="","",$D$3&amp;"."&amp;COUNTA($F$9:F100)&amp;"")</f>
        <v>TC_02.90</v>
      </c>
      <c r="C100" s="32" t="s">
        <v>16</v>
      </c>
      <c r="D100" s="33" t="s">
        <v>329</v>
      </c>
      <c r="E100" s="33" t="s">
        <v>257</v>
      </c>
      <c r="F100" s="33" t="s">
        <v>330</v>
      </c>
      <c r="G100" s="33" t="s">
        <v>331</v>
      </c>
      <c r="H100" s="28"/>
      <c r="I100" s="29"/>
      <c r="J100" s="22"/>
      <c r="K100" s="22"/>
      <c r="L100" s="28"/>
      <c r="M100" s="30"/>
      <c r="N100" s="22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3"/>
      <c r="AC100" s="24"/>
      <c r="AD100" s="24"/>
      <c r="AE100" s="25"/>
      <c r="AF100" s="23"/>
      <c r="AG100" s="24"/>
      <c r="AH100" s="24"/>
      <c r="AI100" s="25"/>
      <c r="AJ100" s="23"/>
      <c r="AK100" s="24"/>
      <c r="AL100" s="24"/>
      <c r="AM100" s="25"/>
      <c r="AN100" s="23"/>
      <c r="AO100" s="24"/>
      <c r="AP100" s="24"/>
      <c r="AQ100" s="25"/>
      <c r="AR100" s="23"/>
      <c r="AS100" s="24"/>
      <c r="AT100" s="24"/>
      <c r="AU100" s="25"/>
    </row>
    <row r="101" spans="1:47" ht="42.75" customHeight="1" outlineLevel="1" x14ac:dyDescent="0.25">
      <c r="A101" s="31"/>
      <c r="B101" s="24" t="str">
        <f>IF(F101="","",$D$3&amp;"."&amp;COUNTA($F$9:F101)&amp;"")</f>
        <v>TC_02.91</v>
      </c>
      <c r="C101" s="32" t="s">
        <v>16</v>
      </c>
      <c r="D101" s="33" t="s">
        <v>332</v>
      </c>
      <c r="E101" s="33" t="s">
        <v>261</v>
      </c>
      <c r="F101" s="33" t="s">
        <v>333</v>
      </c>
      <c r="G101" s="33" t="s">
        <v>334</v>
      </c>
      <c r="H101" s="28"/>
      <c r="I101" s="29"/>
      <c r="J101" s="22"/>
      <c r="K101" s="29"/>
      <c r="L101" s="28"/>
      <c r="M101" s="30"/>
      <c r="N101" s="22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3"/>
      <c r="AC101" s="24"/>
      <c r="AD101" s="24"/>
      <c r="AE101" s="25"/>
      <c r="AF101" s="23"/>
      <c r="AG101" s="24"/>
      <c r="AH101" s="24"/>
      <c r="AI101" s="25"/>
      <c r="AJ101" s="23"/>
      <c r="AK101" s="24"/>
      <c r="AL101" s="24"/>
      <c r="AM101" s="25"/>
      <c r="AN101" s="23"/>
      <c r="AO101" s="24"/>
      <c r="AP101" s="24"/>
      <c r="AQ101" s="25"/>
      <c r="AR101" s="23"/>
      <c r="AS101" s="24"/>
      <c r="AT101" s="24"/>
      <c r="AU101" s="25"/>
    </row>
    <row r="102" spans="1:47" ht="57" customHeight="1" outlineLevel="1" x14ac:dyDescent="0.25">
      <c r="A102" s="31"/>
      <c r="B102" s="24" t="str">
        <f>IF(F102="","",$D$3&amp;"."&amp;COUNTA($F$9:F102)&amp;"")</f>
        <v>TC_02.92</v>
      </c>
      <c r="C102" s="32" t="s">
        <v>24</v>
      </c>
      <c r="D102" s="33" t="s">
        <v>335</v>
      </c>
      <c r="E102" s="33" t="s">
        <v>336</v>
      </c>
      <c r="F102" s="33" t="s">
        <v>337</v>
      </c>
      <c r="G102" s="33" t="s">
        <v>338</v>
      </c>
      <c r="H102" s="28"/>
      <c r="I102" s="29"/>
      <c r="J102" s="22"/>
      <c r="K102" s="22"/>
      <c r="L102" s="28"/>
      <c r="M102" s="30"/>
      <c r="N102" s="22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3"/>
      <c r="AC102" s="24"/>
      <c r="AD102" s="24"/>
      <c r="AE102" s="25"/>
      <c r="AF102" s="23"/>
      <c r="AG102" s="24"/>
      <c r="AH102" s="24"/>
      <c r="AI102" s="25"/>
      <c r="AJ102" s="23"/>
      <c r="AK102" s="24"/>
      <c r="AL102" s="24"/>
      <c r="AM102" s="25"/>
      <c r="AN102" s="23"/>
      <c r="AO102" s="24"/>
      <c r="AP102" s="24"/>
      <c r="AQ102" s="25"/>
      <c r="AR102" s="23"/>
      <c r="AS102" s="24"/>
      <c r="AT102" s="24"/>
      <c r="AU102" s="25"/>
    </row>
    <row r="103" spans="1:47" ht="57" customHeight="1" outlineLevel="1" x14ac:dyDescent="0.25">
      <c r="A103" s="31"/>
      <c r="B103" s="24" t="str">
        <f>IF(F103="","",$D$3&amp;"."&amp;COUNTA($F$9:F103)&amp;"")</f>
        <v>TC_02.93</v>
      </c>
      <c r="C103" s="32" t="s">
        <v>16</v>
      </c>
      <c r="D103" s="33" t="s">
        <v>339</v>
      </c>
      <c r="E103" s="33" t="s">
        <v>116</v>
      </c>
      <c r="F103" s="33" t="s">
        <v>340</v>
      </c>
      <c r="G103" s="33" t="s">
        <v>341</v>
      </c>
      <c r="H103" s="28"/>
      <c r="I103" s="29"/>
      <c r="J103" s="22"/>
      <c r="K103" s="22"/>
      <c r="L103" s="28"/>
      <c r="M103" s="30"/>
      <c r="N103" s="22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3"/>
      <c r="AC103" s="24"/>
      <c r="AD103" s="24"/>
      <c r="AE103" s="25"/>
      <c r="AF103" s="23"/>
      <c r="AG103" s="24"/>
      <c r="AH103" s="24"/>
      <c r="AI103" s="25"/>
      <c r="AJ103" s="23"/>
      <c r="AK103" s="24"/>
      <c r="AL103" s="24"/>
      <c r="AM103" s="25"/>
      <c r="AN103" s="23"/>
      <c r="AO103" s="24"/>
      <c r="AP103" s="24"/>
      <c r="AQ103" s="25"/>
      <c r="AR103" s="23"/>
      <c r="AS103" s="24"/>
      <c r="AT103" s="24"/>
      <c r="AU103" s="25"/>
    </row>
    <row r="104" spans="1:47" ht="57" customHeight="1" outlineLevel="1" x14ac:dyDescent="0.25">
      <c r="A104" s="48" t="s">
        <v>41</v>
      </c>
      <c r="B104" s="45" t="str">
        <f>IF(F104="","",$D$3&amp;"."&amp;COUNTA($F$9:F104)&amp;"")</f>
        <v>TC_02.94</v>
      </c>
      <c r="C104" s="49" t="s">
        <v>16</v>
      </c>
      <c r="D104" s="50" t="s">
        <v>342</v>
      </c>
      <c r="E104" s="50" t="s">
        <v>116</v>
      </c>
      <c r="F104" s="50" t="s">
        <v>343</v>
      </c>
      <c r="G104" s="50" t="s">
        <v>344</v>
      </c>
      <c r="H104" s="28"/>
      <c r="I104" s="29"/>
      <c r="J104" s="22"/>
      <c r="K104" s="22" t="s">
        <v>345</v>
      </c>
      <c r="L104" s="28"/>
      <c r="M104" s="30"/>
      <c r="N104" s="22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3"/>
      <c r="AC104" s="24"/>
      <c r="AD104" s="24"/>
      <c r="AE104" s="25"/>
      <c r="AF104" s="23"/>
      <c r="AG104" s="24"/>
      <c r="AH104" s="24"/>
      <c r="AI104" s="25"/>
      <c r="AJ104" s="23"/>
      <c r="AK104" s="24"/>
      <c r="AL104" s="24"/>
      <c r="AM104" s="25"/>
      <c r="AN104" s="23"/>
      <c r="AO104" s="24"/>
      <c r="AP104" s="24"/>
      <c r="AQ104" s="25"/>
      <c r="AR104" s="23"/>
      <c r="AS104" s="24"/>
      <c r="AT104" s="24"/>
      <c r="AU104" s="25"/>
    </row>
    <row r="105" spans="1:47" ht="71.25" customHeight="1" outlineLevel="1" x14ac:dyDescent="0.25">
      <c r="A105" s="31"/>
      <c r="B105" s="24" t="str">
        <f>IF(F105="","",$D$3&amp;"."&amp;COUNTA($F$9:F105)&amp;"")</f>
        <v>TC_02.95</v>
      </c>
      <c r="C105" s="32" t="s">
        <v>16</v>
      </c>
      <c r="D105" s="33" t="s">
        <v>346</v>
      </c>
      <c r="E105" s="33" t="s">
        <v>116</v>
      </c>
      <c r="F105" s="33" t="s">
        <v>347</v>
      </c>
      <c r="G105" s="33" t="s">
        <v>348</v>
      </c>
      <c r="H105" s="28"/>
      <c r="I105" s="29"/>
      <c r="J105" s="34"/>
      <c r="K105" s="22"/>
      <c r="L105" s="28"/>
      <c r="M105" s="30"/>
      <c r="N105" s="22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3"/>
      <c r="AC105" s="24"/>
      <c r="AD105" s="24"/>
      <c r="AE105" s="25"/>
      <c r="AF105" s="23"/>
      <c r="AG105" s="24"/>
      <c r="AH105" s="24"/>
      <c r="AI105" s="25"/>
      <c r="AJ105" s="23"/>
      <c r="AK105" s="24"/>
      <c r="AL105" s="24"/>
      <c r="AM105" s="25"/>
      <c r="AN105" s="23"/>
      <c r="AO105" s="24"/>
      <c r="AP105" s="24"/>
      <c r="AQ105" s="25"/>
      <c r="AR105" s="23"/>
      <c r="AS105" s="24"/>
      <c r="AT105" s="24"/>
      <c r="AU105" s="25"/>
    </row>
    <row r="106" spans="1:47" ht="71.25" customHeight="1" outlineLevel="1" x14ac:dyDescent="0.25">
      <c r="A106" s="31"/>
      <c r="B106" s="24" t="str">
        <f>IF(F106="","",$D$3&amp;"."&amp;COUNTA($F$9:F106)&amp;"")</f>
        <v>TC_02.96</v>
      </c>
      <c r="C106" s="32" t="s">
        <v>16</v>
      </c>
      <c r="D106" s="33" t="s">
        <v>349</v>
      </c>
      <c r="E106" s="33" t="s">
        <v>350</v>
      </c>
      <c r="F106" s="33" t="s">
        <v>351</v>
      </c>
      <c r="G106" s="33" t="s">
        <v>352</v>
      </c>
      <c r="H106" s="28"/>
      <c r="I106" s="29"/>
      <c r="J106" s="22"/>
      <c r="K106" s="22"/>
      <c r="L106" s="28"/>
      <c r="M106" s="30"/>
      <c r="N106" s="22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3"/>
      <c r="AC106" s="24"/>
      <c r="AD106" s="24"/>
      <c r="AE106" s="25"/>
      <c r="AF106" s="23"/>
      <c r="AG106" s="24"/>
      <c r="AH106" s="24"/>
      <c r="AI106" s="25"/>
      <c r="AJ106" s="23"/>
      <c r="AK106" s="24"/>
      <c r="AL106" s="24"/>
      <c r="AM106" s="25"/>
      <c r="AN106" s="23"/>
      <c r="AO106" s="24"/>
      <c r="AP106" s="24"/>
      <c r="AQ106" s="25"/>
      <c r="AR106" s="23"/>
      <c r="AS106" s="24"/>
      <c r="AT106" s="24"/>
      <c r="AU106" s="25"/>
    </row>
    <row r="107" spans="1:47" ht="42.75" customHeight="1" outlineLevel="1" x14ac:dyDescent="0.25">
      <c r="A107" s="31"/>
      <c r="B107" s="24" t="str">
        <f>IF(F107="","",$D$3&amp;"."&amp;COUNTA($F$9:F107)&amp;"")</f>
        <v>TC_02.97</v>
      </c>
      <c r="C107" s="32" t="s">
        <v>16</v>
      </c>
      <c r="D107" s="33" t="s">
        <v>353</v>
      </c>
      <c r="E107" s="33" t="s">
        <v>253</v>
      </c>
      <c r="F107" s="33" t="s">
        <v>354</v>
      </c>
      <c r="G107" s="33" t="s">
        <v>355</v>
      </c>
      <c r="H107" s="28"/>
      <c r="I107" s="29"/>
      <c r="J107" s="22"/>
      <c r="K107" s="22"/>
      <c r="L107" s="28"/>
      <c r="M107" s="30"/>
      <c r="N107" s="22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3"/>
      <c r="AC107" s="24"/>
      <c r="AD107" s="24"/>
      <c r="AE107" s="25"/>
      <c r="AF107" s="23"/>
      <c r="AG107" s="24"/>
      <c r="AH107" s="24"/>
      <c r="AI107" s="25"/>
      <c r="AJ107" s="23"/>
      <c r="AK107" s="24"/>
      <c r="AL107" s="24"/>
      <c r="AM107" s="25"/>
      <c r="AN107" s="23"/>
      <c r="AO107" s="24"/>
      <c r="AP107" s="24"/>
      <c r="AQ107" s="25"/>
      <c r="AR107" s="23"/>
      <c r="AS107" s="24"/>
      <c r="AT107" s="24"/>
      <c r="AU107" s="25"/>
    </row>
    <row r="108" spans="1:47" ht="42.75" customHeight="1" outlineLevel="1" x14ac:dyDescent="0.25">
      <c r="A108" s="31"/>
      <c r="B108" s="24" t="str">
        <f>IF(F108="","",$D$3&amp;"."&amp;COUNTA($F$9:F108)&amp;"")</f>
        <v>TC_02.98</v>
      </c>
      <c r="C108" s="32" t="s">
        <v>16</v>
      </c>
      <c r="D108" s="33" t="s">
        <v>356</v>
      </c>
      <c r="E108" s="33" t="s">
        <v>257</v>
      </c>
      <c r="F108" s="33" t="s">
        <v>357</v>
      </c>
      <c r="G108" s="33" t="s">
        <v>358</v>
      </c>
      <c r="H108" s="28"/>
      <c r="I108" s="29"/>
      <c r="J108" s="22"/>
      <c r="K108" s="22"/>
      <c r="L108" s="28"/>
      <c r="M108" s="30"/>
      <c r="N108" s="22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3"/>
      <c r="AC108" s="24"/>
      <c r="AD108" s="24"/>
      <c r="AE108" s="25"/>
      <c r="AF108" s="23"/>
      <c r="AG108" s="24"/>
      <c r="AH108" s="24"/>
      <c r="AI108" s="25"/>
      <c r="AJ108" s="23"/>
      <c r="AK108" s="24"/>
      <c r="AL108" s="24"/>
      <c r="AM108" s="25"/>
      <c r="AN108" s="23"/>
      <c r="AO108" s="24"/>
      <c r="AP108" s="24"/>
      <c r="AQ108" s="25"/>
      <c r="AR108" s="23"/>
      <c r="AS108" s="24"/>
      <c r="AT108" s="24"/>
      <c r="AU108" s="25"/>
    </row>
    <row r="109" spans="1:47" ht="42.75" customHeight="1" outlineLevel="1" x14ac:dyDescent="0.25">
      <c r="A109" s="31"/>
      <c r="B109" s="24" t="str">
        <f>IF(F109="","",$D$3&amp;"."&amp;COUNTA($F$9:F109)&amp;"")</f>
        <v>TC_02.99</v>
      </c>
      <c r="C109" s="32" t="s">
        <v>16</v>
      </c>
      <c r="D109" s="33" t="s">
        <v>359</v>
      </c>
      <c r="E109" s="33" t="s">
        <v>360</v>
      </c>
      <c r="F109" s="33" t="s">
        <v>361</v>
      </c>
      <c r="G109" s="33" t="s">
        <v>362</v>
      </c>
      <c r="H109" s="28"/>
      <c r="I109" s="29"/>
      <c r="J109" s="22"/>
      <c r="K109" s="22"/>
      <c r="L109" s="28"/>
      <c r="M109" s="30"/>
      <c r="N109" s="22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3"/>
      <c r="AC109" s="24"/>
      <c r="AD109" s="24"/>
      <c r="AE109" s="25"/>
      <c r="AF109" s="23"/>
      <c r="AG109" s="24"/>
      <c r="AH109" s="24"/>
      <c r="AI109" s="25"/>
      <c r="AJ109" s="23"/>
      <c r="AK109" s="24"/>
      <c r="AL109" s="24"/>
      <c r="AM109" s="25"/>
      <c r="AN109" s="23"/>
      <c r="AO109" s="24"/>
      <c r="AP109" s="24"/>
      <c r="AQ109" s="25"/>
      <c r="AR109" s="23"/>
      <c r="AS109" s="24"/>
      <c r="AT109" s="24"/>
      <c r="AU109" s="25"/>
    </row>
    <row r="110" spans="1:47" ht="42.75" customHeight="1" outlineLevel="1" x14ac:dyDescent="0.25">
      <c r="A110" s="31"/>
      <c r="B110" s="24" t="str">
        <f>IF(F110="","",$D$3&amp;"."&amp;COUNTA($F$9:F110)&amp;"")</f>
        <v>TC_02.100</v>
      </c>
      <c r="C110" s="32" t="s">
        <v>24</v>
      </c>
      <c r="D110" s="33" t="s">
        <v>363</v>
      </c>
      <c r="E110" s="33" t="s">
        <v>360</v>
      </c>
      <c r="F110" s="33" t="s">
        <v>364</v>
      </c>
      <c r="G110" s="33" t="s">
        <v>365</v>
      </c>
      <c r="H110" s="28"/>
      <c r="I110" s="29"/>
      <c r="J110" s="22"/>
      <c r="K110" s="22"/>
      <c r="L110" s="28"/>
      <c r="M110" s="30"/>
      <c r="N110" s="22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3"/>
      <c r="AC110" s="24"/>
      <c r="AD110" s="24"/>
      <c r="AE110" s="25"/>
      <c r="AF110" s="23"/>
      <c r="AG110" s="24"/>
      <c r="AH110" s="24"/>
      <c r="AI110" s="25"/>
      <c r="AJ110" s="23"/>
      <c r="AK110" s="24"/>
      <c r="AL110" s="24"/>
      <c r="AM110" s="25"/>
      <c r="AN110" s="23"/>
      <c r="AO110" s="24"/>
      <c r="AP110" s="24"/>
      <c r="AQ110" s="25"/>
      <c r="AR110" s="23"/>
      <c r="AS110" s="24"/>
      <c r="AT110" s="24"/>
      <c r="AU110" s="25"/>
    </row>
    <row r="111" spans="1:47" ht="42.75" customHeight="1" outlineLevel="1" x14ac:dyDescent="0.25">
      <c r="A111" s="31"/>
      <c r="B111" s="24" t="str">
        <f>IF(F111="","",$D$3&amp;"."&amp;COUNTA($F$9:F111)&amp;"")</f>
        <v>TC_02.101</v>
      </c>
      <c r="C111" s="32" t="s">
        <v>24</v>
      </c>
      <c r="D111" s="33" t="s">
        <v>366</v>
      </c>
      <c r="E111" s="33" t="s">
        <v>336</v>
      </c>
      <c r="F111" s="33" t="s">
        <v>367</v>
      </c>
      <c r="G111" s="33" t="s">
        <v>338</v>
      </c>
      <c r="H111" s="28"/>
      <c r="I111" s="29"/>
      <c r="J111" s="22"/>
      <c r="K111" s="22"/>
      <c r="L111" s="28"/>
      <c r="M111" s="30"/>
      <c r="N111" s="22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3"/>
      <c r="AC111" s="24"/>
      <c r="AD111" s="24"/>
      <c r="AE111" s="25"/>
      <c r="AF111" s="23"/>
      <c r="AG111" s="24"/>
      <c r="AH111" s="24"/>
      <c r="AI111" s="25"/>
      <c r="AJ111" s="23"/>
      <c r="AK111" s="24"/>
      <c r="AL111" s="24"/>
      <c r="AM111" s="25"/>
      <c r="AN111" s="23"/>
      <c r="AO111" s="24"/>
      <c r="AP111" s="24"/>
      <c r="AQ111" s="25"/>
      <c r="AR111" s="23"/>
      <c r="AS111" s="24"/>
      <c r="AT111" s="24"/>
      <c r="AU111" s="25"/>
    </row>
    <row r="112" spans="1:47" ht="57" customHeight="1" outlineLevel="1" x14ac:dyDescent="0.25">
      <c r="A112" s="31"/>
      <c r="B112" s="24" t="str">
        <f>IF(F112="","",$D$3&amp;"."&amp;COUNTA($F$9:F112)&amp;"")</f>
        <v>TC_02.102</v>
      </c>
      <c r="C112" s="32" t="s">
        <v>16</v>
      </c>
      <c r="D112" s="33" t="s">
        <v>368</v>
      </c>
      <c r="E112" s="33" t="s">
        <v>369</v>
      </c>
      <c r="F112" s="33" t="s">
        <v>370</v>
      </c>
      <c r="G112" s="33" t="s">
        <v>371</v>
      </c>
      <c r="H112" s="28"/>
      <c r="I112" s="29"/>
      <c r="J112" s="22"/>
      <c r="K112" s="22"/>
      <c r="L112" s="28"/>
      <c r="M112" s="30"/>
      <c r="N112" s="22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3"/>
      <c r="AC112" s="24"/>
      <c r="AD112" s="24"/>
      <c r="AE112" s="25"/>
      <c r="AF112" s="23"/>
      <c r="AG112" s="24"/>
      <c r="AH112" s="24"/>
      <c r="AI112" s="25"/>
      <c r="AJ112" s="23"/>
      <c r="AK112" s="24"/>
      <c r="AL112" s="24"/>
      <c r="AM112" s="25"/>
      <c r="AN112" s="23"/>
      <c r="AO112" s="24"/>
      <c r="AP112" s="24"/>
      <c r="AQ112" s="25"/>
      <c r="AR112" s="23"/>
      <c r="AS112" s="24"/>
      <c r="AT112" s="24"/>
      <c r="AU112" s="25"/>
    </row>
    <row r="113" spans="1:47" ht="42.75" customHeight="1" outlineLevel="1" x14ac:dyDescent="0.25">
      <c r="A113" s="48" t="s">
        <v>41</v>
      </c>
      <c r="B113" s="45" t="str">
        <f>IF(F113="","",$D$3&amp;"."&amp;COUNTA($F$9:F113)&amp;"")</f>
        <v>TC_02.103</v>
      </c>
      <c r="C113" s="49" t="s">
        <v>16</v>
      </c>
      <c r="D113" s="50" t="s">
        <v>372</v>
      </c>
      <c r="E113" s="50" t="s">
        <v>116</v>
      </c>
      <c r="F113" s="50" t="s">
        <v>373</v>
      </c>
      <c r="G113" s="50" t="s">
        <v>374</v>
      </c>
      <c r="H113" s="28"/>
      <c r="I113" s="29"/>
      <c r="J113" s="22"/>
      <c r="K113" s="22" t="s">
        <v>375</v>
      </c>
      <c r="L113" s="28"/>
      <c r="M113" s="30"/>
      <c r="N113" s="22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3"/>
      <c r="AC113" s="24"/>
      <c r="AD113" s="24"/>
      <c r="AE113" s="25"/>
      <c r="AF113" s="23"/>
      <c r="AG113" s="24"/>
      <c r="AH113" s="24"/>
      <c r="AI113" s="25"/>
      <c r="AJ113" s="23"/>
      <c r="AK113" s="24"/>
      <c r="AL113" s="24"/>
      <c r="AM113" s="25"/>
      <c r="AN113" s="23"/>
      <c r="AO113" s="24"/>
      <c r="AP113" s="24"/>
      <c r="AQ113" s="25"/>
      <c r="AR113" s="23"/>
      <c r="AS113" s="24"/>
      <c r="AT113" s="24"/>
      <c r="AU113" s="25"/>
    </row>
    <row r="114" spans="1:47" ht="42.75" customHeight="1" outlineLevel="1" x14ac:dyDescent="0.25">
      <c r="A114" s="31"/>
      <c r="B114" s="24" t="str">
        <f>IF(F114="","",$D$3&amp;"."&amp;COUNTA($F$9:F114)&amp;"")</f>
        <v>TC_02.104</v>
      </c>
      <c r="C114" s="32" t="s">
        <v>16</v>
      </c>
      <c r="D114" s="33" t="s">
        <v>376</v>
      </c>
      <c r="E114" s="33" t="s">
        <v>116</v>
      </c>
      <c r="F114" s="33" t="s">
        <v>377</v>
      </c>
      <c r="G114" s="33" t="s">
        <v>378</v>
      </c>
      <c r="H114" s="28"/>
      <c r="I114" s="29"/>
      <c r="J114" s="22"/>
      <c r="K114" s="22"/>
      <c r="L114" s="28"/>
      <c r="M114" s="30"/>
      <c r="N114" s="22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3"/>
      <c r="AC114" s="24"/>
      <c r="AD114" s="24"/>
      <c r="AE114" s="25"/>
      <c r="AF114" s="23"/>
      <c r="AG114" s="24"/>
      <c r="AH114" s="24"/>
      <c r="AI114" s="25"/>
      <c r="AJ114" s="23"/>
      <c r="AK114" s="24"/>
      <c r="AL114" s="24"/>
      <c r="AM114" s="25"/>
      <c r="AN114" s="23"/>
      <c r="AO114" s="24"/>
      <c r="AP114" s="24"/>
      <c r="AQ114" s="25"/>
      <c r="AR114" s="23"/>
      <c r="AS114" s="24"/>
      <c r="AT114" s="24"/>
      <c r="AU114" s="25"/>
    </row>
    <row r="115" spans="1:47" ht="42.75" customHeight="1" outlineLevel="1" x14ac:dyDescent="0.25">
      <c r="A115" s="31"/>
      <c r="B115" s="24" t="str">
        <f>IF(F115="","",$D$3&amp;"."&amp;COUNTA($F$9:F115)&amp;"")</f>
        <v>TC_02.105</v>
      </c>
      <c r="C115" s="32" t="s">
        <v>24</v>
      </c>
      <c r="D115" s="33" t="s">
        <v>379</v>
      </c>
      <c r="E115" s="33" t="s">
        <v>380</v>
      </c>
      <c r="F115" s="33" t="s">
        <v>381</v>
      </c>
      <c r="G115" s="33" t="s">
        <v>382</v>
      </c>
      <c r="H115" s="28"/>
      <c r="I115" s="29"/>
      <c r="J115" s="22"/>
      <c r="K115" s="22"/>
      <c r="L115" s="28"/>
      <c r="M115" s="30"/>
      <c r="N115" s="22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3"/>
      <c r="AC115" s="24"/>
      <c r="AD115" s="24"/>
      <c r="AE115" s="25"/>
      <c r="AF115" s="23"/>
      <c r="AG115" s="24"/>
      <c r="AH115" s="24"/>
      <c r="AI115" s="25"/>
      <c r="AJ115" s="23"/>
      <c r="AK115" s="24"/>
      <c r="AL115" s="24"/>
      <c r="AM115" s="25"/>
      <c r="AN115" s="23"/>
      <c r="AO115" s="24"/>
      <c r="AP115" s="24"/>
      <c r="AQ115" s="25"/>
      <c r="AR115" s="23"/>
      <c r="AS115" s="24"/>
      <c r="AT115" s="24"/>
      <c r="AU115" s="25"/>
    </row>
    <row r="116" spans="1:47" ht="60" customHeight="1" x14ac:dyDescent="0.25">
      <c r="A116" s="51" t="s">
        <v>41</v>
      </c>
      <c r="B116" s="51" t="str">
        <f>IF(F116="","",$D$3&amp;"."&amp;COUNTA($F$9:F116)&amp;"")</f>
        <v>TC_02.106</v>
      </c>
      <c r="C116" s="51" t="s">
        <v>16</v>
      </c>
      <c r="D116" s="52" t="s">
        <v>383</v>
      </c>
      <c r="E116" s="52" t="s">
        <v>384</v>
      </c>
      <c r="F116" s="52" t="s">
        <v>385</v>
      </c>
      <c r="G116" s="52" t="s">
        <v>386</v>
      </c>
      <c r="K116" s="69" t="s">
        <v>387</v>
      </c>
    </row>
    <row r="117" spans="1:47" ht="60" customHeight="1" outlineLevel="1" x14ac:dyDescent="0.25">
      <c r="A117" s="51" t="s">
        <v>41</v>
      </c>
      <c r="B117" s="51" t="str">
        <f>IF(F117="","",$D$3&amp;"."&amp;COUNTA($F$9:F117)&amp;"")</f>
        <v>TC_02.107</v>
      </c>
      <c r="C117" s="51" t="s">
        <v>24</v>
      </c>
      <c r="D117" s="52" t="s">
        <v>388</v>
      </c>
      <c r="E117" s="52" t="s">
        <v>389</v>
      </c>
      <c r="F117" s="52" t="s">
        <v>390</v>
      </c>
      <c r="G117" s="52" t="s">
        <v>391</v>
      </c>
      <c r="K117" s="69" t="s">
        <v>392</v>
      </c>
    </row>
    <row r="118" spans="1:47" ht="60" customHeight="1" outlineLevel="1" x14ac:dyDescent="0.25">
      <c r="A118" s="51" t="s">
        <v>41</v>
      </c>
      <c r="B118" s="51" t="str">
        <f>IF(F118="","",$D$3&amp;"."&amp;COUNTA($F$9:F118)&amp;"")</f>
        <v>TC_02.108</v>
      </c>
      <c r="C118" s="51" t="s">
        <v>24</v>
      </c>
      <c r="D118" s="52" t="s">
        <v>393</v>
      </c>
      <c r="E118" s="52" t="s">
        <v>394</v>
      </c>
      <c r="F118" s="52" t="s">
        <v>395</v>
      </c>
      <c r="G118" s="52" t="s">
        <v>396</v>
      </c>
      <c r="K118" s="69" t="s">
        <v>397</v>
      </c>
    </row>
    <row r="119" spans="1:47" ht="60" customHeight="1" outlineLevel="1" x14ac:dyDescent="0.25">
      <c r="A119" s="51" t="s">
        <v>41</v>
      </c>
      <c r="B119" s="51" t="str">
        <f>IF(F119="","",$D$3&amp;"."&amp;COUNTA($F$9:F119)&amp;"")</f>
        <v>TC_02.109</v>
      </c>
      <c r="C119" s="51" t="s">
        <v>24</v>
      </c>
      <c r="D119" s="52" t="s">
        <v>398</v>
      </c>
      <c r="E119" s="52" t="s">
        <v>399</v>
      </c>
      <c r="F119" s="52" t="s">
        <v>400</v>
      </c>
      <c r="G119" s="52" t="s">
        <v>401</v>
      </c>
      <c r="K119" s="69" t="s">
        <v>402</v>
      </c>
    </row>
    <row r="120" spans="1:47" ht="60" customHeight="1" outlineLevel="1" x14ac:dyDescent="0.25">
      <c r="A120" s="51" t="s">
        <v>41</v>
      </c>
      <c r="B120" s="51" t="str">
        <f>IF(F120="","",$D$3&amp;"."&amp;COUNTA($F$9:F120)&amp;"")</f>
        <v>TC_02.110</v>
      </c>
      <c r="C120" s="51" t="s">
        <v>24</v>
      </c>
      <c r="D120" s="52" t="s">
        <v>403</v>
      </c>
      <c r="E120" s="52" t="s">
        <v>404</v>
      </c>
      <c r="F120" s="52" t="s">
        <v>405</v>
      </c>
      <c r="G120" s="52" t="s">
        <v>406</v>
      </c>
      <c r="K120" s="69" t="s">
        <v>407</v>
      </c>
    </row>
    <row r="121" spans="1:47" ht="60" customHeight="1" outlineLevel="1" x14ac:dyDescent="0.25">
      <c r="A121" s="51" t="s">
        <v>41</v>
      </c>
      <c r="B121" s="51" t="str">
        <f>IF(F121="","",$D$3&amp;"."&amp;COUNTA($F$9:F121)&amp;"")</f>
        <v>TC_02.111</v>
      </c>
      <c r="C121" s="51" t="s">
        <v>24</v>
      </c>
      <c r="D121" s="52" t="s">
        <v>408</v>
      </c>
      <c r="E121" s="52" t="s">
        <v>409</v>
      </c>
      <c r="F121" s="52" t="s">
        <v>410</v>
      </c>
      <c r="G121" s="52" t="s">
        <v>411</v>
      </c>
      <c r="K121" s="69" t="s">
        <v>412</v>
      </c>
    </row>
    <row r="122" spans="1:47" ht="60" customHeight="1" outlineLevel="1" x14ac:dyDescent="0.25">
      <c r="A122" s="51" t="s">
        <v>41</v>
      </c>
      <c r="B122" s="51" t="str">
        <f>IF(F122="","",$D$3&amp;"."&amp;COUNTA($F$9:F122)&amp;"")</f>
        <v>TC_02.112</v>
      </c>
      <c r="C122" s="51" t="s">
        <v>24</v>
      </c>
      <c r="D122" s="52" t="s">
        <v>413</v>
      </c>
      <c r="E122" s="52" t="s">
        <v>414</v>
      </c>
      <c r="F122" s="52" t="s">
        <v>415</v>
      </c>
      <c r="G122" s="52" t="s">
        <v>416</v>
      </c>
      <c r="K122" s="69" t="s">
        <v>417</v>
      </c>
    </row>
    <row r="123" spans="1:47" ht="60" customHeight="1" outlineLevel="1" x14ac:dyDescent="0.25">
      <c r="A123" s="51" t="s">
        <v>41</v>
      </c>
      <c r="B123" s="51" t="str">
        <f>IF(F123="","",$D$3&amp;"."&amp;COUNTA($F$9:F123)&amp;"")</f>
        <v>TC_02.113</v>
      </c>
      <c r="C123" s="51" t="s">
        <v>24</v>
      </c>
      <c r="D123" s="52" t="s">
        <v>418</v>
      </c>
      <c r="E123" s="52" t="s">
        <v>419</v>
      </c>
      <c r="F123" s="52" t="s">
        <v>420</v>
      </c>
      <c r="G123" s="52" t="s">
        <v>421</v>
      </c>
      <c r="K123" s="69" t="s">
        <v>422</v>
      </c>
    </row>
    <row r="124" spans="1:47" ht="60" customHeight="1" outlineLevel="1" x14ac:dyDescent="0.25">
      <c r="A124" s="51" t="s">
        <v>41</v>
      </c>
      <c r="B124" s="51" t="str">
        <f>IF(F124="","",$D$3&amp;"."&amp;COUNTA($F$9:F124)&amp;"")</f>
        <v>TC_02.114</v>
      </c>
      <c r="C124" s="51" t="s">
        <v>24</v>
      </c>
      <c r="D124" s="52" t="s">
        <v>423</v>
      </c>
      <c r="E124" s="52" t="s">
        <v>419</v>
      </c>
      <c r="F124" s="52" t="s">
        <v>424</v>
      </c>
      <c r="G124" s="52" t="s">
        <v>425</v>
      </c>
      <c r="K124" s="69" t="s">
        <v>426</v>
      </c>
    </row>
    <row r="125" spans="1:47" ht="60" customHeight="1" outlineLevel="1" x14ac:dyDescent="0.25">
      <c r="A125" s="51" t="s">
        <v>41</v>
      </c>
      <c r="B125" s="51" t="str">
        <f>IF(F125="","",$D$3&amp;"."&amp;COUNTA($F$9:F125)&amp;"")</f>
        <v>TC_02.115</v>
      </c>
      <c r="C125" s="51" t="s">
        <v>16</v>
      </c>
      <c r="D125" s="52" t="s">
        <v>427</v>
      </c>
      <c r="E125" s="52" t="s">
        <v>428</v>
      </c>
      <c r="F125" s="52" t="s">
        <v>429</v>
      </c>
      <c r="G125" s="52" t="s">
        <v>430</v>
      </c>
      <c r="K125" s="69" t="s">
        <v>431</v>
      </c>
    </row>
    <row r="126" spans="1:47" ht="60" customHeight="1" outlineLevel="1" x14ac:dyDescent="0.25">
      <c r="A126" s="51" t="s">
        <v>41</v>
      </c>
      <c r="B126" s="51" t="str">
        <f>IF(F126="","",$D$3&amp;"."&amp;COUNTA($F$9:F126)&amp;"")</f>
        <v>TC_02.116</v>
      </c>
      <c r="C126" s="51" t="s">
        <v>16</v>
      </c>
      <c r="D126" s="52" t="s">
        <v>432</v>
      </c>
      <c r="E126" s="52" t="s">
        <v>433</v>
      </c>
      <c r="F126" s="52" t="s">
        <v>434</v>
      </c>
      <c r="G126" s="52" t="s">
        <v>435</v>
      </c>
      <c r="K126" s="69" t="s">
        <v>436</v>
      </c>
    </row>
    <row r="127" spans="1:47" ht="60" customHeight="1" outlineLevel="1" x14ac:dyDescent="0.25">
      <c r="A127" s="51" t="s">
        <v>41</v>
      </c>
      <c r="B127" s="51" t="str">
        <f>IF(F127="","",$D$3&amp;"."&amp;COUNTA($F$9:F127)&amp;"")</f>
        <v>TC_02.117</v>
      </c>
      <c r="C127" s="51" t="s">
        <v>16</v>
      </c>
      <c r="D127" s="52" t="s">
        <v>437</v>
      </c>
      <c r="E127" s="52" t="s">
        <v>433</v>
      </c>
      <c r="F127" s="52" t="s">
        <v>438</v>
      </c>
      <c r="G127" s="52" t="s">
        <v>439</v>
      </c>
      <c r="K127" s="69" t="s">
        <v>440</v>
      </c>
    </row>
    <row r="128" spans="1:47" ht="15.75" customHeight="1" outlineLevel="1" x14ac:dyDescent="0.25">
      <c r="A128" s="36"/>
      <c r="B128" s="61" t="s">
        <v>441</v>
      </c>
      <c r="C128" s="59"/>
      <c r="D128" s="59"/>
      <c r="E128" s="59"/>
      <c r="F128" s="59"/>
      <c r="G128" s="60"/>
      <c r="H128" s="28"/>
      <c r="I128" s="29"/>
      <c r="J128" s="22"/>
      <c r="K128" s="22"/>
      <c r="L128" s="28"/>
      <c r="M128" s="30"/>
      <c r="N128" s="22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3"/>
      <c r="AC128" s="24"/>
      <c r="AD128" s="24"/>
      <c r="AE128" s="25"/>
      <c r="AF128" s="23"/>
      <c r="AG128" s="24"/>
      <c r="AH128" s="24"/>
      <c r="AI128" s="25"/>
      <c r="AJ128" s="23"/>
      <c r="AK128" s="24"/>
      <c r="AL128" s="24"/>
      <c r="AM128" s="25"/>
      <c r="AN128" s="23"/>
      <c r="AO128" s="24"/>
      <c r="AP128" s="24"/>
      <c r="AQ128" s="25"/>
      <c r="AR128" s="23"/>
      <c r="AS128" s="24"/>
      <c r="AT128" s="24"/>
      <c r="AU128" s="25"/>
    </row>
    <row r="129" spans="1:47" ht="42.75" customHeight="1" outlineLevel="1" x14ac:dyDescent="0.25">
      <c r="A129" s="31"/>
      <c r="B129" s="26" t="str">
        <f>IF(F129="","",$D$3&amp;"."&amp;COUNTA($F$9:F129)&amp;"")</f>
        <v>TC_02.118</v>
      </c>
      <c r="C129" s="37" t="s">
        <v>16</v>
      </c>
      <c r="D129" s="38" t="s">
        <v>442</v>
      </c>
      <c r="E129" s="38" t="s">
        <v>443</v>
      </c>
      <c r="F129" s="38" t="s">
        <v>444</v>
      </c>
      <c r="G129" s="38" t="s">
        <v>445</v>
      </c>
      <c r="H129" s="39"/>
      <c r="I129" s="40"/>
      <c r="J129" s="40"/>
      <c r="K129" s="40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</row>
    <row r="130" spans="1:47" ht="57" customHeight="1" outlineLevel="1" x14ac:dyDescent="0.25">
      <c r="A130" s="31"/>
      <c r="B130" s="26" t="str">
        <f>IF(F130="","",$D$3&amp;"."&amp;COUNTA($F$9:F130)&amp;"")</f>
        <v>TC_02.119</v>
      </c>
      <c r="C130" s="37" t="s">
        <v>16</v>
      </c>
      <c r="D130" s="38" t="s">
        <v>446</v>
      </c>
      <c r="E130" s="38" t="s">
        <v>447</v>
      </c>
      <c r="F130" s="38" t="s">
        <v>444</v>
      </c>
      <c r="G130" s="38" t="s">
        <v>448</v>
      </c>
      <c r="H130" s="39"/>
      <c r="I130" s="40"/>
      <c r="J130" s="40"/>
      <c r="K130" s="40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</row>
    <row r="131" spans="1:47" ht="42.75" customHeight="1" x14ac:dyDescent="0.25">
      <c r="A131" s="48" t="s">
        <v>41</v>
      </c>
      <c r="B131" s="44" t="str">
        <f>IF(F131="","",$D$3&amp;"."&amp;COUNTA($F$9:F131)&amp;"")</f>
        <v>TC_02.120</v>
      </c>
      <c r="C131" s="53" t="s">
        <v>16</v>
      </c>
      <c r="D131" s="54" t="s">
        <v>449</v>
      </c>
      <c r="E131" s="54" t="s">
        <v>450</v>
      </c>
      <c r="F131" s="54" t="s">
        <v>451</v>
      </c>
      <c r="G131" s="54" t="s">
        <v>452</v>
      </c>
      <c r="H131" s="39"/>
      <c r="I131" s="40"/>
      <c r="J131" s="40"/>
      <c r="K131" s="40" t="s">
        <v>453</v>
      </c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</row>
    <row r="132" spans="1:47" ht="57" customHeight="1" x14ac:dyDescent="0.25">
      <c r="A132" s="31"/>
      <c r="B132" s="26" t="str">
        <f>IF(F132="","",$D$3&amp;"."&amp;COUNTA($F$9:F132)&amp;"")</f>
        <v>TC_02.121</v>
      </c>
      <c r="C132" s="37" t="s">
        <v>16</v>
      </c>
      <c r="D132" s="38" t="s">
        <v>454</v>
      </c>
      <c r="E132" s="38" t="s">
        <v>455</v>
      </c>
      <c r="F132" s="38" t="s">
        <v>456</v>
      </c>
      <c r="G132" s="38" t="s">
        <v>457</v>
      </c>
      <c r="H132" s="39"/>
      <c r="I132" s="40"/>
      <c r="J132" s="40"/>
      <c r="K132" s="40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</row>
    <row r="133" spans="1:47" ht="57" customHeight="1" x14ac:dyDescent="0.25">
      <c r="A133" s="31"/>
      <c r="B133" s="26" t="str">
        <f>IF(F133="","",$D$3&amp;"."&amp;COUNTA($F$9:F133)&amp;"")</f>
        <v>TC_02.122</v>
      </c>
      <c r="C133" s="37" t="s">
        <v>16</v>
      </c>
      <c r="D133" s="38" t="s">
        <v>458</v>
      </c>
      <c r="E133" s="38" t="s">
        <v>455</v>
      </c>
      <c r="F133" s="38" t="s">
        <v>459</v>
      </c>
      <c r="G133" s="38" t="s">
        <v>220</v>
      </c>
      <c r="H133" s="39"/>
      <c r="I133" s="40"/>
      <c r="J133" s="40"/>
      <c r="K133" s="40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</row>
    <row r="134" spans="1:47" ht="57" customHeight="1" x14ac:dyDescent="0.25">
      <c r="A134" s="31"/>
      <c r="B134" s="26" t="str">
        <f>IF(F134="","",$D$3&amp;"."&amp;COUNTA($F$9:F134)&amp;"")</f>
        <v>TC_02.123</v>
      </c>
      <c r="C134" s="37" t="s">
        <v>16</v>
      </c>
      <c r="D134" s="38" t="s">
        <v>460</v>
      </c>
      <c r="E134" s="38" t="s">
        <v>461</v>
      </c>
      <c r="F134" s="38" t="s">
        <v>462</v>
      </c>
      <c r="G134" s="38" t="s">
        <v>463</v>
      </c>
      <c r="H134" s="39"/>
      <c r="I134" s="40"/>
      <c r="J134" s="40"/>
      <c r="K134" s="40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</row>
    <row r="135" spans="1:47" ht="42.75" customHeight="1" x14ac:dyDescent="0.25">
      <c r="A135" s="31"/>
      <c r="B135" s="26" t="str">
        <f>IF(F135="","",$D$3&amp;"."&amp;COUNTA($F$9:F135)&amp;"")</f>
        <v>TC_02.124</v>
      </c>
      <c r="C135" s="37" t="s">
        <v>16</v>
      </c>
      <c r="D135" s="38" t="s">
        <v>464</v>
      </c>
      <c r="E135" s="38" t="s">
        <v>455</v>
      </c>
      <c r="F135" s="38" t="s">
        <v>465</v>
      </c>
      <c r="G135" s="38" t="s">
        <v>466</v>
      </c>
      <c r="H135" s="39"/>
      <c r="I135" s="40"/>
      <c r="J135" s="40"/>
      <c r="K135" s="40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</row>
    <row r="136" spans="1:47" ht="57" customHeight="1" x14ac:dyDescent="0.25">
      <c r="A136" s="31"/>
      <c r="B136" s="26" t="str">
        <f>IF(F136="","",$D$3&amp;"."&amp;COUNTA($F$9:F136)&amp;"")</f>
        <v>TC_02.125</v>
      </c>
      <c r="C136" s="37" t="s">
        <v>16</v>
      </c>
      <c r="D136" s="38" t="s">
        <v>467</v>
      </c>
      <c r="E136" s="38" t="s">
        <v>455</v>
      </c>
      <c r="F136" s="38" t="s">
        <v>468</v>
      </c>
      <c r="G136" s="38" t="s">
        <v>469</v>
      </c>
      <c r="H136" s="39"/>
      <c r="I136" s="40"/>
      <c r="J136" s="40"/>
      <c r="K136" s="40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</row>
    <row r="137" spans="1:47" ht="42.75" customHeight="1" x14ac:dyDescent="0.25">
      <c r="A137" s="31"/>
      <c r="B137" s="26" t="str">
        <f>IF(F137="","",$D$3&amp;"."&amp;COUNTA($F$9:F137)&amp;"")</f>
        <v>TC_02.126</v>
      </c>
      <c r="C137" s="37" t="s">
        <v>16</v>
      </c>
      <c r="D137" s="38" t="s">
        <v>470</v>
      </c>
      <c r="E137" s="38" t="s">
        <v>471</v>
      </c>
      <c r="F137" s="38" t="s">
        <v>472</v>
      </c>
      <c r="G137" s="38" t="s">
        <v>473</v>
      </c>
      <c r="H137" s="39"/>
      <c r="I137" s="40"/>
      <c r="J137" s="40"/>
      <c r="K137" s="40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</row>
    <row r="138" spans="1:47" ht="57" customHeight="1" x14ac:dyDescent="0.25">
      <c r="A138" s="31"/>
      <c r="B138" s="26" t="str">
        <f>IF(F138="","",$D$3&amp;"."&amp;COUNTA($F$9:F138)&amp;"")</f>
        <v>TC_02.127</v>
      </c>
      <c r="C138" s="37" t="s">
        <v>16</v>
      </c>
      <c r="D138" s="38" t="s">
        <v>474</v>
      </c>
      <c r="E138" s="38" t="s">
        <v>455</v>
      </c>
      <c r="F138" s="38" t="s">
        <v>475</v>
      </c>
      <c r="G138" s="38" t="s">
        <v>476</v>
      </c>
      <c r="H138" s="39"/>
      <c r="I138" s="40"/>
      <c r="J138" s="40"/>
      <c r="K138" s="40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</row>
    <row r="139" spans="1:47" ht="71.25" customHeight="1" x14ac:dyDescent="0.25">
      <c r="A139" s="31"/>
      <c r="B139" s="26" t="str">
        <f>IF(F139="","",$D$3&amp;"."&amp;COUNTA($F$9:F139)&amp;"")</f>
        <v>TC_02.128</v>
      </c>
      <c r="C139" s="37" t="s">
        <v>16</v>
      </c>
      <c r="D139" s="38" t="s">
        <v>477</v>
      </c>
      <c r="E139" s="38" t="s">
        <v>478</v>
      </c>
      <c r="F139" s="38" t="s">
        <v>479</v>
      </c>
      <c r="G139" s="38" t="s">
        <v>480</v>
      </c>
      <c r="H139" s="39"/>
      <c r="I139" s="40"/>
      <c r="J139" s="40"/>
      <c r="K139" s="40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</row>
    <row r="140" spans="1:47" ht="57" x14ac:dyDescent="0.25">
      <c r="A140" s="31"/>
      <c r="B140" s="26" t="str">
        <f>IF(F140="","",$D$3&amp;"."&amp;COUNTA($F$9:F140)&amp;"")</f>
        <v>TC_02.129</v>
      </c>
      <c r="C140" s="37" t="s">
        <v>16</v>
      </c>
      <c r="D140" s="38" t="s">
        <v>481</v>
      </c>
      <c r="E140" s="38" t="s">
        <v>455</v>
      </c>
      <c r="F140" s="38" t="s">
        <v>482</v>
      </c>
      <c r="G140" s="38" t="s">
        <v>483</v>
      </c>
      <c r="H140" s="39"/>
      <c r="I140" s="40"/>
      <c r="J140" s="40"/>
      <c r="K140" s="40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</row>
    <row r="141" spans="1:47" ht="42.75" x14ac:dyDescent="0.25">
      <c r="A141" s="31"/>
      <c r="B141" s="26" t="str">
        <f>IF(F141="","",$D$3&amp;"."&amp;COUNTA($F$9:F141)&amp;"")</f>
        <v>TC_02.130</v>
      </c>
      <c r="C141" s="37" t="s">
        <v>16</v>
      </c>
      <c r="D141" s="38" t="s">
        <v>484</v>
      </c>
      <c r="E141" s="38" t="s">
        <v>485</v>
      </c>
      <c r="F141" s="38" t="s">
        <v>486</v>
      </c>
      <c r="G141" s="38" t="s">
        <v>487</v>
      </c>
      <c r="H141" s="39"/>
      <c r="I141" s="40"/>
      <c r="J141" s="40"/>
      <c r="K141" s="40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</row>
    <row r="142" spans="1:47" ht="57" x14ac:dyDescent="0.25">
      <c r="A142" s="31"/>
      <c r="B142" s="26" t="str">
        <f>IF(F142="","",$D$3&amp;"."&amp;COUNTA($F$9:F142)&amp;"")</f>
        <v>TC_02.131</v>
      </c>
      <c r="C142" s="37" t="s">
        <v>16</v>
      </c>
      <c r="D142" s="38" t="s">
        <v>488</v>
      </c>
      <c r="E142" s="38" t="s">
        <v>455</v>
      </c>
      <c r="F142" s="38" t="s">
        <v>489</v>
      </c>
      <c r="G142" s="38" t="s">
        <v>490</v>
      </c>
      <c r="H142" s="39"/>
      <c r="I142" s="40"/>
      <c r="J142" s="40"/>
      <c r="K142" s="40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</row>
    <row r="143" spans="1:47" ht="42.75" x14ac:dyDescent="0.25">
      <c r="A143" s="31"/>
      <c r="B143" s="26" t="str">
        <f>IF(F143="","",$D$3&amp;"."&amp;COUNTA($F$9:F143)&amp;"")</f>
        <v>TC_02.132</v>
      </c>
      <c r="C143" s="37" t="s">
        <v>16</v>
      </c>
      <c r="D143" s="38" t="s">
        <v>491</v>
      </c>
      <c r="E143" s="38" t="s">
        <v>492</v>
      </c>
      <c r="F143" s="38" t="s">
        <v>493</v>
      </c>
      <c r="G143" s="38" t="s">
        <v>494</v>
      </c>
      <c r="H143" s="39"/>
      <c r="I143" s="40"/>
      <c r="J143" s="40"/>
      <c r="K143" s="40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</row>
    <row r="144" spans="1:47" ht="57" x14ac:dyDescent="0.25">
      <c r="A144" s="31"/>
      <c r="B144" s="26" t="str">
        <f>IF(F144="","",$D$3&amp;"."&amp;COUNTA($F$9:F144)&amp;"")</f>
        <v>TC_02.133</v>
      </c>
      <c r="C144" s="37" t="s">
        <v>16</v>
      </c>
      <c r="D144" s="38" t="s">
        <v>495</v>
      </c>
      <c r="E144" s="38" t="s">
        <v>455</v>
      </c>
      <c r="F144" s="38" t="s">
        <v>496</v>
      </c>
      <c r="G144" s="38" t="s">
        <v>497</v>
      </c>
      <c r="H144" s="39"/>
      <c r="I144" s="40"/>
      <c r="J144" s="40"/>
      <c r="K144" s="40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</row>
    <row r="145" spans="1:47" ht="57" x14ac:dyDescent="0.25">
      <c r="A145" s="31"/>
      <c r="B145" s="26" t="str">
        <f>IF(F145="","",$D$3&amp;"."&amp;COUNTA($F$9:F145)&amp;"")</f>
        <v>TC_02.134</v>
      </c>
      <c r="C145" s="37" t="s">
        <v>16</v>
      </c>
      <c r="D145" s="38" t="s">
        <v>498</v>
      </c>
      <c r="E145" s="38" t="s">
        <v>455</v>
      </c>
      <c r="F145" s="38" t="s">
        <v>499</v>
      </c>
      <c r="G145" s="38" t="s">
        <v>500</v>
      </c>
      <c r="H145" s="39"/>
      <c r="I145" s="40"/>
      <c r="J145" s="40"/>
      <c r="K145" s="40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</row>
    <row r="146" spans="1:47" ht="57" x14ac:dyDescent="0.25">
      <c r="A146" s="31"/>
      <c r="B146" s="26" t="str">
        <f>IF(F146="","",$D$3&amp;"."&amp;COUNTA($F$9:F146)&amp;"")</f>
        <v>TC_02.135</v>
      </c>
      <c r="C146" s="37" t="s">
        <v>16</v>
      </c>
      <c r="D146" s="38" t="s">
        <v>501</v>
      </c>
      <c r="E146" s="38" t="s">
        <v>455</v>
      </c>
      <c r="F146" s="38" t="s">
        <v>502</v>
      </c>
      <c r="G146" s="38" t="s">
        <v>503</v>
      </c>
      <c r="H146" s="39"/>
      <c r="I146" s="40"/>
      <c r="J146" s="40"/>
      <c r="K146" s="40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</row>
    <row r="147" spans="1:47" ht="42.75" x14ac:dyDescent="0.25">
      <c r="A147" s="31"/>
      <c r="B147" s="26" t="str">
        <f>IF(F147="","",$D$3&amp;"."&amp;COUNTA($F$9:F147)&amp;"")</f>
        <v>TC_02.136</v>
      </c>
      <c r="C147" s="37" t="s">
        <v>16</v>
      </c>
      <c r="D147" s="38" t="s">
        <v>504</v>
      </c>
      <c r="E147" s="38" t="s">
        <v>505</v>
      </c>
      <c r="F147" s="38" t="s">
        <v>506</v>
      </c>
      <c r="G147" s="38" t="s">
        <v>331</v>
      </c>
      <c r="H147" s="39"/>
      <c r="I147" s="40"/>
      <c r="J147" s="41"/>
      <c r="K147" s="40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</row>
    <row r="148" spans="1:47" ht="57" x14ac:dyDescent="0.25">
      <c r="A148" s="31"/>
      <c r="B148" s="26" t="str">
        <f>IF(F148="","",$D$3&amp;"."&amp;COUNTA($F$9:F148)&amp;"")</f>
        <v>TC_02.137</v>
      </c>
      <c r="C148" s="37" t="s">
        <v>16</v>
      </c>
      <c r="D148" s="38" t="s">
        <v>507</v>
      </c>
      <c r="E148" s="38" t="s">
        <v>455</v>
      </c>
      <c r="F148" s="38" t="s">
        <v>508</v>
      </c>
      <c r="G148" s="38" t="s">
        <v>509</v>
      </c>
      <c r="H148" s="39"/>
      <c r="I148" s="40"/>
      <c r="J148" s="40"/>
      <c r="K148" s="40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</row>
    <row r="149" spans="1:47" ht="71.25" x14ac:dyDescent="0.25">
      <c r="A149" s="48" t="s">
        <v>41</v>
      </c>
      <c r="B149" s="44" t="str">
        <f>IF(F149="","",$D$3&amp;"."&amp;COUNTA($F$9:F149)&amp;"")</f>
        <v>TC_02.138</v>
      </c>
      <c r="C149" s="53" t="s">
        <v>16</v>
      </c>
      <c r="D149" s="54" t="s">
        <v>510</v>
      </c>
      <c r="E149" s="54" t="s">
        <v>455</v>
      </c>
      <c r="F149" s="54" t="s">
        <v>511</v>
      </c>
      <c r="G149" s="54" t="s">
        <v>374</v>
      </c>
      <c r="H149" s="39"/>
      <c r="I149" s="40"/>
      <c r="J149" s="40"/>
      <c r="K149" s="40" t="s">
        <v>375</v>
      </c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</row>
    <row r="150" spans="1:47" ht="57" x14ac:dyDescent="0.25">
      <c r="A150" s="31"/>
      <c r="B150" s="26" t="str">
        <f>IF(F150="","",$D$3&amp;"."&amp;COUNTA($F$9:F150)&amp;"")</f>
        <v>TC_02.139</v>
      </c>
      <c r="C150" s="37" t="s">
        <v>24</v>
      </c>
      <c r="D150" s="38" t="s">
        <v>512</v>
      </c>
      <c r="E150" s="38" t="s">
        <v>455</v>
      </c>
      <c r="F150" s="38" t="s">
        <v>513</v>
      </c>
      <c r="G150" s="38" t="s">
        <v>514</v>
      </c>
      <c r="H150" s="39"/>
      <c r="I150" s="40"/>
      <c r="J150" s="40"/>
      <c r="K150" s="40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</row>
    <row r="151" spans="1:47" ht="71.25" x14ac:dyDescent="0.25">
      <c r="A151" s="31"/>
      <c r="B151" s="26" t="str">
        <f>IF(F151="","",$D$3&amp;"."&amp;COUNTA($F$9:F151)&amp;"")</f>
        <v>TC_02.140</v>
      </c>
      <c r="C151" s="37" t="s">
        <v>24</v>
      </c>
      <c r="D151" s="38" t="s">
        <v>515</v>
      </c>
      <c r="E151" s="38" t="s">
        <v>516</v>
      </c>
      <c r="F151" s="38" t="s">
        <v>517</v>
      </c>
      <c r="G151" s="42" t="s">
        <v>518</v>
      </c>
      <c r="H151" s="39"/>
      <c r="I151" s="40"/>
      <c r="J151" s="40"/>
      <c r="K151" s="40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</row>
    <row r="152" spans="1:47" ht="60" customHeight="1" x14ac:dyDescent="0.25">
      <c r="A152" s="51" t="s">
        <v>41</v>
      </c>
      <c r="B152" s="51" t="str">
        <f>IF(F152="","",$D$3&amp;"."&amp;COUNTA($F$9:F152)&amp;"")</f>
        <v>TC_02.141</v>
      </c>
      <c r="C152" s="51" t="s">
        <v>16</v>
      </c>
      <c r="D152" s="52" t="s">
        <v>519</v>
      </c>
      <c r="E152" s="52" t="s">
        <v>520</v>
      </c>
      <c r="F152" s="52" t="s">
        <v>521</v>
      </c>
      <c r="G152" s="52" t="s">
        <v>522</v>
      </c>
      <c r="K152" s="69" t="s">
        <v>523</v>
      </c>
    </row>
    <row r="153" spans="1:47" ht="60" customHeight="1" x14ac:dyDescent="0.25">
      <c r="A153" s="51" t="s">
        <v>41</v>
      </c>
      <c r="B153" s="51" t="str">
        <f>IF(F153="","",$D$3&amp;"."&amp;COUNTA($F$9:F153)&amp;"")</f>
        <v>TC_02.142</v>
      </c>
      <c r="C153" s="51" t="s">
        <v>16</v>
      </c>
      <c r="D153" s="52" t="s">
        <v>524</v>
      </c>
      <c r="E153" s="52" t="s">
        <v>520</v>
      </c>
      <c r="F153" s="52" t="s">
        <v>525</v>
      </c>
      <c r="G153" s="52" t="s">
        <v>526</v>
      </c>
      <c r="K153" s="69" t="s">
        <v>527</v>
      </c>
    </row>
    <row r="154" spans="1:47" x14ac:dyDescent="0.25">
      <c r="A154" s="31"/>
      <c r="B154" s="26" t="str">
        <f>IF(F140="","",$D$3&amp;"."&amp;COUNTA($F$9:F140)&amp;"")</f>
        <v>TC_02.129</v>
      </c>
      <c r="C154" s="43"/>
      <c r="D154" s="43"/>
      <c r="E154" s="43"/>
      <c r="F154" s="43"/>
      <c r="G154" s="43"/>
      <c r="H154" s="39"/>
      <c r="I154" s="40"/>
      <c r="J154" s="40"/>
      <c r="K154" s="40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</row>
  </sheetData>
  <mergeCells count="25">
    <mergeCell ref="AB7:AE7"/>
    <mergeCell ref="T7:W7"/>
    <mergeCell ref="G7:G8"/>
    <mergeCell ref="AF7:AI7"/>
    <mergeCell ref="A3:C3"/>
    <mergeCell ref="A7:A8"/>
    <mergeCell ref="A4:C4"/>
    <mergeCell ref="D4:E4"/>
    <mergeCell ref="D3:E3"/>
    <mergeCell ref="C2:F2"/>
    <mergeCell ref="AN7:AQ7"/>
    <mergeCell ref="B128:G128"/>
    <mergeCell ref="B9:G9"/>
    <mergeCell ref="AR7:AU7"/>
    <mergeCell ref="D7:D8"/>
    <mergeCell ref="L7:O7"/>
    <mergeCell ref="C7:C8"/>
    <mergeCell ref="E7:E8"/>
    <mergeCell ref="X7:AA7"/>
    <mergeCell ref="AJ7:AM7"/>
    <mergeCell ref="B31:G31"/>
    <mergeCell ref="B7:B8"/>
    <mergeCell ref="P7:S7"/>
    <mergeCell ref="F7:F8"/>
    <mergeCell ref="H7:K7"/>
  </mergeCells>
  <conditionalFormatting sqref="L9:L140 P9:P140 T9:T140 X9:X140 AB9:AB140 AF9:AF140 AJ9:AJ140 AN9:AN140 AR9:AR140">
    <cfRule type="cellIs" dxfId="11" priority="1" operator="equal">
      <formula>"Block"</formula>
    </cfRule>
    <cfRule type="cellIs" dxfId="10" priority="2" operator="equal">
      <formula>"Fail"</formula>
    </cfRule>
    <cfRule type="cellIs" dxfId="9" priority="3" operator="equal">
      <formula>"Pass"</formula>
    </cfRule>
    <cfRule type="cellIs" dxfId="8" priority="4" operator="equal">
      <formula>"N/A"</formula>
    </cfRule>
  </conditionalFormatting>
  <conditionalFormatting sqref="H10:H30 H32:H140 L9:L140">
    <cfRule type="cellIs" dxfId="7" priority="5" operator="equal">
      <formula>"Block"</formula>
    </cfRule>
    <cfRule type="cellIs" dxfId="6" priority="6" operator="equal">
      <formula>"Fail"</formula>
    </cfRule>
    <cfRule type="cellIs" dxfId="5" priority="7" operator="equal">
      <formula>"Pass"</formula>
    </cfRule>
    <cfRule type="cellIs" dxfId="4" priority="8" operator="equal">
      <formula>"N/A"</formula>
    </cfRule>
    <cfRule type="cellIs" dxfId="3" priority="9" operator="equal">
      <formula>"Block"</formula>
    </cfRule>
    <cfRule type="cellIs" dxfId="2" priority="10" operator="equal">
      <formula>"Fail"</formula>
    </cfRule>
    <cfRule type="cellIs" dxfId="1" priority="11" operator="equal">
      <formula>"Pass"</formula>
    </cfRule>
    <cfRule type="cellIs" dxfId="0" priority="12" operator="equal">
      <formula>"N/A"</formula>
    </cfRule>
  </conditionalFormatting>
  <dataValidations count="3">
    <dataValidation type="list" allowBlank="1" showErrorMessage="1" sqref="C10:C30 C32:C115 C117:C140">
      <formula1>"High,Medium,Low"</formula1>
    </dataValidation>
    <dataValidation type="list" allowBlank="1" showErrorMessage="1" sqref="A10:A30 A32:A115 A117:A140">
      <formula1>"QC,AI"</formula1>
    </dataValidation>
    <dataValidation type="list" allowBlank="1" showErrorMessage="1" sqref="H10:H30 H32:H140 L10:L30 L32:L140 P9:P140 T9:T140 X9:X140 AB9:AB140 AF9:AF140 AJ9:AJ140 AN9:AN140 AR9:AR140">
      <formula1>"Pass,Fail,Block,N/A"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2015-06-05T18:17:20Z</dcterms:created>
  <dcterms:modified xsi:type="dcterms:W3CDTF">2026-05-25T08:48:11Z</dcterms:modified>
</cp:coreProperties>
</file>