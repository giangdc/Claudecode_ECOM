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Revision history" sheetId="2" r:id="rId6"/>
    <sheet state="visible" name="Guideline" sheetId="3" r:id="rId7"/>
    <sheet state="visible" name="Summary" sheetId="4" r:id="rId8"/>
    <sheet state="visible" name="Thông tin chung" sheetId="5" r:id="rId9"/>
    <sheet state="visible" name="FPL SA" sheetId="6" r:id="rId10"/>
    <sheet state="visible" name="Ultra Fast" sheetId="7" r:id="rId11"/>
    <sheet state="visible" name="Hyper Fast" sheetId="8" r:id="rId12"/>
    <sheet state="visible" name="Chi tiết các dịch vụ SA" sheetId="9" r:id="rId13"/>
    <sheet state="visible" name="Trang tổng hợp dịch vụ" sheetId="10" r:id="rId14"/>
    <sheet state="visible" name="check out" sheetId="11" r:id="rId15"/>
  </sheets>
  <definedNames>
    <definedName localSheetId="0" name="Testing_status">#REF!</definedName>
    <definedName localSheetId="2" name="Testing_status">#REF!</definedName>
    <definedName localSheetId="1" name="Testing_status">#REF!</definedName>
    <definedName name="Testing_status">#REF!</definedName>
    <definedName localSheetId="3" name="Testing_status">#REF!</definedName>
    <definedName name="Display_Week">#REF!</definedName>
    <definedName name="Project_Start">#REF!</definedName>
    <definedName hidden="1" localSheetId="4" name="_xlnm._FilterDatabase">'Thông tin chung'!$G$1:$L$181</definedName>
    <definedName hidden="1" localSheetId="5" name="_xlnm._FilterDatabase">'FPL SA'!$G$1:$J$56</definedName>
    <definedName hidden="1" localSheetId="6" name="_xlnm._FilterDatabase">'Ultra Fast'!$G$1:$J$30</definedName>
    <definedName hidden="1" localSheetId="7" name="_xlnm._FilterDatabase">'Hyper Fast'!$G$1:$J$62</definedName>
    <definedName hidden="1" localSheetId="8" name="_xlnm._FilterDatabase">'Chi tiết các dịch vụ SA'!$G$1:$L$84</definedName>
    <definedName hidden="1" localSheetId="9" name="_xlnm._FilterDatabase">'Trang tổng hợp dịch vụ'!$G$1:$J$129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tc={970b842b-5cf9-461e-b53c-b5f0b38e1a98}</author>
  </authors>
  <commentList>
    <comment authorId="0" xr:uid="{970b842b-5cf9-461e-b53c-b5f0b38e1a98}" ref="F37">
      <text>
        <t xml:space="preserve">[Threaded comment]
 Your version of Excel allows you to read this threaded comment; however, any edits to it will get removed if the file is opened in a newer version of Excel. Learn more: https://go.microsoft.com/fwlink/?linkid=870924
Comment:
	Hỏi lại BA: Sau khi kích hoạt code thành công, button Kích hoạt code có disable không
</t>
      </text>
    </comment>
  </commentList>
</comments>
</file>

<file path=xl/sharedStrings.xml><?xml version="1.0" encoding="utf-8"?>
<sst xmlns="http://schemas.openxmlformats.org/spreadsheetml/2006/main" count="3705" uniqueCount="1578">
  <si>
    <t>ECP</t>
  </si>
  <si>
    <t>TESTCASE</t>
  </si>
  <si>
    <t>Mã hiệu</t>
  </si>
  <si>
    <t>Phiên bản</t>
  </si>
  <si>
    <t>1.0</t>
  </si>
  <si>
    <t>Ngày hiệu lực</t>
  </si>
  <si>
    <t>REVISION HISTORY - TESTCASE</t>
  </si>
  <si>
    <t>Phiên bản testcase
(Testcase version)</t>
  </si>
  <si>
    <t>Ngày cập nhật
(Date Update)</t>
  </si>
  <si>
    <t>Người tạo
(Author)</t>
  </si>
  <si>
    <t>Người xem xét
(Reviewer)</t>
  </si>
  <si>
    <t>Tên chức năng
(Function name)</t>
  </si>
  <si>
    <t>Mô tả chức năng
(Function description)</t>
  </si>
  <si>
    <t>Tình trạng
(Status)</t>
  </si>
  <si>
    <t>v1.0</t>
  </si>
  <si>
    <t>v1.0_Sprint 10</t>
  </si>
  <si>
    <t>20/03/2026</t>
  </si>
  <si>
    <t>GiangDC2, AnhDC4</t>
  </si>
  <si>
    <t>HuyenNHK</t>
  </si>
  <si>
    <t>Luồng checkout Net,Combo net</t>
  </si>
  <si>
    <t>Thêm mới</t>
  </si>
  <si>
    <t>v1.0 Sprint 12</t>
  </si>
  <si>
    <t>Thông tin chung</t>
  </si>
  <si>
    <t>Các TC dùng chung cho tất cả dịch vụ (UI, navigation, form validation cơ bản...)</t>
  </si>
  <si>
    <t>FPL SA</t>
  </si>
  <si>
    <t>Luồng checkout FPL SA</t>
  </si>
  <si>
    <t>Ultra Fast</t>
  </si>
  <si>
    <t>Luồng checkout Ultra Fast</t>
  </si>
  <si>
    <t>Hyper Fast</t>
  </si>
  <si>
    <t>Luồng checkout Hyper Fast</t>
  </si>
  <si>
    <t>Chi tiết các dịch vụ SA</t>
  </si>
  <si>
    <t>Chi tiết các dịch vụ SA(FPTPlay, UltraFast, HyperFast)</t>
  </si>
  <si>
    <t>Trang tổng hợp dịch vụ</t>
  </si>
  <si>
    <t>Trang tổng hợp dịch vụ số (UltraFast, HyperFast)</t>
  </si>
  <si>
    <t>REVISION HISTORY - TEMPLATE</t>
  </si>
  <si>
    <t>[Phần này chỉ giành cho QA update]</t>
  </si>
  <si>
    <t>Version</t>
  </si>
  <si>
    <t>Người tạo</t>
  </si>
  <si>
    <t>Người xem xét</t>
  </si>
  <si>
    <t>Người phê duyệt</t>
  </si>
  <si>
    <t>Nội dung thay đổi</t>
  </si>
  <si>
    <t>Tạo mới</t>
  </si>
  <si>
    <t>QUY ĐỊNH CHUNG</t>
  </si>
  <si>
    <t xml:space="preserve">1. Tên File Testcase/Report đặt theo chuẩn: </t>
  </si>
  <si>
    <t>ISC_[Tên Dự Án]_[Version Dự Án]_TC_[Version File TC theo Revision history]_R[Số vòng test khi report].xlsx</t>
  </si>
  <si>
    <t>ISC_[Tên Dự Án]_[Version Dự Án]_Report.xlsx</t>
  </si>
  <si>
    <r>
      <rPr>
        <rFont val="Calibri"/>
        <color theme="1"/>
        <sz val="12.0"/>
        <u/>
      </rPr>
      <t>VD:</t>
    </r>
    <r>
      <rPr>
        <rFont val="Calibri"/>
        <color theme="1"/>
        <sz val="12.0"/>
      </rPr>
      <t xml:space="preserve"> ISC_Salary FTI_V2.2_TC_V1.0_R1.xlsx
 ISC_Salary FTI_V2.2_Report.xlsx</t>
    </r>
  </si>
  <si>
    <r>
      <rPr>
        <rFont val="Calibri"/>
        <b/>
        <color theme="1"/>
        <sz val="12.0"/>
      </rPr>
      <t>2. Khi update nội dung File Testcase (Add/Update/Delete các Function/Screen) phải</t>
    </r>
    <r>
      <rPr>
        <rFont val="Calibri"/>
        <b/>
        <color theme="5"/>
        <sz val="12.0"/>
      </rPr>
      <t xml:space="preserve"> </t>
    </r>
    <r>
      <rPr>
        <rFont val="Calibri"/>
        <b/>
        <color rgb="FF2F5496"/>
        <sz val="12.0"/>
      </rPr>
      <t>tăng [Version File TC] và quản lý lịch sử thay đổi trong Revision history.</t>
    </r>
  </si>
  <si>
    <t>3. Các Function/ Screen khác nhau được tách ra thành từng sheet.</t>
  </si>
  <si>
    <t>- [Nội Dung Test/Test Title] trongTestcase tách ra từng case riêng biệt không gộp lại thành 1 case nhưng kết quả test khác nhau.</t>
  </si>
  <si>
    <t>- [Người thực hiện]: sử dụng tên email, chỉ duy nhất một người thực hiện.</t>
  </si>
  <si>
    <t>BẢNG PHÂN LOẠI TRẠNG THÁI TESTCASE</t>
  </si>
  <si>
    <t>Trạng thái</t>
  </si>
  <si>
    <t>Ý nghĩa</t>
  </si>
  <si>
    <t>(Blank)</t>
  </si>
  <si>
    <t>Trạng thái mặc định khi chưa thực hiện test</t>
  </si>
  <si>
    <t>Pass</t>
  </si>
  <si>
    <t>Thực hiện thành công case</t>
  </si>
  <si>
    <t>Fail</t>
  </si>
  <si>
    <t>Không thành công case, có lỗi phát sinh</t>
  </si>
  <si>
    <t>Block</t>
  </si>
  <si>
    <r>
      <rPr>
        <rFont val="Calibri"/>
        <b/>
        <color theme="1"/>
        <sz val="12.0"/>
      </rPr>
      <t xml:space="preserve">Case này không thể thực hiện/Pending, ghi rõ lý do trong phần ghi chú:
</t>
    </r>
    <r>
      <rPr>
        <rFont val="Calibri"/>
        <color theme="1"/>
        <sz val="12.0"/>
      </rPr>
      <t>(</t>
    </r>
    <r>
      <rPr>
        <rFont val="Calibri"/>
        <b/>
        <color theme="1"/>
        <sz val="12.0"/>
      </rPr>
      <t>VD:</t>
    </r>
    <r>
      <rPr>
        <rFont val="Calibri"/>
        <color theme="1"/>
        <sz val="12.0"/>
      </rPr>
      <t xml:space="preserve"> Do chưa dev xong, Không có điều kiện - dữ liệu test, Tài liệu đặc tả sai, Đã thay đổi yêu cầu...).
</t>
    </r>
  </si>
  <si>
    <t>N/A</t>
  </si>
  <si>
    <t>- Case Suggest
- Case Won't fix</t>
  </si>
  <si>
    <t>BẢNG PHÂN LOẠI ĐỘ ƯU TIÊN</t>
  </si>
  <si>
    <t>High</t>
  </si>
  <si>
    <t>- Phải thực hiện trong bất kỳ vòng nào
- Case ảnh hưởng trực tiếp đến nhiều người dùng
- Chức năng, nghiệp vụ</t>
  </si>
  <si>
    <t>Medium</t>
  </si>
  <si>
    <t>- Phải thực hiện ít nhất một lần
- Ảnh hưởng đến người dùng</t>
  </si>
  <si>
    <t>Low</t>
  </si>
  <si>
    <t>- Có thể bỏ qua khi rút ngắn thời gian test
- Case không gây ảnh hưởng nhiều đến người dùng
- Case phụ thêm
- Không quy định trong tài liệu</t>
  </si>
  <si>
    <t>SUMMARY</t>
  </si>
  <si>
    <t>Project name</t>
  </si>
  <si>
    <t xml:space="preserve">Version </t>
  </si>
  <si>
    <t>V1.0 - Sprint 12</t>
  </si>
  <si>
    <t>Division</t>
  </si>
  <si>
    <t>ECOM</t>
  </si>
  <si>
    <t>Project Manager - PM</t>
  </si>
  <si>
    <t>TaiTT13</t>
  </si>
  <si>
    <t>STT</t>
  </si>
  <si>
    <t>Mã chức năng</t>
  </si>
  <si>
    <t>Sheet Name</t>
  </si>
  <si>
    <t>Function/ Screen</t>
  </si>
  <si>
    <t>Số Testcase</t>
  </si>
  <si>
    <t>Round 1 (09/04/2026 - 15/04/2026)</t>
  </si>
  <si>
    <t>G:I</t>
  </si>
  <si>
    <t>Round 2 (dd/mm/yyyy - dd/mm/yyyy)</t>
  </si>
  <si>
    <t>K:K</t>
  </si>
  <si>
    <t>Round 3(dd/mm/yyyy - dd/mm/yyyy)</t>
  </si>
  <si>
    <t>O:O</t>
  </si>
  <si>
    <t>Round 4 (dd/mm/yyyy - dd/mm/yyyy)</t>
  </si>
  <si>
    <t>S:S</t>
  </si>
  <si>
    <t>Round 5 (dd/mm/yyyy - dd/mm/yyyy)</t>
  </si>
  <si>
    <t>W:W</t>
  </si>
  <si>
    <t>Round 6 (dd/mm/yyyy - dd/mm/yyyy)</t>
  </si>
  <si>
    <t>AA:AA</t>
  </si>
  <si>
    <t>Round 7 (dd/mm/yyyy - dd/mm/yyyy)</t>
  </si>
  <si>
    <t>AE:AE</t>
  </si>
  <si>
    <t>Round 8 (dd/mm/yyyy - dd/mm/yyyy)</t>
  </si>
  <si>
    <t>AI:AI</t>
  </si>
  <si>
    <t>Round 9 (dd/mm/yyyy - dd/mm/yyyy)</t>
  </si>
  <si>
    <t>AM:AM</t>
  </si>
  <si>
    <t>Round 10 (dd/mm/yyyy - dd/mm/yyyy)</t>
  </si>
  <si>
    <t>AQ:AQ</t>
  </si>
  <si>
    <t>Excute Testcase</t>
  </si>
  <si>
    <t>v</t>
  </si>
  <si>
    <t>TC_01</t>
  </si>
  <si>
    <t>TC_02</t>
  </si>
  <si>
    <t>TC_03</t>
  </si>
  <si>
    <t>TC_04</t>
  </si>
  <si>
    <t>TC_05</t>
  </si>
  <si>
    <t>TC_06</t>
  </si>
  <si>
    <t>Total</t>
  </si>
  <si>
    <t>Rate (%)</t>
  </si>
  <si>
    <t>Mã chức năng
(Function ID)</t>
  </si>
  <si>
    <t>Tên chức năng 
(Function Name)</t>
  </si>
  <si>
    <t>Testcase ID</t>
  </si>
  <si>
    <t>Mức Độ Ưu Tiên
(Priority)</t>
  </si>
  <si>
    <t>Nội Dung Test
(Test Title)</t>
  </si>
  <si>
    <t>Điều Kiện/ Dữ Liệu Test
(Pre-condition/ Test Data)</t>
  </si>
  <si>
    <t>Các Bước Thực Hiện
(Test Steps)</t>
  </si>
  <si>
    <t>Kết Quả Mong Đợi
(Expected Results)</t>
  </si>
  <si>
    <t>Kết Quả Thực Hiện
(Actual Result)</t>
  </si>
  <si>
    <t>Người Thực Hiện
(Executed By)</t>
  </si>
  <si>
    <t>ID Bugs</t>
  </si>
  <si>
    <t>Ghi Chú
(Remark)</t>
  </si>
  <si>
    <t>Các dịch vụ cần test</t>
  </si>
  <si>
    <t>FPL</t>
  </si>
  <si>
    <t>HyperFast</t>
  </si>
  <si>
    <t>Màn hình nhập thông tin</t>
  </si>
  <si>
    <t xml:space="preserve">Màn hình nhập thông tin - Header </t>
  </si>
  <si>
    <t>Click vào Logo FPT Telecom</t>
  </si>
  <si>
    <t xml:space="preserve">- Đang ở màn hình nhập thông tin đăng ký/thanh toán </t>
  </si>
  <si>
    <t>1. Click vào logo FPT Telecom</t>
  </si>
  <si>
    <r>
      <rPr>
        <rFont val="Calibri"/>
        <sz val="12.0"/>
      </rPr>
      <t xml:space="preserve">- Truy cập link trực tiếp: Điều hướng vào màn hình Home fpt.vn 
- Truy cập từ tongdaiwifi: Điều hướng về home </t>
    </r>
    <r>
      <rPr>
        <rFont val="Calibri"/>
        <color rgb="FF1155CC"/>
        <sz val="12.0"/>
        <u/>
      </rPr>
      <t>https://staging.tongdaiwifi.vn/</t>
    </r>
    <r>
      <rPr>
        <rFont val="Calibri"/>
        <sz val="12.0"/>
      </rPr>
      <t xml:space="preserve">
</t>
    </r>
  </si>
  <si>
    <t>AnhDC4</t>
  </si>
  <si>
    <t xml:space="preserve">Click vào icon back_ từ Home truy cập trực tiếp link </t>
  </si>
  <si>
    <t>- Có link đăng ký dịch vụ</t>
  </si>
  <si>
    <t>1. Mở trình duyệt 
2. Truy cập trực tiếp link đăng ký dịch vụ 
3. Click vào icon back</t>
  </si>
  <si>
    <r>
      <rPr>
        <rFont val="Calibri"/>
        <sz val="12.0"/>
      </rPr>
      <t xml:space="preserve">Điều hướng vào màn hình Home fpt.vn </t>
    </r>
    <r>
      <rPr>
        <rFont val="Calibri"/>
        <color rgb="FF000000"/>
        <sz val="12.0"/>
      </rPr>
      <t xml:space="preserve">
</t>
    </r>
  </si>
  <si>
    <r>
      <rPr>
        <rFont val="Calibri"/>
        <b/>
        <sz val="12.0"/>
      </rPr>
      <t xml:space="preserve">Click vào icon back_ từ Home </t>
    </r>
    <r>
      <rPr>
        <rFont val="Calibri"/>
        <b/>
        <color rgb="FF1155CC"/>
        <sz val="12.0"/>
        <u/>
      </rPr>
      <t>tongdaiwifi.vn</t>
    </r>
  </si>
  <si>
    <t>1. Mở trình duyệt 
2. Truy cập trang tongdaiwifi.vn
3. Click btn Đăng ký ngay 
4. Click vào icon back</t>
  </si>
  <si>
    <r>
      <rPr>
        <rFont val="Calibri"/>
        <sz val="12.0"/>
      </rPr>
      <t xml:space="preserve"> Điều hướng về home </t>
    </r>
    <r>
      <rPr>
        <rFont val="Calibri"/>
        <color rgb="FF1155CC"/>
        <sz val="12.0"/>
        <u/>
      </rPr>
      <t>https://staging.tongdaiwifi.vn/</t>
    </r>
    <r>
      <rPr>
        <rFont val="Calibri"/>
        <color rgb="FF000000"/>
        <sz val="12.0"/>
      </rPr>
      <t xml:space="preserve">
</t>
    </r>
  </si>
  <si>
    <t xml:space="preserve">Màn hình nhập thông tin - Tiến trình các bước </t>
  </si>
  <si>
    <t xml:space="preserve">Check màu sắc mặc định tại các bước </t>
  </si>
  <si>
    <t>1. Quan sát màu sắc tại các bước tiến trình.</t>
  </si>
  <si>
    <t>Hiển thị đúng màu sắc mặc định tại các bước. Gồm:
+ Bước 1: màu xanh dương
+ Bước 2,3: màu xám</t>
  </si>
  <si>
    <t>UltraFas, HyperFast, FPL 2 bước</t>
  </si>
  <si>
    <t>Click vào các bước 1,2,3 khi đang ở bước 1</t>
  </si>
  <si>
    <t>- Đang ở màn hình nhập thông tin đăng ký/thanh toán 
- Đang ở bước 1</t>
  </si>
  <si>
    <t>1. Click vào icon của các bước 1,2,3</t>
  </si>
  <si>
    <t>Không có action nào, vẫn ở màn hình hiện tại</t>
  </si>
  <si>
    <t>Click vào bước 1 khi đang ở bước 2</t>
  </si>
  <si>
    <t>- Đang ở màn hình nhập thông tin đăng ký/thanh toán 
- Hiển thị tiến trình 3 bước 
- Đang ở bước 2</t>
  </si>
  <si>
    <t>1. Click vào icon của bước 1</t>
  </si>
  <si>
    <t>Cho phép quay về bước 1 khi click vào icon bước 1</t>
  </si>
  <si>
    <t>Màn hình nhập thông tin - Block Sản phẩm dịch vụ đã chọn</t>
  </si>
  <si>
    <t>Check load Số lượng gói dịch vụ</t>
  </si>
  <si>
    <t>Chọn 1 gói dịch vụ SA ở màn hình Chi tiết dịch vụ</t>
  </si>
  <si>
    <t>1. Truy cập màn hình Thanh toán dịch vụ
2. Tại block Sản phẩm dịch vụ đã chọn
3. Check load Số lượng gói dịch vụ</t>
  </si>
  <si>
    <t>Hiển thị đúng số lượng gói dịch vụ đã chọn</t>
  </si>
  <si>
    <t>Check load data Gói dịch vụ</t>
  </si>
  <si>
    <t>1. Truy cập màn hình Thanh toán dịch vụ 
2. Tại block Sản phẩm dịch vụ đã chọn
3. Check hiển thị các trường trong block Sản phẩm dịch vụ đã chọn</t>
  </si>
  <si>
    <t>Hệ thống hiển thị lại gói khách hàng đã chọn</t>
  </si>
  <si>
    <t>Check load Chu kỳ gói dịch vụ</t>
  </si>
  <si>
    <t>1. Truy cập màn hình Thanh toán dịch vụ 
2. Tại block Sản phẩm dịch vụ đã chọn
3. Check load Chu kỳ gói dịch vụ</t>
  </si>
  <si>
    <t>Hệ thống hiển thị đúng chu kỳ đã chọn, ví dụ: 3 tháng, 6 tháng, 12 tháng.</t>
  </si>
  <si>
    <t>Check load Giá gói dịch vụ</t>
  </si>
  <si>
    <t>1. Truy cập màn hình Thanh toán dịch vụ 
2. Tại block Sản phẩm dịch vụ đã chọn
3. Check load Giá gói dịch vụ</t>
  </si>
  <si>
    <t>Hệ thống hiển thị giá của gói đã chọn. Nếu có ưu đãi, hệ thống hiển thị giá sau ưu đãi.</t>
  </si>
  <si>
    <t>không hiển thị giá ưu đãi</t>
  </si>
  <si>
    <t>Check load icon Gói dịch vụ</t>
  </si>
  <si>
    <t>1. Truy cập màn hình Thanh toán dịch vụ
2. Tại block Sản phẩm dịch vụ đã chọn
3. Check icon Gói dịch vụ</t>
  </si>
  <si>
    <t>Hiển thị đúng hình ảnh theo config Product Hub</t>
  </si>
  <si>
    <t>Màn hình nhập thông tin - Block Thông tin Cá nhân</t>
  </si>
  <si>
    <t>Họ Tên (NET, ComBo Net)</t>
  </si>
  <si>
    <t>Check khung viền màu xanh khi click chuột vào các trường Họ tên</t>
  </si>
  <si>
    <t>- Đang ở màn hình nhập thông tin đăng ký/thanh toán 
- Đang đăng ký dịch vụ NET/Combo net</t>
  </si>
  <si>
    <t xml:space="preserve">1. Click vào trường Họ tên
2. Check hiển thị viền xanh </t>
  </si>
  <si>
    <t>Hiển thị viền màu xanh của trường</t>
  </si>
  <si>
    <t>none</t>
  </si>
  <si>
    <t>UltraFast/SA/HyperFast không có trường Họ tên</t>
  </si>
  <si>
    <t>Check btn x trong trường Họ tên</t>
  </si>
  <si>
    <t xml:space="preserve">1. Nhập 1 ký tự bất kỳ tại trường Họ tên 
2. Check hiển thị icon x </t>
  </si>
  <si>
    <t>Hiển thị icon X khi nhập ký tự bất kỳ</t>
  </si>
  <si>
    <t>Click btn x trong trường Họ tên</t>
  </si>
  <si>
    <t xml:space="preserve">1. Nhập 1 ký tự bất kỳ tại trường Họ tên 
2. Click icon x </t>
  </si>
  <si>
    <t>Xóa toàn bộ kí tự trong trường Họ tên và ẩn icon X</t>
  </si>
  <si>
    <t>Check trường Họ tên để trống</t>
  </si>
  <si>
    <t>1. Click vào trường Họ tên và không nhập data
2. Click ra ngoài trường Họ tên</t>
  </si>
  <si>
    <t xml:space="preserve">Border đỏ trường họ tên và thông báo " Vui lòng nhập họ và tên."
</t>
  </si>
  <si>
    <t>Check trường Họ tên nhập khoảng trắng</t>
  </si>
  <si>
    <t>1. Click vào trường Họ tên 
2. Nhập khoảng trắng
3. Click ra ngoài trường Họ tên</t>
  </si>
  <si>
    <t>Check nhập Họ tên có khoảng trắng đầu cuối</t>
  </si>
  <si>
    <t>1. Nhập Họ tên có khoảng trắng đầu cuối
2. Nhập các trường bắt buộc khác
3. Btn Tiếp tục</t>
  </si>
  <si>
    <t>Cho phép qua màn hình tiếp theo không báo lỗi (khi submit sẽ trim khoảng trắng đi)</t>
  </si>
  <si>
    <t>Check nhập hoặc copy-paste Họ tên có ký tự đặc biệt', số</t>
  </si>
  <si>
    <t>1. Nhập/copy-paste họ tên có ký tự đặc biệt
2. Nhập các trường bắt buộc khác
3. Btn Tiếp tục</t>
  </si>
  <si>
    <t>Hiển thị thông báo "Họ tên không hợp lệ"
* chỉ được nhận chữ + khoảng trắng</t>
  </si>
  <si>
    <t>Check nhập/copy-paste Họ tên &gt; 100 ký tự</t>
  </si>
  <si>
    <t>1. Nhập/copy-paste Họ tên &gt; 100 ký tự</t>
  </si>
  <si>
    <t>Chỉ cho phép nhập và hiển thị 100 ký tự</t>
  </si>
  <si>
    <t>Số điện thoại (Tất cả dịch vụ)</t>
  </si>
  <si>
    <t>Check btn x trong trường Số điện thoại</t>
  </si>
  <si>
    <t xml:space="preserve">- Đang ở màn hình nhập thông tin đăng ký/thanh toán 
- Đang đăng ký dịch vụ bất kỳ </t>
  </si>
  <si>
    <t xml:space="preserve">1. Nhập 1 số bất kỳ tại trường Số điện thoại
2. Check hiển thị icon x </t>
  </si>
  <si>
    <t>Click btn x trong trường số điện thoại</t>
  </si>
  <si>
    <t xml:space="preserve">1. Nhập số bất kỳ tại trường Số điện thoại
2. Click icon x </t>
  </si>
  <si>
    <t>Xóa toàn bộ kí tự trong trường Số điện thoại và ẩn icon X</t>
  </si>
  <si>
    <t>Check trường Số điện thoại để trống</t>
  </si>
  <si>
    <t>1. Click vào trường Số điện thoại và không nhập data
2. Click ra ngoài trường Số điện thoại</t>
  </si>
  <si>
    <t xml:space="preserve">Border đỏ trường số điện thoại và thông báo "Vui lòng nhập số điện thoại."
</t>
  </si>
  <si>
    <t>Check nhập hoặc copy-paste Số điện thoại có chứa ký tự bất kỳ không phải là số</t>
  </si>
  <si>
    <t>1. Nhập/copy-paste Số điện thoại có ký tự không phải số</t>
  </si>
  <si>
    <t>Hiển thị thông báo "Số điện thoại không hợp lệ"</t>
  </si>
  <si>
    <t>show thông báo lỗi khi click button thanh toán</t>
  </si>
  <si>
    <t>Check nhập Số điện thoại = 10 số nhưng số đầu tiên khác 0</t>
  </si>
  <si>
    <t>1. Nhập Số điện thoại có 10 số nhưng có số đầu tiên khác 0</t>
  </si>
  <si>
    <t>Check nhập hoặc copy-paste Số điện thoại dài hơn &gt;10 chữ số</t>
  </si>
  <si>
    <t>1. Nhập /copy-paste Số điện thoại dài hơn &gt;10 chữ số</t>
  </si>
  <si>
    <t>Chỉ hiển thị 10 chữ số, tự động cắt bỏ từ số 11</t>
  </si>
  <si>
    <t>Email (Hyperfast)</t>
  </si>
  <si>
    <t>Check placeholder tại trường Email</t>
  </si>
  <si>
    <t>- Đang ở màn hình nhập thông tin đăng ký/thanh toán 
- Đăng ký dịch vụ Hyperfast/UltraFast</t>
  </si>
  <si>
    <t>1. Quan sát tại trường Email khi chưa nhập data</t>
  </si>
  <si>
    <r>
      <rPr>
        <rFont val="Calibri"/>
        <color theme="1"/>
        <sz val="12.0"/>
      </rPr>
      <t xml:space="preserve">Placeholder hiển thị "Nhập email" </t>
    </r>
    <r>
      <rPr>
        <rFont val="Calibri"/>
        <strike/>
        <color theme="1"/>
        <sz val="12.0"/>
      </rPr>
      <t>đúng gợi ý nhập email (VD: 'Acb@gmail.com')</t>
    </r>
  </si>
  <si>
    <t>FPL ko có trường này
Placeholder hiển thị "Nhập email"</t>
  </si>
  <si>
    <t>Check btn x trong trường Email</t>
  </si>
  <si>
    <t>1. Nhập 1 ký tự bất kỳ tại trường Email
2. Check hiển thị icon x</t>
  </si>
  <si>
    <t>Click btn x trong trường Email</t>
  </si>
  <si>
    <t>1. Nhập email bất kỳ tại trường Email
2. Click icon x</t>
  </si>
  <si>
    <t>Xóa toàn bộ ký tự trong trường Email và ẩn icon X</t>
  </si>
  <si>
    <t>Check trường Email để trống</t>
  </si>
  <si>
    <t>1. Click vào trường Email nhập khoảng trắng hoặc không nhập data
2. Click ra ngoài trường Email</t>
  </si>
  <si>
    <t>Cho phép để trống trường Email</t>
  </si>
  <si>
    <t>Check nhập Email sai định dạng</t>
  </si>
  <si>
    <t>1. Nhập Email: 'email_sai_format'
2. Click ra ngoài trường Email</t>
  </si>
  <si>
    <t>Hiển thị lỗi: 'Email không hợp lệ'</t>
  </si>
  <si>
    <t>Check nhập Email không có domain (VD: test@)</t>
  </si>
  <si>
    <t>1. Nhập Email: 'test@'
2. Click ra ngoài trường Email</t>
  </si>
  <si>
    <t>Check Email đã nhập hiển thị realtime sang block Thông tin lắp đặt bên phải</t>
  </si>
  <si>
    <t>1. Nhập Email: 'Acb@gmail.com'
2. Check block Thông tin lắp đặt bên phải</t>
  </si>
  <si>
    <t>Email 'Acb@gmail.com' hiển thị đúng trong block Thông tin lắp đặt ngay sau khi nhập</t>
  </si>
  <si>
    <t>Màn hình nhập thông tin - Block Địa chỉ lắp đặt</t>
  </si>
  <si>
    <t>Tỉnh/Thành phố</t>
  </si>
  <si>
    <t>Check dữ liệu mặc định các trường tại Tỉnh thành</t>
  </si>
  <si>
    <t>- Truy cập màn hình đăng ký dịch vụ/thanh toán 
- Block "Địa chỉ lắp đặt" đang hiển thị"</t>
  </si>
  <si>
    <t xml:space="preserve">1. Check dữ liệu mặc định các trường tại Địa chỉ lắp đặt </t>
  </si>
  <si>
    <t xml:space="preserve">Mặc định load Tỉnh/Thành phố là rỗng </t>
  </si>
  <si>
    <t>HF không có trường này</t>
  </si>
  <si>
    <t xml:space="preserve">Check placeholder tại tỉnh/thành phố </t>
  </si>
  <si>
    <t>- Truy cập màn hình đăng ký dịch vụ/thanh toán 
- Block "Địa chỉ lắp đặt" đang hiển thị"
- Chưa chọn Tỉnh/thành phố</t>
  </si>
  <si>
    <t>1. Quan sát tại Tỉnh/Thành phố khi chưa chọn data</t>
  </si>
  <si>
    <t>Hiển thị Placeholder là ''Chọn tỉnh/thành phố"</t>
  </si>
  <si>
    <t>Check không chọn trường Tỉnh/ Thành phố</t>
  </si>
  <si>
    <t>1. Click trường Tỉnh/Thành phố 
2. Click trường tỉnh/thành phố và không chọn data 
3. Click ra ngoài trường Tỉnh/thành phố</t>
  </si>
  <si>
    <t>Hiển thị thông báo " Vui lòng chọn tỉnh/thành phố."</t>
  </si>
  <si>
    <t>Check Load data trường Tỉnh/ Thành phố</t>
  </si>
  <si>
    <t>1. Click trường Tỉnh/Thành phố 
 2. Check Load data trường Tỉnh/ Thành phố</t>
  </si>
  <si>
    <t>Hiển thị đúng, đủ thông tin tỉnh thành trên toàn quốc: theo DCHC mới
Ưu tiên HCM, HN, Đà Nẵng load đầu danh sách</t>
  </si>
  <si>
    <t>Check tìm kiếm theo tên Tỉnh/ Thành phố</t>
  </si>
  <si>
    <t>1. Click trường Tỉnh/Thành phố 
2. Nhập Tỉnh/ Thành phố cần tìm</t>
  </si>
  <si>
    <t>Hiển thị danh sách tỉnh/thành phố đúng với dữ liệu đã nhập</t>
  </si>
  <si>
    <t>Check chọn Tỉnh/ Thành phố</t>
  </si>
  <si>
    <t>1. Click trường Tỉnh/Thành phố 
2. Click chọn tỉnh/thành phố bất kỳ</t>
  </si>
  <si>
    <t>Chỉ được chọn 1 và hiển thị đúng giá trị đã chọn</t>
  </si>
  <si>
    <t>Check load thêm các trường khi chọn Tỉnh/ Thành phố</t>
  </si>
  <si>
    <t>1. Click trường Tỉnh/Thành phố 
2. Click chọn tỉnh/thành phố bất kỳ
3. Check hiển thị các trường thông tin tại Địa chỉ lắp đặt</t>
  </si>
  <si>
    <t>Block Địa chỉ lắp đặt hiển thị gồm(note: DCHC 2 cấp): 
- Tỉnh/Thành phố
- Phường/Xã
- Tên đường
- Radio: Nhà riêng | Chung cư
- Số nhà 
- Ghi chú</t>
  </si>
  <si>
    <t>Check Reload thông tin địa chỉ khi thay đổi Tỉnh/Thành phố</t>
  </si>
  <si>
    <t>1. Click trường Tỉnh/Thành phố chọn 1 giá trị bất kỳ 
2. Chọn 1 tỉnh/thành phố khác bước 1</t>
  </si>
  <si>
    <t>Load lại Phường/Xã tương ứng và reset Tên đường, trigger kiểm tra chính sách</t>
  </si>
  <si>
    <t>Phường/Xã</t>
  </si>
  <si>
    <t>Check placeholder tại Phường/Xã</t>
  </si>
  <si>
    <t>- Truy cập màn hình đăng ký dịch vụ/thanh toán 
- Block ""Địa chỉ lắp đặt" đang hiển thị
- Chưa chọn data Phường/Xã</t>
  </si>
  <si>
    <t>1. Quan sát tại Phường/Xã khi chưa chọn data</t>
  </si>
  <si>
    <t>Hiển thị Placeholder là ''Chọn phường/xã"</t>
  </si>
  <si>
    <t>Check không chọn trường Phường/Xã</t>
  </si>
  <si>
    <t>1. Click Phường/Xã và không chọn data
2. Click khỏi trường Phường/Xã</t>
  </si>
  <si>
    <t>Hiển thị thông báo " Vui lòng chọn phường/xã."</t>
  </si>
  <si>
    <t>Check tìm kiếm theo tên Phường/Xã</t>
  </si>
  <si>
    <t>1. Click Phường/Xã
2. Nhập Phường/Xã cần tìm</t>
  </si>
  <si>
    <t>Hiển thị danh sách Phường/Xã đúng với dữ liệu đã nhập</t>
  </si>
  <si>
    <t>Check chọn Phường/Xã</t>
  </si>
  <si>
    <t>1. Click chọn Phường/Xã bất kỳ</t>
  </si>
  <si>
    <t>Check Reload thông tin địa chỉ khi thay đổi Phường/Xã</t>
  </si>
  <si>
    <t>- Truy cập màn hình đăng ký dịch vụ/thanh toán 
- Block "Địa chỉ lắp đặt" đang hiển thị
- Chưa chọn data Phường/Xã</t>
  </si>
  <si>
    <t>1. Click Phường/Xã và thay đổi 1 giá trị khác</t>
  </si>
  <si>
    <t>Hiển thị Phường/Xã đã chọn đồng thời reset Tên đường và trigger kiểm tra chính sách</t>
  </si>
  <si>
    <t xml:space="preserve">Tên đường </t>
  </si>
  <si>
    <t>Check placeholder tại Tên đường</t>
  </si>
  <si>
    <t>- Truy cập màn hình đăng ký dịch vụ/thanh toán 
- Block "Địa chỉ lắp đặt" đang hiển thị
- Chưa chọn data Tên đường</t>
  </si>
  <si>
    <t>1. Quan sát tại Tên đường khi chưa chọn data</t>
  </si>
  <si>
    <t>Hiển thị Placeholder là ''Chọn tên đường"</t>
  </si>
  <si>
    <t>Check không chọn trường Tên đường</t>
  </si>
  <si>
    <t>1. Click Tên đường và không chọn data
2. Click khỏi trường Tên đường</t>
  </si>
  <si>
    <t>Hiển thị thông báo " Vui lòng chọn tên đường."</t>
  </si>
  <si>
    <t>Check tìm kiếm theo tên Tên đường</t>
  </si>
  <si>
    <t>- Truy cập màn hình đăng ký dịch vụ/thanh toán 
- Block "Địa chỉ lắp đặt" đang hiển thị
- Đã chọn Phường/Xã</t>
  </si>
  <si>
    <t>1. Click Tên đường
2. Nhập Tên đường cần tìm</t>
  </si>
  <si>
    <t>Hiển thị danh sách Tên đường đúng với dữ liệu đã nhập
*không trim khoảng cách trước khi thực hiện tìm kiếm</t>
  </si>
  <si>
    <t>Check chọn Tên đường</t>
  </si>
  <si>
    <t>1. Click chọn Tên đường bất kỳ</t>
  </si>
  <si>
    <t>https://foxproject.atlassian.net/browse/EP-938</t>
  </si>
  <si>
    <t>HF không có trường này
bug đã fix</t>
  </si>
  <si>
    <t>Nhà riêng</t>
  </si>
  <si>
    <t>Click radio Nhà riêng</t>
  </si>
  <si>
    <t>- Truy cập màn hình đăng ký dịch vụ/thanh toán 
- Block "Địa chỉ lắp đặt" đang hiển thị</t>
  </si>
  <si>
    <t>1. Click chọn radio Nhà riêng
2. Check hiển thị các trường thông tin chi tiết bên dưới radio</t>
  </si>
  <si>
    <t>Hiển thị trường thông tin gồm: Số nhà*</t>
  </si>
  <si>
    <t>fpl: ko có radio nhà riêng chung cứ
HF không có trường này</t>
  </si>
  <si>
    <t>Check placeholder tại Số nhà*</t>
  </si>
  <si>
    <t>1. Click chọn radio Nhà riêng
2. Quan sát tại Số nhà* khi chưa nhập data</t>
  </si>
  <si>
    <t>Hiển thị Placeholder là ''Nhập số nhà"</t>
  </si>
  <si>
    <t xml:space="preserve">Check không nhập trường Số nhà </t>
  </si>
  <si>
    <t>1. Chọn radio btn Nhà riêng
2. Click Số nhà và không nhập data 
3. Click ra ngoài trường Số nhà</t>
  </si>
  <si>
    <t>Hiển thị thông báo: "Vui lòng nhập địa chỉ/số nhà."</t>
  </si>
  <si>
    <r>
      <rPr>
        <rFont val="Calibri"/>
        <b/>
        <color theme="1"/>
        <sz val="12.0"/>
      </rPr>
      <t xml:space="preserve">Check nhập hoặc copy-paste trên 50 </t>
    </r>
    <r>
      <rPr>
        <rFont val="Calibri"/>
        <b/>
        <strike/>
        <color theme="1"/>
        <sz val="12.0"/>
      </rPr>
      <t xml:space="preserve">100 </t>
    </r>
    <r>
      <rPr>
        <rFont val="Calibri"/>
        <b/>
        <color theme="1"/>
        <sz val="12.0"/>
      </rPr>
      <t xml:space="preserve">kí tự </t>
    </r>
  </si>
  <si>
    <r>
      <rPr>
        <rFont val="Calibri"/>
        <color theme="1"/>
        <sz val="12.0"/>
      </rPr>
      <t xml:space="preserve">1. Chọn radio btn Nhà riêng
2. Nhập hoặc copy-paste Địa chỉ chi tiết trên 50 </t>
    </r>
    <r>
      <rPr>
        <rFont val="Calibri"/>
        <strike/>
        <color theme="1"/>
        <sz val="12.0"/>
      </rPr>
      <t xml:space="preserve">100 </t>
    </r>
    <r>
      <rPr>
        <rFont val="Calibri"/>
        <color theme="1"/>
        <sz val="12.0"/>
      </rPr>
      <t xml:space="preserve">kí tự </t>
    </r>
  </si>
  <si>
    <r>
      <rPr>
        <rFont val="Calibri"/>
        <color theme="1"/>
        <sz val="12.0"/>
      </rPr>
      <t xml:space="preserve">Chỉ cho phép nhập và hiển thi tối đa 50 </t>
    </r>
    <r>
      <rPr>
        <rFont val="Calibri"/>
        <strike/>
        <color theme="1"/>
        <sz val="12.0"/>
      </rPr>
      <t xml:space="preserve">100 </t>
    </r>
    <r>
      <rPr>
        <rFont val="Calibri"/>
        <color theme="1"/>
        <sz val="12.0"/>
      </rPr>
      <t>kí tự</t>
    </r>
  </si>
  <si>
    <t>Chung cư</t>
  </si>
  <si>
    <t>Click radio Chung cư</t>
  </si>
  <si>
    <t>1. Click chọn radio Chung cư
2. Check hiển thị thêm các trường thông tin</t>
  </si>
  <si>
    <t>Hiển thị thêm các trường thông tin gồm: 
+ Tên chung cư
+ Tòa nhà 
+ Số tầng 
+ Số phòng</t>
  </si>
  <si>
    <t>Check dữ liệu load tại Tên chung cư</t>
  </si>
  <si>
    <t>- Truy cập màn hình đăng ký dịch vụ/thanh toán 
- Block "Địa chỉ lắp đặt" đang hiển thị
- Đã chọn Tỉnh/Thành phố và Phường/Xã</t>
  </si>
  <si>
    <t>1. Click btn radio Chung cư
2. Click dropdown list Tên chung cư
3. Check dữ liệu đang load tại Tên chung cư</t>
  </si>
  <si>
    <t>Hiển thị danh sách chung cư thuộc Tỉnh/ Thành + Phường/ Xã đã chọn theo ĐCHC 2 cấp.
Mặc định rỗng</t>
  </si>
  <si>
    <t>Check tìm kiếm theo Tên chung cư</t>
  </si>
  <si>
    <t>1. Click btn radio Chung cư
2. Click dropdown list Tên chung cư
3. Nhập tên chung cư cần tìm kiếm</t>
  </si>
  <si>
    <t>Hiển thị chung cư đang tìm
** không trim khoảng cách trước khi thực hiện tìm kiếm</t>
  </si>
  <si>
    <t>Check placeholder tại Tòa nhà</t>
  </si>
  <si>
    <t>1. Click btn radio Chung cư
2. Quan sát tại Tòa nhà khi chưa nhập data</t>
  </si>
  <si>
    <t>Hiển thị placeholder "Nhập tên toà nhà"</t>
  </si>
  <si>
    <t>Check không nhập Toà nhà</t>
  </si>
  <si>
    <t>1. Click btn radio Chung cư
2. Không nhập Tòa nhà
3. Nhập các trường bắt buộc khác
4 . Click Tiếp tục</t>
  </si>
  <si>
    <t>Cho phép điều hướng qua màn hình thanh toán không báo lỗi (không bắt buộc)</t>
  </si>
  <si>
    <t>Check nhập/copy-paste Tòa nhà quá 10 ký tự</t>
  </si>
  <si>
    <t>1. Click btn radio Chung cư
2. Nhập/copy-paste Tòa nhà &gt; 10 ký tự</t>
  </si>
  <si>
    <t>Chỉ cho phép nhập và hiển thị tối đa 10 ký tự</t>
  </si>
  <si>
    <t>Check placeholder tại Số tầng</t>
  </si>
  <si>
    <t>1. Click btn radio Chung cư
2. Quan sát tại Số tầng khi chưa nhập data</t>
  </si>
  <si>
    <t>Hiển thị placeholder "Nhập số tầng"</t>
  </si>
  <si>
    <t>Check không nhập Số tầng</t>
  </si>
  <si>
    <t>1. Click btn radio Chung cư
2. Click Số tầng và không nhập dữ liệu
3. Click khỏi trường Số tầng</t>
  </si>
  <si>
    <t>Border đỏ Số tầng và hiển thị thông báo: "Vui lòng nhập số tầng."</t>
  </si>
  <si>
    <t>Check nhập/copy-paste Số tầng quá 10 ký tự</t>
  </si>
  <si>
    <t>1. Click btn radio Chung cư
2. Check nhập/copy-paste Số tầng quá 10 ký tự</t>
  </si>
  <si>
    <t>Check placeholder tại Số phòng</t>
  </si>
  <si>
    <t>1. Click btn radio Chung cư
2. Quan sát tại Số phòng khi chưa nhập data</t>
  </si>
  <si>
    <t>Hiển thị placeholder "Nhập số phòng"</t>
  </si>
  <si>
    <t>Check không nhập Số phòng</t>
  </si>
  <si>
    <t>1. Click btn radio Chung cư
2. Click Số phòng và không nhập dữ liệu
3. Click khỏi trường Số phòng</t>
  </si>
  <si>
    <t>Border đỏ Số phòng và hiển thị thông báo: "Vui lòng nhập số phòng."</t>
  </si>
  <si>
    <t>Check nhập/copy-paste Số phòng quá 10 ký tự</t>
  </si>
  <si>
    <t>1. Click btn radio Chung cư
2.Check nhập/copy-paste Số phòng quá 10 ký tự</t>
  </si>
  <si>
    <t>Ghi chú</t>
  </si>
  <si>
    <t>Check placeholder tại Ghi chú</t>
  </si>
  <si>
    <t>1. Quan sát tại Ghi chú khi chưa nhập data</t>
  </si>
  <si>
    <t>Hiển thị Placeholder là ''Gọi cho tôi trước 30 phút nhé!"</t>
  </si>
  <si>
    <t>Check không chọn trường Ghi chú</t>
  </si>
  <si>
    <t>1. Click Ghi chú và không nhâp data
2. Click khỏi trường Ghi chú</t>
  </si>
  <si>
    <t>Không hiển thị thông báo lỗi (không bắt buộc nhập)</t>
  </si>
  <si>
    <t>Check nhập/copy-paste trên 100 kí tự trường ghi chú</t>
  </si>
  <si>
    <t xml:space="preserve">1. Nhập/copy-paste trên 100 kí tự trường ghi chú
</t>
  </si>
  <si>
    <t xml:space="preserve">Chỉ cho phép nhập và hiển thị 100 ký tự </t>
  </si>
  <si>
    <t>đang ràng maxlength 100 kí tự</t>
  </si>
  <si>
    <t xml:space="preserve">Check hiển thị popup thông báo khi chọn địa chỉ không có chính sách </t>
  </si>
  <si>
    <t>1. Chọn Tỉnh/Thành phố,Phường/xã bất kỳ không có chính sách
2. Check hiển thị popup thông báo khi chọn địa chỉ không có chính sách</t>
  </si>
  <si>
    <t xml:space="preserve">Hiển thị popup thông báo như sau:
- Title: Chưa hỗ trợ chính sách!
- Nội dung: "Địa chỉ của Quý khách hiện chưa hỗ trợ chính sách cho sản phẩm đang chọn. Nhân viên FPT sẽ liên hệ để tư vấn. Mọi thắc mắc, vui lòng liên hệ 1900 6600 để được giải đáp. Xin cảm ơn!"
Button Đóng </t>
  </si>
  <si>
    <t>HF  không có trường địa chỉ 
SA địa chỉ không bắt buộc nhập
UF cs đang hiển thị toàn quốc, chưa test được case này</t>
  </si>
  <si>
    <t xml:space="preserve">Check hiển thị popup thông báo khi chọn địa chỉ không có chính sách &gt;&gt; Click bnt Đóng </t>
  </si>
  <si>
    <t>1. Chọn Tỉnh/Thành phố,Phường/xã bất kỳ không có chính sách
2. Click btn Đóng trên popup Chưa hỗ trợ chính sách</t>
  </si>
  <si>
    <t>Đóng popup, disable btn Tiếp tục</t>
  </si>
  <si>
    <t xml:space="preserve">Check đẩy KHTN khi chọn địa chỉ không có chính sách </t>
  </si>
  <si>
    <t>- Truy cập màn hình đăng ký dịch vụ/thanh toán 
- Block "Địa chỉ lắp đặt" đang hiển thị
 - Có thể đẩy KHTN thành công</t>
  </si>
  <si>
    <t>1. Chọn Tỉnh/Thành phố,Phường/xã bất kỳ không có chính sách
2. Click btn Đóng trên popup Chưa hỗ trợ chính sách!
3. Truy cập https://saleplatform-stag.fpt.net/web-admin check thông tin KHTN</t>
  </si>
  <si>
    <t>Đẩy KHTN thành công tương ứng với SĐT đã nhập</t>
  </si>
  <si>
    <t>Popup Địa chỉ hành chính cũ (3 cấp)</t>
  </si>
  <si>
    <t xml:space="preserve">Check UI popup Địa chỉ hành chính cũ </t>
  </si>
  <si>
    <t>1. Click link Địa chỉ hành chính cũ
2. Check UI popup Địa chỉ hành chính cũ</t>
  </si>
  <si>
    <t>Popup Địa chỉ hành chính cũ gồm:
- Title: Địa chỉ hành chính cũ
- Label: Bạn vui lòng xác nhận vị trí lắp đặt để cập nhật vị trí hành chính mới
- droplist Tỉnh/ Thành phố
- droplist Quận/ Huyện
- droplist Phường/ Xã
- droplist Tên đường
- Địa chỉ hành chính mới (hiện khi chọn full thông tin)
- icon x
- btn Xác nhận</t>
  </si>
  <si>
    <t xml:space="preserve">Check Load data trường Tỉnh/ Thành phố _Popup Địa chỉ hành chính cũ </t>
  </si>
  <si>
    <t>1. Click link Địa chỉ hành chính cũ
2. Check Load data trường Tỉnh/ Thành phố</t>
  </si>
  <si>
    <t xml:space="preserve">Hiển thị đúng, đủ thông tin tỉnh thành trên toàn quốc: 63 Tỉnh thành theo ĐCHC 3 cấp 
- Cho phép chọn từng tỉnh thành </t>
  </si>
  <si>
    <t xml:space="preserve">Check không chọn trường Tỉnh/ Thành phố _Popup Địa chỉ hành chính cũ </t>
  </si>
  <si>
    <t>1. Click link Địa chỉ hành chính cũ
2. Click vô trường Tỉnh/Thành phố
3. Click btn Xác nhận</t>
  </si>
  <si>
    <t xml:space="preserve">Disable btn Xác nhận </t>
  </si>
  <si>
    <t xml:space="preserve">Check chọn 1 Tỉnh/ Thành phố _Popup Địa chỉ hành chính cũ </t>
  </si>
  <si>
    <t>1. Click link Địa chỉ hành chính cũ
2. Chọn 1 Tỉnh/ Thành phố</t>
  </si>
  <si>
    <t>Hiện thị đúng giá trị chọn</t>
  </si>
  <si>
    <t xml:space="preserve">Check tìm kiếm theo tên Tỉnh/ Thành phố _Popup Địa chỉ hành chính cũ </t>
  </si>
  <si>
    <t>1 Click link Địa chỉ hành chính cũ
2. Nhập Tỉnh/ Thành phố cần tìm</t>
  </si>
  <si>
    <t>Hiện danh sách gới ý các tỉnh thành phố thoả từ khoá cần tìm</t>
  </si>
  <si>
    <t xml:space="preserve">Check quy tắc tìm kiếm theo tên Tỉnh/ Thành phố _Popup Địa chỉ hành chính cũ </t>
  </si>
  <si>
    <t>1. Click link Địa chỉ hành chính cũ
2. Nhập từ khoá vào droplist Tỉnh/Thành phố
3. Check quy tắc tìm kiếm theo tên Tỉnh/ Thành phố</t>
  </si>
  <si>
    <t>Hệ thống không trim khoảng cách trước khi thực hiện tìm kiếm, tìm kiếm theo quy tắc contains</t>
  </si>
  <si>
    <t xml:space="preserve">Check Load data trường Quận/ Huyện _Popup Địa chỉ hành chính cũ </t>
  </si>
  <si>
    <t>1. Click link Địa chỉ hành chính cũ
2. Chọn 1 Tỉnh/ Thành phố
3. Check Load data trường Quận/ Huyện</t>
  </si>
  <si>
    <t>Hiển thị đúng, đủ thông tin Quận/ Huyện thuộc thành phố đã chọn theo ĐCHC 3 cấp</t>
  </si>
  <si>
    <t xml:space="preserve">Check không chọn trường Quận/ Huyện _Popup Địa chỉ hành chính cũ </t>
  </si>
  <si>
    <t>1. Click link Địa chỉ hành chính cũ
2. Chọn 1 Tỉnh/ Thành phố
3. Để rỗng Quận/ Huyện
4. Click btn Xác nhận</t>
  </si>
  <si>
    <t xml:space="preserve">Check chọn 1 Quận/ Huyện _Popup Địa chỉ hành chính cũ </t>
  </si>
  <si>
    <t>1. Click link Địa chỉ hành chính cũ
2. Chọn 1 Tỉnh/ Thành phố
3. Chọn 1 Quận/ Huyện</t>
  </si>
  <si>
    <t xml:space="preserve">Check quy tắc tìm kiếm theo tên Quận/ Huyện _Popup Địa chỉ hành chính cũ </t>
  </si>
  <si>
    <t>1. Click link Địa chỉ hành chính cũ
2. Chọn 1 Tỉnh/ Thành phố
3. Nhập từ khoá vào droplist Quận/ Huyện
4. Check quy tắc tìm kiếm theo tên Quận/ Huyện</t>
  </si>
  <si>
    <t xml:space="preserve"> tìm kiếm theo quy tắc contains</t>
  </si>
  <si>
    <t xml:space="preserve">Check Load data trường Phường/ Xã _Popup Địa chỉ hành chính cũ </t>
  </si>
  <si>
    <t>1. Click link Địa chỉ hành chính cũ
2. Chọn 1 Tỉnh/ Thành phố + Chọn 1 Quận/ Huyện
3. Check Load data trường Phường/ Xã</t>
  </si>
  <si>
    <t>Hiển thị đúng, đủ thông tin Phường/ Xã thuộc Quận/ huyện đã chọn theo ĐCHC 3 cấp</t>
  </si>
  <si>
    <t xml:space="preserve">Check không chọn trường Phường/ Xã _Popup Địa chỉ hành chính cũ </t>
  </si>
  <si>
    <t>1. Click link Địa chỉ hành chính cũ
2. Chọn 1 Tỉnh/ Thành phố + Chọn 1 Quận/ Huyện
3. Để rỗng Phường/ Xã
4. Click btn Xác nhận</t>
  </si>
  <si>
    <t xml:space="preserve">Check chọn 1 Phường/ Xã _Popup Địa chỉ hành chính cũ </t>
  </si>
  <si>
    <t>1. Click link Địa chỉ hành chính cũ
2. Chọn 1 Tỉnh/ Thành phố + Quận/ Huyện
3. Chọn 1 Phường/ Xã</t>
  </si>
  <si>
    <t>Hiện thị đúng giá trị đã chọn</t>
  </si>
  <si>
    <t xml:space="preserve">Check tìm kiếm theo tên Phường/ Xã _Popup Địa chỉ hành chính cũ </t>
  </si>
  <si>
    <t>1. Click link Địa chỉ hành chính cũ
2. Chọn 1 Tỉnh/ Thành phố + Chọn 1 Quận/ Huyện
3. Nhập Phường/ Xã cần tìm</t>
  </si>
  <si>
    <t>Hiện danh sách gới ý các phường/ xã thoả từ khoá cần tìm
 *tìm kiếm theo quy tắc contains</t>
  </si>
  <si>
    <t xml:space="preserve">Check không chọn trường Tên đường _Popup Địa chỉ hành chính cũ </t>
  </si>
  <si>
    <t>1. Click link Địa chỉ hành chính cũ
2. Chọn 1 Tỉnh/ Thành phố + Quận/ Huyện + Phường/ Xã
3. Để rỗng trường Tên đường
4. Click btn Xác nhận</t>
  </si>
  <si>
    <t>UF: Quận KSD Quận thủ đức không load được tên đường</t>
  </si>
  <si>
    <t xml:space="preserve">Check chọn 1 Tên đường _Popup Địa chỉ hành chính cũ </t>
  </si>
  <si>
    <t>1. Click link Địa chỉ hành chính cũ
2. Chọn 1 Tỉnh/ Thành phố + Quận/ Huyện + Phường/ Xã
3. Chọn 1 Tên đường</t>
  </si>
  <si>
    <t xml:space="preserve">Check tìm kiếm theo tên Tên đường _Popup Địa chỉ hành chính cũ </t>
  </si>
  <si>
    <t>1. Click link Địa chỉ hành chính cũ
2. Chọn 1 Tỉnh/ Thành phố + Quận/ Huyện + Phường/ Xã
3. Nhập Tên đường cần tìm</t>
  </si>
  <si>
    <t>Hiện danh sách gới ý các Tên đường thoả từ khoá cần tìm</t>
  </si>
  <si>
    <t xml:space="preserve">Check quy tắc tìm kiếm theo tên Tên đường _Popup Địa chỉ hành chính cũ </t>
  </si>
  <si>
    <t>1. Click link Địa chỉ hành chính cũ
2. Chọn 1 Tỉnh/ Thành phố + Quận/ Huyện + Phường/ Xã
3. Nhập Tên đường cần tìm 
4. Check quy tắc tìm kiếm</t>
  </si>
  <si>
    <t xml:space="preserve">Check rule hiển thị sau khi chọn Tên đường _Popup Địa chỉ hành chính cũ </t>
  </si>
  <si>
    <t>1. Click link Địa chỉ hành chính cũ
2. Chọn 1 Tỉnh/ Thành phố + Quận/ Huyện + Phường/ Xã
3. Chọn 1 Tên đường
4. Check hiển thị các trường</t>
  </si>
  <si>
    <t>- Hiển thị trường Địa chỉ hành chính mới sau khi đã chọn Tên đường của địa chỉ hành chính cũ
- Enable btn Xác nhận</t>
  </si>
  <si>
    <t xml:space="preserve">Click icon x _Popup Địa chỉ hành chính cũ </t>
  </si>
  <si>
    <t>1. Click link Địa chỉ hành chính cũ
2. Chọn 1 Tỉnh/ Thành phố + Quận/ Huyện + Phường/ Xã
3. Chọn 1 Tên đường
4. Click icon x</t>
  </si>
  <si>
    <t>- Không cập nhật Địa chỉ hành chính mới
- Quay về màn hình form đăng ký</t>
  </si>
  <si>
    <t xml:space="preserve">Check nhấn btn Xác nhận chọn Địa chỉ hành chính _Popup Địa chỉ hành chính cũ </t>
  </si>
  <si>
    <t>1. Click link Địa chỉ hành chính cũ
2. Chọn 1 Tỉnh/ Thành phố + Quận/ Huyện + Phường/ Xã
3. Chọn 1 Tên đường
4. Click btn Xác nhận</t>
  </si>
  <si>
    <t>- Đẩy thông tin Địa chỉ hành chính mới đã chọn ( Tỉnh/ Thành phố, Phường/Xã, Tên đường) vào form đăng ký
- Tắt popup Chọn Địa chỉ hành chính cũ
- Quay về màn hình form đăng ký</t>
  </si>
  <si>
    <t>Check data trường Tỉnh/ thành ; trường Phường/ Xã ; trường Tên đường sau khi Xác nhận ở Địa chỉ hành chính cũ</t>
  </si>
  <si>
    <t>1. Click link Địa chỉ hành chính cũ
2. Chọn 1 Tỉnh/ Thành phố + Quận/ Huyện + Phường/ Xã + Tên đường
3. Click btn Xác nhận
4. Check data Địa chỉ lắp đặt ở form đăng ký</t>
  </si>
  <si>
    <t>Hiển thị dữ liệu Địa chỉ hành chính mới (2 cấp) đúng với Đã chọn ở popup Địa chỉ hành chính cũ (3 cấp)</t>
  </si>
  <si>
    <t>Màn hình nhập thông tin - Block Thông tin khách hàng</t>
  </si>
  <si>
    <t>Click icon Collapse trường thông tin khách hàng</t>
  </si>
  <si>
    <t xml:space="preserve">- Truy cập màn hình đăng ký dịch vụ/thanh toán </t>
  </si>
  <si>
    <t>1. Truy cập màn hình Thanh toán dịch vụ
2. Click icon Collapse</t>
  </si>
  <si>
    <t>Thu gọn các trường thông tin tại Block Thông tin khách hàng và thay đổi thành icon collapse -&gt; expand</t>
  </si>
  <si>
    <t>Click icon Expand trường thông tin khách hàng</t>
  </si>
  <si>
    <t>1. Truy cập màn hình Thanh toán dịch vụ
2. Click icon Collapse
3. Click icon Expand</t>
  </si>
  <si>
    <t xml:space="preserve">Mở rộng các trường thông tin tại Block Thông tin khách hàng và thay đổi thành icon expand-&gt; collapse </t>
  </si>
  <si>
    <t>Check format hiển thị tại địa chỉ là Nhà riêng</t>
  </si>
  <si>
    <t>1. Truy cập màn hình Thanh toán dịch vụ
2. Check format hiển thị tại địa chỉ (Nhà riêng)</t>
  </si>
  <si>
    <t xml:space="preserve"> Hiển thị theo format: Số nhà, Tên đường, Phường xã, Tỉnh thành 
* ghi chú: Load khi chọn full địa chỉ</t>
  </si>
  <si>
    <t>Check format hiển thị tại địa chỉ là Chung cư</t>
  </si>
  <si>
    <t>1. Truy cập màn hình Thanh toán dịch vụ
2. Check format hiển thị tại địa chỉ (Chung cư)</t>
  </si>
  <si>
    <t xml:space="preserve"> Hiển thị theo format: Tòa nhà, Tầng, Phòng, Tên chung cư, Tên đường, Phường xã, Tỉnh thành 
* ghi chú: Load khi chọn full địa chỉ</t>
  </si>
  <si>
    <t>Check người dùng không thể chỉnh sửa thông tin trong dropdown</t>
  </si>
  <si>
    <t>1. Truy cập màn hình Thanh toán dịch vụ
2. Tại Block Thông tin khách hàng
3. Check người dùng không thể chỉnh sửa thông tin trong dropdown</t>
  </si>
  <si>
    <t>Người dùng không thể chỉnh sửa thông tin Họ tên, Số điện thoại, Email, Địa chỉ</t>
  </si>
  <si>
    <t>Màn hình nhập thông tin - Block Phương thức thanh toán</t>
  </si>
  <si>
    <t>Check UI hiển thị của Block Phương thức thanh toán</t>
  </si>
  <si>
    <t>- Truy cập màn hình đăng ký dịch vụ/thanh toán 
- Dịch vụ có ít nhất 1 PTTT trong chính sách</t>
  </si>
  <si>
    <t>1. Quan sát block Phương thức thanh toán</t>
  </si>
  <si>
    <t>Hiển thị UI trong block Phương thức thanh toán
- Ô tick chọn: dạng radio
- Icon PTTT
- Tên PTTT 
- Miêu tả PTTT (tùy chính sách và config)
- Số lượng ưu đãi (tùy chính sách và config) 
- Button Xem thêm/ Rút gọn (tùy số lượng PTTT theo chính sách)</t>
  </si>
  <si>
    <t>GiangDC2</t>
  </si>
  <si>
    <t>Sprint này chưa hiển thị Số lượng ưuđãi, Miêu tả PTTT</t>
  </si>
  <si>
    <t>Check các option trong phương thức thanh toán khi nhỏ hơn 4 PTTT</t>
  </si>
  <si>
    <t>1. Quan sát các option trong phương thức thanh toán khi nhỏ hơn 4 PTTT</t>
  </si>
  <si>
    <t>Hiển thị tất cả các PTTT đang có , không có btn Xem thêm</t>
  </si>
  <si>
    <t>chính sách ko thóa đk test</t>
  </si>
  <si>
    <t>Check các option trong phương thức thanh toán khi lớn hơn 4 PTTT</t>
  </si>
  <si>
    <t>1. Quan sát các option trong phương thức thanh toán khi lớn hơn 4 PTTT</t>
  </si>
  <si>
    <t>Hiển thị 4 PTTT thanh toán đầu tiên và btn Xem Thêm</t>
  </si>
  <si>
    <t>Check thứ tự option trong block phương thức thanh toán</t>
  </si>
  <si>
    <t>1. Quan sát thứ tự option trong block phương thức thanh toán</t>
  </si>
  <si>
    <t>Ưu tiên hiển thị PTTT có CTKM lên trên: mỗi khi có CTKM cho các PTTT (thứ tự hiển thị có thể thay đổi)</t>
  </si>
  <si>
    <t>Sprint này chưa hiển thị Số lượng ưuđãi</t>
  </si>
  <si>
    <t>Check miêu tả của các option trong PTTT</t>
  </si>
  <si>
    <t>1. Quan sát miêu tả của các option trong PTTT</t>
  </si>
  <si>
    <t>Các miêu tả trong PTTT hiển thị đúng đủ (không mờ chữ, không bể khối,...)</t>
  </si>
  <si>
    <t>Sprint này chưa hiển thị Miêu tả</t>
  </si>
  <si>
    <t>Check số lượng ưu đãi của các option trong PTTT</t>
  </si>
  <si>
    <t>1. Quan sát số lượng ưu đãi của các option trong PTTT</t>
  </si>
  <si>
    <t>Hiển thị :""&lt;Số lượng&gt; ưu đãi"" - icon Collapse/Expand
+ Chi tiết số ưu đãi 
Mặc định hiển thị chi tiết số lượng ưu đãi khi chọn PTTT
**Tổng số ưu đãi được tính bằng các đầu mục text</t>
  </si>
  <si>
    <t>Check default option trong Block Phương thức thanh toán</t>
  </si>
  <si>
    <t>1. Quan sát default option trong Block Phương thức thanh toán</t>
  </si>
  <si>
    <t>Default option là option đầu tiên, và không thể bỏ chọn 
Khách hàng có thể thay đổi option theo nhu cầu của khách hàng</t>
  </si>
  <si>
    <t>Check behavior khi người dùng click btn Xem thêm</t>
  </si>
  <si>
    <t>- Truy cập màn hình đăng ký dịch vụ/thanh toán
Khi sp hỗ trợ nhiều hơn 4 PTTT</t>
  </si>
  <si>
    <t>1. Nhấn btn Xem thêm tại Block PTTT</t>
  </si>
  <si>
    <t>Hiển thị hết các PTTT đang có</t>
  </si>
  <si>
    <t>Check behavior khi người dùng click btn Thu gọn</t>
  </si>
  <si>
    <t>1. Nhấn btn Xem thêm tại Block PTTT
2. Nhấn nút Thu gọn</t>
  </si>
  <si>
    <t>List PTTT được rút gọn lại còn 4 option đầu tiên</t>
  </si>
  <si>
    <t>Check người dùng chỉ được chọn 1 option trong PTTT</t>
  </si>
  <si>
    <t>1. Chọn nhiều option trong PTTT</t>
  </si>
  <si>
    <t>User chỉ được chọn 1 option</t>
  </si>
  <si>
    <t>Màn hình nhập thông tin - Block Thông tin thanh toán</t>
  </si>
  <si>
    <t>Click icon Collapse trường Thông tin thanh toán</t>
  </si>
  <si>
    <t>1. Truy cập màn hình Thanh toán dịch vụ
2. Click icon Collapse tại block Thông tin thanh toán</t>
  </si>
  <si>
    <t>Thu gọn các trường tại Thông tin thanh toán</t>
  </si>
  <si>
    <t>Click icon Expand trường Thông tin thanh toán</t>
  </si>
  <si>
    <t>1. Truy cập màn hình Thanh toán dịch vụ
2. Click icon Collapse tại block Thông tin thanh toán
3. Click icon Expand tại block Thông tin thanh toán</t>
  </si>
  <si>
    <t>Mở rộng các trường tại Thông tin thanh toán</t>
  </si>
  <si>
    <t>Click vào hyperlink &lt;điều khoản&gt;</t>
  </si>
  <si>
    <t>1. Truy cập màn hình Thanh toán dịch vụ
2. Input hợp lệ tất cả các trường thông tin
3. Click vào hyperlink &lt;điều khoản&gt;</t>
  </si>
  <si>
    <t>Điều hướng sang màn hình điều khoản của FPT Telecom</t>
  </si>
  <si>
    <t>Check hiển thị đúng tên gói</t>
  </si>
  <si>
    <t>1. Truy cập màn hình Thanh toán dịch vụ
2. Check hiển thị tên gói tại block Thông tin thanh toán</t>
  </si>
  <si>
    <t>Hiển thị đúng tên gói đang đăng ký</t>
  </si>
  <si>
    <t>Check hiển thị giá tiền có Chính sách_ Chung cư</t>
  </si>
  <si>
    <t xml:space="preserve">- Truy cập màn hình đăng ký dịch vụ/thanh toán 
- Có chính sách chung cư </t>
  </si>
  <si>
    <t>1. Truy cập màn hình Thanh toán dịch vụ
2. Check hiển thị giá tiền</t>
  </si>
  <si>
    <t xml:space="preserve">Giá gói hiển thị đúng và đủ theo CS chung cư
 - Mặc định là giá gói 1 tháng </t>
  </si>
  <si>
    <t>Sprint này chưa phân biệt chính sách chung cư</t>
  </si>
  <si>
    <t>Check hiển thị giá tiền có Chính sách _ nhà phố</t>
  </si>
  <si>
    <t>- Truy cập màn hình đăng ký dịch vụ/thanh toán 
- Có chính sách nhà phố</t>
  </si>
  <si>
    <t>Giá gói hiển thị đúng và đủ theo CS nhà phố
 - Mặc định là giá gói 1 tháng</t>
  </si>
  <si>
    <t>HF không có chung cư</t>
  </si>
  <si>
    <t>Check hiển thị ô nhập mã khuyến mãi và link 'Chọn ưu đãi'</t>
  </si>
  <si>
    <t>1. Truy cập màn hình Thanh toán dịch vụ
2. Check ô nhập mã khuyến mãi tại block Thông tin thanh toán bên phải</t>
  </si>
  <si>
    <t>Hiển thị: ô input (placeholder 'Nhập mã khuyến mãi') + link 'Chọn ưu đãi' (có badge số ưu đãi) + btn 'Áp dụng' (disable mặc định)</t>
  </si>
  <si>
    <t>Sprint này chưa hiển thị Ưu đãi</t>
  </si>
  <si>
    <t>Check btn 'Áp dụng' chỉ enable khi có nội dung trong ô mã khuyến mãi</t>
  </si>
  <si>
    <t>1. Truy cập màn hình Thanh toán dịch vụ
2. Check btn 'Áp dụng' khi ô mã rỗng
3. Nhập 1 ký tự vào ô mã
4. Check lại btn 'Áp dụng'</t>
  </si>
  <si>
    <t>Khi ô rỗng: btn 'Áp dụng' disable (màu xám)
Khi có ký tự: btn 'Áp dụng' enable (màu xanh)</t>
  </si>
  <si>
    <t>Click link 'Chọn ưu đãi' mở danh sách ưu đãi khả dụng</t>
  </si>
  <si>
    <t>- Truy cập màn hình đăng ký dịch vụ/thanh toán  
- Có ưu đãi đang hoạt động</t>
  </si>
  <si>
    <t>1. Truy cập màn hình Thanh toán dịch vụ
2. Click link 'Chọn ưu đãi'
3. Check màn hình/popup hiển thị</t>
  </si>
  <si>
    <t>Hiển thị danh sách ưu đãi khả dụng
Badge số hiển thị đúng số lượng ưu đãi</t>
  </si>
  <si>
    <t>Check mã khuyến mãi hợp lệ áp dụng giảm giá và cập nhật Sô tiền Cần thanh toán</t>
  </si>
  <si>
    <t>- Truy cập màn hình đăng ký dịch vụ/thanh toán 
- Có mã khuyến mãi hợp lệ đang hoạt động</t>
  </si>
  <si>
    <t>1. Truy cập màn hình Thanh toán dịch vụ
2. Nhập mã khuyến mãi hợp lệ
3. Click btn 'Áp dụng'
4. Check số tiền Cần thanh toán</t>
  </si>
  <si>
    <t>Hiển thị giá trị giảm
Cần thanh toán = giá gốc - giá trị giảm (cập nhật đúng)</t>
  </si>
  <si>
    <t>Check nhập mã khuyến mãi không hợp lệ hoặc hết hạn</t>
  </si>
  <si>
    <t>- Truy cập màn hình đăng ký dịch vụ/thanh toán 
- Mã khuyến mãi không tồn tại hoặc đã hết hạn</t>
  </si>
  <si>
    <t>1. Truy cập màn hình Thanh toán dịch vụ
2. Nhập mã khuyến mãi không hợp lệ
3. Click btn 'Áp dụng'
4. Check thông báo</t>
  </si>
  <si>
    <t>Hiển thị thông báo lỗi: mã không hợp lệ hoặc đã hết hạn
Số tiền Cần thanh toán không thay đổi</t>
  </si>
  <si>
    <t xml:space="preserve">Màn hình nhập thông tin - Luồng thanh toán </t>
  </si>
  <si>
    <t>Click button Thanh toán khi chưa nhập đủ các trường bắt buộc</t>
  </si>
  <si>
    <t>1. Truy cập màn hình Thanh toán dịch vụ
2. Không nhập đủ các trường bắt buộc
3. Click 'Thanh toán'</t>
  </si>
  <si>
    <t>Hệ thống show thông báo lỗi ở các trường bắt buộc nhập, không thực hiện thanh toán đơn hàng</t>
  </si>
  <si>
    <t>Click button Thanh toán khi nhập đủ các trường bắt buộc _ PTTT =COD</t>
  </si>
  <si>
    <t>1. Truy cập màn hình Thanh toán dịch vụ
2. Nhập đầy đủ các trường bắt buộc 
3. Chọn PTTT = COD
4. Click 'Thanh toán'</t>
  </si>
  <si>
    <t>Điều hướng qua đúng màn hình hoàn tất đơn hàng với trạng thái chưa thanh toán (UI chi tiết check riêng ở từng sheet dịch vụ)</t>
  </si>
  <si>
    <t>cs UF,HF chưa có cs COD</t>
  </si>
  <si>
    <t xml:space="preserve">Click button Thanh toán khi nhập đủ các trường bắt buộc _ PTTT = Online </t>
  </si>
  <si>
    <t>1. Truy cập màn hình Thanh toán dịch vụ
2. Nhập đầy đủ các trường bắt buộc 
3. Chọn PTTT = Online (ATM,VISA, QR code)
4. Click 'Thanh toán'</t>
  </si>
  <si>
    <t>Điều hướng qua đúng màn hình thanh toán tương ứng với PTTT đã chọn 
Đúng số tiền cần thanh toán(màn hình này của bên thứ 3 nên ko cần kiểm tra thông tin khác )</t>
  </si>
  <si>
    <t xml:space="preserve">Click double_click button Thanh toán </t>
  </si>
  <si>
    <t xml:space="preserve">1. Truy cập màn hình Thanh toán dịch vụ
2. Nhập đầy đủ các trường bắt buộc 
3. Chọn PTTT = Online (ATM,VISA, QR code)
4. DoubleClick btn 'Thanh toán'
5. Check log tạo đơn hàng </t>
  </si>
  <si>
    <t>Hệ thống chỉ tạo 1 đơn hàng và đúng thông tin đã nhập, không bị double đơn hàng</t>
  </si>
  <si>
    <t>Check click thanh toán khi quá session checkout (20p)</t>
  </si>
  <si>
    <t>1. Truy cập màn hình Thanh toán dịch vụ
2. Nhập đầy đủ các trường bắt buộc 
3. Chọn PTTT = Online (ATM,VISA, QR code)
4. Chờ hơn 20p
5. Click 'Thanh toán'</t>
  </si>
  <si>
    <t>Hiển thị thông báo lỗi hợp lý, và đẩy thông tin KH tiềm năng</t>
  </si>
  <si>
    <t>https://foxproject.atlassian.net/browse/EP-980</t>
  </si>
  <si>
    <t>bug pending</t>
  </si>
  <si>
    <t>Check click thanh toán và chờ hết countdown thanh toán ở bên thứ 3</t>
  </si>
  <si>
    <t>1. Truy cập màn hình Thanh toán dịch vụ
2. Nhập đầy đủ các trường bắt buộc 
3. Chọn PTTT = Online (ATM,VISA, QR code)
4. Click 'Thanh toán'
5. Chờ hết thời gian thanh toán của kênh (~15p)</t>
  </si>
  <si>
    <t xml:space="preserve">Quay về tongdaiwifi và hiển thị màn hình không thành công </t>
  </si>
  <si>
    <t xml:space="preserve">Check click thanh toán &gt; Back về </t>
  </si>
  <si>
    <t>1. Truy cập màn hình Thanh toán dịch vụ
2. Nhập đầy đủ các trường bắt buộc 
3. Chọn PTTT = Online (ATM,VISA, QR code)
4. Click 'Thanh toán'
5. Click icon back trên trình duyệt</t>
  </si>
  <si>
    <t>Quay về màn hình dịch vụ và disable các thông tin không cho cập nhật, chỉ được cập nhật PTTT+mã ưu đãi</t>
  </si>
  <si>
    <t>Check click thanh toán &gt; Và thao tác hủy thanh toán từ bên thứ 3</t>
  </si>
  <si>
    <t>1. Truy cập màn hình Thanh toán dịch vụ
2. Nhập đầy đủ các trường bắt buộc 
3. Chọn PTTT = Online (ATM,VISA, QR code)
4. Click 'Thanh toán'
5. Thao tác Hủy/hoặc thanh toán không thành công (sai thông tin thẻ nhiều lần)</t>
  </si>
  <si>
    <t>Quay về tongdaiwifi và hiển thị màn hình không thành công 
- Đẩy KHTN</t>
  </si>
  <si>
    <t>https://foxproject.atlassian.net/browse/EP-922</t>
  </si>
  <si>
    <t>Màn hình Hoàn tất đơn hàng</t>
  </si>
  <si>
    <t>Mã đơn hàng</t>
  </si>
  <si>
    <t xml:space="preserve">Check hiển thị tại Mã đơn hàng </t>
  </si>
  <si>
    <t>- Hiển thị màn hình hoàn tất đơn hàng thành công</t>
  </si>
  <si>
    <t xml:space="preserve">1. Tại bước Hoàn tất đơn hàng
2. Check hiển thị tại Mã đơn hàng </t>
  </si>
  <si>
    <t>Hiển thị đúng thông tin mã đơn hàng: 
Mã đơn hàng: &lt;mã đơn hàng&gt; + hyperlink Theo dõi ĐH</t>
  </si>
  <si>
    <t>Click vào hyperlink Theo dõi đơn hàng</t>
  </si>
  <si>
    <t>1. Tại bước Hoàn tất đơn hàng
2. Click vào hyperlink Theo dõi đơn hàng</t>
  </si>
  <si>
    <t>Hệ thống điều hướng KH đến màn hình theo dõi đơn hàng</t>
  </si>
  <si>
    <t xml:space="preserve">Sprint này chưa test được </t>
  </si>
  <si>
    <t xml:space="preserve">Thông tin khách hàng </t>
  </si>
  <si>
    <t xml:space="preserve">Check hiển thị tại Thông tin khách hàng </t>
  </si>
  <si>
    <t>1. Tại bước Hoàn tất đơn hàng
2. Check hiển thị tại Thông tin khách hàng</t>
  </si>
  <si>
    <t>Hiển thị đúng Thông tin khách hàng đã nhập tại bước thông tin đăng ký</t>
  </si>
  <si>
    <t>Check thu gọn Thông tin khách hàng</t>
  </si>
  <si>
    <t>1. Tại bước Hoàn tất đơn hàng
2. Click icon 'v' tại Thông tin khách hàng 
3. Check thu gọn Thông tin khách hàng</t>
  </si>
  <si>
    <t>Thu gọn block Thông tin khách hàng chỉ hiển thị title Thông tin khách hàng và thay đổi icon 'v' thành icon '^'</t>
  </si>
  <si>
    <t>Check mở rộng Thông tin khách hàng</t>
  </si>
  <si>
    <t>1. Tại bước Hoàn tất đơn hàng
2. Click icon '^' tại Thông tin khách hàng 
3. Check mở rộng Thông tin khách hàng</t>
  </si>
  <si>
    <t>Mở rộng block Thông tin khách hàng hiển thị tất cả các thông tin như mặc định và thay đổi icon '^' thành icon 'v'</t>
  </si>
  <si>
    <t>Thông tin thanh toán</t>
  </si>
  <si>
    <t>Check hiển thị tại Thông tin thanh toán</t>
  </si>
  <si>
    <t xml:space="preserve">1. Tại bước Hoàn tất đơn hàng
2. Check hiển thị tại Thông tin thanh toán </t>
  </si>
  <si>
    <t>Hiển thị đúng Thông tin thanh toán đã nhập tại bước thanh toán</t>
  </si>
  <si>
    <t>Check thu gọn Thông tin thanh toán</t>
  </si>
  <si>
    <t>1. Tại bước Hoàn tất đơn hàng
2. Click icon 'v' tại Thông tin thanh toán 
3. Check thu gọn Thông tin thanh toán</t>
  </si>
  <si>
    <t>Thu gọn block thông tin thanh toán chỉ hiển thị title Thông tin thanh toán và thay đổi icon 'v' thành icon '^'</t>
  </si>
  <si>
    <t>Check mở rộng Thông tin thanh toán</t>
  </si>
  <si>
    <t>1. Tại bước Hoàn tất đơn hàng
2. Click icon '^' tại Thông tin thanh toán
3. Check mở rộng Thông tin thanh toán</t>
  </si>
  <si>
    <t>Mở rộng block Thông tin thanh toán hiển thị tất cả các thông tin như mặc định và thay đổi icon '^' thành icon 'v'</t>
  </si>
  <si>
    <t>Điều hướng màn hình</t>
  </si>
  <si>
    <t>Check điều hướng vào màn hình đăng ký dịch vụ FPL SA + verify URL đúng dịch vụ</t>
  </si>
  <si>
    <t>1. Truy cập home page hoặc Landing page: 
2. Click chọn gói dịch vụ FPL SA bất kỳ
3. Click btn Đăng ký</t>
  </si>
  <si>
    <t xml:space="preserve"> Điều hướng vào trang đăng ký và đúng URL dịch vụ</t>
  </si>
  <si>
    <t>Check truy cập trực tiếp bằng đường dẫn</t>
  </si>
  <si>
    <t>1. Truy cập trực tiếp bằng đường dẫn url:https://staging.fpt.vn/checkout/register/&lt;goi fplSA&gt;?salechannelcode=tongdaiwifi</t>
  </si>
  <si>
    <t xml:space="preserve">Điều hướng vào trang đăng ký của dịch vụ đã chọn </t>
  </si>
  <si>
    <t>Check GUI màn hình trang đăng ký dịch vụ FPL SA</t>
  </si>
  <si>
    <t>1. Truy cập home page hoặc Landing page: 
2. Click chọn gói dịch vụ FPL SA bất kỳ
3. Click btn Đăng ký
4. Check GUI màn hình trang đăng ký dịch vụ FPL SA</t>
  </si>
  <si>
    <t>Hiển thị UI gồm: 
- Thanh tiến trình 2 bước: Thanh toán - Hoàn tất đơn hàng
- Block Sản phẩm dịch vụ đã chọn
- Block Thông tin cá nhân
- Block Hình thức kích hoạt dịch vụ
- Block Thông tin địa chỉ
- Block Phương thức thanh toán
- Block Thông tin khách hàng
- Block Thông tin thanh toán</t>
  </si>
  <si>
    <t>Màn hình Thông tin thanh toán</t>
  </si>
  <si>
    <t>Block Sản phẩm dịch vụ đã chọn</t>
  </si>
  <si>
    <t>Check hiển thị các trường trong block Sản phẩm dịch vụ đã chọn</t>
  </si>
  <si>
    <t>1. Truy cập màn hình Thanh toán dịch vụ FPL SA
2.Check hiển thị các trường trong block Sản phẩm dịch vụ đã chọn</t>
  </si>
  <si>
    <r>
      <rPr>
        <rFont val="Calibri"/>
        <color rgb="FF000000"/>
        <sz val="12.0"/>
      </rPr>
      <t>Block hiển thị thông tin gồm:
Title Sản phẩm dịch vụ đã chọn (Số lượng)
- Icon Gói dịch vụ 
- Tên gói dịch vụ 
- Chu kỳ gói dịch vụ 
- Giá tiền</t>
    </r>
    <r>
      <rPr>
        <rFont val="Calibri"/>
        <color rgb="FF0563C1"/>
        <sz val="12.0"/>
      </rPr>
      <t xml:space="preserve">
* refer sheet: Thông tin chung</t>
    </r>
  </si>
  <si>
    <t>Block Thông tin cá nhân</t>
  </si>
  <si>
    <t>Check hiển thị các trường trong block Thông tin cá nhân</t>
  </si>
  <si>
    <t>1. Truy cập màn hình Thanh toán dịch vụ FPL SA
2. Check UI block Thông tin cá nhân</t>
  </si>
  <si>
    <t>Block hiển thị trường:
- Số điện thoại (*)
Ref: sheet Thông tin chung</t>
  </si>
  <si>
    <t xml:space="preserve">Check nhập Số điện thoại là SDT đã đăng ký dịch vụ FPT Play </t>
  </si>
  <si>
    <t>Số điện thoại nhập là số đã đăng ký dịch vụ FPT Play</t>
  </si>
  <si>
    <t>1. Truy cập màn hình Thanh toán dịch vụ FPL SA
2. Tại block Thông tin cá nhân
3. Nhập Số điện thoại là SDT đã đăng ký dịch vụ FPT Play
4. Nhập đầy đủ các trường bắt buộc khác
5. Click button Thanh toán</t>
  </si>
  <si>
    <t>Show thông báo lỗi Số điện thoại đã đăng ký dịch vụ FPT Play</t>
  </si>
  <si>
    <t xml:space="preserve">Check nhập Số điện thoại là SDT chưa đăng ký dịch vụ FPT Play </t>
  </si>
  <si>
    <t>Số điện thoại nhập là số chưa đăng ký dịch vụ FPT Play</t>
  </si>
  <si>
    <t>1. Truy cập màn hình Thanh toán dịch vụ FPL SA
2. Tại block Thông tin cá nhân
3. Nhập Số điện thoại là SDT chưa đăng ký dịch vụ FPT Play
4. Nhập đầy đủ các trường bắt buộc khác
5. Click button Thanh toán</t>
  </si>
  <si>
    <t>Không show thông báo lỗi ở trường Số điện thoại</t>
  </si>
  <si>
    <t>Block Hình thức kích hoạt dịch vụ</t>
  </si>
  <si>
    <t xml:space="preserve">Check hiển thị các trường trong Block Hình thức kích hoạt dịch vụ				</t>
  </si>
  <si>
    <t xml:space="preserve">1. Truy cập màn hình Thanh toán dịch vụ FPL SA
2. Check UI Block Hình thức kích hoạt dịch vụ				</t>
  </si>
  <si>
    <r>
      <rPr>
        <rFont val="Calibri"/>
        <color theme="1"/>
      </rPr>
      <t xml:space="preserve">Block hiển thị gồm:
- Radio button Kích hoạt tự động (kèm icon ⓘ) - Mặc định tick chọn
- Radio button Khách hàng tự kích hoạt (kèm icon ⓘ)
</t>
    </r>
    <r>
      <rPr>
        <rFont val="Calibri"/>
        <strike/>
        <color theme="1"/>
      </rPr>
      <t>- Checkbox Tôi muốn nhận hóa đơn - Mặc định uncheck</t>
    </r>
  </si>
  <si>
    <t>Check hover icon ⓘ ở Radio button Kích hoạt tự động</t>
  </si>
  <si>
    <t>1. Truy cập màn hình Thanh toán FPL SA
2. Check hover icon ⓘ ở Radio button Kích hoạt tự động</t>
  </si>
  <si>
    <t>Hiển thị nội dung " Tài khoản FPT Play sẽ được kích hoạt ngay sau khi thanh toán thành công. Vui lòng đăng nhập trên FPTplay.vn hoặc ứng dụng FPT Play (Mobile/Smart TV) để sử dụng dịch vụ. "</t>
  </si>
  <si>
    <t>Check hover icon ⓘ ở Radio button Khách hàng tự kích hoạt</t>
  </si>
  <si>
    <t>1. Truy cập màn hình Thanh toán FPL SA
2. Check hover icon ⓘ ở Radio button Khách hàng tự kích hoạt</t>
  </si>
  <si>
    <t>Hiển thị nội dung " Mã kích hoạt FPT Play sẽ được gửi qua SMS sau khi thanh toán thành công. Vui lòng nhập mã và kích hoạt dịch vụ trên FPTplay.vn hoặc ứng dụng FPT Play (Mobile/Smart TV) khi sử dụng. "</t>
  </si>
  <si>
    <t>Check chọn 'Kích hoạt tự động' ghi nhận đúng vào đơn hàng</t>
  </si>
  <si>
    <t>1. Truy cập màn hình Thanh toán FPL SA
2. Chọn radio 'Kích hoạt tự động'
3. Điền đầy đủ thông tin
4. Click 'Thanh toán'
5. Check thông tin tại bước Hoàn tất</t>
  </si>
  <si>
    <t>Hình thức 'Kích hoạt tự động' được ghi nhận và hiển thị đúng trên đơn hàng</t>
  </si>
  <si>
    <t>Check chọn 'Khách hàng tự kích hoạt' ghi nhận đúng vào đơn hàng</t>
  </si>
  <si>
    <t>1. Truy cập màn hình Thanh toán FPL SA
2. Chọn radio 'Khách hàng tự kích hoạt'
3. Điền đầy đủ thông tin
4. Click 'Thanh toán'
5. Check thông tin tại bước Hoàn tất</t>
  </si>
  <si>
    <t>Hình thức 'Khách hàng tự kích hoạt' được ghi nhận đúng trên đơn hàng</t>
  </si>
  <si>
    <t>Check chỉ 1 radio hình thức kích hoạt được chọn tại một thời điểm</t>
  </si>
  <si>
    <t>1. Truy cập màn hình Thanh toán FPL SA
2. Chọn 'Kích hoạt tự động'
3. Chọn 'Khách hàng tự kích hoạt'
4. Check trạng thái 2 radio</t>
  </si>
  <si>
    <t>Chỉ 1 radio được chọn — radio trước tự bỏ chọn
Hoạt động đúng như radio button group</t>
  </si>
  <si>
    <t>Block Thông tin khách hàng</t>
  </si>
  <si>
    <t>Check hiển thị tại Block Thông tin khách hàng</t>
  </si>
  <si>
    <t>1. Truy cập màn hình Thanh toán FPL SA
2. Check hiển thị tại Block Thông tin khách hàng</t>
  </si>
  <si>
    <r>
      <rPr>
        <rFont val="Calibri"/>
        <color rgb="FF000000"/>
        <sz val="12.0"/>
      </rPr>
      <t>Hiển thị các trường thông tin gồm: 
- Số điện thoại
- Địa chỉ</t>
    </r>
    <r>
      <rPr>
        <rFont val="Calibri"/>
        <color rgb="FF1F1F1F"/>
        <sz val="12.0"/>
      </rPr>
      <t xml:space="preserve"> (nếu có nhập địa chỉ)</t>
    </r>
    <r>
      <rPr>
        <rFont val="Calibri"/>
        <color rgb="FF0563C1"/>
        <sz val="12.0"/>
      </rPr>
      <t xml:space="preserve">
- icon collapse (mặc định)</t>
    </r>
  </si>
  <si>
    <t>https://foxproject.atlassian.net/browse/EP-937</t>
  </si>
  <si>
    <t>đã fix trong round</t>
  </si>
  <si>
    <t>Block Thông tin thanh toán</t>
  </si>
  <si>
    <t>Check mặc định hiển thị tại block Thông tin thanh toán</t>
  </si>
  <si>
    <t>1. Truy cập màn hình Thanh toán FPL SA
2. Check hiển thị tại block Thông tin thanh toán</t>
  </si>
  <si>
    <t>Hiển thị các thông tin gồm 
+ Tên gói - chu kỳ - giá tiền
+ Textbox Nhập ưu đãi - hyperlink Chọn ưu đãi - Button Áp dụng
+ Cần thanh toán - Giá tiền
+ Button Thanh toán
+ icon collapse (mặc định)
+ Text (Bằng việc nhấn vào nút Thanh toán bạn đã đồng ý với các &lt;linktext&gt; điều khoản của FPT Telecom</t>
  </si>
  <si>
    <t>Check giao diện bước Hoàn tất đơn hàng_Chưa thanh toán</t>
  </si>
  <si>
    <t>- Thanh toán COD</t>
  </si>
  <si>
    <t xml:space="preserve">1. Tại bước Hoàn tất đơn hàng
2. Check giao diện bước hoàn tất </t>
  </si>
  <si>
    <t>Hiển thị giao diện hoàn tất đơn hàng như sau:
- Logo FPT Telecom
- Các bước: Đăng ký |Thanh toán|Hoàn tất màu xanh lá 
- Label: 
Hoàn tất đơn hàng 
Chưa thanh toán
Đơn hàng đã đăng ký thành công. Kỹ thuật viên FPT Telecom sẽ liên hệ triển khai dịch vụ
 trong 8h - 12h. Mọi thắc mắc, vui lòng liên hệ 19006600 để được giải đáp, Xin cám ơn.
- Button Xác nhận
- Block Thông tin đơn hàng (ref: sheet Thông tin chung)</t>
  </si>
  <si>
    <t>FPL ko có COD</t>
  </si>
  <si>
    <t>Check giao diện bước Hoàn tất đơn hàng_Đã thanh toán</t>
  </si>
  <si>
    <t>- Thanh toán khác COD</t>
  </si>
  <si>
    <t>Hiển thị giao diện hoàn tất đơn hàng như sau:
- Logo FPT Telecom
- Các bước: Đăng ký |Thanh toán|Hoàn tất màu xanh lá 
- Label: 
Hoàn tất đơn hàng 
Thanh toán thành công
Đăng ký thành công! Cảm ơn quý khách đã đăng ký sử dụng dịch vụ của FPT Telecom. Mọi thắc mắc, vui lòng liên hệ 1900 6600 để được giải đáp. Xin cảm ơn!
- Button Xác nhận
- Block Thông tin đơn hàng(ref: sheet Thông tin chung)</t>
  </si>
  <si>
    <t>https://foxproject.atlassian.net/browse/EP-975</t>
  </si>
  <si>
    <t>bug won't fix</t>
  </si>
  <si>
    <t>Check nhận SMS qua Số điện thoại đã đăng ký dịch vụ</t>
  </si>
  <si>
    <t>- Đã thanh toán đơn hàng
- Tick chọn hình thức kích hoạt = Khách hàng tự kích hoạt</t>
  </si>
  <si>
    <t>1. Tại bước Hoàn tất đơn hàng
2. Check nhận SMS qua Số điện thoại đã đăng ký dịch vụ</t>
  </si>
  <si>
    <t>Hệ thống gửi SMS bao gồm mã Code về Số điện thoại đã đăng ký dịch vụ</t>
  </si>
  <si>
    <t>Chưa test được do stag FPL update hạ tầng</t>
  </si>
  <si>
    <t>Check dịch vụ được tự động kích hoạt thành công</t>
  </si>
  <si>
    <t>- Đã thanh toán đơn hàng
- Tick chọn hình thức kích hoạt = Kích hoạt tự động</t>
  </si>
  <si>
    <t>1. Tại bước Hoàn tất đơn hàng
2. Check dịch vụ được tự động kích hoạt thành công</t>
  </si>
  <si>
    <t xml:space="preserve">Hệ thống sẽ kích hoạt dịch vụ cho SĐT KH đã nhập ở thông tin cá nhân </t>
  </si>
  <si>
    <t>Check show thông báo lỗi khi tự động kích hoạt dịch vụ thất bại</t>
  </si>
  <si>
    <t>- Đã thanh toán đơn hàng
- Tick chọn hình thức kích hoạt = Kích hoạt tự động
- Kích hoạt dịch vụ thất bại sau thanh toán</t>
  </si>
  <si>
    <t>1. Tại bước Hoàn tất đơn hàng
2. Check dịch vụ được tự động kích hoạt thất bại</t>
  </si>
  <si>
    <t>- Hệ thống show thông báo "Có lỗi trong quá trình kích hoạt dịch vụ, vui lòng thử lại sau hoặc liên hệ tổng đài 19006600"
- Không chuyển sang trạng thái hoàn tất dịch vụ</t>
  </si>
  <si>
    <t>Check show thông báo lỗi khi tự động kích hoạt dịch vụ timeout</t>
  </si>
  <si>
    <t>1. Tại bước Hoàn tất đơn hàng
2. Check show thông báo lỗi khi tự động kích hoạt dịch vụ timeout</t>
  </si>
  <si>
    <t>- Hệ thống show thông báo "Quá trình xử lý mất nhiều thời gian, vui lòng thử lại sau"
- Cho phép khách hàng đóng lại để tiếp tục</t>
  </si>
  <si>
    <t>Click btn Xác nhận</t>
  </si>
  <si>
    <t xml:space="preserve">- Thanh toán thành công </t>
  </si>
  <si>
    <t>1. Tại bước Hoàn tất đơn hàng
2. Click btn Xác nhận</t>
  </si>
  <si>
    <t>Quay về màn hình home page nếu trực tiếp link
Quay về tongdaiwifi nếu đi từ tongdaiwifi</t>
  </si>
  <si>
    <t>Check điều hướng vào màn hình đăng ký dịch vụ Ultra Fast + verify URL đúng dịch vụ</t>
  </si>
  <si>
    <t>1. Truy cập home page hoặc Landing page: 
2. Click chọn gói dịch vụ Ultra Fast bất kỳ
3. Click btn Đăng ký</t>
  </si>
  <si>
    <t>1. Truy cập trực tiếp bằng đường dẫn url:https://staging.fpt.vn/checkout/register/&lt;goi Ultralfast&gt;?salechannelcode=tongdaiwifi</t>
  </si>
  <si>
    <t>Check GUI màn hình trang đăng ký dịch vụ Ultra Fast</t>
  </si>
  <si>
    <t>1. Truy cập home page hoặc Landing page: 
2. Click chọn gói dịch vụ Ultra Fast bất kỳ
3. Click btn Đăng ký
4. Check GUI màn hình trang đăng ký dịch vụ Ultra Fast</t>
  </si>
  <si>
    <t>Hiển thị UI gồm: 
- Thanh tiến trình 2 bước: Thanh toán - Hoàn tất đơn hàng
- Block Sản phẩm dịch vụ đã chọn
- Block Thông tin cá nhân
- Block Địa chỉ lắp đặt
- Block Phương thức thanh toán
- Block Thông tin khách hàng
- Block Thông tin thanh toán</t>
  </si>
  <si>
    <t>Chọn 1 gói dịch vụ Ultra Fast ở màn hình Chi tiết dịch vụ</t>
  </si>
  <si>
    <t>1. Truy cập màn hình Thanh toán dịch vụ Ultra Fast
2.Check hiển thị các trường trong block Sản phẩm dịch vụ đã chọn</t>
  </si>
  <si>
    <r>
      <rPr>
        <rFont val="Calibri"/>
        <color rgb="FF000000"/>
        <sz val="12.0"/>
      </rPr>
      <t xml:space="preserve">Block hiển thị thông tin gồm:
Title Sản phẩm dịch vụ đã chọn (Số lượng)
- Icon Gói dịch vụ 
- Tên gói dịch vụ 
- Chu kỳ gói dịch vụ 
- Giá tiền
</t>
    </r>
    <r>
      <rPr>
        <rFont val="Calibri"/>
        <color rgb="FF0000FF"/>
        <sz val="12.0"/>
      </rPr>
      <t>Ref: sheet Thông tin chung</t>
    </r>
  </si>
  <si>
    <t>1. Truy cập màn hình Thanh toán dịch vụ Ultra Fast
2. Check UI block Thông tin cá nhân</t>
  </si>
  <si>
    <t>Block hiển thị 2 trường:
- Số điện thoại (*)
- Checkbox Tôi muốn nhận hóa đơn</t>
  </si>
  <si>
    <t>https://foxproject.atlassian.net/browse/EP-890</t>
  </si>
  <si>
    <t>Check tick chọn checkbox Tôi muốn nhận hóa đơn</t>
  </si>
  <si>
    <t>1. Truy cập màn hình Thanh toán dịch vụ Ultra Fast
2. Check tick chọn checkbox Tôi muốn nhận hóa đơn</t>
  </si>
  <si>
    <t>Hiển thị block Địa chỉ lắp đặt
Hiện thị thêm textbox Email cạnh SĐT</t>
  </si>
  <si>
    <t>1. Truy cập màn hình Thanh toán dịch vụ Ultra Fast
2. Check hiển thị tại Block Thông tin khách hàng</t>
  </si>
  <si>
    <r>
      <rPr>
        <rFont val="Calibri"/>
        <color rgb="FF000000"/>
        <sz val="12.0"/>
      </rPr>
      <t xml:space="preserve">Hiển thị các trường thông tin gồm:
- Số điện thoại
- Email(hiện nếu có chọnTôi muốn nhận hóa đơn)
- Địa chỉ(hiện nếu có chọn Tôi muốn nhận hóa đơn)
- icon collapse (mặc định)
</t>
    </r>
    <r>
      <rPr>
        <rFont val="Calibri"/>
        <color rgb="FF0000FF"/>
        <sz val="12.0"/>
      </rPr>
      <t>Ref: sheet Thông tin chung</t>
    </r>
  </si>
  <si>
    <t>1. Truy cập màn hình Thanh toán dịch vụ Ultra Fast
2 . Check hiển thị tại block Thông tin thanh toán</t>
  </si>
  <si>
    <t>Hiển thị các thông tin gồm 
+ Tên gói - 1 tháng - giá tiền
+ Textbox Nhập ưu đãi - hyperlink Chọn ưu đãi - Button Áp dụng
+ Cần thanh toán - Giá tiền
+ Button Thanh toán
+ icon collapse (mặc định)
+ Text (Bằng việc nhấn vào nút Thanh toán bạn đã đồng ý với các &lt;linktext&gt; điều khoản của FPT Telecom</t>
  </si>
  <si>
    <t xml:space="preserve">1. Hoàn tất đơn hàng thanh toán COD
2. Check giao diện bước hoàn tất </t>
  </si>
  <si>
    <t>Hiển thị giao diện hoàn tất đơn hàng như sau:
- Logo FPT Telecom
- Các bước: Đăng ký |Thanh toán|Hoàn tất màu xanh lá 
- Label: 
Hoàn tất đơn hàng 
Chưa thanh toán
Đăng ký thành công! Cảm ơn quý khách đã đăng ký sử dụng dịch vụ của FPT Telecom. Mọi thắc mắc, vui lòng liên hệ 1900 6600 để được giải đáp. Xin cảm ơn!
- Block Thông tin đơn hàng(ref: sheet Thông tin chung)</t>
  </si>
  <si>
    <t>cs hiện tại không có COD</t>
  </si>
  <si>
    <t xml:space="preserve">1. Hoàn tất đơn hàng thanh toán khác COD
2. Check giao diện bước hoàn tất </t>
  </si>
  <si>
    <t>Hiển thị giao diện hoàn tất đơn hàng như sau:
- Logo FPT Telecom
- Các bước: Đăng ký |Thanh toán|Hoàn tất màu xanh lá 
- Label: 
Hoàn tất đơn hàng 
Thanh toán thành công
Đăng ký thành công! Cảm ơn quý khách đã đăng ký sử dụng dịch vụ của FPT Telecom. Mọi thắc mắc, vui lòng liên hệ 1900 6600 để 
- Mã code Ultra Fast của bạn là: 
 + Icon Ultra Fast
 + Mã code - Icon Sao chép
 + Button Kích hoạt code
- Block Thông tin đơn hàng(ref: sheet Thông tin chung)</t>
  </si>
  <si>
    <t>SMS đang gửi kèm mã code</t>
  </si>
  <si>
    <t>sprint hiện tại chưa test được kích hoạt, đang ẩn button kích hoạt</t>
  </si>
  <si>
    <t>Check hiển thị mã code ở màn hình Thanh toán thành công</t>
  </si>
  <si>
    <t>- Đã thanh toán đơn hàng</t>
  </si>
  <si>
    <t>1. Tại bước Hoàn tất đơn hàng
2. Check hiển thị mã code ở màn hình Thanh toán thành công</t>
  </si>
  <si>
    <t>Hệ thống hiển thị mã code Ultra Fast</t>
  </si>
  <si>
    <t>https://foxproject.atlassian.net/browse/EP-910</t>
  </si>
  <si>
    <t>Check show thông báo lỗi khi không gen được mã code</t>
  </si>
  <si>
    <t>1. Tại bước Hoàn tất đơn hàng
2. Check show thông báo lỗi khi không lấy được mã code</t>
  </si>
  <si>
    <t>Hệ thống hiển thị thông báo "Lấy mã không thành công. Liên hệ 1900 6600 để nhận hỗ trợ."
Nút "Kích hoạt code" bị disable</t>
  </si>
  <si>
    <t>chưa check được case này</t>
  </si>
  <si>
    <t>Click icon Sao chép mã code Ultra Fast</t>
  </si>
  <si>
    <t>1. Tại bước Hoàn tất đơn hàng
2. Click icon Sao chép mã code Ultra Fast</t>
  </si>
  <si>
    <t>Hệ thống cho phép sao chép mã code thành công vào bộ nhớ tạm</t>
  </si>
  <si>
    <t>Click button Kích hoạt code khi Số điện thoại không tìm thấy hợp đồng FTEL</t>
  </si>
  <si>
    <t>1. Tại bước Hoàn tất đơn hàng
2. Click button Kích hoạt code khi Số điện thoại không tìm thấy hợp đồng FTEL</t>
  </si>
  <si>
    <t>Hệ thống show thông báo "Không tìm thấy hợp đồng. Số điện thoại đăng ký hiện chưa có hợp đồng sử dụng dịch vụ của FPT Telecom. Bấm Kích hoạt để chuyển đến màn hình kích hoạt FID."
- Button Đồng ý</t>
  </si>
  <si>
    <t>Click button Đồng ý ở popup Không tìm thấy hợp đồng</t>
  </si>
  <si>
    <t>- Đã thanh toán đơn hàng
- Số điện thoại chưa có HĐ FTEL</t>
  </si>
  <si>
    <t>1. Tại bước Hoàn tất đơn hàng
2. Click button Kích hoạt code khi Số điện thoại không tìm thấy hợp đồng FTEL
3. Click button Đồng ý ở popup Không tìm thấy hợp đồng</t>
  </si>
  <si>
    <t>Hệ thống điều hướng KH sang luồng FID.</t>
  </si>
  <si>
    <t xml:space="preserve">Click button Kích hoạt code khi Số điện thoại đăng ký có &gt; 1 Hợp đồng </t>
  </si>
  <si>
    <t>- Đã thanh toán đơn hàng
- Số điện thoại đăng ký có &gt; 1 hợp đồng</t>
  </si>
  <si>
    <t xml:space="preserve">1. Tại bước Hoàn tất đơn hàng
2. Click button Kích hoạt code khi Số điện thoại đăng ký có &gt; 1 Hợp đồng </t>
  </si>
  <si>
    <t>Hệ thống hiển thị popup Danh sách hợp đồng của SDT đã đăng ký: 
- Title: Chọn mã hợp đồng kích hoạt Ultra Fast
- Danh sách hợp đồng thuộc SDT đăng ký
- Button Xác nhận
- Button Quay lại</t>
  </si>
  <si>
    <t>Check load danh sách Số hợp đồng thuộc số điện thoại đã đăng ký</t>
  </si>
  <si>
    <t>1. Tại bước Hoàn tất đơn hàng
2. Click button Kích hoạt code khi Số điện thoại đăng ký có &gt; 1 Hợp đồng
3. Tại popup Danh sách hợp đồng của SDT đăng ký
4. Check load danh sách Số hợp đồng thuộc số điện thoại đã đăng ký</t>
  </si>
  <si>
    <t>Hệ thống load đúng danh sách số hợp đồng thuộc SDT đăng ký</t>
  </si>
  <si>
    <t>Check chọn 1 hợp đồng trong danh sách hợp đồng</t>
  </si>
  <si>
    <t>1. Tại bước Hoàn tất đơn hàng
2. Click button Kích hoạt code khi Số điện thoại đăng ký có &gt; 1 Hợp đồng
3. Tại popup Danh sách hợp đồng của SDT đăng ký
4. Check chọn 1 hợp đồng trong danh sách hợp đồng</t>
  </si>
  <si>
    <t>Hệ thống cho phép chọn 1 hợp đồng trong danh sách, không được chọn nhiều hơn 1 hợp đồng</t>
  </si>
  <si>
    <t>Click button Xác nhận khi chưa chọn hợp đồng</t>
  </si>
  <si>
    <t>1. Tại bước Hoàn tất đơn hàng
2. Click button Kích hoạt code khi Số điện thoại đăng ký có &gt; 1 Hợp đồng
3. Tại popup Danh sách hợp đồng của SDT đăng ký
4. Không chọn hợp đồng
5. Click button Xác nhận</t>
  </si>
  <si>
    <t>Hệ thống show thông báo lỗi khi chưa chọn Số hợp đồng</t>
  </si>
  <si>
    <t>Click button Xác nhận khi đã chọn hợp đồng</t>
  </si>
  <si>
    <t>1. Tại bước Hoàn tất đơn hàng
2. Click button Kích hoạt code khi Số điện thoại đăng ký có &gt; 1 Hợp đồng
3. Tại popup Danh sách hợp đồng của SDT đăng ký
4. Chọn 1 hợp đồng
5. Click button Xác nhận</t>
  </si>
  <si>
    <t>Hê thống hiển thị popup show thông báo "Kích hoạt thành công. Dịch vụ Ultra Fast - {Số tháng} đã được kích hoạt cho hợp đồng {Mã HĐ}. Thời gian sử dụng từ {Ngày} đến {Ngày}"
- Button Đóng đóng popup
- Icon X
* Thời gian sử dụng tương ứng với Gói dich vụ đã đăng ký
* Mã HD: Số hợp đồng đã chọn
Format: dd/mm/yyyy</t>
  </si>
  <si>
    <t xml:space="preserve">Click button Kích hoạt code thành công khi Số điện thoại đăng ký có 1 Hợp đồng </t>
  </si>
  <si>
    <t>1. Tại bước Hoàn tất đơn hàng
2. Click button Kích hoạt code khi Số điện thoại đăng ký có 1 Hợp đồng</t>
  </si>
  <si>
    <t>Hê thống hiển thị popup show thông báo "Kích hoạt thành công. Dịch vụ Ultra Fast - {Số tháng} đã được kích hoạt cho hợp đồng {Mã HĐ}. Thời gian sử dụng từ {Ngày} đến {Ngày}"
- Button Đóng đóng popup
- Icon X
* Thời gian sử dụng tương ứng với Gói dich vụ đã đăng ký
Format: dd/mm/yyyy</t>
  </si>
  <si>
    <t>Click button Đóng popup thông báo kích hoạt thành công</t>
  </si>
  <si>
    <t>- Đã thanh toán đơn hàng
- Kích hoạt code thành công</t>
  </si>
  <si>
    <t>1. Tại bước Hoàn tất đơn hàng
2. Click button Kích hoạt code khi Số điện thoại đăng ký hợp lệ
3. Click button Đóng popup thông báo kích hoạt thành công</t>
  </si>
  <si>
    <t>Hệ thống đóng popup quay lại màn hình Hoàn tất đơn hàng
Button kích hoạt code Disable</t>
  </si>
  <si>
    <t>Click icon X popup thông báo kích hoạt thành công</t>
  </si>
  <si>
    <t>1. Tại bước Hoàn tất đơn hàng
2. Click button Kích hoạt code khi Số điện thoại đăng ký hợp lệ
3. Click icon X popup thông báo kích hoạt thành công</t>
  </si>
  <si>
    <t>Check show thông báo lỗi khi kích hoạt code Thất bại hoặc Time out</t>
  </si>
  <si>
    <t>- Đã thanh toán đơn hàng
- Số điện thoại đăng ký hợp lệ
- Kích hoạt code thất bại hoặc time out</t>
  </si>
  <si>
    <t>1. Tại bước Hoàn tất đơn hàng
2. Click button Kích hoạt code 
3. Check show thông báo lỗi khi kích hoạt code Thất bại</t>
  </si>
  <si>
    <t>Hệ thống show thông báo "Đã có lỗi trong quá trình xử lý, vui lòng thử lại sau hoặc liên hệ tổng đài 1900 6600 để được hỗ trợ!"</t>
  </si>
  <si>
    <t>Check điều hướng vào màn hình đăng ký dịch vụ Hyper Fast+ verify URL đúng dịch vụ</t>
  </si>
  <si>
    <t>1. Truy cập home page hoặc Landing page: 
2. Click chọn gói dịch vụ Hyper Fast bất kỳ
3. Click btn Đăng ký</t>
  </si>
  <si>
    <t xml:space="preserve"> Điều hướng vào trang đăng ký đúng và đúng URL dịch vụ</t>
  </si>
  <si>
    <t>1. Truy cập trực tiếp bằng đường dẫn url:https://staging.fpt.vn/checkout/register/&lt;goi hyperfast&gt;?salechannelcode=tongdaiwifi</t>
  </si>
  <si>
    <t>Check GUI màn hình trang đăng ký dịch vụ Hyper Fast</t>
  </si>
  <si>
    <t>1. Truy cập home page hoặc Landing page: 
2. Click chọn gói dịch vụ Hyper Fast bất kỳ
3. Click btn Đăng ký
4. Check GUI màn hình trang đăng ký dịch vụ Hyper Fast</t>
  </si>
  <si>
    <t>Hiển thị UI gồm: 
- Thanh tiến trình 2 bước: Thanh toán - Hoàn tất đơn hàng
- Block Sản phẩm dịch vụ đã chọn
- Block Thông tin cá nhân
- Block Phương thức thanh toán
- Block Thông tin khách hàng
- Block Thông tin thanh toán</t>
  </si>
  <si>
    <t>Chọn 1 gói dịch vụ Hyper Fast ở màn hình Chi tiết dịch vụ</t>
  </si>
  <si>
    <t>1. Truy cập màn hình Thanh toán dịch vụ Hyper Fast
2.Check hiển thị các trường trong block Sản phẩm dịch vụ đã chọn</t>
  </si>
  <si>
    <r>
      <rPr>
        <rFont val="Calibri"/>
        <color rgb="FF000000"/>
        <sz val="12.0"/>
      </rPr>
      <t xml:space="preserve">Block hiển thị thông tin gồm:
Title Sản phẩm dịch vụ đã chọn (Số lượng)
- Icon Gói dịch vụ 
- Tên gói dịch vụ 
- Chu kỳ gói dịch vụ 
- Giá tiền
</t>
    </r>
    <r>
      <rPr>
        <rFont val="Calibri"/>
        <color rgb="FF0000FF"/>
        <sz val="12.0"/>
      </rPr>
      <t>Ref: sheet Thông tin chung</t>
    </r>
  </si>
  <si>
    <t>1. Truy cập màn hình Thanh toán dịch vụ Hyper Fast
2. Check UI block Thông tin cá nhân</t>
  </si>
  <si>
    <t>Block hiển thị 3 trường:
- Số điện thoại (*)
- Email
- Text ghi chú: Số điện thoại sử dụng dịch vụ là Tài khoản sử dụng dịch vụ HyperFast</t>
  </si>
  <si>
    <t>1. Truy cập màn hình Thanh toán dịch vụ Hyper Fast
2. Check hiển thị tại Block Thông tin khách hàng</t>
  </si>
  <si>
    <r>
      <rPr>
        <rFont val="Calibri"/>
        <color rgb="FF000000"/>
        <sz val="12.0"/>
      </rPr>
      <t xml:space="preserve">Hiển thị các trường thông tin gồm:
- Số điện thoại
- Email
- icon collapse (mặc định)
</t>
    </r>
    <r>
      <rPr>
        <rFont val="Calibri"/>
        <color rgb="FF0000FF"/>
        <sz val="12.0"/>
      </rPr>
      <t>Ref: sheet Thông tin chung</t>
    </r>
  </si>
  <si>
    <t>1. Truy cập màn hình Thanh toán dịch vụ Hyper Fast
2 . Check hiển thị tại block Thông tin thanh toán</t>
  </si>
  <si>
    <t>Sprint này chưa hiển thị block Ưu đãi</t>
  </si>
  <si>
    <t>Check popup cảnh báo cộng dồn hiển thị TRƯỚC khi redirect cổng TT (SĐT đang dùng gói tương đương)</t>
  </si>
  <si>
    <t>- SĐT đang sử dụng HyperFast - 1 tháng, còn hạn đến {Ngày}
- Đã điền đúng SĐT này vào form, đã chọn PTTT</t>
  </si>
  <si>
    <t>1. Truy cập màn hình Thanh toán dịch vụ Hyper Fast HyperFast
2. Điền SĐT đang dùng gói tương đương
3. Điền Email hợp lệ
4. Chọn PTTT
5. Click btn 'Thanh toán'
6. Check có popup xuất hiện TRƯỚC khi chuyển cổng TT không</t>
  </si>
  <si>
    <t>Popup cảnh báo cộng dồn hiển thị TRƯỚC cổng TT:
- Nội dung: 'Tài khoản đang dùng HyperFast - X tháng, hết hạn {Ngày}. Sẽ cộng thêm Y tháng sau khi kích hoạt.'
- Có btn 'Đóng' và btn 'Đồng ý'
KHÔNG redirect cổng TT cho đến khi KH chọn
Format: dd/mm/yyyy</t>
  </si>
  <si>
    <t>Chưa check được flow kích hoạt HyperFast</t>
  </si>
  <si>
    <t>Click 'Đồng ý' popup cộng dồn → redirect sang cổng thanh toán</t>
  </si>
  <si>
    <t xml:space="preserve">- Popup cảnh báo cộng dồn đang hiển thị </t>
  </si>
  <si>
    <t>1. Popup cảnh báo cộng dồn đang hiển thị
2. Click btn 'Đồng ý'
3. Check hành vi hệ thống</t>
  </si>
  <si>
    <t>Popup đóng lại
Hệ thống redirect sang cổng thanh toán
Giao dịch được ghi nhận loại 'cộng dồn'</t>
  </si>
  <si>
    <t>Click 'Đóng' popup cộng dồn → hủy TT, giữ nguyên màn Checkout</t>
  </si>
  <si>
    <t>1. Popup cảnh báo cộng dồn đang hiển thị
2. Click btn 'Đóng'
3. Check hành vi hệ thống</t>
  </si>
  <si>
    <t>Popup đóng lại
Màn hình Checkout HyperFast giữ nguyên (không redirect)
Khách hàng có thể tiếp tục chỉnh sửa thông tin</t>
  </si>
  <si>
    <t>Check popup cảnh báo thay thế gói hiển thị TRƯỚC khi redirect cổng TT (SĐT đang dùng gói khác loại)</t>
  </si>
  <si>
    <t>- SĐT đang dùng gói HyperFast khác loại (VD: đang dùng Basic, muốn mua Pro)
- Đã điền đúng SĐT này vào form, đã chọn PTTT</t>
  </si>
  <si>
    <t>1. Truy cập màn hình Thanh toán dịch vụ Hyper Fast HyperFast
2. Điền SĐT đang dùng gói khác loại
3. Điền Email hợp lệ
4. Chọn PTTT
5. Click btn 'Thanh toán'
6. Check popup xuất hiện</t>
  </si>
  <si>
    <t>Popup cảnh báo thay thế hiển thị TRƯỚC cổng TT:
- Nội dung: 'Tài khoản đã đăng ký gói {Cũ}, hết hạn {Ngày}. Quý khách sẽ được thay thế bằng gói {Mới} sau khi hoàn tất thanh toán.'
- Có btn 'Đóng' và btn 'Đồng ý'
KHÔNG redirect cổng TT cho đến khi KH chọn
Format: dd/mm/yyyy</t>
  </si>
  <si>
    <t>Click 'Đồng ý' popup thay thế gói → redirect sang cổng thanh toán</t>
  </si>
  <si>
    <t>- Popup cảnh báo thay thế gói đang hiển thị</t>
  </si>
  <si>
    <t>1. Popup cảnh báo thay thế đang hiển thị
2. Click btn 'Đồng ý'
3. Check hành vi hệ thống</t>
  </si>
  <si>
    <t>Popup đóng lại
Hệ thống redirect sang cổng thanh toán (gateway)
Giao dịch được ghi nhận loại 'thay thế gói'</t>
  </si>
  <si>
    <t>Click 'Đóng' popup thay thế gói → hủy TT, giữ màn Checkout</t>
  </si>
  <si>
    <t xml:space="preserve">- Popup cảnh báo thay thế gói đang hiển thị </t>
  </si>
  <si>
    <t>1. Popup cảnh báo thay thế đang hiển thị
2. Click btn 'Đóng'
3. Check hành vi hệ thống</t>
  </si>
  <si>
    <t>Popup đóng lại
Màn hình Checkout HyperFast giữ nguyên (không redirect)
Thông tin form được giữ nguyên</t>
  </si>
  <si>
    <t>Check popup 'Đăng ký không thành công' khi KH vừa thay đổi gói — thông báo chờ X ngày</t>
  </si>
  <si>
    <t>SĐT vừa thực hiện thay đổi gói; gói mới chưa thể áp dụng ngay do ràng buộc thời gian</t>
  </si>
  <si>
    <t>1. Truy cập màn hình Thanh toán dịch vụ Hyper Fast 
2. Điền SĐT thay đổi từ {Gói cũ} sang {Gói mới}
3. Điền Email hợp lệ
4. Chọn PTTT
5. Click btn 'Thanh toán'</t>
  </si>
  <si>
    <t>Popup 'Đăng ký không thành công' hiển thị:
- Icon △ cảnh báo
- Tiêu đề: 'Đăng ký không thành công'
- Nội dung: '"Quý khách vừa thực hiện thay đổi gói từ {Gói cũ} sang {Gói mới}, vui lòng thực hiện lại sau {X ngày}, xin cảm ơn!'
- Btn 'Đóng'</t>
  </si>
  <si>
    <t>Check nội dung popup 'Đăng ký không thành công' hiển thị đúng {Gói cũ}, {Gói mới}, {X ngày}</t>
  </si>
  <si>
    <t>SĐT vừa thực hiện thay đổi gói</t>
  </si>
  <si>
    <t>1. Truy cập màn hình Thanh toán dịch vụ Hyper Fast
2. Thực hiện thay đổi gói không thành công
3. Popup lỗi hiển thị
4. Check nội dung</t>
  </si>
  <si>
    <t>Popup hiển thị dynamic: {Gói cũ}, {Gói mới}, {X ngày} đều đúng với dữ liệu thực tế
Không hardcode giá trị
Format: dd/mm/yyyy</t>
  </si>
  <si>
    <t>Click 'Đóng' popup 'Đăng ký không thành công' — đóng popup, hiện màn hình Hoàn tất</t>
  </si>
  <si>
    <t>Popup 'Đăng ký không thành công' đang hiển thị</t>
  </si>
  <si>
    <t>1. Popup đang hiển thị
2. Click btn 'Đóng'
3. Check màn hình sau</t>
  </si>
  <si>
    <t>Popup đóng
Hiển thị màn hình Hoàn tất đơn hàng</t>
  </si>
  <si>
    <t xml:space="preserve">Check hiển thị Overlay Loading sau khi thanh toán thành công </t>
  </si>
  <si>
    <t>Thanh toán thành công, hệ thống đang xử lý kích hoạt</t>
  </si>
  <si>
    <t>1. Hoàn tất thanh toán thành công
2. Check màn hình hiển thị ngay sau khi thanh toán</t>
  </si>
  <si>
    <t>Hiển thị Overlay Loading toàn màn hình với icon xoay (animation)
Text: 'Hệ thống đang kích hoạt'
Sub-text: 'Hệ thống đang thực hiện kích hoạt dịch vụ, quý khách vui lòng không tắt màn hình, Xin cảm ơn!'</t>
  </si>
  <si>
    <t>Check Overlay Loading khóa toàn màn hình — người dùng không thể tương tác</t>
  </si>
  <si>
    <t>Overlay Loading đang hiển thị</t>
  </si>
  <si>
    <t>1. Overlay Loading đang hiển thị
2. Thử click vào các element phía sau overlay (btn, link...)
3. Check có tương tác được không</t>
  </si>
  <si>
    <t>Overlay che toàn màn hình, không thể click/tương tác với bất kỳ element nào bên dưới</t>
  </si>
  <si>
    <t xml:space="preserve">Check không có nút đóng/thoát trên Overlay Loading </t>
  </si>
  <si>
    <t>1. Overlay Loading đang hiển thị
2. Check toàn bộ overlay có nút X, btn Đóng, hay btn Thoát không</t>
  </si>
  <si>
    <t>Overlay KHÔNG có nút X, nút Đóng, nút Thoát
Người dùng không thể tự tắt overlay</t>
  </si>
  <si>
    <t>Check Overlay Loading tự đóng khi API kích hoạt trả kết quả</t>
  </si>
  <si>
    <t>Overlay Loading đang hiển thị; API kích hoạt trả về kết quả (thành công hoặc thất bại)</t>
  </si>
  <si>
    <t>1. Overlay Loading đang hiển thị
2. API kích hoạt trả về kết quả
3. Check overlay đóng hay không</t>
  </si>
  <si>
    <t>Overlay tự đóng ngay khi nhận được kết quả từ API kích hoạt
Hiển thị popup kết quả tương ứng (thành công hoặc thất bại)</t>
  </si>
  <si>
    <t>Check Overlay Loading hiển thị đúng text theo URD</t>
  </si>
  <si>
    <t>1. Hoàn tất thanh toán thành công
2. Check text trên overlay loading</t>
  </si>
  <si>
    <t>Text chính: 'Hệ thống đang kích hoạt'
Text phụ: 'Hệ thống đang thực hiện kích hoạt dịch vụ, quý khách vui lòng không tắt màn hình, Xin cảm ơn!'</t>
  </si>
  <si>
    <t>Check background màn hình Hoàn tất đơn hàng hiển thị sau overlay (không bị trắng)</t>
  </si>
  <si>
    <t>Overlay Loading đang hiển thị trên màn hình Hoàn tất</t>
  </si>
  <si>
    <t>1. Hoàn tất thanh toán thành công
2. Check background sau overlay</t>
  </si>
  <si>
    <t>Background hiển thị màn hình Hoàn tất đơn hàng (bị mờ/blur sau overlay)
Stepper hiển thị cả 2 bước đều xanh lá: Thanh toán ✓ → Hoàn tất đơn hàng ✓</t>
  </si>
  <si>
    <t>Check popup 'Kích hoạt thành công' hiển thị đúng sau khi API kích hoạt trả về OK</t>
  </si>
  <si>
    <t>API kích hoạt dịch vụ HyperFast trả về thành công</t>
  </si>
  <si>
    <t>1. Hoàn tất thanh toán
2. Đợi API kích hoạt thành công
3. Check popup</t>
  </si>
  <si>
    <t>Popup 'Kích hoạt thành công' hiển thị:
- Icon tích xanh (✓)
- Tiêu đề: 'Kích hoạt thành công'
- Thông tin gói, tài khoản, thời gian sử dụng
- Btn 'Đóng'</t>
  </si>
  <si>
    <t>Check nội dung popup — tên dịch vụ, tài khoản mask, thời gian sử dụng đúng</t>
  </si>
  <si>
    <t>Gói HyperFast kích hoạt thành công cho SĐT đã đăng ký</t>
  </si>
  <si>
    <t>1. Hoàn tất TT gói HyperFast
2. API kích hoạt thành công
3. Check nội dung popup</t>
  </si>
  <si>
    <t xml:space="preserve"> 'Dịch vụ HyperFast - XX tháng đã được kích hoạt cho tài khoản ***xxxx.'.'Thời gian sử dụng từ ngày {dd/mm/yyyy} đến {dd/mm/yyyy}.'
*XX : Số tháng của gói
*xxxx: 4 số cuối của SDT đã đăng ký</t>
  </si>
  <si>
    <t>Check thời gian sử dụng tính đúng theo chu kỳ gói đã mua</t>
  </si>
  <si>
    <t>Gói HyperFast kích hoạt thành công</t>
  </si>
  <si>
    <t>1. Truy cập màn hình Thanh toán dịch vụ Hyper Fast
2. Mua gói HyperFast
3. Check thời gian sử dụng tính đúng theo chu kỳ gói đã mua</t>
  </si>
  <si>
    <t>Thời gian sử dụng tính theo thời gian của gói đã đăng ký. Ví dụ :
Ngày bắt đầu: 09/09/2025
Ngày kết thúc: 09/10/2025 (cộng đúng 1 tháng)
Format: dd/mm/yyyy</t>
  </si>
  <si>
    <t xml:space="preserve">Check thời gian sử dụng cộng dồn — tính từ ngày hết hạn cũ + chu kỳ mới </t>
  </si>
  <si>
    <t>1. Truy cập màn hình Thanh toán dịch vụ Hyper Fast
2. Mua thêm 1 tháng cộng dồn
3. API kích hoạt thành công
4. Check thời gian trong popup</t>
  </si>
  <si>
    <t>Thời gian sử dụng tính theo thời gian của gói đã đăng ký. Ví dụ:
Ngày kết thúc mới = 14/05/2025 + 1 tháng = 14/06/2025
Đúng rule: Ngày_Hết_Hạn_Mới = Ngày_Hết_Hạn_Cũ + Chu_Kỳ_Mua_Mới</t>
  </si>
  <si>
    <t>Click 'Đóng' popup Kích hoạt thành công — đóng popup, hiện màn hình Hoàn tất</t>
  </si>
  <si>
    <t>Popup 'Kích hoạt thành công' đang hiển thị</t>
  </si>
  <si>
    <t>1. Popup 'Kích hoạt thành công' đang hiển thị
2. Click btn 'Đóng'
3. Check màn hình sau</t>
  </si>
  <si>
    <t>Popup đóng lại
Hiển thị màn hình Hoàn tất đơn hàng đầy đủ</t>
  </si>
  <si>
    <t xml:space="preserve">Check popup 'Kích hoạt không thành công' khi API kích hoạt trả về lỗi </t>
  </si>
  <si>
    <t>TT thành công; API kích hoạt trả về lỗi (Fail/Logic error)</t>
  </si>
  <si>
    <t>1. Truy cập màn hình Thanh toán dịch vụ Hyper Fast
2. TT thành công
3. API kích hoạt trả về lỗi logic
4. Check popup</t>
  </si>
  <si>
    <t>Popup hiển thị:
- Icon X đỏ (✗)
- Tiêu đề: 'Kích hoạt không thành công'
- Nội dung: 'Đã có lỗi trong quá trình xử lý, vui lòng thử lại sau hoặc liên hệ tổng đài 19006600'
- Btn 'Đồng ý'</t>
  </si>
  <si>
    <t>Click 'Đồng ý' popup lỗi kích hoạt — đóng popup, hiện màn hình Hoàn tất</t>
  </si>
  <si>
    <t>Popup 'Kích hoạt không thành công' đang hiển thị</t>
  </si>
  <si>
    <t>1. Popup lỗi kích hoạt đang hiển thị
2. Click btn 'Đồng ý'
3. Check màn hình sau</t>
  </si>
  <si>
    <t>Popup đóng
Hiển thị màn hình Hoàn tất đơn hàng
Admin ghi nhận đơn hàng 'Chờ xử lý thủ công'</t>
  </si>
  <si>
    <t xml:space="preserve">Check xử lý khi API kích hoạt Timeout — popup chờ + chuyển sang hàng đợi xử lý ngầm </t>
  </si>
  <si>
    <t>TT thành công; API kích hoạt không phản hồi trong thời gian quy định</t>
  </si>
  <si>
    <t>1. Truy cập màn hình Thanh toán dịch vụ Hyper Fast
2. TT thành công
3. API kích hoạt Timeout
4. Check popup và trạng thái đơn hàng</t>
  </si>
  <si>
    <t>Popup thông báo chờ hoặc lỗi hiển thị phù hợp
Đơn hàng chuyển trạng thái hàng đợi xử lý ngầm (Retry)
Không hoàn tiền tự động</t>
  </si>
  <si>
    <t xml:space="preserve">Check hệ thống ghi log đơn hàng 'Chờ xử lý thủ công' khi kích hoạt thất bại </t>
  </si>
  <si>
    <t>TT thành công; kích hoạt thất bại (Fail hoặc Timeout)</t>
  </si>
  <si>
    <t>1. Truy cập màn hình Thanh toán dịch vụ Hyper Fast
2. TT thành công, kích hoạt thất bại
3. Check Admin console / log hệ thống</t>
  </si>
  <si>
    <t>Đơn hàng được ghi nhận trạng thái 'Chờ xử lý thủ công' trên Admin
Không xóa đơn, không hoàn tiền tự động</t>
  </si>
  <si>
    <t>Check thông tin đơn hàng bên phải vẫn hiển thị đúng sau khi kích hoạt thất bại và đóng popup</t>
  </si>
  <si>
    <t>TT thành công; kích hoạt thất bại; popup lỗi đã đóng</t>
  </si>
  <si>
    <t>1. Truy cập màn hình Thanh toán dịch vụ Hyper Fast
2. TT thành công, kích hoạt thất bại
3. Đóng popup lỗi
4. Check thông tin đơn hàng bên phải</t>
  </si>
  <si>
    <t>Block TTKH: SĐT và Email hiển thị đúng
Block TT thanh toán: tên gói và giá hiển thị đúng
Mã đơn hàng vẫn hiển thị</t>
  </si>
  <si>
    <t xml:space="preserve">Hiển thị giao diện hoàn tất đơn hàng như sau:
- Logo FPT Telecom
- Các bước: Đăng ký |Thanh toán|Hoàn tất màu xanh lá 
- Label: 
Hoàn tất đơn hàng 
Chưa thanh toán
Đăng ký thành công! Cảm ơn quý khách đã đăng ký sử dụng dịch vụ của FPT Telecom. Mọi thắc mắc, vui lòng liên hệ 1900 6600 để được giải đáp. Xin cảm ơn!
- Block tải app HyperFast + btn 'Tải xuống'
- Block Thông tin đơn hàng(ref: sheet Thông tin chung)
+ Mã đơn hàng 
+ Thông tin khách hàng
+ Thông tin thanh toán </t>
  </si>
  <si>
    <t>CS hiện tại chưa có COD</t>
  </si>
  <si>
    <t xml:space="preserve">1. Hoàn tất đơn hàng thanh toán khác COD 
2. Check giao diện bước hoàn tất </t>
  </si>
  <si>
    <t xml:space="preserve">Hiển thị giao diện hoàn tất đơn hàng như sau:
- Logo FPT Telecom
- Các bước: Đăng ký |Thanh toán|Hoàn tất màu xanh lá 
- Label: 
Hoàn tất đơn hàng 
Thanh toán thành công
Đăng ký thành công! Cảm ơn quý khách đã đăng ký sử dụng dịch vụ của FPT Telecom. Mọi thắc mắc, vui lòng liên hệ 1900 6600 để được giải đáp. Xin cảm ơn!
- Block tải app HyperFast + btn 'Tải xuống'
- Block Thông tin đơn hàng(ref: sheet Thông tin chung)
+ Mã đơn hàng 
+ Thông tin khách hàng
+ Thông tin thanh toán </t>
  </si>
  <si>
    <t>Check block tải app HyperFast hiển thị đúng: icon, text, btn 'Tải xuống'</t>
  </si>
  <si>
    <t>Màn hình Hoàn tất sau khi kích hoạt thành công</t>
  </si>
  <si>
    <t>1. Truy cập màn hình Hoàn tất
2. Check block tải ứng dụng</t>
  </si>
  <si>
    <t>Block hiển thị:
- Icon HyperFast + Text 'Đăng ký thành công! HyperFast'
- Sub-text: 'Tải ứng dụng HyperFast để trải nghiệm dịch vụ.'
- Btn 'Tải xuống' (icon Windows) màu xanh dương</t>
  </si>
  <si>
    <t xml:space="preserve">Click 'Tải xuống' trên Windows — tải file .exe thành công, không có popup lỗi </t>
  </si>
  <si>
    <t>Đang truy cập trên trình duyệt Windows; Màn hình Hoàn tất đang hiển thị</t>
  </si>
  <si>
    <t>1. Truy cập màn hình Hoàn tất trên thiết bị Windows
2. Click btn 'Tải xuống'
3. Check hành vi</t>
  </si>
  <si>
    <t>Hệ thống nhận diện User-Agent là Windows
Tự động tải file .exe HyperFast
KHÔNG hiển thị popup lỗi</t>
  </si>
  <si>
    <t>Click 'Tải xuống' trên Mobile — hiện popup lỗi 'Ứng dụng không hỗ trợ'</t>
  </si>
  <si>
    <t>Đang truy cập trên thiết bị Mobile (iOS/Android); Màn hình Hoàn tất đang hiển thị</t>
  </si>
  <si>
    <t>1. Truy cập màn hình Hoàn tất trên Mobile
2. Click btn 'Tải xuống'
3. Check popup</t>
  </si>
  <si>
    <t>Hiển thị popup lỗi:
- Icon cảnh báo màu cam
- Tiêu đề: 'Ứng dụng không hỗ trợ trên thiết bị của bạn'
- Nội dung: '...Vui lòng sử dụng hệ điều hành Window để tải ứng dụng trên PC.'
- Btn 'Đóng'</t>
  </si>
  <si>
    <t xml:space="preserve"> </t>
  </si>
  <si>
    <t xml:space="preserve">Click 'Tải xuống' trên MacOS/Linux— hiện popup lỗi thiết bị không hỗ trợ </t>
  </si>
  <si>
    <t>Đang truy cập trên MacOS/Linux; Màn hình Hoàn tất đang hiển thị</t>
  </si>
  <si>
    <t>1. Truy cập màn hình Hoàn tất trên MacOS/Linux
2. Click btn 'Tải xuống'
3. Check popup</t>
  </si>
  <si>
    <t>Popup lỗi 'Ứng dụng không hỗ trợ trên thiết bị của bạn' hiển thị
Nội dung giống Mobile: hướng dẫn dùng Windows</t>
  </si>
  <si>
    <t>chưa test được trên macos/linux</t>
  </si>
  <si>
    <t>Click 'Đóng' popup lỗi tải app — đóng popup, giữ màn hình Hoàn tất</t>
  </si>
  <si>
    <t>Popup 'Ứng dụng không hỗ trợ' đang hiển thị</t>
  </si>
  <si>
    <t>1. Popup lỗi thiết bị đang hiển thị
2. Click btn 'Đóng'
3. Check màn hình sau</t>
  </si>
  <si>
    <t>Popup đóng lại
Giữ nguyên màn hình Hoàn tất đơn hàng không bị ảnh hưởng</t>
  </si>
  <si>
    <t>Check popup lỗi tải app không ảnh hưởng thông tin đơn hàng bên phải</t>
  </si>
  <si>
    <t>Popup lỗi 'Ứng dụng không hỗ trợ' đang hiển thị</t>
  </si>
  <si>
    <t>1. Click 'Tải xuống' trên non-Windows → popup lỗi hiển thị
2. Check TTKH và TT thanh toán bên phải</t>
  </si>
  <si>
    <t>Block TTKH và TT thanh toán bên phải vẫn hiển thị đúng
Popup không làm mất dữ liệu đơn hàng</t>
  </si>
  <si>
    <t>chưa test được trên mobile/ macos/linux</t>
  </si>
  <si>
    <t>Chi tiết dịch vụ SA</t>
  </si>
  <si>
    <t>Tổng Quan Màn Hình</t>
  </si>
  <si>
    <t>Kiểm tra layout tổng thể trang chi tiết dịch vụ</t>
  </si>
  <si>
    <t>Đang ở trang chi tiết dịch vụ với URL hợp lệ của 1 gói bán đang active.</t>
  </si>
  <si>
    <t>1. Mở trang chi tiết dịch vụ.
2. Quan sát toàn bộ bố cục màn hình.</t>
  </si>
  <si>
    <r>
      <rPr>
        <rFont val="Calibri"/>
        <color theme="1"/>
        <sz val="12.0"/>
      </rPr>
      <t xml:space="preserve">Trang hiển thị đầy đủ các block theo đúng thứ tự:
(1) Header dùng chung
(2) Breadcrumb
(3) Hình ảnh &amp; Video
(4) Thông tin gói bán (Tên, Mô tả, Chu kỳ, Giá bán)
(5) Block Đặc quyền 
</t>
    </r>
    <r>
      <rPr>
        <rFont val="Calibri"/>
        <strike/>
        <color theme="1"/>
        <sz val="12.0"/>
      </rPr>
      <t>(6) Block Ưu đãi</t>
    </r>
    <r>
      <rPr>
        <rFont val="Calibri"/>
        <color theme="1"/>
        <sz val="12.0"/>
      </rPr>
      <t xml:space="preserve">
</t>
    </r>
    <r>
      <rPr>
        <rFont val="Calibri"/>
        <strike/>
        <color theme="1"/>
        <sz val="12.0"/>
      </rPr>
      <t>(7) Block Khuyến mãi thanh toán</t>
    </r>
    <r>
      <rPr>
        <rFont val="Calibri"/>
        <color theme="1"/>
        <sz val="12.0"/>
      </rPr>
      <t xml:space="preserve">
(8) Button Mua ngay
(9) Block Thông tin sản phẩm
</t>
    </r>
    <r>
      <rPr>
        <rFont val="Calibri"/>
        <strike/>
        <color theme="1"/>
        <sz val="12.0"/>
      </rPr>
      <t>(10) Block Thông tin hay</t>
    </r>
    <r>
      <rPr>
        <rFont val="Calibri"/>
        <color theme="1"/>
        <sz val="12.0"/>
      </rPr>
      <t xml:space="preserve">
(11) Block Đã xem gần đây
(12) Câu hỏi thường gặp
(13) Footer dùng chung
Không có block bị vỡ layout, trùng chèn hoặc hiển thị lỗi.</t>
    </r>
  </si>
  <si>
    <t>Kiểm tra trang chi tiết dịch vụ truy cập tử Homepage</t>
  </si>
  <si>
    <t>User mở trình duyệt.</t>
  </si>
  <si>
    <t>1. Truy cập Homepage Tongdaiwifi
2. Click btn Xem chi tiết tại card dịch vụ SA bất kỳ</t>
  </si>
  <si>
    <t>Điều hướng đúng màn hình chi tiết của dịch vụ, Và load tên gói đúng với card đã chọn</t>
  </si>
  <si>
    <t>Kiểm tra trang chi tiết dịch vụ truy cập trực tiếp từ link</t>
  </si>
  <si>
    <t>1. Nhập URL trang chi tiết dịch vụ với ID sản phẩm hợp lệ vào thanh địa chỉ.
2. Nhấn Enter.</t>
  </si>
  <si>
    <t>Điều hướng đúng màn hình chi tiết của dịch vụ, và load thông tin gói đúng với URL đã nhập</t>
  </si>
  <si>
    <t>Kiểm tra trang chi tiết dịch vụ với URL sản phẩm không tồn tại</t>
  </si>
  <si>
    <t>1. Nhập URL trang chi tiết dịch vụ với ID sản phẩm không tồn tại vào thanh địa chỉ.
2. Nhấn Enter.</t>
  </si>
  <si>
    <t>Hệ thống hiển thị trang lỗi (404) hoặc trang thông báo 'Không tìm thấy sản phẩm'. Không hiển thị trang trắng hoặc crash.</t>
  </si>
  <si>
    <t>Breadcrumb</t>
  </si>
  <si>
    <t>Kiểm tra breadcrumb hiển thị đúng danh mục và tên gói dịch vụ</t>
  </si>
  <si>
    <t>1. Mở trang chi tiết dịch vụ.
2. Quan sát breadcrumb ở đầu trang.</t>
  </si>
  <si>
    <t>Breadcrumb hiển thị đúng chuỗi danh mục sản phẩm dẫn đến gói đang xem. Điểm đến cuối cùng là tên gói bán hiện tại.</t>
  </si>
  <si>
    <t>Kiểm tra breadcrumb điều hướng về trang danh mục cha</t>
  </si>
  <si>
    <t>1. Mở trang chi tiết dịch vụ.
2. Click vào một mục trung gian trong breadcrumb (không phải mục cuối).</t>
  </si>
  <si>
    <t>Hệ thống điều hướng đúng đến trang danh mục tương ứng. URL thay đổi chính xác.</t>
  </si>
  <si>
    <t>Kiểm tra breadcrumb không cho phép click vào điểm cuối (tên gói hiện tại)</t>
  </si>
  <si>
    <t>1. Mở trang chi tiết dịch vụ.
2. Click vào tên gói ở cuối breadcrumb.</t>
  </si>
  <si>
    <t>Giữ nguyên màn hình hiện tại, không điều hướng</t>
  </si>
  <si>
    <t>Hình Ảnh &amp; Video Sản Phẩm</t>
  </si>
  <si>
    <t>Kiểm tra hiển thị hình ảnh và video sản phẩm load từ ProductHub</t>
  </si>
  <si>
    <t>Đang ở trang chi tiết dịch vụ với URL hợp lệ của 1 gói bán đang active. Gói bán có cả ảnh và video trong ProductHub.</t>
  </si>
  <si>
    <t>1. Mở trang chi tiết dịch vụ.
2. Quan sát block Hình ảnh &amp; Video.</t>
  </si>
  <si>
    <t>Hình ảnh và video load đúng từ ProductHub. Ảnh đầu tiên hiển thị ở khung chính. Thumbnail ảnh/video hiển thị phía dưới để chọn.</t>
  </si>
  <si>
    <t xml:space="preserve">hiện tại chưa hỗ trợ đính kèm video </t>
  </si>
  <si>
    <t>Kiểm tra giới hạn tối đa 10 mục hình ảnh &amp; video</t>
  </si>
  <si>
    <t>Đang ở trang chi tiết dịch vụ với URL hợp lệ của 1 gói bán đang active. Gói bán có hơn 10 ảnh/video trong ProductHub.</t>
  </si>
  <si>
    <t>1. Mở trang chi tiết dịch vụ.
2. Đếm số lượng ảnh và video hiển thị trong block.</t>
  </si>
  <si>
    <t>Hệ thống chỉ hiển thị tối đa 10 mục (ảnh + video kết hợp). Các mục từ thứ 11 trở đi không hiển thị.</t>
  </si>
  <si>
    <t>Kiểm tra chuyển ảnh/video bằng nút điều hướng</t>
  </si>
  <si>
    <t>Đang ở trang chi tiết dịch vụ với URL hợp lệ của 1 gói bán đang active. Gói bán có &gt;= 3 ảnh trong ProductHub.</t>
  </si>
  <si>
    <t>1. Mở trang chi tiết dịch vụ.
2. Click nút điều hướng sang phải (Next).</t>
  </si>
  <si>
    <t>Hình ảnh chuyển sang mục tiếp theo. Khung ảnh chính cập nhật đúng ảnh tương ứng.</t>
  </si>
  <si>
    <t>Kiểm tra nút điều hướng khi đang ở vị trí giữa</t>
  </si>
  <si>
    <t>Đang ở trang chi tiết dịch vụ với URL hợp lệ của 1 gói bán đang active. Gói bán có &gt;= 3 ảnh/video trong ProductHub.</t>
  </si>
  <si>
    <t xml:space="preserve">1. Mở trang chi tiết dịch vụ.
2. Click nút Next 
3. Quan sát trạng thái nút Next/Prev </t>
  </si>
  <si>
    <t>Nút Next/Prev không bị disable có thể click được</t>
  </si>
  <si>
    <t>Kiểm tra nút điều hướng bị disabled khi đến giới hạn phải</t>
  </si>
  <si>
    <t>Đang ở trang chi tiết dịch vụ với URL hợp lệ của 1 gói bán đang active. Gói bán có &gt;= 2 ảnh/video trong ProductHub.</t>
  </si>
  <si>
    <t>1. Mở trang chi tiết dịch vụ.
2. Click nút Next liên tục cho đến mục cuối cùng.
3. Quan sát trạng thái nút Next.</t>
  </si>
  <si>
    <t>Nút điều hướng phải (Next) bị disabled (không thể click, thay đổi giao diện thể hiện trạng thái disabled) khi đang ở mục cuối cùng.</t>
  </si>
  <si>
    <t>Kiểm tra nút điều hướng bị disabled khi đang ở mục đầu tiên (giới hạn trái)</t>
  </si>
  <si>
    <t>1. Mở trang chi tiết dịch vụ.
2. Quan sát trạng thái nút điều hướng trái (Prev) ngay khi mở trang.</t>
  </si>
  <si>
    <t>Nút điều hướng trái (Prev) bị disabled khi đang hiển thị mục đầu tiên (không thể click thêm về trái).</t>
  </si>
  <si>
    <t>Kiểm tra cả 2 nút điều hướng đều disabled khi gói bán chỉ có 1 mục ảnh/video</t>
  </si>
  <si>
    <t>Đang ở trang chi tiết dịch vụ với URL hợp lệ của 1 gói bán đang active. Gói bán chỉ có đúng 1 ảnh hoặc 1 video trong ProductHub.</t>
  </si>
  <si>
    <t>1. Mở trang chi tiết dịch vụ.
2. Quan sát trạng thái cả hai nút điều hướng.</t>
  </si>
  <si>
    <t>Cả nút Prev và Next đều ẩn. Không thể click vào bất kỳ nút nào.</t>
  </si>
  <si>
    <t>Kiểm tra video tự động play khi chuyển đến mục video</t>
  </si>
  <si>
    <t>Đang ở trang chi tiết dịch vụ với URL hợp lệ của 1 gói bán đang active. Gói bán có ít nhất 1 video và 1 ảnh trong ProductHub, video không phải mục đầu tiên.</t>
  </si>
  <si>
    <t>1. Mở trang chi tiết dịch vụ.
2. Chuyển điều hướng đến mục là video.</t>
  </si>
  <si>
    <t>Video tự động phát (autoplay) trong khung ảnh chính ngay khi chuyển tới. Không cần người dùng click thêm.</t>
  </si>
  <si>
    <t>chưa hỗ trợ video</t>
  </si>
  <si>
    <t>Kiểm tra click vào video mở popup trình phát video</t>
  </si>
  <si>
    <t>Đang ở trang chi tiết dịch vụ với URL hợp lệ của 1 gói bán đang active. Gói bán có ít nhất 1 video trong ProductHub.</t>
  </si>
  <si>
    <t>1. Mở trang chi tiết dịch vụ.
2. Chuyển đến mục video.
3. Click vào video đang play trong khung chính.</t>
  </si>
  <si>
    <t>Hệ thống mở popup trình phát video ở dạng overlay/lightbox. Video tiếp tục phát trong popup. Nền màn hình bị mờ/dim.</t>
  </si>
  <si>
    <t>Kiểm tra tổng số mục boundary = 10 (đúng giới hạn tối đa)</t>
  </si>
  <si>
    <t>Đang ở trang chi tiết dịch vụ với URL hợp lệ của 1 gói bán đang active. Gói bán có đúng 10 ảnh/video trong ProductHub.</t>
  </si>
  <si>
    <t>1. Mở trang chi tiết dịch vụ.
2. Đếm tổng số mục media hiển thị.
3. Click Next đến mục cuối cùng.</t>
  </si>
  <si>
    <t>Hiển thị đúng 10 mục. Mục thứ 10 là mục cuối. Nút Next disabled ở mục thứ 10.</t>
  </si>
  <si>
    <t>Thông Tin Gói Bán</t>
  </si>
  <si>
    <t>Kiểm tra hiển thị tên gói và mô tả gói từ ProductHub</t>
  </si>
  <si>
    <t>1. Mở trang chi tiết dịch vụ.
2. Quan sát block Thông tin gói bán.</t>
  </si>
  <si>
    <t>Tên gói và mô tả gói hiển thị đúng theo dữ liệu từ ProductHub. Không bị cắt ngắn bất thường, font và layout đúng design.</t>
  </si>
  <si>
    <t>Kiểm tra hiển thị các option chu kỳ của gói</t>
  </si>
  <si>
    <t>Đang ở trang chi tiết dịch vụ với URL hợp lệ của 1 gói bán đang active. Gói bán có nhiều chu kỳ (ví dụ: 1 tháng, 3 tháng, 12 tháng).</t>
  </si>
  <si>
    <t>1. Mở trang chi tiết dịch vụ.
2. Quan sát block Chu kỳ của gói.</t>
  </si>
  <si>
    <t>Tất cả các option chu kỳ của gói hiển thị đúng. Option đầu tiên (hoặc mặc định) được highlight.</t>
  </si>
  <si>
    <t>Kiểm tra chọn chu kỳ → option được highlight</t>
  </si>
  <si>
    <t>Đang ở trang chi tiết dịch vụ với URL hợp lệ của 1 gói bán đang active. Gói bán có &gt;= 2 chu kỳ.</t>
  </si>
  <si>
    <t>1. Mở trang chi tiết dịch vụ.
2. Click chọn một option chu kỳ khác (không phải mặc định).</t>
  </si>
  <si>
    <t xml:space="preserve">Option vừa click được highlight (active state). Các option khác trở về trạng thái không được chọn. </t>
  </si>
  <si>
    <t>Giá Bán</t>
  </si>
  <si>
    <t>Kiểm tra giá bán hiển thị theo location khi user có location</t>
  </si>
  <si>
    <t>User đã chọn Location</t>
  </si>
  <si>
    <t>1. Mở trang chi tiết dịch vụ.
2. Quan sát block Giá bán.</t>
  </si>
  <si>
    <t>Giá bán hiển thị đúng theo location của user (lấy từ ProductHub theo location). Giá đúng định dạng tiền tệ (VND hoặc theo cấu hình).</t>
  </si>
  <si>
    <t>Kiểm tra giá bán hiển thị giá thấp nhất khi user không có location</t>
  </si>
  <si>
    <t>User đã chưa chọn Location</t>
  </si>
  <si>
    <t>Giá bán hiển thị giá thấp nhất hiện có trên ProductHub (không phụ thuộc location). Giá đúng định dạng tiền tệ.</t>
  </si>
  <si>
    <t>Kiểm tra giá bán khi user chọn chu kỳ khác</t>
  </si>
  <si>
    <t>Đang ở trang chi tiết dịch vụ với URL hợp lệ của 1 gói bán đang active. Gói bán có &gt;= 2 chu kỳ</t>
  </si>
  <si>
    <t>1. Mở trang chi tiết dịch vụ.
2. Quan sát giá bán ứng với chu kỳ mặc định.
3. Click chọn chu kỳ khác.</t>
  </si>
  <si>
    <t xml:space="preserve">Giá hiển thị đúng với chu kỳ đã chọn </t>
  </si>
  <si>
    <t>Kiểm tra định dạng hiển thị giá bán (format số, đơn vị tiền tệ)</t>
  </si>
  <si>
    <t>1. Mở trang chi tiết dịch vụ.
2. Quan sát giá trị và định dạng giá bán.</t>
  </si>
  <si>
    <t>Giá hiển thị đúng định dạng: có dấu phân cách hàng nghìn, đơn vị tiền tệ (VNĐ/đ hoặc theo thiết kế). Không hiển thị số raw không định dạng.</t>
  </si>
  <si>
    <t xml:space="preserve">Block Đặc quyền </t>
  </si>
  <si>
    <t>Kiểm tra blockĐặc quyền  load data từ ProductHub</t>
  </si>
  <si>
    <t>1. Mở trang chi tiết dịch vụ.
2. Quan sát block Đặc quyền</t>
  </si>
  <si>
    <t>Block hiển thị đúng nội dung được cấu hình trong ProductHub. Không có nội dung trống hoặc lỗi hiển thị.</t>
  </si>
  <si>
    <t>Kiểm tra hiển thị block khi ProductHub không có data cho block Đặc quyền</t>
  </si>
  <si>
    <t>Đang ở trang chi tiết dịch vụ với URL hợp lệ của 1 gói bán đang active. Gói bán không cấu hình data cho block Đặc quyền trong ProductHub.</t>
  </si>
  <si>
    <t>1. Mở trang chi tiết dịch vụ.
2. Quan sát vị trí của block Đặc quyền</t>
  </si>
  <si>
    <t>Ẩn block không hiển thị</t>
  </si>
  <si>
    <t>Block Ưu Đãi(sprint 12 chưa test)</t>
  </si>
  <si>
    <t>Kiểm tra block Ưu đãi load data từ ProductHub</t>
  </si>
  <si>
    <t>1. Mở trang chi tiết dịch vụ.
2. Quan sát block Ưu đãi.</t>
  </si>
  <si>
    <t>Block Ưu đãi hiển thị đúng nội dung từ ProductHub. Nội dung rõ ràng, đúng layout thiết kế.</t>
  </si>
  <si>
    <t>Kiểm tra hiển thị block khi ProductHub không có data cho block ƯU ĐÃI</t>
  </si>
  <si>
    <t>Đang ở trang chi tiết dịch vụ với URL hợp lệ của 1 gói bán đang active. Gói bán không cấu hình data cho block ƯU ĐÃI trong ProductHub.</t>
  </si>
  <si>
    <t>1. Mở trang chi tiết dịch vụ.
2. Quan sát vị trí của block ƯU ĐÃI</t>
  </si>
  <si>
    <t>Block Khuyến Mãi Thanh Toán(sprint 12 chưa test)</t>
  </si>
  <si>
    <t>Kiểm tra block Khuyến mãi thanh toán load data từ CMS</t>
  </si>
  <si>
    <t>1. Mở trang chi tiết dịch vụ.
2. Quan sát block Khuyến mãi thanh toán.</t>
  </si>
  <si>
    <t>Block hiển thị đúng các option khuyến mãi theo cấu hình CMS. Mỗi option có nội dung đầy đủ.</t>
  </si>
  <si>
    <t>Kiểm tra click vào option khuyến mãi → hiển thị thông tin chi tiết</t>
  </si>
  <si>
    <t>Đang ở trang chi tiết dịch vụ với URL hợp lệ của 1 gói bán đang active. Block Khuyến mãi thanh toán có ít nhất 1 option.</t>
  </si>
  <si>
    <t>1. Mở trang chi tiết dịch vụ.
2. Click vào 1 option trong block Khuyến mãi thanh toán.</t>
  </si>
  <si>
    <t>Hệ thống hiển thị thêm thông tin chi tiết của option vừa click (popup, expand section, hoặc theo design đã xác định). Nội dung chi tiết đúng với option được chọn.</t>
  </si>
  <si>
    <t>Kiểm tra scroll để xem hết thông tin khuyến mãi khi có nhiều data</t>
  </si>
  <si>
    <t>Đang ở trang chi tiết dịch vụ với URL hợp lệ của 1 gói bán đang active. Block Khuyến mãi thanh toán có nhiều option.</t>
  </si>
  <si>
    <t xml:space="preserve">1. Mở trang chi tiết dịch vụ.
2. Scroll tại block thông tin khuyến mãi </t>
  </si>
  <si>
    <t xml:space="preserve">Có thể xem được full tất cả các option thông tin khuyến mãi, không có option nào bị che mất </t>
  </si>
  <si>
    <t>Kiểm tra block Khuyến mãi thanh toán khi CMS không có data</t>
  </si>
  <si>
    <t>Đang ở trang chi tiết dịch vụ với URL hợp lệ của 1 gói bán đang active. CMS không cấu hình data cho block Khuyến mãi thanh toán.</t>
  </si>
  <si>
    <t>1. Mở trang chi tiết dịch vụ.
2. Quan sát vị trí block Khuyến mãi thanh toán.</t>
  </si>
  <si>
    <t>Button Mua Ngay</t>
  </si>
  <si>
    <t>Kiểm tra Button Mua ngay điều hướng đến màn hình đăng ký sản phẩm</t>
  </si>
  <si>
    <t>1. Mở trang chi tiết dịch vụ.
2. Click button Mua ngay.</t>
  </si>
  <si>
    <t>Hệ thống điều hướng đến màn hình đăng ký sản phẩm của dịch vụ đang xem. URL và trang đích đúng.</t>
  </si>
  <si>
    <t>Kiểm tra màn hình đăng ký nhận đúng chu kỳ đã chọn khi click Mua ngay</t>
  </si>
  <si>
    <t>1. Mở trang chi tiết dịch vụ.
2. Click chọn chu kỳ '3 tháng' (hoặc một chu kỳ không phải mặc định).
3. Click button Mua ngay.</t>
  </si>
  <si>
    <t>Màn hình đăng ký load với chu kỳ '3 tháng' đã được chọn sẵn (default load đúng thông tin chu kỳ đã chọn). Người dùng không phải chọn lại chu kỳ.</t>
  </si>
  <si>
    <t>Kiểm tra Button Mua ngay hiển thị và nổi bật theo design</t>
  </si>
  <si>
    <t>1. Mở trang chi tiết dịch vụ.
2. Quan sát button Mua ngay.</t>
  </si>
  <si>
    <t>Button Mua ngay hiển thị đúng màu sắc, kích thước, vị trí theo design. Không bị ẩn hay bị block bởi element khác.</t>
  </si>
  <si>
    <t>Block Thông Tin Sản Phẩm</t>
  </si>
  <si>
    <t>Kiểm tra block Thông tin sản phẩm mặc định hiển thị dạng rút gọn với button Xem thêm</t>
  </si>
  <si>
    <t>1. Mở trang chi tiết dịch vụ.
2. Quan sát block Thông tin sản phẩm.</t>
  </si>
  <si>
    <t>Block Thông tin sản phẩm hiển thị nội dung dạng rút gọn (truncated). Button 'Xem thêm' hiển thị ở cuối phần rút gọn.</t>
  </si>
  <si>
    <t>Kiểm tra click Xem thêm → hiển thị full nội dung và xuất hiện button Thu gọn</t>
  </si>
  <si>
    <t>1. Mở trang chi tiết dịch vụ.
2. Click button 'Xem thêm' trong block Thông tin sản phẩm.</t>
  </si>
  <si>
    <t>Toàn bộ nội dung Thông tin sản phẩm được hiển thị đầy đủ. Button 'Xem thêm' biến mất, button 'Thu gọn' xuất hiện thay thế.</t>
  </si>
  <si>
    <t>Kiểm tra click Thu gọn → nội dung trở về dạng rút gọn</t>
  </si>
  <si>
    <t>1. Mở trang chi tiết dịch vụ.
2. Click button 'Xem thêm' để expand.
3. Click button 'Thu gọn'.</t>
  </si>
  <si>
    <t>Nội dung block Thông tin sản phẩm trở về dạng rút gọn. Button 'Thu gọn' biến mất, button 'Xem thêm' xuất hiện lại.</t>
  </si>
  <si>
    <t>Kiểm tra nội dung block Thông tin sản phẩm load từ CMS</t>
  </si>
  <si>
    <t>1. Mở trang chi tiết dịch vụ.
2. Click Xem thêm để xem full nội dung.
3. Đối chiếu nội dung hiển thị với cấu hình CMS.</t>
  </si>
  <si>
    <t>Nội dung block Thông tin sản phẩm khớp với dữ liệu đã cấu hình trên CMS. Không bị mất nội dung hay hiển thị sai.</t>
  </si>
  <si>
    <t xml:space="preserve">Hiện đang load từ mô tả dài của gói, ko có CMS </t>
  </si>
  <si>
    <t>Block Thông Tin Hay (sprint 12 chưa làm )</t>
  </si>
  <si>
    <t>Kiểm tra block Thông tin hay load tối đa 5 bài đăng từ CMS</t>
  </si>
  <si>
    <t>Đang ở trang chi tiết dịch vụ với URL hợp lệ của 1 gói bán đang active. CMS có &gt;= 6 bài đăng cho block Thông tin hay của dịch vụ này.</t>
  </si>
  <si>
    <t>1. Mở trang chi tiết dịch vụ.
2. Đếm số bài đăng hiển thị trong block Thông tin hay.</t>
  </si>
  <si>
    <t>Hệ thống chỉ hiển thị tối đa 5 bài đăng. Bài thứ 6 trở đi không hiển thị.</t>
  </si>
  <si>
    <t>Kiểm tra mỗi bài đăng hiển thị đủ: thời gian, hình ảnh, tiêu đề</t>
  </si>
  <si>
    <t>Đang ở trang chi tiết dịch vụ với URL hợp lệ của 1 gói bán đang active. Block Thông tin hay có ít nhất 1 bài đăng.</t>
  </si>
  <si>
    <t>1. Mở trang chi tiết dịch vụ.
2. Quan sát từng card bài đăng trong block Thông tin hay.</t>
  </si>
  <si>
    <t>Mỗi bài đăng hiển thị đủ 3 thành phần: (1) Thời gian đăng, (2) Hình ảnh thumbnail, (3) Tiêu đề bài đăng. Không thiếu bất kỳ thành phần nào.</t>
  </si>
  <si>
    <t>Kiểm tra block Thông tin hay khi CMS có đúng 5 bài (boundary)</t>
  </si>
  <si>
    <t>Đang ở trang chi tiết dịch vụ với URL hợp lệ của 1 gói bán đang active. CMS có đúng 5 bài đăng cho block Thông tin hay.</t>
  </si>
  <si>
    <t>Hiển thị đúng 5 bài đăng, không hơn không kém.</t>
  </si>
  <si>
    <t>Kiểm tra block Thông tin hay khi CMS không có bài đăng</t>
  </si>
  <si>
    <t>Đang ở trang chi tiết dịch vụ với URL hợp lệ của 1 gói bán đang active. CMS không có bài đăng nào cho block Thông tin hay của dịch vụ này.</t>
  </si>
  <si>
    <t>1. Mở trang chi tiết dịch vụ.
2. Quan sát vị trí block Thông tin hay.</t>
  </si>
  <si>
    <t>Block Đã Xem Gần Đây</t>
  </si>
  <si>
    <t>Kiểm tra block Đã xem gần đây hiển thị các sản phẩm đã xem trong phiên hiện tại</t>
  </si>
  <si>
    <t>User đã xem ít nhất 2 sản phẩm/dịch vụ khác trước đó trong cùng phiên trình duyệt. Đang ở trang chi tiết dịch vụ.</t>
  </si>
  <si>
    <t>1. Mở trang chi tiết dịch vụ.
2. Quan sát block Đã xem gần đây.</t>
  </si>
  <si>
    <t>Block hiển thị các sản phẩm đã xem trước đó trong phiên hiện tại. Mỗi card hiển thị đúng: Hình ảnh, Tên sản phẩm/dịch vụ, Giá tiền.</t>
  </si>
  <si>
    <t>Kiểm tra thứ tự sản phẩm trong block Đã xem gần đây (mới nhất từ trái sang)</t>
  </si>
  <si>
    <t>User đã xem các sản phẩm theo thứ tự: A → B → C trong cùng phiên. Đang ở trang chi tiết dịch vụ khác.</t>
  </si>
  <si>
    <t>1. Mở trang chi tiết dịch vụ.
2. Quan sát thứ tự hiển thị trong block Đã xem gần đây.</t>
  </si>
  <si>
    <t>Sản phẩm C (xem gần nhất) xuất hiện đầu tiên bên trái, tiếp theo là B, sau đó là A. Thứ tự đúng: mới nhất → cũ hơn từ trái sang phải.</t>
  </si>
  <si>
    <t>Kiểm tra giới hạn tối đa 10 sản phẩm trong block Đã xem gần đây</t>
  </si>
  <si>
    <t>User đã xem hơn 10 sản phẩm/dịch vụ khác nhau trong cùng phiên trình duyệt.</t>
  </si>
  <si>
    <t>1. Mở trang chi tiết dịch vụ.
2. Đếm số card trong block Đã xem gần đây.</t>
  </si>
  <si>
    <t>Block chỉ hiển thị tối đa 10 sản phẩm gần nhất. Các sản phẩm xem cũ hơn không hiển thị.</t>
  </si>
  <si>
    <t>https://foxproject.atlassian.net/browse/EP-891</t>
  </si>
  <si>
    <t>đã recheck OK</t>
  </si>
  <si>
    <t>Kiểm tra block Đã xem gần đây ẩn khi chưa có lịch sử xem (phiên mới)</t>
  </si>
  <si>
    <t>User mở trình duyệt lần đầu (hoặc xóa session). Đang ở trang chi tiết dịch vụ.</t>
  </si>
  <si>
    <t>1. Mở trang chi tiết dịch vụ.
2. Quan sát vị trí block Đã xem gần đây.</t>
  </si>
  <si>
    <t>Kiểm tra trang hiện tại không xuất hiện trong block Đã xem gần đây của chính nó</t>
  </si>
  <si>
    <t>User đã xem sản phẩm X và các sản phẩm khác. Hiện đang ở trang chi tiết sản phẩm X.</t>
  </si>
  <si>
    <t>1. Mở trang chi tiết sản phẩm X.
2. Quan sát block Đã xem gần đây.</t>
  </si>
  <si>
    <t>Sản phẩm X (trang đang xem) không xuất hiện trong danh sách Đã xem gần đây của chính nó. Chỉ các sản phẩm khác mới được liệt kê.</t>
  </si>
  <si>
    <t>Kiểm tra block Đã xem gần đây không lưu sau khi đóng trình duyệt (session-based)</t>
  </si>
  <si>
    <t>User đã xem sản phẩm trong phiên trước.</t>
  </si>
  <si>
    <t>1. Mở trang Home và xem chi tiết dịch vụ bất kỳ
2. Đóng hoàn toàn trình duyệt.
3. Mở lại trình duyệt và điều hướng đến trang chi tiết dịch vụ.
4. Quan sát block Đã xem gần đây.</t>
  </si>
  <si>
    <t>Block Đã xem gần đây không hiển thị các sản phẩm từ phiên trước. Dữ liệu chỉ tồn tại trong phiên trình duyệt hiện tại (session-based, không persist qua session).</t>
  </si>
  <si>
    <t>Kiểm tra click vào gói tại block Đã xem gần đây</t>
  </si>
  <si>
    <t>1. Mở trang chi tiết sản phẩm X.
2. Click vào block của 1 gói bất kỳ tại Block đã Xem gần đây</t>
  </si>
  <si>
    <t xml:space="preserve">Điều hướng qua đúng màn hình chi tiết của gói đó </t>
  </si>
  <si>
    <t>https://foxproject.atlassian.net/browse/EP-899</t>
  </si>
  <si>
    <t>suggest, recheck OK</t>
  </si>
  <si>
    <t>Kiểm tra click vào gói tại block Đã xem gần đây&gt;back về</t>
  </si>
  <si>
    <t xml:space="preserve">1. Mở trang chi tiết sản phẩm X.
2. Click vào gói bất kỳ tại Block đã Xem gần đây
3. Click Back trên trình duyệt </t>
  </si>
  <si>
    <t>Quay về đúng màn hình ban đầu</t>
  </si>
  <si>
    <t>Câu Hỏi Thường Gặp (FAQ)</t>
  </si>
  <si>
    <t>Kiểm tra block FAQ mặc định chỉ hiển thị câu hỏi, ẩn câu trả lời</t>
  </si>
  <si>
    <t>Đang ở trang chi tiết dịch vụ với URL hợp lệ của 1 gói bán đang active. CMS có cấu hình ít nhất 2 câu hỏi FAQ cho dịch vụ này.</t>
  </si>
  <si>
    <t>1. Mở trang chi tiết dịch vụ.
2. Quan sát block Câu hỏi thường gặp.</t>
  </si>
  <si>
    <t>Tất cả các câu hỏi hiển thị. Câu trả lời ẩn hoàn toàn. Icon '+' hiển thị bên cạnh mỗi câu hỏi (trạng thái đóng).</t>
  </si>
  <si>
    <t>Kiểm tra click icon '+' mở rộng câu trả lời và icon chuyển thành '-'</t>
  </si>
  <si>
    <t>Đang ở trang chi tiết dịch vụ với URL hợp lệ của 1 gói bán đang active. Block FAQ có ít nhất 1 câu hỏi.</t>
  </si>
  <si>
    <t>1. Mở trang chi tiết dịch vụ.
2. Click icon '+' của câu hỏi đầu tiên.</t>
  </si>
  <si>
    <t>Nội dung câu trả lời của câu hỏi đó xuất hiện (expand). Icon '+' chuyển thành '-'. Các câu hỏi khác không bị ảnh hưởng.</t>
  </si>
  <si>
    <t>Kiểm tra click icon '-' thu gọn câu trả lời và icon chuyển về '+'</t>
  </si>
  <si>
    <t>Đang ở trang chi tiết dịch vụ với URL hợp lệ của 1 gói bán đang active. Block FAQ có ít nhất 1 câu hỏi đang ở trạng thái mở (đã click '+').</t>
  </si>
  <si>
    <t>1. Mở trang chi tiết dịch vụ.
2. Click icon '+' của câu hỏi đầu tiên để mở.
3. Click icon '-' của câu hỏi đó.</t>
  </si>
  <si>
    <t>Câu trả lời bị ẩn (collapse). Icon '-' chuyển về '+'. Block trở về trạng thái ban đầu.</t>
  </si>
  <si>
    <t>Kiểm tra có thể mở nhiều câu hỏi FAQ đồng thời</t>
  </si>
  <si>
    <t>Đang ở trang chi tiết dịch vụ với URL hợp lệ của 1 gói bán đang active. Block FAQ có &gt;= 2 câu hỏi.</t>
  </si>
  <si>
    <t>1. Mở trang chi tiết dịch vụ.
2. Click '+' mở câu hỏi 1.
3. Click '+' mở câu hỏi 2.
4. Quan sát trạng thái block FAQ.</t>
  </si>
  <si>
    <t>Chỉ mở 1 câu hỏi mới nhất</t>
  </si>
  <si>
    <t>Kiểm tra nội dung FAQ load đúng từ CMS</t>
  </si>
  <si>
    <t>Đang ở trang chi tiết dịch vụ với URL hợp lệ của 1 gói bán đang active. CMS đã cấu hình FAQ cho dịch vụ này.</t>
  </si>
  <si>
    <t>1. Mở trang chi tiết dịch vụ.
2. Click mở từng câu hỏi FAQ.
3. Đối chiếu câu hỏi và câu trả lời với cấu hình CMS.</t>
  </si>
  <si>
    <t>Nội dung câu hỏi và câu trả lời hiển thị đúng theo cấu hình CMS. Không bị thiếu câu hỏi hoặc sai nội dung.</t>
  </si>
  <si>
    <t>Kiểm tra block FAQ khi CMS không có câu hỏi nào</t>
  </si>
  <si>
    <t>Đang ở trang chi tiết dịch vụ với URL hợp lệ của 1 gói bán đang active. CMS không cấu hình FAQ cho dịch vụ này.</t>
  </si>
  <si>
    <t>1. Mở trang chi tiết dịch vụ.
2. Quan sát vị trí block Câu hỏi thường gặp.</t>
  </si>
  <si>
    <t>UI/UX — Trải Nghiệm Người Dùng</t>
  </si>
  <si>
    <t>Kiểm tra trang chi tiết dịch vụ responsive trên thiết bị mobile</t>
  </si>
  <si>
    <t>Mở trang trên thiết bị mobile hoặc DevTools với viewport 375px (iPhone SE).</t>
  </si>
  <si>
    <t>1. Mở trang chi tiết dịch vụ trên viewport mobile (375px).
2. Scroll qua tất cả các block từ trên xuống dưới.
3. Quan sát layout và các thành phần UI.</t>
  </si>
  <si>
    <t>Tất cả block hiển thị đúng trên mobile. Không có element bị tràn ngang (overflow-x). Text không bị cắt. Button Mua ngay dễ dàng tap. Ảnh scale đúng tỷ lệ.</t>
  </si>
  <si>
    <t>Kiểm tra trang chi tiết dịch vụ responsive trên tablet (768px)</t>
  </si>
  <si>
    <t>Mở trang với viewport 768px.</t>
  </si>
  <si>
    <t>1. Mở trang chi tiết dịch vụ trên viewport 768px.
2. Scroll qua tất cả các block.
3. Quan sát layout.</t>
  </si>
  <si>
    <t>Layout hiển thị phù hợp với viewport tablet. Không bị vỡ layout, overlap hay overflow.</t>
  </si>
  <si>
    <t>Kiểm tra loading state khi trang đang tải data từ ProductHub và CMS</t>
  </si>
  <si>
    <t>Đang ở trang chi tiết dịch vụ với URL hợp lệ của 1 gói bán đang active. Mạng chậm (simulate Slow 3G trong DevTools).</t>
  </si>
  <si>
    <t>1. Mở trang chi tiết dịch vụ trong điều kiện mạng chậm.
2. Quan sát trạng thái hiển thị trong khi chờ data load.</t>
  </si>
  <si>
    <t>Trang hiển thị skeleton loader hoặc spinner trong khi data đang tải. Không hiển thị layout trống đột ngột hay lỗi layout trước khi data về.</t>
  </si>
  <si>
    <t xml:space="preserve">Tổng quan màn hình </t>
  </si>
  <si>
    <t>Check tổng quan màn hình Trang danh mục tổng hợp Dịch vụ số — liệt kê đủ 9 block</t>
  </si>
  <si>
    <t>Trang danh mục tổng hợp dịch vụ số đã được cấu hình đầy đủ nội dung trên CMS</t>
  </si>
  <si>
    <t>1. Truy cập trang danh mục tổng hợp dịch vụ số
2. Scroll từ trên xuống dưới, quan sát toàn bộ trang
3. Check số lượng block và tên từng block hiển thị theo thứ tự</t>
  </si>
  <si>
    <t>Trang hiển thị các block theo thứ tự từ trên xuống:
- Header / Navigation
- Breadcrumb
- Banner Slider
- Tab Menu danh mục (HyperFast | Ultra Fast)
- Block HyperFast 
- Block Ultra Fast 
- Block Thiết bị và Dịch vụ số 
- Block Câu hỏi thường gặp
- Footer</t>
  </si>
  <si>
    <t>Check trang hiển thị đúng khi truy cập bằng URL trực tiếp</t>
  </si>
  <si>
    <r>
      <rPr>
        <rFont val="Calibri"/>
        <sz val="12.0"/>
      </rPr>
      <t xml:space="preserve">URL trang: </t>
    </r>
    <r>
      <rPr>
        <rFont val="Calibri"/>
        <color rgb="FF1155CC"/>
        <sz val="12.0"/>
        <u/>
      </rPr>
      <t>https://staging.tongdaiwifi.vn/dich-vu-so</t>
    </r>
  </si>
  <si>
    <t>1. Nhập trực tiếp URL vào thanh địa chỉ browser
2. Check trang render
3. Check đủ các block hiển thị</t>
  </si>
  <si>
    <t>Trang render đầy đủ khi truy cập URL trực tiếp; tất cả block hiển thị đúng</t>
  </si>
  <si>
    <t>Header / Navigation</t>
  </si>
  <si>
    <t>Check hiển thị 2 tab khách hàng: Cá nhân và Doanh nghiệp trên top bar</t>
  </si>
  <si>
    <t>Trang danh mục tổng hợp đang hoạt động bình thường</t>
  </si>
  <si>
    <t>1. Truy cập trang danh mục tổng hợp dịch vụ số
2. Quan sát top bar phía trên cùng
3. Check 2 tab hiển thị</t>
  </si>
  <si>
    <t>Hiển thị đúng 2 tab: 'Khách hàng cá nhân' và 'Khách hàng doanh nghiệp'</t>
  </si>
  <si>
    <t>Check hiển thị thông tin vị trí (Location) và nút Đăng nhập trên top bar</t>
  </si>
  <si>
    <t>1. Truy cập trang danh mục tổng hợp dịch vụ số
2. Quan sát góc phải top bar
3. Check icon vị trí và nút đăng nhập</t>
  </si>
  <si>
    <t>Hiển thị icon/text vị trí (VD: Hồ Chí Minh) và nút 'Đăng nhập' đúng góc phải top bar</t>
  </si>
  <si>
    <t>không hiển thị Đăng nhập trong Sprint này</t>
  </si>
  <si>
    <t>Check menu navigation chính hiển thị đủ các mục</t>
  </si>
  <si>
    <t>Trang danh mục đang hiển thị</t>
  </si>
  <si>
    <t>1. Truy cập trang danh mục tổng hợp dịch vụ số
2. Quan sát thanh navigation chính
3. Check tên và số mục menu</t>
  </si>
  <si>
    <t>Navigation hiển thị đủ: Logo FPT Telecom, Sản phẩm dịch vụ, Tin tức, Đặc quyền hội viên, Thanh toán &amp; hỗ trợ, Ô tìm kiếm</t>
  </si>
  <si>
    <t>không hiển thị Tìm kiếm trong sprint này</t>
  </si>
  <si>
    <t>Check ô tìm kiếm trên header nhận input và trả kết quả</t>
  </si>
  <si>
    <t>Trang danh mục đang hiển thị với ô tìm kiếm visible</t>
  </si>
  <si>
    <t>1. Truy cập trang danh mục tổng hợp dịch vụ số
2. Click vào ô tìm kiếm
3. Nhập từ khóa 'wifi'
4. Check kết quả tìm kiếm</t>
  </si>
  <si>
    <t>Ô tìm kiếm nhận focus khi click; hiển thị kết quả hoặc điều hướng đến trang tìm kiếm tương ứng</t>
  </si>
  <si>
    <t>Check click logo FPT Telecom điều hướng về trang chủ</t>
  </si>
  <si>
    <t>Đang ở trang danh mục dịch vụ số</t>
  </si>
  <si>
    <t>1. Truy cập trang danh mục tổng hợp dịch vụ số
2. Click logo FPT Telecom trên header
3. Check URL sau điều hướng</t>
  </si>
  <si>
    <t>Hệ thống điều hướng về trang chủ FPT Telecom thành công</t>
  </si>
  <si>
    <t>Check menu item có dropdown mở khi hover/click</t>
  </si>
  <si>
    <t>Menu 'Sản phẩm dịch vụ' có submenu dropdown</t>
  </si>
  <si>
    <t>1. Truy cập trang danh mục tổng hợp dịch vụ số
2. Hover hoặc click vào 'Sản phẩm dịch vụ'
3. Check dropdown hiển thị</t>
  </si>
  <si>
    <t>Dropdown hiển thị các submenu tương ứng khi hover/click vào mục có mũi tên</t>
  </si>
  <si>
    <t>Check breadcrumb hiển thị đúng path 'Dịch vụ tiện ích'</t>
  </si>
  <si>
    <t>Đang ở trang danh mục tổng hợp dịch vụ số</t>
  </si>
  <si>
    <t>1. Truy cập trang danh mục tổng hợp dịch vụ số
2. Quan sát thanh breadcrumb phía dưới navigation
3. Check text và icon hiển thị</t>
  </si>
  <si>
    <t>Breadcrumb hiển thị: icon Home &gt; 'Dịch vụ tiện ích' đúng path trang hiện tại</t>
  </si>
  <si>
    <t>Check click icon Home trên breadcrumb điều hướng về trang chủ</t>
  </si>
  <si>
    <t>Đang ở trang danh mục tổng hợp</t>
  </si>
  <si>
    <t>1. Truy cập trang danh mục tổng hợp dịch vụ số
2. Click icon Home trên breadcrumb
3. Check URL sau điều hướng</t>
  </si>
  <si>
    <t>Hệ thống điều hướng về trang chủ tongdaiwifi thành công</t>
  </si>
  <si>
    <t>Check level hiện tại trên breadcrumb không thể click (không có link)</t>
  </si>
  <si>
    <t>Đang ở trang danh mục tổng hợp — level cuối</t>
  </si>
  <si>
    <t>1. Truy cập trang danh mục tổng hợp dịch vụ số
2. Click vào text 'Dịch vụ tiện ích' trên breadcrumb
3. Check phản hồi</t>
  </si>
  <si>
    <t>Text 'Dịch vụ tiện ích' không điều hướng khi click; hiển thị trạng thái active, không có underline dạng link</t>
  </si>
  <si>
    <t>Check breadcrumb cập nhật thêm level khi điều hướng vào trang chi tiết</t>
  </si>
  <si>
    <t>1. Click vào một card sản phẩm để vào trang chi tiết
2. Quan sát breadcrumb trên trang chi tiết
3. Check nội dung breadcrumb</t>
  </si>
  <si>
    <t>Breadcrumb cập nhật thêm level trang chi tiết; level 'Dịch vụ tiện ích' vẫn hiển thị và có thể click</t>
  </si>
  <si>
    <t>Banner Slider</t>
  </si>
  <si>
    <t>Check banner hiển thị đúng hình ảnh và nội dung theo cấu hình CMS</t>
  </si>
  <si>
    <t>Banner đã được cấu hình trên CMS với ít nhất 1 item</t>
  </si>
  <si>
    <t>1. Truy cập trang danh mục tổng hợp dịch vụ số
2. Quan sát khu vực banner đầu trang
3. Check hình ảnh và nội dung text</t>
  </si>
  <si>
    <t>Banner hiển thị đúng hình ảnh theo kích thước quy định; nội dung text (tiêu đề, mô tả, CTA) hiển thị rõ ràng không vỡ layout</t>
  </si>
  <si>
    <t>Check slider banner scroll sang phải bằng mũi tên '&gt;'</t>
  </si>
  <si>
    <t>Banner slider có từ 2 item trở lên</t>
  </si>
  <si>
    <t>1. Truy cập trang danh mục tổng hợp dịch vụ số
2. Click mũi tên '&gt;' bên phải banner
3. Check banner chuyển đổi</t>
  </si>
  <si>
    <t>Banner chuyển sang item tiếp theo; dot indicator cập nhật đúng vị trí</t>
  </si>
  <si>
    <t>Check slider banner scroll sang trái bằng mũi tên '&lt;'</t>
  </si>
  <si>
    <t>Banner slider đang ở item thứ 2 trở đi</t>
  </si>
  <si>
    <t>1. Click mũi tên '&gt;' để chuyển sang item 2
2. Click mũi tên '&lt;'
3. Check banner</t>
  </si>
  <si>
    <t>Banner quay lại item trước đó; dot indicator cập nhật đúng</t>
  </si>
  <si>
    <t>Check dot indicator hiển thị đúng số lượng item và active đúng item đang hiển thị</t>
  </si>
  <si>
    <t>Banner có 3 item được cấu hình</t>
  </si>
  <si>
    <t>1. Truy cập trang danh mục tổng hợp dịch vụ số
2. Quan sát dot indicator phía dưới banner
3. Click mũi tên chuyển slide
4. Check dot active</t>
  </si>
  <si>
    <t>Số dot = số item cấu hình; dot active tương ứng đúng banner đang hiển thị</t>
  </si>
  <si>
    <t>Check click trên banner điều hướng đúng URL cấu hình</t>
  </si>
  <si>
    <t>Banner có gắn URL đã cấu hình trên CMS</t>
  </si>
  <si>
    <t>1. Truy cập trang danh mục tổng hợp dịch vụ số
2. Click vào vị trí bất kì trên banner 
3. Check URL điều hướng</t>
  </si>
  <si>
    <t xml:space="preserve">Hệ thống điều hướng đến đúng URL đã cấu hình trên CMS </t>
  </si>
  <si>
    <t>Check banner cập nhật nội dung mới từ CMS không cần deploy</t>
  </si>
  <si>
    <t>Quyền CMS đang hoạt động; banner đã được cấu hình</t>
  </si>
  <si>
    <t>1. Cập nhật nội dung banner mới trên CMS
2. Truy cập trang danh mục
3. Check banner hiển thị</t>
  </si>
  <si>
    <t>Banner hiển thị đúng nội dung vừa cập nhật trên CMS mà không cần deploy lại</t>
  </si>
  <si>
    <t>Check banner không bị vỡ layout trên màn hình mobile/responsive</t>
  </si>
  <si>
    <t>Truy cập trang danh mục tổng hợp dịch vụ số trên thiết bị mobile hoặc responsive mode</t>
  </si>
  <si>
    <t>1. Mở trang trên mobile/resize về mobile breakpoint
2. Quan sát khu vực banner
3. Check layout và kích thước</t>
  </si>
  <si>
    <t>Banner responsive đúng; không bị tràn, vỡ chữ hay mất phần ảnh quan trọng</t>
  </si>
  <si>
    <t>Tab Menu Danh Mục (HyperFast | Ultra Fast)</t>
  </si>
  <si>
    <t>Check tổng quan block Tab Menu danh mục — liệt kê đủ các trường thông tin</t>
  </si>
  <si>
    <t>Trang danh mục có cả 2 block HyperFast và Ultra Fast được cấu hình</t>
  </si>
  <si>
    <t>1. Truy cập trang danh mục tổng hợp dịch vụ số
2. Quan sát thanh tab menu phía dưới banner
3. Check từng trường thông tin có mặt</t>
  </si>
  <si>
    <t>Tab Menu hiển thị đúng và đầy đủ các trường:
- Tab 'HyperFast' — active mặc định, có underline/highlight
- Tab 'Ultra Fast' — inactive mặc định
- Trạng thái sticky — cố định dưới header khi scroll xuống
- Highlight tự động theo block đang hiển thị khi scroll</t>
  </si>
  <si>
    <t>Check hiển thị 2 tab HyperFast và Ultra Fast, tab HyperFast active mặc định</t>
  </si>
  <si>
    <t>1. Truy cập trang danh mục tổng hợp dịch vụ số
2. Quan sát thanh tab menu phía dưới banner
3. Check tên tab và trạng thái active</t>
  </si>
  <si>
    <t>Hiển thị đúng 2 tab: 'HyperFast' và 'Ultra Fast'; tab 'HyperFast' active mặc định</t>
  </si>
  <si>
    <t>Check click tab HyperFast scroll đến block tương ứng và highlight tab</t>
  </si>
  <si>
    <t>Trang đang ở vị trí khác (không phải block HyperFast)</t>
  </si>
  <si>
    <t>1. Truy cập trang danh mục tổng hợp dịch vụ số
2. Click tab 'HyperFast' trên menu
3. Check scroll và trạng thái tab</t>
  </si>
  <si>
    <t>Trang scroll đến đúng block HyperFast; tab 'HyperFast' được highlight; tab Ultra Fast bỏ highlight</t>
  </si>
  <si>
    <t>Check click tab Ultra Fast scroll đến block tương ứng và highlight tab</t>
  </si>
  <si>
    <t>Tab HyperFast đang active</t>
  </si>
  <si>
    <t>1. Truy cập trang danh mục tổng hợp dịch vụ số
2. Click tab 'Ultra Fast' trên menu
3. Check scroll và trạng thái tab</t>
  </si>
  <si>
    <t>Trang scroll đến đúng block Ultra Fast; tab 'Ultra Fast' highlighted; HyperFast bỏ highlight</t>
  </si>
  <si>
    <t>Check tab menu sticky dưới header khi scroll xuống qua vị trí ban đầu</t>
  </si>
  <si>
    <t>Trang danh mục đang hiển thị bình thường</t>
  </si>
  <si>
    <t>1. Truy cập trang danh mục tổng hợp dịch vụ số
2. Scroll xuống qua vị trí tab menu
3. Check vị trí tab menu</t>
  </si>
  <si>
    <t>Tab menu cố định dưới header khi scroll qua; không cuộn theo nội dung trang</t>
  </si>
  <si>
    <t>Check tab menu auto-highlight khi scroll tay đến block tương ứng</t>
  </si>
  <si>
    <t>Trang đang ở đầu trang, chưa click tab nào</t>
  </si>
  <si>
    <t>1. Truy cập trang danh mục tổng hợp dịch vụ số
2. Scroll tay xuống đến khu vực block Ultra Fast
3. Check trạng thái tab menu (không click tab)</t>
  </si>
  <si>
    <t>Tab 'Ultra Fast' tự động được highlight khi block Ultra Fast vào vùng nhìn thấy</t>
  </si>
  <si>
    <t>Check top bar ẩn phần đăng nhập/location khi menu tab bắt đầu sticky</t>
  </si>
  <si>
    <t>Trang đang ở đầu trang với top bar đăng nhập/location visible</t>
  </si>
  <si>
    <t>1. Truy cập trang danh mục tổng hợp dịch vụ số
2. Scroll xuống cho đến khi tab menu chạm vào header
3. Check top bar hiển thị</t>
  </si>
  <si>
    <t>Phần đăng nhập/location trên top bar bị ẩn song song với thời điểm menu tab sticky</t>
  </si>
  <si>
    <t>Check top bar đăng nhập/location hiện trở lại khi scroll lên đầu trang</t>
  </si>
  <si>
    <t>Menu tab đang ở trạng thái sticky</t>
  </si>
  <si>
    <t>1. Truy cập trang danh mục tổng hợp dịch vụ số
2. Scroll lên đầu trang
3. Check top bar và vị trí tab menu</t>
  </si>
  <si>
    <t>Thanh đăng nhập/location hiển thị trở lại; tab menu trở về vị trí gốc (không sticky)</t>
  </si>
  <si>
    <t>Check tab active có visual style khác biệt rõ so với tab không active</t>
  </si>
  <si>
    <t>Trang danh mục với tab HyperFast đang active</t>
  </si>
  <si>
    <t>1. Truy cập trang danh mục tổng hợp dịch vụ số
2. Quan sát 2 tab trên menu
3. Check màu sắc, underline, font của tab active vs inactive</t>
  </si>
  <si>
    <t>Tab active hiển thị với underline hoặc màu nền/chữ khác biệt rõ so với tab inactive</t>
  </si>
  <si>
    <t>Block HyperFast (Card Gói)</t>
  </si>
  <si>
    <t xml:space="preserve">Check tổng quan block HyperFast </t>
  </si>
  <si>
    <t>Block HyperFast đã được cấu hình đầy đủ trên CMS</t>
  </si>
  <si>
    <t>1. Truy cập trang danh mục tổng hợp dịch vụ số
2. Scroll đến block HyperFast
3. Quan sát toàn bộ block từ tiêu đề đến từng card gói
4. Check từng trường thông tin có mặt</t>
  </si>
  <si>
    <t>Block HyperFast hiển thị đúng và đầy đủ các trường:
- Tiêu đề block: 'HyperFast – Giảm ping Giảm lag trên PC'
- Banner dọc bên trái (Image)
- Card gói sản phẩm</t>
  </si>
  <si>
    <t>https://foxproject.atlassian.net/browse/EP-920</t>
  </si>
  <si>
    <t>Check hiển thị block HyperFast</t>
  </si>
  <si>
    <t>Block HyperFast đã được cấu hìnhtrên CMS</t>
  </si>
  <si>
    <t>1. Truy cập trang danh mục tổng hợp dịch vụ số
2. Scroll đến block HyperFast
3. Check hiển thị block HyperFast</t>
  </si>
  <si>
    <t>Block HyperFast hiển thị đúng theo config trên CMS - Section dịch vụ số</t>
  </si>
  <si>
    <t>Check tiêu đề block HyperFast hiển thị đúng</t>
  </si>
  <si>
    <t>Block HyperFast đã được cấu hình trên CMS</t>
  </si>
  <si>
    <t>1. Truy cập trang danh mục tổng hợp dịch vụ số
2. Scroll đến block HyperFast
3. Check tiêu đề block</t>
  </si>
  <si>
    <t>Tiêu đề hiển thị đúng theo config trên CMS.
Ví dụ: HyperFast – Giảm ping Giảm lag trên PC</t>
  </si>
  <si>
    <t>Check banner dọc bên trái block HyperFast hiển thị đúng hình ảnh</t>
  </si>
  <si>
    <t>Banner dọc HyperFast đã được upload trên CMS</t>
  </si>
  <si>
    <t>1. Truy cập trang danh mục tổng hợp dịch vụ số
2. Scroll đến block HyperFast
3. Check ảnh banner dọc bên trái block</t>
  </si>
  <si>
    <t>Banner dọc hiển thị đúng hình ảnh, không vỡ, đúng tỉ lệ. Hiển thị đúng theo config trên CMS</t>
  </si>
  <si>
    <t>Check click vào banner dọc bên trái block HyperFast</t>
  </si>
  <si>
    <t>1. Truy cập trang danh mục tổng hợp dịch vụ số
2. Scroll đến block HyperFast
3. Check click vào banner dọc bên trái block HyperFast</t>
  </si>
  <si>
    <t>Hệ  thống điều hướng màn hình theo link config trên CMS</t>
  </si>
  <si>
    <t>Check card gói HyperFast hiển thị đầy đủ các trường thông tin</t>
  </si>
  <si>
    <t>Card gói HyperFast đang hiển thị trên trang</t>
  </si>
  <si>
    <t>1. Truy cập trang danh mục tổng hợp dịch vụ số
2. Scroll đến block HyperFast
3. Quan sát một card gói bất kỳ
4. Check từng trường thông tin</t>
  </si>
  <si>
    <t>Card hiển thị đủ mỗi card gồm:
   + Ảnh banner gói (Image)
   + Title Tên gói (Text, VD: 'HyperFast – 1 tháng')
   + Giá (Text, VD: '60.000đ/tháng')
   + Text Ghi chú VAT (Text: 'Đã bao gồm VAT')
   + Icon thông tin '!' — 
   + Nội dung ưu đãi
   + Button Mua ngay</t>
  </si>
  <si>
    <t xml:space="preserve">Check hiển thị card gói HyperFast theo thứ tự của config trên CMS </t>
  </si>
  <si>
    <t>Block HyperFast có các card gói được cấu hình trên CMS</t>
  </si>
  <si>
    <t xml:space="preserve">1. Scroll đến block HyperFast
2. Check hiển thị card gói HyperFast theo thứ tự của config trên CMS </t>
  </si>
  <si>
    <t>Hiển thị đúng danh sách card theo thứ tự card mới nhất sẽ hiển thị đầu tiên từ trái sang phải</t>
  </si>
  <si>
    <t>Check banner card gói dịch vụ HyperFast</t>
  </si>
  <si>
    <t>Banner card gói HyperFast đã được upload trên ProductHub</t>
  </si>
  <si>
    <t>1. Truy cập trang danh mục tổng hợp dịch vụ số
2. Scroll đến block HyperFast
3. Quan sát một card gói bất kỳ
4. Check banner card gói dịch vụ HyperFast</t>
  </si>
  <si>
    <t>Banner card gói hiển thị đúng hình ảnh, không vỡ, đúng tỉ lệ. Hiển thị đúng theo config trên Product hub</t>
  </si>
  <si>
    <t>Check title Tên gói dịch vụ HyperFast</t>
  </si>
  <si>
    <t>Card gói HyperFast đang hiển thị</t>
  </si>
  <si>
    <t>1. Truy cập trang danh mục tổng hợp dịch vụ số
2. Scroll đến block HyperFast
3. Quan sát một card gói bất kỳ
4. Check title Tên gói dịch vụ HyperFast</t>
  </si>
  <si>
    <t>Hiển thị tên sản phẩm/dịch vụ theo cấu hình trên ProductHub</t>
  </si>
  <si>
    <t>Check giá tại card gói dịch vụ HyperFast cập nhật theo khu vực sau khi chọn location</t>
  </si>
  <si>
    <t>Đã chọn địa chỉ khu vực có chính sách giá riêng cho HyperFast</t>
  </si>
  <si>
    <t>1. Truy cập trang danh mục tổng hợp dịch vụ số
2. Chọn địa chỉ khu vực trên header
3. Scroll đến block HyperFast
4. Check giá hiển thị trên card</t>
  </si>
  <si>
    <t>Giá card HyperFast cập nhật đúng theo chính sách giá config trên Producthub của khu vực đã chọn</t>
  </si>
  <si>
    <t>Check giá tại card gói dịch vụ HyperFast khi chưa chọn location</t>
  </si>
  <si>
    <t>Chưa chọn location</t>
  </si>
  <si>
    <t>1. Truy cập trang danh mục tổng hợp dịch vụ số
2. Scroll đến block HyperFast
3. Check giá hiển thị trên card</t>
  </si>
  <si>
    <t>Giá card gói dịch vụ HyperFast hiển thị đúng theo chính sách giá đã config trên ProductHub</t>
  </si>
  <si>
    <t>Check ẩn card gói dịch vụ HyperFast khi khu vực không có chính sách giá tương ứng</t>
  </si>
  <si>
    <t>Đã chọn khu vực không có chính sách giá cho HyperFast</t>
  </si>
  <si>
    <t>1. Truy cập trang danh mục tổng hợp dịch vụ số
2. Chọn khu vực không có chính sách HyperFast
3. Scroll đến vị trí block HyperFast
4. Check card hiển thị</t>
  </si>
  <si>
    <t>Card gói không hiển thị trên block HyperFast</t>
  </si>
  <si>
    <t>Check giá hiển thị đúng format: số tiền/tháng kèm ghi chú 'Đã bao gồm VAT'</t>
  </si>
  <si>
    <t>1. Truy cập trang danh mục tổng hợp dịch vụ số
2. Scroll đến block HyperFast
3. Quan sát trường giá trên từng card
4. Check format hiển thị</t>
  </si>
  <si>
    <t>Giá đúng format: [số tiền]đ/tháng; bên dưới có text 'Đã bao gồm VAT'</t>
  </si>
  <si>
    <t>Check hover icon '!' cạnh giá hiển thị tooltip nội dung VAT</t>
  </si>
  <si>
    <t>Card HyperFast đang hiển thị với icon '!' cạnh giá</t>
  </si>
  <si>
    <t>1. Truy cập trang danh mục tổng hợp dịch vụ số
2. Scroll đến block HyperFast
3. Di chuột hover vào icon '!' cạnh giá
4. Check tooltip</t>
  </si>
  <si>
    <t>Tooltip hiển thị nội dung: 'Mức giá bao gồm VAT và có thể được thay đổi theo khu vực và thời điểm. Giá chưa bao gồm phí thuê thiết bị đầu cuối, phí thu tiền tận nhà và các dịch vụ gia tăng khác'</t>
  </si>
  <si>
    <t>Check nội dung ưu đãi hiển thị tối đa 3 dòng; có scroll dọc khi nội dung dài hơn</t>
  </si>
  <si>
    <t>Card HyperFast có nội dung ưu đãi &gt;3 dòng</t>
  </si>
  <si>
    <t>1. Truy cập trang danh mục tổng hợp dịch vụ số
2. Scroll đến block HyperFast
3. Quan sát phần nội dung ưu đãi
4. Check số dòng và scroll</t>
  </si>
  <si>
    <t>Hiển thị tối đa 3 dòng; nếu nội dung nhiều hơn xuất hiện thanh scroll dọc trong card</t>
  </si>
  <si>
    <t>Check click button 'Mua ngay' HyperFast điều hướng đến trang đăng ký đúng gói</t>
  </si>
  <si>
    <t>Card HyperFast đang hiển thị với button 'Mua ngay'</t>
  </si>
  <si>
    <t>1. Truy cập trang danh mục tổng hợp dịch vụ số
2. Scroll đến block HyperFast
3. Click button 'Mua ngay' trên card 1 gói dịch vụ HyperFast
4. Check URL điều hướng</t>
  </si>
  <si>
    <t>Hệ thống điều hướng đến trang đăng ký/giỏ hàng đúng gói HyperFast đã chọn</t>
  </si>
  <si>
    <t>Check scroll ngang khi số card &gt;4</t>
  </si>
  <si>
    <t>Block HyperFast có &gt;4 card</t>
  </si>
  <si>
    <t>1. Truy cập trang danh mục tổng hợp dịch vụ số
2. Scroll đến block HyperFast
3. Check scroll ngang khi số card &gt;4</t>
  </si>
  <si>
    <t xml:space="preserve">Cho phép scroll ngang view tất cả danh sách card khi block &gt;4 card </t>
  </si>
  <si>
    <t>Check auto snap full card khi dừng scroll ngang</t>
  </si>
  <si>
    <t>Block HyperFast đang scroll ngang dở giữa 2 card</t>
  </si>
  <si>
    <t>1. Truy cập trang danh mục tổng hợp dịch vụ số
2. Scroll ngang đến vị trí giữa 2 card
3. Dừng scroll
4. Check card hiển thị</t>
  </si>
  <si>
    <t>Hệ thống tự snap về full card, hiển thị đầy đủ card đang chiếm diện tích nhiều nhất</t>
  </si>
  <si>
    <t>Block Ultra Fast (Card Gói)</t>
  </si>
  <si>
    <t>Check tổng quan block  Ultra Fast</t>
  </si>
  <si>
    <t>Block  Ultra Fast đã được cấu hình đầy đủ trên CMS</t>
  </si>
  <si>
    <t>1. Truy cập trang danh mục tổng hợp dịch vụ số
2. Scroll đến block  Ultra Fast
3. Quan sát toàn bộ block từ tiêu đề đến từng card gói
4. Check từng trường thông tin có mặt</t>
  </si>
  <si>
    <t>Block  Ultra Fast hiển thị đúng và đầy đủ các trường:
- Tiêu đề block: ' Ultra Fast – Giảm ping Giảm lag trên Mobile'
- Banner dọc bên trái (Image)
- Card gói sản phẩm</t>
  </si>
  <si>
    <t>Check hiển thị block  Ultra Fast</t>
  </si>
  <si>
    <t>Block  Ultra Fast đã được cấu hìnhtrên CMS</t>
  </si>
  <si>
    <t>1. Truy cập trang danh mục tổng hợp dịch vụ số
2. Scroll đến block  Ultra Fast
3. Check hiển thị block  Ultra Fast</t>
  </si>
  <si>
    <t>Block UltraFast hiển thị đúng theo config trên CMS - Section dịch vụ số</t>
  </si>
  <si>
    <t>Check tiêu đề block  Ultra Fast hiển thị đúng</t>
  </si>
  <si>
    <t>Block  Ultra Fast đã được cấu hình trên CMS</t>
  </si>
  <si>
    <t>1. Truy cập trang danh mục tổng hợp dịch vụ số
2. Scroll đến block  Ultra Fast
3. Check tiêu đề block</t>
  </si>
  <si>
    <t>Tiêu đề hiển thị đúng theo config trên CMS. Ví dụ: ' Ultra Fast – Giảm ping Giảm lag trên Mobile'</t>
  </si>
  <si>
    <t>Check banner dọc bên trái block  Ultra Fast hiển thị đúng hình ảnh</t>
  </si>
  <si>
    <t>Banner dọc  Ultra Fast đã được upload trên CMS</t>
  </si>
  <si>
    <t>1. Truy cập trang danh mục tổng hợp dịch vụ số
2. Scroll đến block  Ultra Fast
3. Check ảnh banner dọc bên trái block</t>
  </si>
  <si>
    <t>Check click vào banner dọc bên trái block  Ultra Fast</t>
  </si>
  <si>
    <t>1. Truy cập trang danh mục tổng hợp dịch vụ số
2. Scroll đến block  Ultra Fast
3. Check click vào banner dọc bên trái block  Ultra Fast</t>
  </si>
  <si>
    <t>Check card gói  Ultra Fast hiển thị đầy đủ các trường thông tin</t>
  </si>
  <si>
    <t>Card gói  Ultra Fast đang hiển thị trên trang</t>
  </si>
  <si>
    <t>1. Truy cập trang danh mục tổng hợp dịch vụ số
2. Scroll đến block  Ultra Fast
3. Quan sát một card gói bất kỳ
4. Check từng trường thông tin</t>
  </si>
  <si>
    <t>Card hiển thị đủ mỗi card gồm:
   + Ảnh banner gói (Image)
   + Title Tên gói (Text, VD: ' Ultra Fast – 1 tháng')
   + Giá (Text, VD: '40.000đ/tháng')
   + Text Ghi chú VAT (Text: 'Đã bao gồm VAT')
   + Icon thông tin '!'
   + Nội dung ưu đãi
   + Button Mua ngay</t>
  </si>
  <si>
    <t xml:space="preserve">Check hiển thị card gói Ultra Fast theo thứ tự của config trên CMS </t>
  </si>
  <si>
    <t>Block Ultra Fast có các card gói được cấu hình trên CMS</t>
  </si>
  <si>
    <t xml:space="preserve">1. Scroll đến block Ultra Fast 
2. Check hiển thị card gói Ultra Fast theo thứ tự của config trên CMS </t>
  </si>
  <si>
    <t>Check banner card gói dịch vụ  Ultra Fast</t>
  </si>
  <si>
    <t>Banner card gói  Ultra Fast đã được upload trên ProductHub</t>
  </si>
  <si>
    <t>1. Truy cập trang danh mục tổng hợp dịch vụ số
2. Scroll đến block  Ultra Fast
3. Quan sát một card gói bất kỳ
4. Check banner card gói dịch vụ  Ultra Fast</t>
  </si>
  <si>
    <t>Check title Tên gói dịch vụ  Ultra Fast</t>
  </si>
  <si>
    <t>Card gói  Ultra Fast đang hiển thị</t>
  </si>
  <si>
    <t>1. Truy cập trang danh mục tổng hợp dịch vụ số
2. Scroll đến block  Ultra Fast
3. Quan sát một card gói bất kỳ
4. Check title Tên gói dịch vụ  Ultra Fast</t>
  </si>
  <si>
    <t>Check giá tại card gói dịch vụ  Ultra Fast cập nhật theo khu vực sau khi chọn location</t>
  </si>
  <si>
    <t>Đã chọn địa chỉ khu vực có chính sách giá riêng cho  Ultra Fast</t>
  </si>
  <si>
    <t>1. Truy cập trang danh mục tổng hợp dịch vụ số
2. Chọn địa chỉ khu vực trên header
3. Scroll đến block  Ultra Fast
4. Check giá hiển thị trên card</t>
  </si>
  <si>
    <t>Giá card  Ultra Fast cập nhật đúng theo chính sách giá config trên Producthub của khu vực đã chọn</t>
  </si>
  <si>
    <t>Check giá tại card gói dịch vụ  Ultra Fast khi chưa chọn location</t>
  </si>
  <si>
    <t>1. Truy cập trang danh mục tổng hợp dịch vụ số
2. Scroll đến block  Ultra Fast
3. Check giá hiển thị trên card</t>
  </si>
  <si>
    <t>Giá card gói dịch vụ  Ultra Fast hiển thị đúng theo chính sách giá đã config trên ProductHub</t>
  </si>
  <si>
    <t>Check ẩn card gói dịch vụ  Ultra Fast khi khu vực không có chính sách giá tương ứng</t>
  </si>
  <si>
    <t>Đã chọn khu vực không có chính sách giá cho  Ultra Fast</t>
  </si>
  <si>
    <t>1. Truy cập trang danh mục tổng hợp dịch vụ số
2. Chọn khu vực không có chính sách  Ultra Fast
3. Scroll đến vị trí block  Ultra Fast
4. Check card hiển thị</t>
  </si>
  <si>
    <t>Card gói không hiển thị trên block  Ultra Fast</t>
  </si>
  <si>
    <t>1. Truy cập trang danh mục tổng hợp dịch vụ số
2. Scroll đến block  Ultra Fast
3. Quan sát trường giá trên từng card
4. Check format hiển thị</t>
  </si>
  <si>
    <t>Card  Ultra Fast đang hiển thị với icon '!' cạnh giá</t>
  </si>
  <si>
    <t>1. Truy cập trang danh mục tổng hợp dịch vụ số
2. Scroll đến block  Ultra Fast
3. Di chuột hover vào icon '!' cạnh giá
4. Check tooltip</t>
  </si>
  <si>
    <t>Card  Ultra Fast có nội dung ưu đãi &gt;3 dòng</t>
  </si>
  <si>
    <t>1. Truy cập trang danh mục tổng hợp dịch vụ số
2. Scroll đến block  Ultra Fast
3. Quan sát phần nội dung ưu đãi
4. Check số dòng và scroll</t>
  </si>
  <si>
    <t>Check click button 'Mua ngay'  Ultra Fast điều hướng đến trang đăng ký đúng gói</t>
  </si>
  <si>
    <t>Card  Ultra Fast đang hiển thị với button 'Mua ngay'</t>
  </si>
  <si>
    <t>1. Truy cập trang danh mục tổng hợp dịch vụ số
2. Scroll đến block  Ultra Fast
3. Click button 'Mua ngay' trên card 1 gói dịch vụ  Ultra Fast
4. Check URL điều hướng</t>
  </si>
  <si>
    <t>Hệ thống điều hướng đến trang đăng ký/giỏ hàng đúng gói  Ultra Fast đã chọn</t>
  </si>
  <si>
    <t>Block  Ultra Fast có &gt;4 card</t>
  </si>
  <si>
    <t>1. Truy cập trang danh mục tổng hợp dịch vụ số
2. Scroll đến block  Ultra Fast
3. Check scroll ngang khi số card &gt;4</t>
  </si>
  <si>
    <t>Block  Ultra Fast đang scroll ngang dở giữa 2 card</t>
  </si>
  <si>
    <t>Block Thiết bị và Dịch vụ số</t>
  </si>
  <si>
    <t>Check tổng quan block Thiết bị và Dịch vụ số — liệt kê đủ các trường thông tin</t>
  </si>
  <si>
    <t>Block mô tả đã được cấu hình nội dung trên CMS</t>
  </si>
  <si>
    <t>1. Truy cập trang danh mục tổng hợp dịch vụ số
2. Scroll đến block 'Thiết bị và Dịch vụ số'
3. Quan sát toàn bộ block
4. Check từng trường thông tin có mặt</t>
  </si>
  <si>
    <t>Block hiển thị đúng và đầy đủ các trường:
- Tiêu đề block: 'Thiết bị và dịch vụ số'
- Ảnh minh họa 
- Nội dung mô tả 
-  Button 'Xem thêm' — mở rộng toàn bộ nội dung
-  Button 'Rút gọn' — xuất hiện thay 'Xem thêm' sau khi mở rộng</t>
  </si>
  <si>
    <t>Check block 'Thiết bị và dịch vụ số' hiển thị tiêu đề, ảnh và nội dung mô tả</t>
  </si>
  <si>
    <t>1. Truy cập trang danh mục tổng hợp dịch vụ số
2. Scroll xuống block 'Thiết bị và dịch vụ số'
3. Check tiêu đề, ảnh và text mô tả</t>
  </si>
  <si>
    <t>Hiển thị đúng tiêu đề 'Thiết bị và dịch vụ số', ảnh đại diện và đoạn mô tả về FPT Telecom theo config trên CMS</t>
  </si>
  <si>
    <t>Check mặc định nội dung thu gọn và button 'Xem thêm' visible</t>
  </si>
  <si>
    <t>Block mô tả có nội dung dài đã được cấu hình</t>
  </si>
  <si>
    <t>1. Truy cập trang danh mục tổng hợp dịch vụ số
2. Scroll đến block 'Thiết bị và dịch vụ số'
3. Quan sát trạng thái nội dung mặc định
4. Check button Xem thêm</t>
  </si>
  <si>
    <t>Nội dung ở trạng thái thu gọn; button 'Xem thêm' visible và có thể click</t>
  </si>
  <si>
    <t>Check click 'Xem thêm' mở rộng toàn bộ nội dung mô tả</t>
  </si>
  <si>
    <t>Block mô tả đang ở trạng thái thu gọn</t>
  </si>
  <si>
    <t>1. Truy cập trang danh mục tổng hợp dịch vụ số
2. Scroll đến block 'Thiết bị và dịch vụ số'
3. Click button 'Xem thêm'
4. Check nội dung sau click button Xem thêm</t>
  </si>
  <si>
    <t>Toàn bộ nội dung được mở rộng; button 'Xem thêm' chuyển thành 'Rút gọn'</t>
  </si>
  <si>
    <t>Check click 'Rút gọn' thu gọn lại nội dung về trạng thái ban đầu</t>
  </si>
  <si>
    <t>Block mô tả đang ở trạng thái mở rộng (sau khi click 'Xem thêm')</t>
  </si>
  <si>
    <t>1. Truy cập trang danh mục tổng hợp dịch vụ số
2. Scroll đến block 'Thiết bị và dịch vụ số'
3. Click button 'Rút gọn'
4. Check nội dung sau click</t>
  </si>
  <si>
    <t>Nội dung thu gọn về mặc định; button 'Rút gọn' chuyển lại thành 'Xem thêm'</t>
  </si>
  <si>
    <t>Check nội dung mô tả hỗ trợ render đúng định dạng HTML từ CMS</t>
  </si>
  <si>
    <t>Nội dung mô tả có chứa formatting HTML (bold, italic, link)</t>
  </si>
  <si>
    <t>1. Truy cập trang danh mục tổng hợp dịch vụ số
2. Scroll đến block 'Thiết bị và dịch vụ số'
3. Click 'Xem thêm'
4. Check các formatting trong nội dung</t>
  </si>
  <si>
    <t>Nội dung render đúng: bold, italic hiển thị đúng; link có thể click được</t>
  </si>
  <si>
    <t>Check block mô tả ẩn khi setup không hiển thị trên CMS</t>
  </si>
  <si>
    <t>Block mô tả được cấu hình ẩn trên CMS</t>
  </si>
  <si>
    <t>1. Truy cập trang danh mục
2. Scroll đến vị trí block mô tả
3. Check block có hiển thị không</t>
  </si>
  <si>
    <t>Block 'Thiết bị và dịch vụ số' không hiển thị trên trang</t>
  </si>
  <si>
    <t>Check ảnh trong block mô tả hiển thị đúng kích thước và tỉ lệ</t>
  </si>
  <si>
    <t>Block mô tả đang hiển thị với ảnh đã được upload</t>
  </si>
  <si>
    <t>1. Truy cập trang danh mục tổng hợp dịch vụ số
2. Scroll đến block 'Thiết bị và dịch vụ số'
3. Quan sát ảnh minh họa
4. Check kích thước và tỉ lệ</t>
  </si>
  <si>
    <t>Ảnh hiển thị đúng kích thước, không bị vỡ hoặc kéo giãn; tỉ lệ đúng theo thiết kế theo config CMS</t>
  </si>
  <si>
    <t>Block Câu hỏi thường gặp (FAQ)</t>
  </si>
  <si>
    <t xml:space="preserve">Check tổng quan block Câu hỏi thường gặp (FAQ) </t>
  </si>
  <si>
    <t xml:space="preserve"> block Câu hỏi thường gặp đã được cấu hình ít nhất 1 câu hỏi trên CMS</t>
  </si>
  <si>
    <t xml:space="preserve">1. Truy cập trang danh mục tổng hợp dịch vụ số
2. Scroll đến block 'Câu hỏi thường gặp'
3. Quan sát toàn bộ block
4. Check tổng quan block Câu hỏi thường gặp (FAQ) </t>
  </si>
  <si>
    <t xml:space="preserve"> block Câu hỏi thường gặp hiển thị đúng và đầy đủ các trường:
- Tiêu đề block: 'Câu hỏi thường gặp' (Text)
- Danh sách FAQ, mỗi câu gồm:
   + Nội dung câu hỏi (Text)
   + Icon '+' — click để mở câu trả lời
   + Nội dung câu trả lời (Text — ẩn mặc định)
   + Icon '-' — xuất hiện thay '+' khi câu trả lời đang mở, click để đóng</t>
  </si>
  <si>
    <t>Check  block Câu hỏi thường gặp hiển thị tiêu đề 'Câu hỏi thường gặp' và danh sách câu hỏi</t>
  </si>
  <si>
    <t xml:space="preserve"> block Câu hỏi thường gặp được cấu hình với ít nhất 3 câu hỏi trên CMS</t>
  </si>
  <si>
    <t>1. Truy cập trang danh mục tổng hợp dịch vụ số
2. Scroll đến block 'Câu hỏi thường gặp'
3. Check tiêu đề và danh sách</t>
  </si>
  <si>
    <t>Hiển thị tiêu đề 'Câu hỏi thường gặp'; danh sách câu hỏi đầy đủ theo cấu hình CMS</t>
  </si>
  <si>
    <t>Check mặc định chỉ hiển thị câu hỏi, câu trả lời bị ẩn với icon '+'</t>
  </si>
  <si>
    <t xml:space="preserve"> block Câu hỏi thường gặp đang hiển thị</t>
  </si>
  <si>
    <t>1. Truy cập trang danh mục tổng hợp dịch vụ số
2. Scroll đến block 'Câu hỏi thường gặp'
3. Quan sát trạng thái mặc định từng câu hỏi</t>
  </si>
  <si>
    <t>Mặc định chỉ thấy câu hỏi kèm icon '+'; câu trả lời hoàn toàn ẩn</t>
  </si>
  <si>
    <t>Check click icon '+' hiển thị câu trả lời và chuyển thành icon '-'</t>
  </si>
  <si>
    <t xml:space="preserve"> block Câu hỏi thường gặp đang ở trạng thái mặc định (câu trả lời ẩn)</t>
  </si>
  <si>
    <t>1. Truy cập trang danh mục tổng hợp dịch vụ số
2. Scroll đến block 'Câu hỏi thường gặp'
3. Click icon '+' bên cạnh câu hỏi đầu tiên
4. Check câu trả lời và icon</t>
  </si>
  <si>
    <t>Câu trả lời hiển thị đầy đủ; icon '+' chuyển thành icon '-'</t>
  </si>
  <si>
    <t>Check click icon '-' ẩn câu trả lời và chuyển lại thành icon '+'</t>
  </si>
  <si>
    <t>Câu trả lời của một câu hỏi đang được mở (icon '-' visible)</t>
  </si>
  <si>
    <t>1. Truy cập trang danh mục tổng hợp dịch vụ số
2. Scroll đến block 'Câu hỏi thường gặp'
3. Click icon '-' bên cạnh câu hỏi đang mở
4. Check câu trả lời và icon</t>
  </si>
  <si>
    <t>Câu trả lời ẩn đi; icon '-' chuyển lại thành '+'</t>
  </si>
  <si>
    <t>Check behavior khi mở nhiều câu hỏi đồng thời</t>
  </si>
  <si>
    <t xml:space="preserve"> block Câu hỏi thường gặp có ít nhất 2 câu hỏi</t>
  </si>
  <si>
    <t>1. Truy cập trang danh mục tổng hợp dịch vụ số
2. Scroll đến block 'Câu hỏi thường gặp'
3. Click icon '+' câu hỏi thứ 1
4. Click icon '+' câu hỏi thứ 2
5. Check trạng thái 2 câu hỏi</t>
  </si>
  <si>
    <t>chỉ cho phép 1 câu mở, câu cũ tự đóng</t>
  </si>
  <si>
    <t>Check nội dung câu hỏi và câu trả lời đúng với cấu hình trên CMS</t>
  </si>
  <si>
    <t xml:space="preserve"> block Câu hỏi thường gặp đã được cấu hình nội dung trên CMS</t>
  </si>
  <si>
    <t>1. Truy cập trang danh mục tổng hợp dịch vụ số
2. Scroll đến block 'Câu hỏi thường gặp'
3. Mở từng câu hỏi
4. So sánh nội dung với cấu hình CMS</t>
  </si>
  <si>
    <t>Nội dung câu hỏi và câu trả lời khớp đúng với nội dung đã setup trên CMS</t>
  </si>
  <si>
    <t>Check số lượng câu hỏi hiển thị đúng theo cấu hình CMS</t>
  </si>
  <si>
    <t xml:space="preserve"> block Câu hỏi thường gặp được cấu hình 5 câu hỏi</t>
  </si>
  <si>
    <t>1. Truy cập trang danh mục tổng hợp dịch vụ số
2. Scroll đến block 'Câu hỏi thường gặp'
3. Đếm tổng số câu hỏi hiển thị</t>
  </si>
  <si>
    <t>Số câu hỏi hiển thị = số câu hỏi đã cấu hình (5 câu); không thừa không thiếu</t>
  </si>
  <si>
    <t>Check câu trả lời dài hiển thị đầy đủ nội dung khi mở rộng</t>
  </si>
  <si>
    <t>Có câu hỏi FAQ có câu trả lời nhiều dòng</t>
  </si>
  <si>
    <t>1. Truy cập trang danh mục tổng hợp dịch vụ số
2. Scroll đến block 'Câu hỏi thường gặp'
3. Click icon '+' của câu hỏi có câu trả lời dài
4. Check nội dung hiển thị</t>
  </si>
  <si>
    <t>Toàn bộ câu trả lời dài được hiển thị đầy đủ sau khi mở; không bị cắt bớt</t>
  </si>
  <si>
    <t>Check  block Câu hỏi thường gặp ẩn khi setup không hiển thị trên CMS</t>
  </si>
  <si>
    <t xml:space="preserve"> block Câu hỏi thường gặp được cấu hình ẩn trên CMS</t>
  </si>
  <si>
    <t>1. Truy cập trang danh mục tổng hợp dịch vụ số
2. Scroll đến block 'Câu hỏi thường gặp'
3. Check block có hiển thị không</t>
  </si>
  <si>
    <t xml:space="preserve"> block Câu hỏi thường gặp không hiển thị trên trang</t>
  </si>
  <si>
    <t>Check FAQ tái sử dụng đồng bộ nội dung khi hiển thị trên nhiều trang</t>
  </si>
  <si>
    <t>Câu hỏi FAQ được cấu hình dùng chung trên ít nhất 2 trang</t>
  </si>
  <si>
    <t>1. Truy cập trang danh mục tổng hợp dịch vụ số và check câu hỏi FAQ
2. Truy cập trang danh mục khác và check câu hỏi FAQ tương tự
3. So sánh nội dung</t>
  </si>
  <si>
    <t>Nội dung câu hỏi giống nhau trên cả 2 trang; chỉnh sửa 1 nơi đồng bộ sang nơi kia</t>
  </si>
  <si>
    <t>Footer</t>
  </si>
  <si>
    <t xml:space="preserve">Check tổng quan Footer </t>
  </si>
  <si>
    <t>Trang danh mục đang hoạt động bình thường</t>
  </si>
  <si>
    <t>1. Truy cập trang danh mục tổng hợp dịch vụ số
2. Scroll xuống footer
3. Quan sát toàn bộ footer
4. Check từng trường thông tin có mặt</t>
  </si>
  <si>
    <t xml:space="preserve">Footer hiển thị đúng và đầy đủ các trường:
- Logo FPT Telecom
- Social icons: HiFPT | YouTube | Instagram | Zalo | Facebook
- Hotline: 1900 6600
- Text: Tongdaiwifi.vn - Website chính thức thuộc Công Ty Cổ Phần Viễn Thông FPT
- Thông tin công ty: Tên, số ĐKKD, địa chỉ trụ sở, email, người đại diện
- Navigation links cột 'Về FPT Telecom'
-  Navigation links cột 'Khách hàng FPT Telecom'
- Navigation links cột 'Sản phẩm dịch vụ'
- Logo chứng nhận / đảm bảo </t>
  </si>
  <si>
    <t>Check click icon HiFPT ở footer</t>
  </si>
  <si>
    <t xml:space="preserve">Footer hiển thị với icon social HiFPT </t>
  </si>
  <si>
    <t>1. Truy cập trang danh mục tổng hợp dịch vụ số
2. Scroll xuống footer
3. Click icon social HiFPT 
4. Check URL điều hướng và tab</t>
  </si>
  <si>
    <t>Điều hướng đúng trang web HiFPT</t>
  </si>
  <si>
    <t>Check click icon Youtube ở footer</t>
  </si>
  <si>
    <t xml:space="preserve">Footer hiển thị với icon social Youtube </t>
  </si>
  <si>
    <t>1. Truy cập trang danh mục tổng hợp dịch vụ số
2. Scroll xuống footer
3. Click icon social Youtube 
4. Check URL điều hướng và tab</t>
  </si>
  <si>
    <t xml:space="preserve">Điều hướng đúng trang mạng xã hội Youtube </t>
  </si>
  <si>
    <t>Check click icon Instagram ở footer</t>
  </si>
  <si>
    <t xml:space="preserve">Footer hiển thị với icon social Instagram </t>
  </si>
  <si>
    <t>1. Truy cập trang danh mục tổng hợp dịch vụ số
2. Scroll xuống footer
3. Click icon social Instagram 
4. Check URL điều hướng và tab</t>
  </si>
  <si>
    <t xml:space="preserve">Điều hướng đúng trang mạng xã hội Instagram </t>
  </si>
  <si>
    <t>Check click icon Zalo ở footer</t>
  </si>
  <si>
    <t xml:space="preserve">Footer hiển thị với icon social Zalo </t>
  </si>
  <si>
    <t>1. Truy cập trang danh mục tổng hợp dịch vụ số
2. Scroll xuống footer
3. Click icon social Zalo 
4. Check URL điều hướng và tab</t>
  </si>
  <si>
    <t xml:space="preserve">Điều hướng đúng trang mạng xã hội Zalo </t>
  </si>
  <si>
    <t>Check click icon Facebook ở footer</t>
  </si>
  <si>
    <t>Footer hiển thị với icon social Facebook</t>
  </si>
  <si>
    <t>1. Truy cập trang danh mục tổng hợp dịch vụ số
2. Scroll xuống footer
3. Click icon social Facebook
4. Check URL điều hướng và tab</t>
  </si>
  <si>
    <t>Điều hướng đúng trang mạng xã hội Facebook</t>
  </si>
  <si>
    <t>Check hotline 1900 6600 hiển thị đúng và click được gọi trên mobile</t>
  </si>
  <si>
    <t>Footer đang hiển thị</t>
  </si>
  <si>
    <t>1. Truy cập trang danh mục tổng hợp dịch vụ số
2. Scroll xuống footer
3. Check số hotline hiển thị
4. Trên mobile: click số điện thoại</t>
  </si>
  <si>
    <t>Hotline 1900 6600 hiển thị đúng; trên mobile click mở giao diện gọi điện</t>
  </si>
  <si>
    <t>Check các navigation links trong footer điều hướng đúng trang tương ứng</t>
  </si>
  <si>
    <t>Footer hiển thị với đầy đủ navigation links</t>
  </si>
  <si>
    <t>1. Truy cập trang danh mục tổng hợp dịch vụ số
2. Scroll xuống footer
3. Click link 'Về FPT Telecom'
4. Check URL
5. Lặp lại với vài link khác</t>
  </si>
  <si>
    <t>Các link footer điều hướng đúng trang tương ứng: Về FPT Telecom, Khách hàng, Sản phẩm dịch vụ</t>
  </si>
  <si>
    <t>Check link 'Giới thiệu chung' trong cột 'Về FPT Telecom' điều hướng đúng trang</t>
  </si>
  <si>
    <t>Footer đang hiển thị với navigation links visible</t>
  </si>
  <si>
    <t>1. Truy cập trang danh mục tổng hợp dịch vụ số
2. Scroll xuống footer
3. Tìm cột 'Về FPT Telecom'
4. Click link 'Giới thiệu chung'
5. Check URL trang đích</t>
  </si>
  <si>
    <t>Điều hướng đến trang Giới thiệu chung FPT Telecom; URL và nội dung trang đúng</t>
  </si>
  <si>
    <t>Check link 'Liên kết - Thành viên' trong cột 'Về FPT Telecom' điều hướng đúng trang</t>
  </si>
  <si>
    <t>1. Truy cập trang danh mục tổng hợp dịch vụ số
2. Scroll xuống footer
3. Tìm cột 'Về FPT Telecom'
4. Click link 'Liên kết - Thành viên'
5. Check URL</t>
  </si>
  <si>
    <t>Điều hướng đến trang Liên kết - Thành viên FPT Telecom đúng</t>
  </si>
  <si>
    <t>Check link 'Quan hệ cổ đông' trong cột 'Về FPT Telecom' điều hướng đúng trang</t>
  </si>
  <si>
    <t>1. Truy cập trang danh mục tổng hợp dịch vụ số
2. Scroll xuống footer
3. Tìm cột 'Về FPT Telecom'
4. Click link 'Quan hệ cổ đông'
5. Check URL</t>
  </si>
  <si>
    <t>Điều hướng đến trang Quan hệ cổ đông FPT Telecom đúng</t>
  </si>
  <si>
    <t>Check link 'Tập đoàn FPT' trong cột 'Về FPT Telecom' điều hướng đúng trang</t>
  </si>
  <si>
    <t>1. Truy cập trang danh mục tổng hợp dịch vụ số
2. Scroll xuống footer
3. Tìm cột 'Về FPT Telecom'
4. Click link 'Tập đoàn FPT'
5. Check URL</t>
  </si>
  <si>
    <t>Điều hướng đến trang chủ Tập đoàn FPT đúng; mở tab mới nếu là external link</t>
  </si>
  <si>
    <t>Check link 'Tuyển dụng' trong cột 'Về FPT Telecom' điều hướng đúng trang</t>
  </si>
  <si>
    <t>1. Truy cập trang danh mục tổng hợp dịch vụ số
2. Scroll xuống footer
3. Tìm cột 'Về FPT Telecom'
4. Click link 'Tuyển dụng'
5. Check URL</t>
  </si>
  <si>
    <t>Điều hướng đến trang Tuyển dụng FPT Telecom đúng</t>
  </si>
  <si>
    <t>Check link 'Hướng dẫn sử dụng dịch vụ' trong cột 'Khách hàng FPT Telecom' điều hướng đúng</t>
  </si>
  <si>
    <t>1. Truy cập trang danh mục tổng hợp dịch vụ số
2. Scroll xuống footer
3. Tìm cột 'Khách hàng FPT Telecom'
4. Click 'Hướng dẫn sử dụng dịch vụ'
5. Check URL</t>
  </si>
  <si>
    <t>Điều hướng đến trang Hướng dẫn sử dụng dịch vụ FPT Telecom đúng</t>
  </si>
  <si>
    <t>Check link 'Giới thiệu bạn bè' trong cột 'Khách hàng FPT Telecom' điều hướng đúng</t>
  </si>
  <si>
    <t>1. Truy cập trang danh mục tổng hợp dịch vụ số
2. Scroll xuống footer
3. Tìm cột 'Khách hàng FPT Telecom'
4. Click 'Giới thiệu bạn bè'
5. Check URL</t>
  </si>
  <si>
    <t>Điều hướng đến trang chương trình Giới thiệu bạn bè FPT Telecom đúng</t>
  </si>
  <si>
    <t>Check link 'Thanh toán online' trong cột 'Khách hàng FPT Telecom' điều hướng đúng</t>
  </si>
  <si>
    <t>1. Truy cập trang danh mục tổng hợp dịch vụ số
2. Scroll xuống footer
3. Tìm cột 'Khách hàng FPT Telecom'
4. Click 'Thanh toán online'
5. Check URL</t>
  </si>
  <si>
    <t>Điều hướng đến trang Thanh toán online FPT Telecom đúng</t>
  </si>
  <si>
    <t>Check link 'Góp ý khách hàng' trong cột 'Khách hàng FPT Telecom' điều hướng đúng</t>
  </si>
  <si>
    <t>1. Truy cập trang danh mục tổng hợp dịch vụ số
1. Scroll xuống footer
2. Tìm cột 'Khách hàng FPT Telecom'
3. Click 'Góp ý khách hàng'
4. Check URL</t>
  </si>
  <si>
    <t>Điều hướng đến trang form Góp ý khách hàng FPT Telecom đúng</t>
  </si>
  <si>
    <t>Check link 'Dịch vụ Internet Wifi' trong cột 'Sản phẩm dịch vụ' điều hướng đúng</t>
  </si>
  <si>
    <t>1. Truy cập trang danh mục tổng hợp dịch vụ số
2. Scroll xuống footer
3. Tìm cột 'Sản phẩm dịch vụ'
4. Click 'Dịch vụ Internet Wifi'
5. Check URL</t>
  </si>
  <si>
    <t>Điều hướng đến trang danh mục Dịch vụ Internet Wifi đúng</t>
  </si>
  <si>
    <t>Check link 'Truyền hình' trong cột 'Sản phẩm dịch vụ' điều hướng đúng</t>
  </si>
  <si>
    <t>1. Truy cập trang danh mục tổng hợp dịch vụ số
2. Scroll xuống footer
3. Tìm cột 'Sản phẩm dịch vụ'
4. Click 'Truyền hình'
5. Check URL</t>
  </si>
  <si>
    <t>Điều hướng đến trang Truyền hình FPT đúng</t>
  </si>
  <si>
    <t>Check link 'FPT Play' trong cột 'Sản phẩm dịch vụ' điều hướng đúng</t>
  </si>
  <si>
    <t>1. Truy cập trang danh mục tổng hợp dịch vụ số
2. Scroll xuống footer
3. Tìm cột 'Sản phẩm dịch vụ'
4. Click 'FPT Play'
5. Check URL</t>
  </si>
  <si>
    <t>Điều hướng đến trang FPT Play đúng</t>
  </si>
  <si>
    <t>Check link 'FPT Smart Home' trong cột 'Sản phẩm dịch vụ' điều hướng đúng</t>
  </si>
  <si>
    <t>1. Truy cập trang danh mục tổng hợp dịch vụ số
2. Scroll xuống footer
3. Tìm cột 'Sản phẩm dịch vụ'
4. Click 'FPT Smart Home'
5. Check URL</t>
  </si>
  <si>
    <t>Điều hướng đến trang FPT Smart Home đúng</t>
  </si>
  <si>
    <t>Check link 'Khuyến mãi' trong cột 'Sản phẩm dịch vụ' điều hướng đúng</t>
  </si>
  <si>
    <t>1. Truy cập trang danh mục tổng hợp dịch vụ số
2. Scroll xuống footer
3. Tìm cột 'Sản phẩm dịch vụ'
4. Click 'Khuyến mãi'
5. Check URL</t>
  </si>
  <si>
    <t>Điều hướng đến trang Khuyến mãi FPT Telecom đúng</t>
  </si>
  <si>
    <t>Check link 'Tìm điểm giao dịch' trong cột 'Sản phẩm dịch vụ' điều hướng đúng</t>
  </si>
  <si>
    <t>1. Truy cập trang danh mục tổng hợp dịch vụ số
2. Scroll xuống footer
3. Tìm cột 'Sản phẩm dịch vụ'
4. Click 'Tìm điểm giao dịch'
5. Check URL</t>
  </si>
  <si>
    <t>Điều hướng đến trang Tìm điểm giao dịch FPT Telecom đúng; hiển thị bản đồ/danh sách chi nhánh</t>
  </si>
  <si>
    <t>Check thông tin công ty trong footer hiển thị đầy đủ và chính xác</t>
  </si>
  <si>
    <t>1. Truy cập trang danh mục tổng hợp dịch vụ số
2. Scroll xuống footer
3. Đọc thông tin: ĐKKD, địa chỉ, hotline, email, người đại diện
4. Check tính đầy đủ</t>
  </si>
  <si>
    <t>Hiển thị đầy đủ: số ĐKKD, địa chỉ trụ sở, hotline, email, tên người đại diện theo pháp luật</t>
  </si>
  <si>
    <t>Check trang hiển thị nhất quán trên các trình duyệt: Chrome, Firefox, Safari, Edge</t>
  </si>
  <si>
    <t>Có thiết bị test các trình duyệt phổ biến</t>
  </si>
  <si>
    <t>1.Truy cập trang danh mục tổng hợp dịch vụ số trên Chrome và check layout
2. Lặp lại trên Firefox
3. Lặp lại trên Safari
4. Lặp lại trên Edge</t>
  </si>
  <si>
    <t>Layout và chức năng hiển thị nhất quán; không có lỗi hiển thị nghiêm trọng trên các trình duyệt</t>
  </si>
  <si>
    <t>1. Truy cập trang danh mục tổng hợp dịch vụ số trên viewport mobile (375px).
2. Scroll qua tất cả các block từ trên xuống dưới.
3. Quan sát layout và các thành phần UI.</t>
  </si>
  <si>
    <t>Check layout trang responsive đúng trên màn hình tablet (768px–1024px)</t>
  </si>
  <si>
    <t>Truy cập trang trên tablet hoặc resize browser về 768–1024px</t>
  </si>
  <si>
    <t>1. Truy cập trang danh mục tổng hợp dịch vụ số ở viewport tablet
2. Check banner, tab menu, card gói, FAQ
3. Check layout</t>
  </si>
  <si>
    <t>Layout hiển thị đúng responsive; không có element bị tràn hoặc chồng lên nhau</t>
  </si>
  <si>
    <r>
      <rPr/>
      <t xml:space="preserve">Không đẩy data ghi chú vào PTC: </t>
    </r>
    <r>
      <rPr>
        <color rgb="FF1155CC"/>
        <u/>
      </rPr>
      <t xml:space="preserve">https://foxproject.atlassian.net/browse/EP-908
</t>
    </r>
    <r>
      <rPr/>
      <t xml:space="preserve">Thanh toán thành công như vẫn tạo KHTN: </t>
    </r>
    <r>
      <rPr>
        <color rgb="FF1155CC"/>
        <u/>
      </rPr>
      <t xml:space="preserve">https://foxproject.atlassian.net/browse/EP-909
</t>
    </r>
    <r>
      <rPr/>
      <t xml:space="preserve">Không tìm được đơn hàng thanh toán thất bại: </t>
    </r>
    <r>
      <rPr>
        <color rgb="FF1155CC"/>
        <u/>
      </rPr>
      <t>https://foxproject.atlassian.net/browse/EP-913</t>
    </r>
    <r>
      <rPr/>
      <t xml:space="preserve"> - &gt; bug won't fix
Đơn hàng timeout không back về màn thanh toán thất bại </t>
    </r>
    <r>
      <rPr>
        <color rgb="FF1155CC"/>
        <u/>
      </rPr>
      <t>https://foxproject.atlassian.net/browse/EP-953</t>
    </r>
  </si>
  <si>
    <t xml:space="preserve">Gói </t>
  </si>
  <si>
    <t>PTTT</t>
  </si>
  <si>
    <t>Data test</t>
  </si>
  <si>
    <t xml:space="preserve">Đánh giá </t>
  </si>
  <si>
    <t>ID Bug</t>
  </si>
  <si>
    <t>goi-giga</t>
  </si>
  <si>
    <t>COD</t>
  </si>
  <si>
    <t>SGABN9053</t>
  </si>
  <si>
    <r>
      <rPr/>
      <t xml:space="preserve">Không đẩy data ghi chú vào PTC: </t>
    </r>
    <r>
      <rPr>
        <color rgb="FF1155CC"/>
        <u/>
      </rPr>
      <t>https://foxproject.atlassian.net/browse/EP-908</t>
    </r>
  </si>
  <si>
    <t>MOMO</t>
  </si>
  <si>
    <t>SGABN8943</t>
  </si>
  <si>
    <t>VISA</t>
  </si>
  <si>
    <t>SGABN8945</t>
  </si>
  <si>
    <r>
      <rPr>
        <color rgb="FF0563C1"/>
        <u/>
      </rPr>
      <t>https://foxproject.atlassian.net/browse/EP-896</t>
    </r>
    <r>
      <rPr>
        <color rgb="FF1F1F1F"/>
      </rPr>
      <t xml:space="preserve"> : đang báo lỗi xảy ra trong quá trình thanh toán =&gt; bug won't fix </t>
    </r>
  </si>
  <si>
    <t>ATM</t>
  </si>
  <si>
    <t>SGABN8944</t>
  </si>
  <si>
    <t>Chuyển khoản</t>
  </si>
  <si>
    <t>SGABN9030</t>
  </si>
  <si>
    <t>có thể thanh toán zlp, ghi nhận tt fox pay</t>
  </si>
  <si>
    <t>Zalo pay</t>
  </si>
  <si>
    <t>SGABN9029</t>
  </si>
  <si>
    <t>ghi nhận foxpay</t>
  </si>
  <si>
    <t>VietQR</t>
  </si>
  <si>
    <t>SGABN9070</t>
  </si>
  <si>
    <t xml:space="preserve">combo-sky-ibb
</t>
  </si>
  <si>
    <t>SGABN9094</t>
  </si>
  <si>
    <t>SGABN9224/SGABN9221</t>
  </si>
  <si>
    <t>có đẩy khtn</t>
  </si>
  <si>
    <t>SGABN9095/BDAAF0191</t>
  </si>
  <si>
    <t>SGABN9171</t>
  </si>
  <si>
    <t>có đẩy kntn</t>
  </si>
  <si>
    <t>SGABN9184</t>
  </si>
  <si>
    <t>SGABN9182</t>
  </si>
  <si>
    <t>SGABN9174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</si>
</sst>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5">
    <font>
      <sz val="11.0"/>
      <color theme="1"/>
      <name val="Arial"/>
      <scheme val="minor"/>
    </font>
    <font>
      <sz val="10.0"/>
      <color theme="1"/>
      <name val="Calibri"/>
    </font>
    <font>
      <sz val="11.0"/>
      <color theme="1"/>
      <name val="Calibri"/>
    </font>
    <font>
      <b/>
      <sz val="12.0"/>
      <color theme="1"/>
      <name val="Calibri"/>
    </font>
    <font>
      <i/>
      <sz val="14.0"/>
      <color rgb="FF800000"/>
      <name val="Calibri"/>
    </font>
    <font>
      <b/>
      <sz val="32.0"/>
      <color rgb="FFED7D31"/>
      <name val="Calibri"/>
    </font>
    <font/>
    <font>
      <b/>
      <sz val="36.0"/>
      <color theme="8"/>
      <name val="Calibri"/>
    </font>
    <font>
      <b/>
      <sz val="14.0"/>
      <color theme="0"/>
      <name val="Calibri"/>
    </font>
    <font>
      <b/>
      <sz val="10.0"/>
      <color rgb="FF2F5496"/>
      <name val="Calibri"/>
    </font>
    <font>
      <sz val="13.0"/>
      <color rgb="FF000000"/>
      <name val="Calibri"/>
    </font>
    <font>
      <b/>
      <sz val="36.0"/>
      <color rgb="FFED7D31"/>
      <name val="Calibri"/>
    </font>
    <font>
      <sz val="12.0"/>
      <color rgb="FF000000"/>
      <name val="Calibri"/>
    </font>
    <font>
      <b/>
      <sz val="12.0"/>
      <color rgb="FFFFFFFF"/>
      <name val="Calibri"/>
    </font>
    <font>
      <sz val="12.0"/>
      <color theme="1"/>
      <name val="Calibri"/>
    </font>
    <font>
      <i/>
      <sz val="12.0"/>
      <color theme="1"/>
      <name val="Calibri"/>
    </font>
    <font>
      <sz val="12.0"/>
      <color rgb="FF2F5496"/>
      <name val="Calibri"/>
    </font>
    <font>
      <i/>
      <sz val="12.0"/>
      <color rgb="FFFF0000"/>
      <name val="Calibri"/>
    </font>
    <font>
      <i/>
      <sz val="12.0"/>
      <color rgb="FF4472C4"/>
      <name val="Calibri"/>
    </font>
    <font>
      <sz val="36.0"/>
      <color rgb="FF000000"/>
      <name val="Calibri"/>
    </font>
    <font>
      <sz val="36.0"/>
      <color theme="1"/>
      <name val="Calibri"/>
    </font>
    <font>
      <b/>
      <sz val="36.0"/>
      <color theme="5"/>
      <name val="Calibri"/>
    </font>
    <font>
      <b/>
      <i/>
      <sz val="13.0"/>
      <color theme="5"/>
      <name val="Calibri"/>
    </font>
    <font>
      <sz val="36.0"/>
      <color theme="5"/>
      <name val="Calibri"/>
    </font>
    <font>
      <b/>
      <sz val="32.0"/>
      <color rgb="FFFF6600"/>
      <name val="Calibri"/>
    </font>
    <font>
      <b/>
      <sz val="14.0"/>
      <color rgb="FFED7D31"/>
      <name val="Calibri"/>
    </font>
    <font>
      <b/>
      <sz val="32.0"/>
      <color theme="5"/>
      <name val="Calibri"/>
    </font>
    <font>
      <b/>
      <sz val="16.0"/>
      <color theme="1"/>
      <name val="Calibri"/>
    </font>
    <font>
      <sz val="14.0"/>
      <color theme="1"/>
      <name val="Calibri"/>
    </font>
    <font>
      <b/>
      <sz val="14.0"/>
      <color rgb="FFFFFFFF"/>
      <name val="Calibri"/>
    </font>
    <font>
      <b/>
      <sz val="14.0"/>
      <color theme="1"/>
      <name val="Calibri"/>
    </font>
    <font>
      <b/>
      <sz val="11.0"/>
      <color rgb="FFFF6600"/>
      <name val="Calibri"/>
    </font>
    <font>
      <b/>
      <sz val="20.0"/>
      <color rgb="FFFF6600"/>
      <name val="Calibri"/>
    </font>
    <font>
      <b/>
      <sz val="11.0"/>
      <color rgb="FFFFFFFF"/>
      <name val="Calibri"/>
    </font>
    <font>
      <b/>
      <sz val="11.0"/>
      <color rgb="FF2F5496"/>
      <name val="Calibri"/>
    </font>
    <font>
      <b/>
      <sz val="11.0"/>
      <color theme="1"/>
      <name val="Calibri"/>
    </font>
    <font>
      <b/>
      <sz val="11.0"/>
      <color rgb="FF006100"/>
      <name val="Calibri"/>
    </font>
    <font>
      <b/>
      <sz val="11.0"/>
      <color rgb="FF000000"/>
      <name val="Calibri"/>
    </font>
    <font>
      <b/>
      <sz val="12.0"/>
      <color rgb="FF4472C4"/>
      <name val="Calibri"/>
    </font>
    <font>
      <b/>
      <sz val="12.0"/>
      <color theme="0"/>
      <name val="Calibri"/>
    </font>
    <font>
      <u/>
      <sz val="11.0"/>
      <color rgb="FF0000FF"/>
      <name val="Calibri"/>
    </font>
    <font>
      <sz val="11.0"/>
      <color rgb="FF000000"/>
      <name val="Calibri"/>
    </font>
    <font>
      <sz val="11.0"/>
      <color rgb="FFFFFFFF"/>
      <name val="Calibri"/>
    </font>
    <font>
      <sz val="12.0"/>
      <color rgb="FFFFFFFF"/>
      <name val="Calibri"/>
    </font>
    <font>
      <sz val="12.0"/>
      <color rgb="FF0000FF"/>
      <name val="Calibri"/>
    </font>
    <font>
      <b/>
      <u/>
      <sz val="12.0"/>
      <color rgb="FF0000FF"/>
      <name val="Calibri"/>
    </font>
    <font>
      <sz val="12.0"/>
      <color rgb="FFCCCCCC"/>
      <name val="Calibri"/>
    </font>
    <font>
      <strike/>
      <sz val="12.0"/>
      <color rgb="FFCCCCCC"/>
      <name val="Calibri"/>
    </font>
    <font>
      <b/>
      <strike/>
      <sz val="12.0"/>
      <color theme="1"/>
      <name val="Calibri"/>
    </font>
    <font>
      <strike/>
      <sz val="12.0"/>
      <color rgb="FF000000"/>
      <name val="Calibri"/>
    </font>
    <font>
      <u/>
      <sz val="12.0"/>
      <color rgb="FF0000FF"/>
      <name val="Calibri"/>
    </font>
    <font>
      <sz val="12.0"/>
      <color rgb="FF434343"/>
      <name val="Calibri"/>
    </font>
    <font>
      <b/>
      <sz val="12.0"/>
      <color rgb="FF434343"/>
      <name val="Calibri"/>
    </font>
    <font>
      <color theme="1"/>
      <name val="Arial"/>
      <scheme val="minor"/>
    </font>
    <font>
      <b/>
      <sz val="13.0"/>
      <color theme="1"/>
      <name val="Calibri"/>
    </font>
    <font>
      <sz val="11.0"/>
      <color theme="1"/>
      <name val="Arial"/>
    </font>
    <font>
      <b/>
      <sz val="13.0"/>
      <color rgb="FF000000"/>
      <name val="Calibri"/>
    </font>
    <font>
      <b/>
      <sz val="12.0"/>
      <color rgb="FF000000"/>
      <name val="Calibri"/>
    </font>
    <font>
      <sz val="12.0"/>
      <color rgb="FF0563C1"/>
      <name val="Calibri"/>
    </font>
    <font>
      <b/>
      <color theme="1"/>
      <name val="Calibri"/>
    </font>
    <font>
      <color theme="1"/>
      <name val="Calibri"/>
    </font>
    <font>
      <u/>
      <sz val="12.0"/>
      <color rgb="FF0563C1"/>
      <name val="Calibri"/>
    </font>
    <font>
      <u/>
      <sz val="11.0"/>
      <color rgb="FF0000FF"/>
      <name val="Calibri"/>
    </font>
    <font>
      <b/>
      <color rgb="FF1F3864"/>
      <name val="Calibri"/>
    </font>
    <font>
      <b/>
      <sz val="12.0"/>
      <color rgb="FF1F3864"/>
      <name val="Calibri"/>
    </font>
    <font>
      <b/>
      <sz val="12.0"/>
      <color rgb="FF7D4E00"/>
      <name val="Calibri"/>
    </font>
    <font>
      <b/>
      <sz val="12.0"/>
      <color rgb="FF375623"/>
      <name val="Calibri"/>
    </font>
    <font>
      <u/>
      <sz val="12.0"/>
      <color rgb="FF0000FF"/>
      <name val="Calibri"/>
    </font>
    <font>
      <u/>
      <sz val="12.0"/>
      <color rgb="FF0000FF"/>
      <name val="Calibri"/>
    </font>
    <font>
      <u/>
      <sz val="12.0"/>
      <color rgb="FF0000FF"/>
      <name val="Calibri"/>
    </font>
    <font>
      <b/>
      <sz val="16.0"/>
      <color theme="1"/>
      <name val="Arial"/>
      <scheme val="minor"/>
    </font>
    <font>
      <b/>
      <color theme="1"/>
      <name val="Arial"/>
      <scheme val="minor"/>
    </font>
    <font>
      <u/>
      <color rgb="FF0000FF"/>
    </font>
    <font>
      <u/>
      <color rgb="FF0563C1"/>
    </font>
    <font>
      <u/>
      <color rgb="FF0000FF"/>
    </font>
  </fonts>
  <fills count="24">
    <fill>
      <patternFill patternType="none"/>
    </fill>
    <fill>
      <patternFill patternType="lightGray"/>
    </fill>
    <fill>
      <patternFill patternType="solid">
        <fgColor theme="0"/>
        <bgColor theme="0"/>
      </patternFill>
    </fill>
    <fill>
      <patternFill patternType="solid">
        <fgColor theme="8"/>
        <bgColor theme="8"/>
      </patternFill>
    </fill>
    <fill>
      <patternFill patternType="solid">
        <fgColor rgb="FFFFFFFF"/>
        <bgColor rgb="FFFFFFFF"/>
      </patternFill>
    </fill>
    <fill>
      <patternFill patternType="solid">
        <fgColor rgb="FF4472C4"/>
        <bgColor rgb="FF4472C4"/>
      </patternFill>
    </fill>
    <fill>
      <patternFill patternType="solid">
        <fgColor rgb="FF6FAC46"/>
        <bgColor rgb="FF6FAC46"/>
      </patternFill>
    </fill>
    <fill>
      <patternFill patternType="solid">
        <fgColor theme="9"/>
        <bgColor theme="9"/>
      </patternFill>
    </fill>
    <fill>
      <patternFill patternType="solid">
        <fgColor rgb="FFFF3300"/>
        <bgColor rgb="FFFF3300"/>
      </patternFill>
    </fill>
    <fill>
      <patternFill patternType="solid">
        <fgColor rgb="FF808080"/>
        <bgColor rgb="FF808080"/>
      </patternFill>
    </fill>
    <fill>
      <patternFill patternType="solid">
        <fgColor rgb="FFFFE598"/>
        <bgColor rgb="FFFFE598"/>
      </patternFill>
    </fill>
    <fill>
      <patternFill patternType="solid">
        <fgColor theme="5"/>
        <bgColor theme="5"/>
      </patternFill>
    </fill>
    <fill>
      <patternFill patternType="solid">
        <fgColor rgb="FF9CC2E5"/>
        <bgColor rgb="FF9CC2E5"/>
      </patternFill>
    </fill>
    <fill>
      <patternFill patternType="solid">
        <fgColor rgb="FFF7CAAC"/>
        <bgColor rgb="FFF7CAAC"/>
      </patternFill>
    </fill>
    <fill>
      <patternFill patternType="solid">
        <fgColor rgb="FFFFF2CC"/>
        <bgColor rgb="FFFFF2CC"/>
      </patternFill>
    </fill>
    <fill>
      <patternFill patternType="solid">
        <fgColor rgb="FF9FC5E8"/>
        <bgColor rgb="FF9FC5E8"/>
      </patternFill>
    </fill>
    <fill>
      <patternFill patternType="solid">
        <fgColor rgb="FFA4C2F4"/>
        <bgColor rgb="FFA4C2F4"/>
      </patternFill>
    </fill>
    <fill>
      <patternFill patternType="solid">
        <fgColor rgb="FFA9D08E"/>
        <bgColor rgb="FFA9D08E"/>
      </patternFill>
    </fill>
    <fill>
      <patternFill patternType="solid">
        <fgColor rgb="FFD0E0E3"/>
        <bgColor rgb="FFD0E0E3"/>
      </patternFill>
    </fill>
    <fill>
      <patternFill patternType="solid">
        <fgColor rgb="FFCCCCCC"/>
        <bgColor rgb="FFCCCCCC"/>
      </patternFill>
    </fill>
    <fill>
      <patternFill patternType="solid">
        <fgColor rgb="FF6FA8DC"/>
        <bgColor rgb="FF6FA8DC"/>
      </patternFill>
    </fill>
    <fill>
      <patternFill patternType="solid">
        <fgColor rgb="FFFFFF00"/>
        <bgColor rgb="FFFFFF00"/>
      </patternFill>
    </fill>
    <fill>
      <patternFill patternType="solid">
        <fgColor rgb="FFD6E4F0"/>
        <bgColor rgb="FFD6E4F0"/>
      </patternFill>
    </fill>
    <fill>
      <patternFill patternType="solid">
        <fgColor rgb="FFD6E4F7"/>
        <bgColor rgb="FFD6E4F7"/>
      </patternFill>
    </fill>
  </fills>
  <borders count="62">
    <border/>
    <border>
      <left/>
      <right/>
      <top/>
      <bottom/>
    </border>
    <border>
      <left style="double">
        <color rgb="FF4472C4"/>
      </left>
      <right/>
      <top style="double">
        <color rgb="FF4472C4"/>
      </top>
      <bottom/>
    </border>
    <border>
      <left/>
      <right/>
      <top style="double">
        <color rgb="FF4472C4"/>
      </top>
      <bottom/>
    </border>
    <border>
      <left/>
      <right style="double">
        <color rgb="FF4472C4"/>
      </right>
      <top style="double">
        <color rgb="FF4472C4"/>
      </top>
      <bottom/>
    </border>
    <border>
      <left style="double">
        <color rgb="FF4472C4"/>
      </left>
      <right/>
      <top/>
      <bottom/>
    </border>
    <border>
      <left/>
      <right style="double">
        <color rgb="FF4472C4"/>
      </right>
      <top/>
      <bottom/>
    </border>
    <border>
      <left style="double">
        <color rgb="FF4472C4"/>
      </left>
      <top/>
      <bottom/>
    </border>
    <border>
      <top/>
      <bottom/>
    </border>
    <border>
      <right style="double">
        <color rgb="FF4472C4"/>
      </right>
      <top/>
      <bottom/>
    </border>
    <border>
      <left style="double">
        <color theme="6"/>
      </left>
      <top style="double">
        <color theme="6"/>
      </top>
      <bottom style="double">
        <color theme="6"/>
      </bottom>
    </border>
    <border>
      <top style="double">
        <color theme="6"/>
      </top>
      <bottom style="double">
        <color theme="6"/>
      </bottom>
    </border>
    <border>
      <right style="double">
        <color theme="6"/>
      </right>
      <top style="double">
        <color theme="6"/>
      </top>
      <bottom style="double">
        <color theme="6"/>
      </bottom>
    </border>
    <border>
      <left style="double">
        <color rgb="FF4472C4"/>
      </left>
      <right/>
      <top/>
      <bottom style="double">
        <color rgb="FF4472C4"/>
      </bottom>
    </border>
    <border>
      <left/>
      <right/>
      <top/>
      <bottom style="double">
        <color rgb="FF4472C4"/>
      </bottom>
    </border>
    <border>
      <left/>
      <right style="double">
        <color rgb="FF4472C4"/>
      </right>
      <top/>
      <bottom style="double">
        <color rgb="FF4472C4"/>
      </bottom>
    </border>
    <border>
      <left/>
      <top/>
      <bottom/>
    </border>
    <border>
      <left/>
      <right/>
      <top/>
    </border>
    <border>
      <left style="hair">
        <color rgb="FF666666"/>
      </left>
      <right style="hair">
        <color rgb="FF666666"/>
      </right>
      <top style="hair">
        <color rgb="FF666666"/>
      </top>
      <bottom style="hair">
        <color rgb="FF666666"/>
      </bottom>
    </border>
    <border>
      <right/>
      <top/>
      <bottom/>
    </border>
    <border>
      <left style="hair">
        <color rgb="FF666666"/>
      </left>
      <right style="hair">
        <color rgb="FF666666"/>
      </right>
      <top style="hair">
        <color rgb="FF666666"/>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hair">
        <color rgb="FF666666"/>
      </left>
      <right style="hair">
        <color rgb="FF666666"/>
      </right>
      <bottom style="hair">
        <color rgb="FF666666"/>
      </bottom>
    </border>
    <border>
      <left/>
      <right/>
      <bottom/>
    </border>
    <border>
      <left style="hair">
        <color rgb="FF666666"/>
      </left>
      <top style="hair">
        <color rgb="FF666666"/>
      </top>
      <bottom style="hair">
        <color rgb="FF666666"/>
      </bottom>
    </border>
    <border>
      <top style="hair">
        <color rgb="FF666666"/>
      </top>
      <bottom style="hair">
        <color rgb="FF666666"/>
      </bottom>
    </border>
    <border>
      <right style="hair">
        <color rgb="FF666666"/>
      </right>
      <top style="hair">
        <color rgb="FF666666"/>
      </top>
      <bottom style="hair">
        <color rgb="FF666666"/>
      </bottom>
    </border>
    <border>
      <left style="hair">
        <color theme="1"/>
      </left>
      <right style="hair">
        <color theme="1"/>
      </right>
      <bottom style="hair">
        <color theme="1"/>
      </bottom>
    </border>
    <border>
      <left style="hair">
        <color theme="1"/>
      </left>
      <bottom style="hair">
        <color theme="1"/>
      </bottom>
    </border>
    <border>
      <bottom style="hair">
        <color theme="1"/>
      </bottom>
    </border>
    <border>
      <right style="hair">
        <color theme="1"/>
      </right>
      <bottom style="hair">
        <color theme="1"/>
      </bottom>
    </border>
    <border>
      <left style="thin">
        <color rgb="FF2F5496"/>
      </left>
      <top style="thin">
        <color rgb="FF2F5496"/>
      </top>
    </border>
    <border>
      <top style="thin">
        <color rgb="FF2F5496"/>
      </top>
    </border>
    <border>
      <right style="thin">
        <color rgb="FF2F5496"/>
      </right>
      <top style="thin">
        <color rgb="FF2F5496"/>
      </top>
    </border>
    <border>
      <left style="thin">
        <color rgb="FF2F5496"/>
      </left>
    </border>
    <border>
      <right style="thin">
        <color rgb="FF2F5496"/>
      </right>
    </border>
    <border>
      <left style="thin">
        <color rgb="FF2F5496"/>
      </left>
      <bottom style="thin">
        <color rgb="FF2F5496"/>
      </bottom>
    </border>
    <border>
      <bottom style="thin">
        <color rgb="FF2F5496"/>
      </bottom>
    </border>
    <border>
      <right style="thin">
        <color rgb="FF2F5496"/>
      </right>
      <bottom style="thin">
        <color rgb="FF2F5496"/>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rder>
    <border>
      <top/>
    </border>
    <border>
      <left style="thin">
        <color rgb="FF000000"/>
      </left>
      <bottom style="thin">
        <color rgb="FF000000"/>
      </bottom>
    </border>
    <border>
      <right style="thin">
        <color rgb="FF000000"/>
      </right>
      <bottom style="thin">
        <color rgb="FF000000"/>
      </bottom>
    </border>
    <border>
      <left/>
      <right style="thin">
        <color rgb="FF000000"/>
      </right>
      <top/>
      <bottom style="thin">
        <color rgb="FF000000"/>
      </bottom>
    </border>
    <border>
      <right style="thin">
        <color rgb="FF000000"/>
      </right>
      <top style="thin">
        <color rgb="FF000000"/>
      </top>
    </border>
    <border>
      <right style="thin">
        <color rgb="FF000000"/>
      </right>
    </border>
    <border>
      <left/>
      <right style="thin">
        <color rgb="FF000000"/>
      </right>
      <bottom style="thin">
        <color rgb="FF000000"/>
      </bottom>
    </border>
  </borders>
  <cellStyleXfs count="1">
    <xf borderId="0" fillId="0" fontId="0" numFmtId="0" applyAlignment="1" applyFont="1"/>
  </cellStyleXfs>
  <cellXfs count="44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1" fillId="2" fontId="3" numFmtId="0" xfId="0" applyBorder="1" applyFont="1"/>
    <xf borderId="1" fillId="2" fontId="4" numFmtId="0" xfId="0" applyAlignment="1" applyBorder="1" applyFont="1">
      <alignment horizontal="center"/>
    </xf>
    <xf borderId="7" fillId="2" fontId="5" numFmtId="0" xfId="0" applyAlignment="1" applyBorder="1" applyFont="1">
      <alignment horizontal="center" readingOrder="0" shrinkToFit="0" vertical="center" wrapText="1"/>
    </xf>
    <xf borderId="8" fillId="0" fontId="6" numFmtId="0" xfId="0" applyBorder="1" applyFont="1"/>
    <xf borderId="9" fillId="0" fontId="6" numFmtId="0" xfId="0" applyBorder="1" applyFont="1"/>
    <xf borderId="7" fillId="2" fontId="7" numFmtId="0" xfId="0" applyAlignment="1" applyBorder="1" applyFont="1">
      <alignment horizontal="center" shrinkToFit="0" vertical="center" wrapText="1"/>
    </xf>
    <xf borderId="10" fillId="3" fontId="8" numFmtId="0" xfId="0" applyAlignment="1" applyBorder="1" applyFill="1" applyFont="1">
      <alignment horizontal="center" vertical="center"/>
    </xf>
    <xf borderId="11" fillId="0" fontId="6" numFmtId="0" xfId="0" applyBorder="1" applyFont="1"/>
    <xf borderId="12" fillId="0" fontId="6" numFmtId="0" xfId="0" applyBorder="1" applyFont="1"/>
    <xf borderId="10" fillId="2" fontId="9" numFmtId="0" xfId="0" applyAlignment="1" applyBorder="1" applyFont="1">
      <alignment horizontal="center" vertical="center"/>
    </xf>
    <xf quotePrefix="1" borderId="10" fillId="2" fontId="9" numFmtId="49" xfId="0" applyAlignment="1" applyBorder="1" applyFont="1" applyNumberFormat="1">
      <alignment horizontal="center" vertical="center"/>
    </xf>
    <xf borderId="10" fillId="2" fontId="9" numFmtId="49" xfId="0" applyAlignment="1" applyBorder="1" applyFont="1" applyNumberFormat="1">
      <alignment horizontal="center" vertical="center"/>
    </xf>
    <xf borderId="1" fillId="2" fontId="1" numFmtId="0" xfId="0" applyAlignment="1" applyBorder="1" applyFont="1">
      <alignment vertical="center"/>
    </xf>
    <xf borderId="13" fillId="2" fontId="1" numFmtId="0" xfId="0" applyBorder="1" applyFont="1"/>
    <xf borderId="14" fillId="2" fontId="1" numFmtId="0" xfId="0" applyBorder="1" applyFont="1"/>
    <xf borderId="15" fillId="2" fontId="1" numFmtId="0" xfId="0" applyBorder="1" applyFont="1"/>
    <xf borderId="1" fillId="2" fontId="10" numFmtId="0" xfId="0" applyBorder="1" applyFont="1"/>
    <xf borderId="1" fillId="4" fontId="10" numFmtId="0" xfId="0" applyBorder="1" applyFill="1" applyFont="1"/>
    <xf borderId="16" fillId="4" fontId="11" numFmtId="0" xfId="0" applyAlignment="1" applyBorder="1" applyFont="1">
      <alignment horizontal="center" vertical="center"/>
    </xf>
    <xf borderId="0" fillId="0" fontId="10" numFmtId="0" xfId="0" applyFont="1"/>
    <xf borderId="1" fillId="4" fontId="10" numFmtId="0" xfId="0" applyAlignment="1" applyBorder="1" applyFont="1">
      <alignment horizontal="center"/>
    </xf>
    <xf borderId="17" fillId="4" fontId="10" numFmtId="0" xfId="0" applyBorder="1" applyFont="1"/>
    <xf borderId="17" fillId="4" fontId="10" numFmtId="0" xfId="0" applyAlignment="1" applyBorder="1" applyFont="1">
      <alignment horizontal="center"/>
    </xf>
    <xf borderId="16" fillId="2" fontId="12" numFmtId="0" xfId="0" applyBorder="1" applyFont="1"/>
    <xf borderId="18" fillId="5" fontId="13" numFmtId="0" xfId="0" applyAlignment="1" applyBorder="1" applyFill="1" applyFont="1">
      <alignment horizontal="center" shrinkToFit="0" vertical="center" wrapText="1"/>
    </xf>
    <xf borderId="18" fillId="5" fontId="13" numFmtId="14" xfId="0" applyAlignment="1" applyBorder="1" applyFont="1" applyNumberFormat="1">
      <alignment horizontal="center" shrinkToFit="0" vertical="center" wrapText="1"/>
    </xf>
    <xf borderId="19" fillId="4" fontId="12" numFmtId="0" xfId="0" applyBorder="1" applyFont="1"/>
    <xf borderId="1" fillId="4" fontId="12" numFmtId="0" xfId="0" applyBorder="1" applyFont="1"/>
    <xf borderId="0" fillId="0" fontId="12" numFmtId="0" xfId="0" applyFont="1"/>
    <xf borderId="16" fillId="2" fontId="12" numFmtId="0" xfId="0" applyAlignment="1" applyBorder="1" applyFont="1">
      <alignment horizontal="left"/>
    </xf>
    <xf borderId="20" fillId="6" fontId="13" numFmtId="0" xfId="0" applyAlignment="1" applyBorder="1" applyFill="1" applyFont="1">
      <alignment horizontal="left" shrinkToFit="0" vertical="center" wrapText="1"/>
    </xf>
    <xf borderId="20" fillId="6" fontId="13" numFmtId="14" xfId="0" applyAlignment="1" applyBorder="1" applyFont="1" applyNumberFormat="1">
      <alignment horizontal="left" shrinkToFit="0" vertical="center" wrapText="1"/>
    </xf>
    <xf borderId="19" fillId="4" fontId="12" numFmtId="0" xfId="0" applyAlignment="1" applyBorder="1" applyFont="1">
      <alignment horizontal="left"/>
    </xf>
    <xf borderId="1" fillId="4" fontId="12" numFmtId="0" xfId="0" applyAlignment="1" applyBorder="1" applyFont="1">
      <alignment horizontal="left"/>
    </xf>
    <xf borderId="0" fillId="0" fontId="12" numFmtId="0" xfId="0" applyAlignment="1" applyFont="1">
      <alignment horizontal="left"/>
    </xf>
    <xf borderId="21" fillId="0" fontId="3" numFmtId="0" xfId="0" applyAlignment="1" applyBorder="1" applyFont="1">
      <alignment horizontal="center" readingOrder="0" shrinkToFit="0" vertical="center" wrapText="1"/>
    </xf>
    <xf borderId="21" fillId="0" fontId="14" numFmtId="0" xfId="0" applyAlignment="1" applyBorder="1" applyFont="1">
      <alignment horizontal="center" readingOrder="0" vertical="center"/>
    </xf>
    <xf borderId="21" fillId="0" fontId="15" numFmtId="0" xfId="0" applyAlignment="1" applyBorder="1" applyFont="1">
      <alignment horizontal="left" readingOrder="0" shrinkToFit="0" vertical="center" wrapText="1"/>
    </xf>
    <xf borderId="21" fillId="0" fontId="14" numFmtId="0" xfId="0" applyAlignment="1" applyBorder="1" applyFont="1">
      <alignment horizontal="left" readingOrder="0" shrinkToFit="0" vertical="center" wrapText="1"/>
    </xf>
    <xf borderId="19" fillId="4" fontId="16" numFmtId="0" xfId="0" applyBorder="1" applyFont="1"/>
    <xf borderId="1" fillId="4" fontId="16" numFmtId="0" xfId="0" applyBorder="1" applyFont="1"/>
    <xf borderId="22" fillId="0" fontId="3" numFmtId="0" xfId="0" applyAlignment="1" applyBorder="1" applyFont="1">
      <alignment horizontal="center" readingOrder="0" shrinkToFit="0" vertical="center" wrapText="1"/>
    </xf>
    <xf borderId="22" fillId="0" fontId="14" numFmtId="14" xfId="0" applyAlignment="1" applyBorder="1" applyFont="1" applyNumberFormat="1">
      <alignment horizontal="center" readingOrder="0" vertical="center"/>
    </xf>
    <xf borderId="22" fillId="0" fontId="14" numFmtId="0" xfId="0" applyAlignment="1" applyBorder="1" applyFont="1">
      <alignment horizontal="center" readingOrder="0" vertical="center"/>
    </xf>
    <xf borderId="0" fillId="0" fontId="2"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23" fillId="0" fontId="14" numFmtId="0" xfId="0" applyAlignment="1" applyBorder="1" applyFont="1">
      <alignment horizontal="left" readingOrder="0" shrinkToFit="0" vertical="center" wrapText="1"/>
    </xf>
    <xf borderId="24" fillId="0" fontId="6" numFmtId="0" xfId="0" applyBorder="1" applyFont="1"/>
    <xf borderId="25" fillId="0" fontId="6" numFmtId="0" xfId="0" applyBorder="1" applyFont="1"/>
    <xf borderId="26" fillId="0" fontId="15" numFmtId="0" xfId="0" applyAlignment="1" applyBorder="1" applyFont="1">
      <alignment horizontal="left" readingOrder="0" shrinkToFit="0" vertical="center" wrapText="1"/>
    </xf>
    <xf borderId="27" fillId="0" fontId="3" numFmtId="0" xfId="0" applyAlignment="1" applyBorder="1" applyFont="1">
      <alignment horizontal="center" shrinkToFit="0" vertical="center" wrapText="1"/>
    </xf>
    <xf borderId="27" fillId="0" fontId="14" numFmtId="14" xfId="0" applyAlignment="1" applyBorder="1" applyFont="1" applyNumberFormat="1">
      <alignment horizontal="center" vertical="center"/>
    </xf>
    <xf borderId="27" fillId="0" fontId="15" numFmtId="0" xfId="0" applyAlignment="1" applyBorder="1" applyFont="1">
      <alignment horizontal="left" shrinkToFit="0" vertical="center" wrapText="1"/>
    </xf>
    <xf borderId="27" fillId="0" fontId="14" numFmtId="0" xfId="0" applyAlignment="1" applyBorder="1" applyFont="1">
      <alignment horizontal="left" shrinkToFit="0" vertical="center" wrapText="1"/>
    </xf>
    <xf borderId="18" fillId="0" fontId="3" numFmtId="0" xfId="0" applyAlignment="1" applyBorder="1" applyFont="1">
      <alignment horizontal="center" shrinkToFit="0" vertical="center" wrapText="1"/>
    </xf>
    <xf borderId="18" fillId="0" fontId="14" numFmtId="14" xfId="0" applyAlignment="1" applyBorder="1" applyFont="1" applyNumberFormat="1">
      <alignment horizontal="center" vertical="center"/>
    </xf>
    <xf borderId="18" fillId="0" fontId="15" numFmtId="0" xfId="0" applyAlignment="1" applyBorder="1" applyFont="1">
      <alignment horizontal="left" shrinkToFit="0" vertical="center" wrapText="1"/>
    </xf>
    <xf borderId="18" fillId="0" fontId="14" numFmtId="0" xfId="0" applyAlignment="1" applyBorder="1" applyFont="1">
      <alignment horizontal="left" shrinkToFit="0" vertical="center" wrapText="1"/>
    </xf>
    <xf borderId="18" fillId="0" fontId="17" numFmtId="0" xfId="0" applyAlignment="1" applyBorder="1" applyFont="1">
      <alignment horizontal="left" shrinkToFit="0" vertical="center" wrapText="1"/>
    </xf>
    <xf borderId="18" fillId="0" fontId="18" numFmtId="0" xfId="0" applyAlignment="1" applyBorder="1" applyFont="1">
      <alignment horizontal="left" shrinkToFit="0" vertical="center" wrapText="1"/>
    </xf>
    <xf borderId="28" fillId="4" fontId="10" numFmtId="0" xfId="0" applyBorder="1" applyFont="1"/>
    <xf borderId="1" fillId="2" fontId="19" numFmtId="0" xfId="0" applyAlignment="1" applyBorder="1" applyFont="1">
      <alignment vertical="center"/>
    </xf>
    <xf borderId="1" fillId="2" fontId="20" numFmtId="14" xfId="0" applyAlignment="1" applyBorder="1" applyFont="1" applyNumberFormat="1">
      <alignment vertical="center"/>
    </xf>
    <xf borderId="1" fillId="2" fontId="21" numFmtId="0" xfId="0" applyAlignment="1" applyBorder="1" applyFont="1">
      <alignment readingOrder="0" vertical="center"/>
    </xf>
    <xf borderId="1" fillId="2" fontId="21" numFmtId="0" xfId="0" applyAlignment="1" applyBorder="1" applyFont="1">
      <alignment vertical="center"/>
    </xf>
    <xf borderId="1" fillId="2" fontId="20" numFmtId="0" xfId="0" applyAlignment="1" applyBorder="1" applyFont="1">
      <alignment vertical="center"/>
    </xf>
    <xf borderId="1" fillId="4" fontId="19" numFmtId="0" xfId="0" applyAlignment="1" applyBorder="1" applyFont="1">
      <alignment vertical="center"/>
    </xf>
    <xf borderId="1" fillId="2" fontId="22" numFmtId="14" xfId="0" applyBorder="1" applyFont="1" applyNumberFormat="1"/>
    <xf borderId="1" fillId="2" fontId="22" numFmtId="0" xfId="0" applyBorder="1" applyFont="1"/>
    <xf borderId="1" fillId="2" fontId="22" numFmtId="0" xfId="0" applyAlignment="1" applyBorder="1" applyFont="1">
      <alignment horizontal="center"/>
    </xf>
    <xf borderId="17" fillId="2" fontId="22" numFmtId="14" xfId="0" applyBorder="1" applyFont="1" applyNumberFormat="1"/>
    <xf borderId="17" fillId="2" fontId="22" numFmtId="0" xfId="0" applyBorder="1" applyFont="1"/>
    <xf borderId="17" fillId="2" fontId="22" numFmtId="0" xfId="0" applyAlignment="1" applyBorder="1" applyFont="1">
      <alignment horizontal="center"/>
    </xf>
    <xf borderId="16" fillId="2" fontId="10" numFmtId="0" xfId="0" applyBorder="1" applyFont="1"/>
    <xf borderId="29" fillId="5" fontId="13" numFmtId="0" xfId="0" applyAlignment="1" applyBorder="1" applyFont="1">
      <alignment horizontal="center" shrinkToFit="0" vertical="center" wrapText="1"/>
    </xf>
    <xf borderId="30" fillId="0" fontId="6" numFmtId="0" xfId="0" applyBorder="1" applyFont="1"/>
    <xf borderId="31" fillId="0" fontId="6" numFmtId="0" xfId="0" applyBorder="1" applyFont="1"/>
    <xf borderId="19" fillId="4" fontId="10" numFmtId="0" xfId="0" applyBorder="1" applyFont="1"/>
    <xf borderId="18" fillId="0" fontId="14" numFmtId="0" xfId="0" applyAlignment="1" applyBorder="1" applyFont="1">
      <alignment horizontal="center" shrinkToFit="0" vertical="center" wrapText="1"/>
    </xf>
    <xf borderId="29" fillId="0" fontId="14" numFmtId="0" xfId="0" applyAlignment="1" applyBorder="1" applyFont="1">
      <alignment horizontal="left" shrinkToFit="0" vertical="center" wrapText="1"/>
    </xf>
    <xf borderId="29" fillId="0" fontId="15" numFmtId="0" xfId="0" applyAlignment="1" applyBorder="1" applyFont="1">
      <alignment horizontal="left" shrinkToFit="0" vertical="center" wrapText="1"/>
    </xf>
    <xf borderId="18" fillId="0" fontId="14" numFmtId="14" xfId="0" applyAlignment="1" applyBorder="1" applyFont="1" applyNumberFormat="1">
      <alignment horizontal="center" shrinkToFit="0" vertical="center" wrapText="1"/>
    </xf>
    <xf borderId="32" fillId="0" fontId="14" numFmtId="14" xfId="0" applyAlignment="1" applyBorder="1" applyFont="1" applyNumberFormat="1">
      <alignment shrinkToFit="0" vertical="center" wrapText="1"/>
    </xf>
    <xf borderId="32" fillId="0" fontId="3" numFmtId="0" xfId="0" applyAlignment="1" applyBorder="1" applyFont="1">
      <alignment horizontal="center" shrinkToFit="0" vertical="center" wrapText="1"/>
    </xf>
    <xf borderId="32" fillId="0" fontId="14" numFmtId="0" xfId="0" applyAlignment="1" applyBorder="1" applyFont="1">
      <alignment horizontal="center" shrinkToFit="0" vertical="center" wrapText="1"/>
    </xf>
    <xf borderId="33" fillId="0" fontId="15" numFmtId="0" xfId="0" applyAlignment="1" applyBorder="1" applyFont="1">
      <alignment horizontal="left" shrinkToFit="0" vertical="center" wrapText="1"/>
    </xf>
    <xf borderId="34" fillId="0" fontId="6" numFmtId="0" xfId="0" applyBorder="1" applyFont="1"/>
    <xf borderId="35" fillId="0" fontId="6" numFmtId="0" xfId="0" applyBorder="1" applyFont="1"/>
    <xf borderId="0" fillId="0" fontId="14" numFmtId="0" xfId="0" applyFont="1"/>
    <xf borderId="16" fillId="2" fontId="21" numFmtId="0" xfId="0" applyAlignment="1" applyBorder="1" applyFont="1">
      <alignment horizontal="center"/>
    </xf>
    <xf borderId="1" fillId="2" fontId="23" numFmtId="0" xfId="0" applyBorder="1" applyFont="1"/>
    <xf borderId="36" fillId="0" fontId="24" numFmtId="0" xfId="0" applyAlignment="1" applyBorder="1" applyFont="1">
      <alignment horizontal="center"/>
    </xf>
    <xf borderId="37" fillId="0" fontId="6" numFmtId="0" xfId="0" applyBorder="1" applyFont="1"/>
    <xf borderId="38" fillId="0" fontId="6" numFmtId="0" xfId="0" applyBorder="1" applyFont="1"/>
    <xf quotePrefix="1" borderId="39" fillId="0" fontId="3" numFmtId="0" xfId="0" applyAlignment="1" applyBorder="1" applyFont="1">
      <alignment readingOrder="0" shrinkToFit="0" wrapText="1"/>
    </xf>
    <xf borderId="40" fillId="0" fontId="6" numFmtId="0" xfId="0" applyBorder="1" applyFont="1"/>
    <xf quotePrefix="1" borderId="39" fillId="0" fontId="25" numFmtId="0" xfId="0" applyAlignment="1" applyBorder="1" applyFont="1">
      <alignment shrinkToFit="0" wrapText="1"/>
    </xf>
    <xf borderId="39" fillId="0" fontId="14" numFmtId="0" xfId="0" applyAlignment="1" applyBorder="1" applyFont="1">
      <alignment readingOrder="0"/>
    </xf>
    <xf borderId="39" fillId="0" fontId="3" numFmtId="0" xfId="0" applyAlignment="1" applyBorder="1" applyFont="1">
      <alignment readingOrder="0"/>
    </xf>
    <xf quotePrefix="1" borderId="39" fillId="0" fontId="3" numFmtId="0" xfId="0" applyAlignment="1" applyBorder="1" applyFont="1">
      <alignment shrinkToFit="0" wrapText="1"/>
    </xf>
    <xf quotePrefix="1" borderId="39" fillId="0" fontId="14" numFmtId="0" xfId="0" applyAlignment="1" applyBorder="1" applyFont="1">
      <alignment shrinkToFit="0" wrapText="1"/>
    </xf>
    <xf quotePrefix="1" borderId="41" fillId="0" fontId="14" numFmtId="0" xfId="0" applyAlignment="1" applyBorder="1" applyFont="1">
      <alignment shrinkToFit="0" wrapText="1"/>
    </xf>
    <xf borderId="42" fillId="0" fontId="6" numFmtId="0" xfId="0" applyBorder="1" applyFont="1"/>
    <xf borderId="43" fillId="0" fontId="6" numFmtId="0" xfId="0" applyBorder="1" applyFont="1"/>
    <xf borderId="0" fillId="0" fontId="26" numFmtId="0" xfId="0" applyAlignment="1" applyFont="1">
      <alignment horizontal="center" vertical="center"/>
    </xf>
    <xf borderId="0" fillId="0" fontId="27" numFmtId="0" xfId="0" applyAlignment="1" applyFont="1">
      <alignment horizontal="center" vertical="center"/>
    </xf>
    <xf borderId="0" fillId="0" fontId="28" numFmtId="0" xfId="0" applyFont="1"/>
    <xf borderId="44" fillId="5" fontId="29" numFmtId="0" xfId="0" applyAlignment="1" applyBorder="1" applyFont="1">
      <alignment horizontal="center" shrinkToFit="0" vertical="center" wrapText="1"/>
    </xf>
    <xf borderId="45" fillId="5" fontId="29" numFmtId="0" xfId="0" applyAlignment="1" applyBorder="1" applyFont="1">
      <alignment horizontal="center" shrinkToFit="0" vertical="center" wrapText="1"/>
    </xf>
    <xf borderId="46" fillId="0" fontId="6" numFmtId="0" xfId="0" applyBorder="1" applyFont="1"/>
    <xf borderId="47" fillId="0" fontId="6" numFmtId="0" xfId="0" applyBorder="1" applyFont="1"/>
    <xf borderId="44" fillId="0" fontId="30" numFmtId="0" xfId="0" applyAlignment="1" applyBorder="1" applyFont="1">
      <alignment horizontal="center" shrinkToFit="0" vertical="center" wrapText="1"/>
    </xf>
    <xf borderId="45" fillId="0" fontId="14" numFmtId="0" xfId="0" applyAlignment="1" applyBorder="1" applyFont="1">
      <alignment horizontal="left" shrinkToFit="0" vertical="center" wrapText="1"/>
    </xf>
    <xf borderId="44" fillId="7" fontId="8" numFmtId="0" xfId="0" applyAlignment="1" applyBorder="1" applyFill="1" applyFont="1">
      <alignment horizontal="center" shrinkToFit="0" vertical="center" wrapText="1"/>
    </xf>
    <xf borderId="44" fillId="8" fontId="8" numFmtId="0" xfId="0" applyAlignment="1" applyBorder="1" applyFill="1" applyFont="1">
      <alignment horizontal="center" shrinkToFit="0" vertical="center" wrapText="1"/>
    </xf>
    <xf borderId="44" fillId="9" fontId="30" numFmtId="0" xfId="0" applyAlignment="1" applyBorder="1" applyFill="1" applyFont="1">
      <alignment horizontal="center" shrinkToFit="0" vertical="center" wrapText="1"/>
    </xf>
    <xf borderId="44" fillId="10" fontId="30" numFmtId="0" xfId="0" applyAlignment="1" applyBorder="1" applyFill="1" applyFont="1">
      <alignment horizontal="center" shrinkToFit="0" vertical="center" wrapText="1"/>
    </xf>
    <xf quotePrefix="1" borderId="45" fillId="0" fontId="14" numFmtId="0" xfId="0" applyAlignment="1" applyBorder="1" applyFont="1">
      <alignment horizontal="left" shrinkToFit="0" vertical="center" wrapText="1"/>
    </xf>
    <xf borderId="0" fillId="0" fontId="2" numFmtId="0" xfId="0" applyFont="1"/>
    <xf borderId="0" fillId="0" fontId="27" numFmtId="0" xfId="0" applyAlignment="1" applyFont="1">
      <alignment horizontal="center"/>
    </xf>
    <xf borderId="44" fillId="0" fontId="3" numFmtId="0" xfId="0" applyAlignment="1" applyBorder="1" applyFont="1">
      <alignment horizontal="center" shrinkToFit="0" vertical="center" wrapText="1"/>
    </xf>
    <xf borderId="0" fillId="0" fontId="31" numFmtId="0" xfId="0" applyAlignment="1" applyFont="1">
      <alignment vertical="center"/>
    </xf>
    <xf borderId="0" fillId="0" fontId="32" numFmtId="0" xfId="0" applyAlignment="1" applyFont="1">
      <alignment horizontal="right" vertical="center"/>
    </xf>
    <xf borderId="0" fillId="0" fontId="31" numFmtId="0" xfId="0" applyAlignment="1" applyFont="1">
      <alignment horizontal="center" vertical="center"/>
    </xf>
    <xf borderId="29" fillId="5" fontId="33" numFmtId="0" xfId="0" applyAlignment="1" applyBorder="1" applyFont="1">
      <alignment horizontal="left" vertical="center"/>
    </xf>
    <xf borderId="18" fillId="2" fontId="34" numFmtId="0" xfId="0" applyAlignment="1" applyBorder="1" applyFont="1">
      <alignment readingOrder="0" shrinkToFit="0" vertical="center" wrapText="1"/>
    </xf>
    <xf borderId="18" fillId="5" fontId="33" numFmtId="0" xfId="0" applyAlignment="1" applyBorder="1" applyFont="1">
      <alignment horizontal="left" shrinkToFit="0" vertical="center" wrapText="1"/>
    </xf>
    <xf borderId="18" fillId="2" fontId="34" numFmtId="0" xfId="0" applyAlignment="1" applyBorder="1" applyFont="1">
      <alignment readingOrder="0" vertical="center"/>
    </xf>
    <xf borderId="0" fillId="0" fontId="35" numFmtId="0" xfId="0" applyFont="1"/>
    <xf borderId="0" fillId="0" fontId="36" numFmtId="0" xfId="0" applyAlignment="1" applyFont="1">
      <alignment vertical="center"/>
    </xf>
    <xf borderId="16" fillId="2" fontId="34" numFmtId="0" xfId="0" applyAlignment="1" applyBorder="1" applyFont="1">
      <alignment horizontal="center" vertical="center"/>
    </xf>
    <xf borderId="29" fillId="5" fontId="33" numFmtId="0" xfId="0" applyAlignment="1" applyBorder="1" applyFont="1">
      <alignment horizontal="left" shrinkToFit="0" vertical="center" wrapText="1"/>
    </xf>
    <xf borderId="0" fillId="0" fontId="37" numFmtId="0" xfId="0" applyAlignment="1" applyFont="1">
      <alignment horizontal="center"/>
    </xf>
    <xf borderId="0" fillId="0" fontId="14" numFmtId="0" xfId="0" applyAlignment="1" applyFont="1">
      <alignment vertical="center"/>
    </xf>
    <xf borderId="22" fillId="5" fontId="13" numFmtId="0" xfId="0" applyAlignment="1" applyBorder="1" applyFont="1">
      <alignment horizontal="center" shrinkToFit="0" vertical="center" wrapText="1"/>
    </xf>
    <xf borderId="48" fillId="5" fontId="13" numFmtId="0" xfId="0" applyAlignment="1" applyBorder="1" applyFont="1">
      <alignment horizontal="center" readingOrder="0" vertical="center"/>
    </xf>
    <xf borderId="49" fillId="0" fontId="6" numFmtId="0" xfId="0" applyBorder="1" applyFont="1"/>
    <xf borderId="50" fillId="5" fontId="38" numFmtId="0" xfId="0" applyAlignment="1" applyBorder="1" applyFont="1">
      <alignment horizontal="center" readingOrder="0" shrinkToFit="0" vertical="center" wrapText="1"/>
    </xf>
    <xf borderId="50" fillId="5" fontId="38" numFmtId="0" xfId="0" applyAlignment="1" applyBorder="1" applyFont="1">
      <alignment horizontal="center" shrinkToFit="0" vertical="center" wrapText="1"/>
    </xf>
    <xf borderId="21" fillId="11" fontId="39" numFmtId="0" xfId="0" applyAlignment="1" applyBorder="1" applyFill="1" applyFont="1">
      <alignment horizontal="center" shrinkToFit="0" vertical="center" wrapText="1"/>
    </xf>
    <xf borderId="21" fillId="7" fontId="39" numFmtId="0" xfId="0" applyAlignment="1" applyBorder="1" applyFont="1">
      <alignment horizontal="center" shrinkToFit="0" vertical="center" wrapText="1"/>
    </xf>
    <xf borderId="21" fillId="8" fontId="39" numFmtId="0" xfId="0" applyAlignment="1" applyBorder="1" applyFont="1">
      <alignment horizontal="center" shrinkToFit="0" vertical="center" wrapText="1"/>
    </xf>
    <xf borderId="21" fillId="10" fontId="3" numFmtId="0" xfId="0" applyAlignment="1" applyBorder="1" applyFont="1">
      <alignment horizontal="center" shrinkToFit="0" vertical="center" wrapText="1"/>
    </xf>
    <xf borderId="21" fillId="9" fontId="3" numFmtId="0" xfId="0" applyAlignment="1" applyBorder="1" applyFont="1">
      <alignment horizontal="center" shrinkToFit="0" vertical="center" wrapText="1"/>
    </xf>
    <xf borderId="21" fillId="11" fontId="13" numFmtId="0" xfId="0" applyAlignment="1" applyBorder="1" applyFont="1">
      <alignment horizontal="center" readingOrder="0" shrinkToFit="0" vertical="center" wrapText="1"/>
    </xf>
    <xf borderId="0" fillId="0" fontId="2" numFmtId="0" xfId="0" applyAlignment="1" applyFont="1">
      <alignment vertical="center"/>
    </xf>
    <xf borderId="21" fillId="0" fontId="2" numFmtId="0" xfId="0" applyAlignment="1" applyBorder="1" applyFont="1">
      <alignment horizontal="center" shrinkToFit="0" vertical="center" wrapText="1"/>
    </xf>
    <xf borderId="21" fillId="0" fontId="40" numFmtId="0" xfId="0" applyAlignment="1" applyBorder="1" applyFont="1">
      <alignment horizontal="left" readingOrder="0" vertical="center"/>
    </xf>
    <xf borderId="21" fillId="0" fontId="2" numFmtId="0" xfId="0" applyAlignment="1" applyBorder="1" applyFont="1">
      <alignment horizontal="left" readingOrder="0" shrinkToFit="0" vertical="center" wrapText="1"/>
    </xf>
    <xf borderId="23" fillId="0" fontId="35"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3" fillId="0" fontId="35" numFmtId="0" xfId="0" applyAlignment="1" applyBorder="1" applyFont="1">
      <alignment horizontal="center" shrinkToFit="0" vertical="center" wrapText="1"/>
    </xf>
    <xf borderId="51" fillId="12" fontId="35" numFmtId="0" xfId="0" applyAlignment="1" applyBorder="1" applyFill="1" applyFont="1">
      <alignment horizontal="center" shrinkToFit="0" vertical="center" wrapText="1"/>
    </xf>
    <xf borderId="52" fillId="0" fontId="6" numFmtId="0" xfId="0" applyBorder="1" applyFont="1"/>
    <xf borderId="53" fillId="0" fontId="6" numFmtId="0" xfId="0" applyBorder="1" applyFont="1"/>
    <xf borderId="21" fillId="12" fontId="35" numFmtId="0" xfId="0" applyAlignment="1" applyBorder="1" applyFont="1">
      <alignment horizontal="center" shrinkToFit="0" vertical="center" wrapText="1"/>
    </xf>
    <xf borderId="21" fillId="12" fontId="2" numFmtId="0" xfId="0" applyAlignment="1" applyBorder="1" applyFont="1">
      <alignment horizontal="center" shrinkToFit="0" vertical="center" wrapText="1"/>
    </xf>
    <xf borderId="0" fillId="0" fontId="2" numFmtId="9" xfId="0" applyAlignment="1" applyFont="1" applyNumberFormat="1">
      <alignment vertical="center"/>
    </xf>
    <xf borderId="48" fillId="0" fontId="35" numFmtId="9" xfId="0" applyAlignment="1" applyBorder="1" applyFont="1" applyNumberFormat="1">
      <alignment horizontal="center" vertical="center"/>
    </xf>
    <xf borderId="23" fillId="0" fontId="6" numFmtId="0" xfId="0" applyBorder="1" applyFont="1"/>
    <xf borderId="21" fillId="0" fontId="35" numFmtId="9" xfId="0" applyAlignment="1" applyBorder="1" applyFont="1" applyNumberFormat="1">
      <alignment horizontal="center" shrinkToFit="0" vertical="center" wrapText="1"/>
    </xf>
    <xf borderId="21" fillId="11" fontId="2" numFmtId="9" xfId="0" applyAlignment="1" applyBorder="1" applyFont="1" applyNumberFormat="1">
      <alignment horizontal="center" shrinkToFit="0" vertical="center" wrapText="1"/>
    </xf>
    <xf borderId="21" fillId="13" fontId="2" numFmtId="9" xfId="0" applyAlignment="1" applyBorder="1" applyFill="1" applyFont="1" applyNumberFormat="1">
      <alignment horizontal="center" vertical="center"/>
    </xf>
    <xf borderId="0" fillId="0" fontId="2" numFmtId="164" xfId="0" applyFont="1" applyNumberFormat="1"/>
    <xf borderId="1" fillId="4" fontId="41"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4" fontId="37" numFmtId="0" xfId="0" applyAlignment="1" applyBorder="1" applyFont="1">
      <alignment shrinkToFit="0" vertical="center" wrapText="1"/>
    </xf>
    <xf borderId="1" fillId="4" fontId="41" numFmtId="0" xfId="0" applyAlignment="1" applyBorder="1" applyFont="1">
      <alignment shrinkToFit="0" vertical="center" wrapText="1"/>
    </xf>
    <xf borderId="16" fillId="4" fontId="41" numFmtId="0" xfId="0" applyAlignment="1" applyBorder="1" applyFont="1">
      <alignment horizontal="center" shrinkToFit="0" vertical="center" wrapText="1"/>
    </xf>
    <xf borderId="0" fillId="4" fontId="41" numFmtId="0" xfId="0" applyAlignment="1" applyFont="1">
      <alignment shrinkToFit="0" vertical="center" wrapText="1"/>
    </xf>
    <xf borderId="0" fillId="0" fontId="41" numFmtId="0" xfId="0" applyAlignment="1" applyFont="1">
      <alignment horizontal="center" shrinkToFit="0" vertical="center" wrapText="1"/>
    </xf>
    <xf borderId="0" fillId="0" fontId="41" numFmtId="0" xfId="0" applyAlignment="1" applyFont="1">
      <alignment horizontal="left" shrinkToFit="0" vertical="center" wrapText="1"/>
    </xf>
    <xf borderId="17" fillId="4" fontId="41" numFmtId="0" xfId="0" applyAlignment="1" applyBorder="1" applyFont="1">
      <alignment horizontal="center" shrinkToFit="0" vertical="center" wrapText="1"/>
    </xf>
    <xf borderId="54" fillId="4" fontId="41" numFmtId="0" xfId="0" applyAlignment="1" applyBorder="1" applyFont="1">
      <alignment horizontal="center" shrinkToFit="0" vertical="center" wrapText="1"/>
    </xf>
    <xf borderId="55" fillId="0" fontId="6" numFmtId="0" xfId="0" applyBorder="1" applyFont="1"/>
    <xf borderId="0" fillId="4" fontId="37" numFmtId="0" xfId="0" applyAlignment="1" applyFont="1">
      <alignment shrinkToFit="0" vertical="center" wrapText="1"/>
    </xf>
    <xf borderId="45" fillId="5" fontId="42" numFmtId="0" xfId="0" applyAlignment="1" applyBorder="1" applyFont="1">
      <alignment horizontal="center" shrinkToFit="0" vertical="center" wrapText="1"/>
    </xf>
    <xf borderId="45" fillId="4" fontId="35" numFmtId="0" xfId="0" applyAlignment="1" applyBorder="1" applyFont="1">
      <alignment horizontal="center" shrinkToFit="0" vertical="center" wrapText="1"/>
    </xf>
    <xf borderId="0" fillId="0" fontId="41" numFmtId="0" xfId="0" applyAlignment="1" applyFont="1">
      <alignment shrinkToFit="0" vertical="center" wrapText="1"/>
    </xf>
    <xf borderId="0" fillId="0" fontId="2" numFmtId="0" xfId="0" applyAlignment="1" applyFont="1">
      <alignment shrinkToFit="0" vertical="center" wrapText="1"/>
    </xf>
    <xf borderId="45" fillId="4" fontId="35" numFmtId="0" xfId="0" applyAlignment="1" applyBorder="1" applyFont="1">
      <alignment horizontal="center" readingOrder="0" shrinkToFit="0" vertical="center" wrapText="1"/>
    </xf>
    <xf borderId="28" fillId="4" fontId="2" numFmtId="0" xfId="0" applyAlignment="1" applyBorder="1" applyFont="1">
      <alignment horizontal="center" shrinkToFit="0" vertical="center" wrapText="1"/>
    </xf>
    <xf borderId="28" fillId="4" fontId="35" numFmtId="0" xfId="0" applyAlignment="1" applyBorder="1" applyFont="1">
      <alignment horizontal="center" shrinkToFit="0" vertical="center" wrapText="1"/>
    </xf>
    <xf borderId="16" fillId="4" fontId="35" numFmtId="0" xfId="0" applyAlignment="1" applyBorder="1" applyFont="1">
      <alignment horizontal="center" shrinkToFit="0" vertical="center" wrapText="1"/>
    </xf>
    <xf borderId="0" fillId="4" fontId="2" numFmtId="0" xfId="0" applyAlignment="1" applyFont="1">
      <alignment horizontal="center" shrinkToFit="0" vertical="center" wrapText="1"/>
    </xf>
    <xf borderId="17" fillId="4" fontId="2" numFmtId="0" xfId="0" applyAlignment="1" applyBorder="1" applyFont="1">
      <alignment horizontal="center" shrinkToFit="0" vertical="center" wrapText="1"/>
    </xf>
    <xf borderId="17" fillId="4" fontId="35" numFmtId="0" xfId="0" applyAlignment="1" applyBorder="1" applyFont="1">
      <alignment horizontal="center" shrinkToFit="0" vertical="center" wrapText="1"/>
    </xf>
    <xf borderId="54" fillId="4" fontId="35" numFmtId="0" xfId="0" applyAlignment="1" applyBorder="1" applyFont="1">
      <alignment horizontal="center" shrinkToFit="0" vertical="center" wrapText="1"/>
    </xf>
    <xf borderId="22" fillId="5" fontId="43" numFmtId="0" xfId="0" applyAlignment="1" applyBorder="1" applyFont="1">
      <alignment horizontal="center" shrinkToFit="0" vertical="center" wrapText="1"/>
    </xf>
    <xf borderId="24" fillId="5" fontId="13" numFmtId="0" xfId="0" applyAlignment="1" applyBorder="1" applyFont="1">
      <alignment horizontal="center" shrinkToFit="0" vertical="center" wrapText="1"/>
    </xf>
    <xf borderId="56" fillId="5" fontId="13" numFmtId="0" xfId="0" applyAlignment="1" applyBorder="1" applyFont="1">
      <alignment horizontal="center" shrinkToFit="0" vertical="center" wrapText="1"/>
    </xf>
    <xf borderId="26" fillId="0" fontId="6" numFmtId="0" xfId="0" applyBorder="1" applyFont="1"/>
    <xf borderId="57" fillId="0" fontId="6" numFmtId="0" xfId="0" applyBorder="1" applyFont="1"/>
    <xf borderId="48" fillId="5" fontId="13" numFmtId="0" xfId="0" applyAlignment="1" applyBorder="1" applyFont="1">
      <alignment horizontal="center" shrinkToFit="0" vertical="center" wrapText="1"/>
    </xf>
    <xf borderId="0" fillId="5" fontId="13" numFmtId="0" xfId="0" applyAlignment="1" applyFont="1">
      <alignment horizontal="center" shrinkToFit="0" vertical="center" wrapText="1"/>
    </xf>
    <xf borderId="21" fillId="5" fontId="13" numFmtId="0" xfId="0" applyAlignment="1" applyBorder="1" applyFont="1">
      <alignment horizontal="center" shrinkToFit="0" vertical="center" wrapText="1"/>
    </xf>
    <xf borderId="21" fillId="5" fontId="13" numFmtId="0" xfId="0" applyAlignment="1" applyBorder="1" applyFont="1">
      <alignment horizontal="left" shrinkToFit="0" vertical="center" wrapText="1"/>
    </xf>
    <xf borderId="48" fillId="14" fontId="27" numFmtId="0" xfId="0" applyAlignment="1" applyBorder="1" applyFill="1" applyFont="1">
      <alignment horizontal="left" readingOrder="0" shrinkToFit="0" vertical="center" wrapText="1"/>
    </xf>
    <xf borderId="21" fillId="15" fontId="3" numFmtId="0" xfId="0" applyAlignment="1" applyBorder="1" applyFill="1" applyFont="1">
      <alignment horizontal="center" readingOrder="0" shrinkToFit="0" vertical="center" wrapText="1"/>
    </xf>
    <xf borderId="21" fillId="0" fontId="2" numFmtId="0" xfId="0" applyAlignment="1" applyBorder="1" applyFont="1">
      <alignment shrinkToFit="0" vertical="center" wrapText="1"/>
    </xf>
    <xf borderId="21" fillId="0" fontId="2" numFmtId="0" xfId="0" applyAlignment="1" applyBorder="1" applyFont="1">
      <alignment horizontal="left" shrinkToFit="0" vertical="center" wrapText="1"/>
    </xf>
    <xf borderId="21" fillId="0" fontId="2" numFmtId="0" xfId="0" applyAlignment="1" applyBorder="1" applyFont="1">
      <alignment shrinkToFit="0" vertical="center" wrapText="1"/>
    </xf>
    <xf borderId="48" fillId="16" fontId="27" numFmtId="0" xfId="0" applyAlignment="1" applyBorder="1" applyFill="1" applyFont="1">
      <alignment horizontal="left" readingOrder="0" shrinkToFit="0" vertical="center" wrapText="1"/>
    </xf>
    <xf borderId="21" fillId="0" fontId="14" numFmtId="0" xfId="0" applyAlignment="1" applyBorder="1" applyFont="1">
      <alignment horizontal="center" readingOrder="0" shrinkToFit="0" vertical="center" wrapText="1"/>
    </xf>
    <xf borderId="48" fillId="17" fontId="3" numFmtId="0" xfId="0" applyAlignment="1" applyBorder="1" applyFill="1" applyFont="1">
      <alignment horizontal="left" readingOrder="0" shrinkToFit="0" vertical="center" wrapText="1"/>
    </xf>
    <xf borderId="21" fillId="0" fontId="14" numFmtId="0" xfId="0" applyAlignment="1" applyBorder="1" applyFont="1">
      <alignment horizontal="center" shrinkToFit="0" vertical="center" wrapText="1"/>
    </xf>
    <xf borderId="21" fillId="0" fontId="14" numFmtId="0" xfId="0" applyAlignment="1" applyBorder="1" applyFont="1">
      <alignment horizontal="center" shrinkToFit="0" vertical="center" wrapText="1"/>
    </xf>
    <xf borderId="21" fillId="0" fontId="3" numFmtId="0" xfId="0" applyAlignment="1" applyBorder="1" applyFont="1">
      <alignment readingOrder="0" shrinkToFit="0" vertical="center" wrapText="1"/>
    </xf>
    <xf quotePrefix="1" borderId="21" fillId="0" fontId="2" numFmtId="0" xfId="0" applyAlignment="1" applyBorder="1" applyFont="1">
      <alignment readingOrder="0" shrinkToFit="0" vertical="center" wrapText="1"/>
    </xf>
    <xf borderId="21" fillId="0" fontId="14" numFmtId="0" xfId="0" applyAlignment="1" applyBorder="1" applyFont="1">
      <alignment readingOrder="0" shrinkToFit="0" vertical="center" wrapText="1"/>
    </xf>
    <xf quotePrefix="1" borderId="21" fillId="0" fontId="44" numFmtId="0" xfId="0" applyAlignment="1" applyBorder="1" applyFont="1">
      <alignment readingOrder="0" shrinkToFit="0" vertical="center" wrapText="1"/>
    </xf>
    <xf borderId="21" fillId="0" fontId="14"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21" fillId="0" fontId="14" numFmtId="0" xfId="0" applyAlignment="1" applyBorder="1" applyFont="1">
      <alignment shrinkToFit="0" vertical="center" wrapText="1"/>
    </xf>
    <xf borderId="0" fillId="0" fontId="14" numFmtId="0" xfId="0" applyAlignment="1" applyFont="1">
      <alignment shrinkToFit="0" vertical="center" wrapText="1"/>
    </xf>
    <xf borderId="21" fillId="0" fontId="3" numFmtId="0" xfId="0" applyAlignment="1" applyBorder="1" applyFont="1">
      <alignment readingOrder="0" shrinkToFit="0" vertical="center" wrapText="1"/>
    </xf>
    <xf borderId="21" fillId="0" fontId="44" numFmtId="0" xfId="0" applyAlignment="1" applyBorder="1" applyFont="1">
      <alignment readingOrder="0" shrinkToFit="0" vertical="center" wrapText="1"/>
    </xf>
    <xf borderId="21" fillId="0" fontId="45" numFmtId="0" xfId="0" applyAlignment="1" applyBorder="1" applyFont="1">
      <alignment readingOrder="0" shrinkToFit="0" vertical="center" wrapText="1"/>
    </xf>
    <xf borderId="21" fillId="0" fontId="3" numFmtId="0" xfId="0" applyAlignment="1" applyBorder="1" applyFont="1">
      <alignment shrinkToFit="0" vertical="center" wrapText="1"/>
    </xf>
    <xf borderId="21" fillId="0" fontId="12" numFmtId="0" xfId="0" applyAlignment="1" applyBorder="1" applyFont="1">
      <alignment horizontal="left" readingOrder="0" shrinkToFit="0" vertical="center" wrapText="1"/>
    </xf>
    <xf borderId="21" fillId="0" fontId="2" numFmtId="0" xfId="0" applyAlignment="1" applyBorder="1" applyFont="1">
      <alignment horizontal="center" shrinkToFit="0" vertical="center" wrapText="1"/>
    </xf>
    <xf borderId="48" fillId="18" fontId="3" numFmtId="0" xfId="0" applyAlignment="1" applyBorder="1" applyFill="1" applyFont="1">
      <alignment horizontal="left" readingOrder="0" shrinkToFit="0" vertical="center" wrapText="1"/>
    </xf>
    <xf borderId="21" fillId="19" fontId="46" numFmtId="0" xfId="0" applyAlignment="1" applyBorder="1" applyFill="1" applyFont="1">
      <alignment shrinkToFit="0" vertical="center" wrapText="1"/>
    </xf>
    <xf borderId="21" fillId="0"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21" fillId="4" fontId="14" numFmtId="0" xfId="0" applyAlignment="1" applyBorder="1" applyFont="1">
      <alignment horizontal="center" shrinkToFit="0" vertical="center" wrapText="1"/>
    </xf>
    <xf borderId="21" fillId="4" fontId="3" numFmtId="0" xfId="0" applyAlignment="1" applyBorder="1" applyFont="1">
      <alignment readingOrder="0" shrinkToFit="0" vertical="center" wrapText="1"/>
    </xf>
    <xf borderId="21" fillId="4" fontId="14" numFmtId="0" xfId="0" applyAlignment="1" applyBorder="1" applyFont="1">
      <alignment readingOrder="0" shrinkToFit="0" vertical="center" wrapText="1"/>
    </xf>
    <xf borderId="21" fillId="4" fontId="14" numFmtId="0" xfId="0" applyAlignment="1" applyBorder="1" applyFont="1">
      <alignment shrinkToFit="0" vertical="center" wrapText="1"/>
    </xf>
    <xf borderId="21" fillId="19" fontId="47" numFmtId="0" xfId="0" applyAlignment="1" applyBorder="1" applyFont="1">
      <alignment readingOrder="0" shrinkToFit="0" vertical="center" wrapText="1"/>
    </xf>
    <xf borderId="21" fillId="0" fontId="14" numFmtId="0" xfId="0" applyAlignment="1" applyBorder="1" applyFont="1">
      <alignment shrinkToFit="0" vertical="center" wrapText="1"/>
    </xf>
    <xf borderId="21" fillId="4" fontId="3" numFmtId="0" xfId="0" applyAlignment="1" applyBorder="1" applyFont="1">
      <alignment shrinkToFit="0" vertical="center" wrapText="1"/>
    </xf>
    <xf borderId="21" fillId="0" fontId="14" numFmtId="0" xfId="0" applyAlignment="1" applyBorder="1" applyFont="1">
      <alignment horizontal="left" readingOrder="0" shrinkToFit="0" vertical="center" wrapText="1"/>
    </xf>
    <xf borderId="21" fillId="0" fontId="3" numFmtId="0" xfId="0" applyAlignment="1" applyBorder="1" applyFont="1">
      <alignment shrinkToFit="0" vertical="center" wrapText="1"/>
    </xf>
    <xf borderId="21" fillId="4" fontId="3" numFmtId="0" xfId="0" applyAlignment="1" applyBorder="1" applyFont="1">
      <alignment shrinkToFit="0" vertical="center" wrapText="1"/>
    </xf>
    <xf borderId="21" fillId="0" fontId="12" numFmtId="0" xfId="0" applyAlignment="1" applyBorder="1" applyFont="1">
      <alignment horizontal="left" shrinkToFit="0" vertical="center" wrapText="1"/>
    </xf>
    <xf borderId="21" fillId="0" fontId="12" numFmtId="0" xfId="0" applyAlignment="1" applyBorder="1" applyFont="1">
      <alignment horizontal="center" shrinkToFit="0" vertical="center" wrapText="1"/>
    </xf>
    <xf borderId="21" fillId="0" fontId="12" numFmtId="0" xfId="0" applyAlignment="1" applyBorder="1" applyFont="1">
      <alignment shrinkToFit="0" vertical="center" wrapText="1"/>
    </xf>
    <xf borderId="0" fillId="0" fontId="12" numFmtId="0" xfId="0" applyAlignment="1" applyFont="1">
      <alignment shrinkToFit="0" vertical="center" wrapText="1"/>
    </xf>
    <xf borderId="21" fillId="0" fontId="12" numFmtId="0" xfId="0" applyAlignment="1" applyBorder="1" applyFont="1">
      <alignment horizontal="center" readingOrder="0" shrinkToFit="0" vertical="center" wrapText="1"/>
    </xf>
    <xf borderId="21" fillId="4" fontId="12" numFmtId="0" xfId="0" applyAlignment="1" applyBorder="1" applyFont="1">
      <alignment horizontal="center" shrinkToFit="0" vertical="center" wrapText="1"/>
    </xf>
    <xf borderId="21" fillId="4" fontId="12" numFmtId="0" xfId="0" applyAlignment="1" applyBorder="1" applyFont="1">
      <alignment shrinkToFit="0" vertical="center" wrapText="1"/>
    </xf>
    <xf borderId="21" fillId="4" fontId="3" numFmtId="0" xfId="0" applyAlignment="1" applyBorder="1" applyFont="1">
      <alignment horizontal="center" readingOrder="0" shrinkToFit="0" vertical="center" wrapText="1"/>
    </xf>
    <xf borderId="0" fillId="4" fontId="12" numFmtId="0" xfId="0" applyAlignment="1" applyFont="1">
      <alignment shrinkToFit="0" vertical="center" wrapText="1"/>
    </xf>
    <xf borderId="21" fillId="4" fontId="12" numFmtId="0" xfId="0" applyAlignment="1" applyBorder="1" applyFont="1">
      <alignment horizontal="left" shrinkToFit="0" vertical="center" wrapText="1"/>
    </xf>
    <xf borderId="21" fillId="0" fontId="3" numFmtId="0" xfId="0" applyAlignment="1" applyBorder="1" applyFont="1">
      <alignment horizontal="left" readingOrder="0" shrinkToFit="0" vertical="center" wrapText="1"/>
    </xf>
    <xf borderId="0" fillId="0" fontId="12" numFmtId="0" xfId="0" applyAlignment="1" applyFont="1">
      <alignment horizontal="left" readingOrder="0" shrinkToFit="0" vertical="center" wrapText="1"/>
    </xf>
    <xf borderId="21" fillId="0" fontId="12" numFmtId="0" xfId="0" applyAlignment="1" applyBorder="1" applyFont="1">
      <alignment readingOrder="0" shrinkToFit="0" vertical="center" wrapText="1"/>
    </xf>
    <xf borderId="0" fillId="0" fontId="12" numFmtId="0" xfId="0" applyAlignment="1" applyFont="1">
      <alignment readingOrder="0" shrinkToFit="0" vertical="center" wrapText="1"/>
    </xf>
    <xf borderId="21" fillId="0" fontId="14" numFmtId="0" xfId="0" applyAlignment="1" applyBorder="1" applyFont="1">
      <alignment horizontal="center" readingOrder="0" shrinkToFit="0" vertical="center" wrapText="1"/>
    </xf>
    <xf borderId="21" fillId="4" fontId="12" numFmtId="0" xfId="0" applyAlignment="1" applyBorder="1" applyFont="1">
      <alignment horizontal="left" readingOrder="0" shrinkToFit="0" vertical="center" wrapText="1"/>
    </xf>
    <xf borderId="21" fillId="4" fontId="14" numFmtId="0" xfId="0" applyAlignment="1" applyBorder="1" applyFont="1">
      <alignment horizontal="center" readingOrder="0" shrinkToFit="0" vertical="center" wrapText="1"/>
    </xf>
    <xf borderId="0" fillId="0" fontId="12" numFmtId="0" xfId="0" applyAlignment="1" applyFont="1">
      <alignment horizontal="left" shrinkToFit="0" vertical="center" wrapText="1"/>
    </xf>
    <xf borderId="21" fillId="4" fontId="14" numFmtId="0" xfId="0" applyAlignment="1" applyBorder="1" applyFont="1">
      <alignment horizontal="center" readingOrder="0" shrinkToFit="0" vertical="center" wrapText="1"/>
    </xf>
    <xf borderId="21" fillId="0" fontId="14" numFmtId="0" xfId="0" applyAlignment="1" applyBorder="1" applyFont="1">
      <alignment readingOrder="0" shrinkToFit="0" vertical="center" wrapText="1"/>
    </xf>
    <xf borderId="21" fillId="4" fontId="14" numFmtId="0" xfId="0" applyAlignment="1" applyBorder="1" applyFont="1">
      <alignment horizontal="center" shrinkToFit="0" vertical="center" wrapText="1"/>
    </xf>
    <xf borderId="21" fillId="0" fontId="2" numFmtId="0" xfId="0" applyAlignment="1" applyBorder="1" applyFont="1">
      <alignment horizontal="left" shrinkToFit="0" vertical="center" wrapText="1"/>
    </xf>
    <xf borderId="0" fillId="0" fontId="2" numFmtId="0" xfId="0" applyAlignment="1" applyFont="1">
      <alignment horizontal="left" shrinkToFit="0" vertical="center" wrapText="1"/>
    </xf>
    <xf borderId="21" fillId="0" fontId="2" numFmtId="0" xfId="0" applyAlignment="1" applyBorder="1" applyFont="1">
      <alignment readingOrder="0" shrinkToFit="0" vertical="center" wrapText="1"/>
    </xf>
    <xf borderId="50" fillId="4" fontId="14" numFmtId="0" xfId="0" applyAlignment="1" applyBorder="1" applyFont="1">
      <alignment shrinkToFit="0" vertical="center" wrapText="1"/>
    </xf>
    <xf borderId="21" fillId="19" fontId="46" numFmtId="0" xfId="0" applyAlignment="1" applyBorder="1" applyFont="1">
      <alignment readingOrder="0" shrinkToFit="0" vertical="center" wrapText="1"/>
    </xf>
    <xf borderId="23" fillId="0" fontId="3" numFmtId="0" xfId="0" applyAlignment="1" applyBorder="1" applyFont="1">
      <alignment shrinkToFit="0" vertical="center" wrapText="1"/>
    </xf>
    <xf borderId="23" fillId="0" fontId="14" numFmtId="0" xfId="0" applyAlignment="1" applyBorder="1" applyFont="1">
      <alignment shrinkToFit="0" vertical="center" wrapText="1"/>
    </xf>
    <xf borderId="57" fillId="0" fontId="14" numFmtId="0" xfId="0" applyAlignment="1" applyBorder="1" applyFont="1">
      <alignment horizontal="center" shrinkToFit="0" vertical="center" wrapText="1"/>
    </xf>
    <xf borderId="57" fillId="0" fontId="3" numFmtId="0" xfId="0" applyAlignment="1" applyBorder="1" applyFont="1">
      <alignment shrinkToFit="0" vertical="center" wrapText="1"/>
    </xf>
    <xf borderId="23" fillId="0" fontId="14" numFmtId="0" xfId="0" applyAlignment="1" applyBorder="1" applyFont="1">
      <alignment readingOrder="0" shrinkToFit="0" vertical="center" wrapText="1"/>
    </xf>
    <xf borderId="57" fillId="0" fontId="14" numFmtId="0" xfId="0" applyAlignment="1" applyBorder="1" applyFont="1">
      <alignment shrinkToFit="0" vertical="center" wrapText="1"/>
    </xf>
    <xf borderId="23" fillId="0" fontId="14" numFmtId="0" xfId="0" applyAlignment="1" applyBorder="1" applyFont="1">
      <alignment horizontal="center" shrinkToFit="0" vertical="center" wrapText="1"/>
    </xf>
    <xf borderId="58" fillId="4" fontId="3" numFmtId="0" xfId="0" applyAlignment="1" applyBorder="1" applyFont="1">
      <alignment shrinkToFit="0" vertical="center" wrapText="1"/>
    </xf>
    <xf borderId="21" fillId="0" fontId="48" numFmtId="0" xfId="0" applyAlignment="1" applyBorder="1" applyFont="1">
      <alignment horizontal="center" readingOrder="0" shrinkToFit="0" vertical="center" wrapText="1"/>
    </xf>
    <xf borderId="21" fillId="0" fontId="49" numFmtId="0" xfId="0" applyAlignment="1" applyBorder="1" applyFont="1">
      <alignment horizontal="center" readingOrder="0" shrinkToFit="0" vertical="center" wrapText="1"/>
    </xf>
    <xf borderId="21" fillId="0" fontId="49" numFmtId="0" xfId="0" applyAlignment="1" applyBorder="1" applyFont="1">
      <alignment horizontal="center" shrinkToFit="0" vertical="center" wrapText="1"/>
    </xf>
    <xf borderId="21" fillId="0" fontId="49" numFmtId="0" xfId="0" applyAlignment="1" applyBorder="1" applyFont="1">
      <alignment shrinkToFit="0" vertical="center" wrapText="1"/>
    </xf>
    <xf borderId="0" fillId="0" fontId="49" numFmtId="0" xfId="0" applyAlignment="1" applyFont="1">
      <alignment shrinkToFit="0" vertical="center" wrapText="1"/>
    </xf>
    <xf borderId="57" fillId="0" fontId="14" numFmtId="0" xfId="0" applyAlignment="1" applyBorder="1" applyFont="1">
      <alignment readingOrder="0" shrinkToFit="0" vertical="center" wrapText="1"/>
    </xf>
    <xf borderId="58" fillId="4" fontId="14" numFmtId="0" xfId="0" applyAlignment="1" applyBorder="1" applyFont="1">
      <alignment horizontal="center" shrinkToFit="0" vertical="center" wrapText="1"/>
    </xf>
    <xf borderId="21" fillId="4" fontId="12" numFmtId="0" xfId="0" applyAlignment="1" applyBorder="1" applyFont="1">
      <alignment horizontal="center" readingOrder="0" shrinkToFit="0" vertical="center" wrapText="1"/>
    </xf>
    <xf borderId="21" fillId="4" fontId="49" numFmtId="0" xfId="0" applyAlignment="1" applyBorder="1" applyFont="1">
      <alignment horizontal="center" shrinkToFit="0" vertical="center" wrapText="1"/>
    </xf>
    <xf borderId="21" fillId="4" fontId="49" numFmtId="0" xfId="0" applyAlignment="1" applyBorder="1" applyFont="1">
      <alignment shrinkToFit="0" vertical="center" wrapText="1"/>
    </xf>
    <xf borderId="21" fillId="4" fontId="48" numFmtId="0" xfId="0" applyAlignment="1" applyBorder="1" applyFont="1">
      <alignment horizontal="center" readingOrder="0" shrinkToFit="0" vertical="center" wrapText="1"/>
    </xf>
    <xf borderId="0" fillId="4" fontId="49" numFmtId="0" xfId="0" applyAlignment="1" applyFont="1">
      <alignment shrinkToFit="0" vertical="center" wrapText="1"/>
    </xf>
    <xf borderId="21" fillId="0" fontId="49" numFmtId="0" xfId="0" applyAlignment="1" applyBorder="1" applyFont="1">
      <alignment horizontal="left" shrinkToFit="0" vertical="center" wrapText="1"/>
    </xf>
    <xf borderId="21" fillId="0" fontId="48" numFmtId="0" xfId="0" applyAlignment="1" applyBorder="1" applyFont="1">
      <alignment horizontal="left" readingOrder="0" shrinkToFit="0" vertical="center" wrapText="1"/>
    </xf>
    <xf borderId="21" fillId="0" fontId="49" numFmtId="0" xfId="0" applyAlignment="1" applyBorder="1" applyFont="1">
      <alignment horizontal="left" readingOrder="0" shrinkToFit="0" vertical="center" wrapText="1"/>
    </xf>
    <xf borderId="21" fillId="4" fontId="49" numFmtId="0" xfId="0" applyAlignment="1" applyBorder="1" applyFont="1">
      <alignment horizontal="left" shrinkToFit="0" vertical="center" wrapText="1"/>
    </xf>
    <xf borderId="21" fillId="4" fontId="48" numFmtId="0" xfId="0" applyAlignment="1" applyBorder="1" applyFont="1">
      <alignment horizontal="left" readingOrder="0" shrinkToFit="0" vertical="center" wrapText="1"/>
    </xf>
    <xf borderId="0" fillId="4" fontId="49" numFmtId="0" xfId="0" applyAlignment="1" applyFont="1">
      <alignment horizontal="left" shrinkToFit="0" vertical="center" wrapText="1"/>
    </xf>
    <xf borderId="58" fillId="4" fontId="14" numFmtId="0" xfId="0" applyAlignment="1" applyBorder="1" applyFont="1">
      <alignment horizontal="center" readingOrder="0" shrinkToFit="0" vertical="center" wrapText="1"/>
    </xf>
    <xf borderId="59" fillId="0" fontId="14" numFmtId="0" xfId="0" applyAlignment="1" applyBorder="1" applyFont="1">
      <alignment readingOrder="0" shrinkToFit="0" vertical="center" wrapText="1"/>
    </xf>
    <xf borderId="60" fillId="0" fontId="14" numFmtId="0" xfId="0" applyAlignment="1" applyBorder="1" applyFont="1">
      <alignment shrinkToFit="0" vertical="center" wrapText="1"/>
    </xf>
    <xf borderId="21" fillId="0" fontId="48"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21" fillId="0" fontId="48" numFmtId="0" xfId="0" applyAlignment="1" applyBorder="1" applyFont="1">
      <alignment horizontal="left" shrinkToFit="0" vertical="center" wrapText="1"/>
    </xf>
    <xf borderId="0" fillId="0" fontId="49" numFmtId="0" xfId="0" applyAlignment="1" applyFont="1">
      <alignment horizontal="left" shrinkToFit="0" vertical="center" wrapText="1"/>
    </xf>
    <xf borderId="21" fillId="0" fontId="13" numFmtId="0" xfId="0" applyAlignment="1" applyBorder="1" applyFont="1">
      <alignment horizontal="center" readingOrder="0" shrinkToFit="0" vertical="center" wrapText="1"/>
    </xf>
    <xf borderId="21" fillId="0" fontId="50" numFmtId="0" xfId="0" applyAlignment="1" applyBorder="1" applyFont="1">
      <alignment readingOrder="0" shrinkToFit="0" vertical="center" wrapText="1"/>
    </xf>
    <xf borderId="58" fillId="4" fontId="14" numFmtId="0" xfId="0" applyAlignment="1" applyBorder="1" applyFont="1">
      <alignment readingOrder="0" shrinkToFit="0" vertical="center" wrapText="1"/>
    </xf>
    <xf borderId="58" fillId="4" fontId="3" numFmtId="0" xfId="0" applyAlignment="1" applyBorder="1" applyFont="1">
      <alignment readingOrder="0" shrinkToFit="0" vertical="center" wrapText="1"/>
    </xf>
    <xf borderId="58" fillId="4" fontId="14" numFmtId="0" xfId="0" applyAlignment="1" applyBorder="1" applyFont="1">
      <alignment shrinkToFit="0" vertical="center" wrapText="1"/>
    </xf>
    <xf quotePrefix="1" borderId="21" fillId="4" fontId="14" numFmtId="0" xfId="0" applyAlignment="1" applyBorder="1" applyFont="1">
      <alignment readingOrder="0" shrinkToFit="0" vertical="center" wrapText="1"/>
    </xf>
    <xf borderId="48" fillId="20" fontId="3" numFmtId="0" xfId="0" applyAlignment="1" applyBorder="1" applyFill="1" applyFont="1">
      <alignment horizontal="left" readingOrder="0" shrinkToFit="0" vertical="center" wrapText="1"/>
    </xf>
    <xf borderId="21" fillId="0" fontId="51" numFmtId="0" xfId="0" applyAlignment="1" applyBorder="1" applyFont="1">
      <alignment horizontal="center" shrinkToFit="0" vertical="center" wrapText="1"/>
    </xf>
    <xf borderId="21" fillId="0" fontId="52" numFmtId="0" xfId="0" applyAlignment="1" applyBorder="1" applyFont="1">
      <alignment shrinkToFit="0" vertical="center" wrapText="1"/>
    </xf>
    <xf borderId="21" fillId="0" fontId="51" numFmtId="0" xfId="0" applyAlignment="1" applyBorder="1" applyFont="1">
      <alignment readingOrder="0" shrinkToFit="0" vertical="center" wrapText="1"/>
    </xf>
    <xf borderId="50" fillId="4" fontId="51" numFmtId="0" xfId="0" applyAlignment="1" applyBorder="1" applyFont="1">
      <alignment shrinkToFit="0" vertical="center" wrapText="1"/>
    </xf>
    <xf borderId="21" fillId="0" fontId="52" numFmtId="0" xfId="0" applyAlignment="1" applyBorder="1" applyFont="1">
      <alignment readingOrder="0" shrinkToFit="0" vertical="center" wrapText="1"/>
    </xf>
    <xf borderId="21" fillId="0" fontId="51" numFmtId="0" xfId="0" applyAlignment="1" applyBorder="1" applyFont="1">
      <alignment horizontal="center" shrinkToFit="0" vertical="center" wrapText="1"/>
    </xf>
    <xf borderId="50" fillId="4" fontId="51" numFmtId="0" xfId="0" applyAlignment="1" applyBorder="1" applyFont="1">
      <alignment readingOrder="0" shrinkToFit="0" vertical="center" wrapText="1"/>
    </xf>
    <xf quotePrefix="1" borderId="50" fillId="4" fontId="51" numFmtId="0" xfId="0" applyAlignment="1" applyBorder="1" applyFont="1">
      <alignment shrinkToFit="0" vertical="center" wrapText="1"/>
    </xf>
    <xf borderId="21" fillId="4" fontId="51" numFmtId="0" xfId="0" applyAlignment="1" applyBorder="1" applyFont="1">
      <alignment readingOrder="0" shrinkToFit="0" vertical="center" wrapText="1"/>
    </xf>
    <xf borderId="21" fillId="4" fontId="52" numFmtId="0" xfId="0" applyAlignment="1" applyBorder="1" applyFont="1">
      <alignment readingOrder="0" shrinkToFit="0" vertical="center" wrapText="1"/>
    </xf>
    <xf quotePrefix="1" borderId="21" fillId="4" fontId="51" numFmtId="0" xfId="0" applyAlignment="1" applyBorder="1" applyFont="1">
      <alignment readingOrder="0" shrinkToFit="0" vertical="center" wrapText="1"/>
    </xf>
    <xf borderId="21" fillId="0" fontId="53" numFmtId="0" xfId="0" applyBorder="1" applyFont="1"/>
    <xf quotePrefix="1" borderId="21" fillId="0" fontId="14" numFmtId="0" xfId="0" applyAlignment="1" applyBorder="1" applyFont="1">
      <alignment readingOrder="0" shrinkToFit="0" vertical="center" wrapText="1"/>
    </xf>
    <xf borderId="23" fillId="0" fontId="2" numFmtId="0" xfId="0" applyAlignment="1" applyBorder="1" applyFont="1">
      <alignment horizontal="center" shrinkToFit="0" vertical="center" wrapText="1"/>
    </xf>
    <xf quotePrefix="1" borderId="21" fillId="0" fontId="51" numFmtId="0" xfId="0" applyAlignment="1" applyBorder="1" applyFont="1">
      <alignment readingOrder="0" shrinkToFit="0" vertical="center" wrapText="1"/>
    </xf>
    <xf borderId="21" fillId="4" fontId="51" numFmtId="0" xfId="0" applyAlignment="1" applyBorder="1" applyFont="1">
      <alignment shrinkToFit="0" vertical="center" wrapText="1"/>
    </xf>
    <xf borderId="23" fillId="0" fontId="2" numFmtId="0" xfId="0" applyAlignment="1" applyBorder="1" applyFont="1">
      <alignment horizontal="center" readingOrder="0" shrinkToFit="0" vertical="center" wrapText="1"/>
    </xf>
    <xf borderId="21" fillId="4" fontId="52" numFmtId="0" xfId="0" applyAlignment="1" applyBorder="1" applyFont="1">
      <alignment shrinkToFit="0" vertical="center" wrapText="1"/>
    </xf>
    <xf borderId="21" fillId="0" fontId="41" numFmtId="0" xfId="0" applyAlignment="1" applyBorder="1" applyFont="1">
      <alignment readingOrder="0" shrinkToFit="0" vertical="center" wrapText="1"/>
    </xf>
    <xf borderId="21" fillId="0" fontId="51" numFmtId="0" xfId="0" applyAlignment="1" applyBorder="1" applyFont="1">
      <alignment shrinkToFit="0" vertical="center" wrapText="1"/>
    </xf>
    <xf borderId="21" fillId="14" fontId="52" numFmtId="0" xfId="0" applyAlignment="1" applyBorder="1" applyFont="1">
      <alignment shrinkToFit="0" vertical="center" wrapText="1"/>
    </xf>
    <xf borderId="21" fillId="14" fontId="52" numFmtId="0" xfId="0" applyAlignment="1" applyBorder="1" applyFont="1">
      <alignment readingOrder="0" shrinkToFit="0" vertical="center" wrapText="1"/>
    </xf>
    <xf borderId="21" fillId="4" fontId="52" numFmtId="0" xfId="0" applyAlignment="1" applyBorder="1" applyFont="1">
      <alignment horizontal="left" readingOrder="0" shrinkToFit="0" vertical="center" wrapText="1"/>
    </xf>
    <xf borderId="23" fillId="4" fontId="51" numFmtId="0" xfId="0" applyAlignment="1" applyBorder="1" applyFont="1">
      <alignment horizontal="left" shrinkToFit="0" vertical="center" wrapText="1"/>
    </xf>
    <xf borderId="23" fillId="0" fontId="51" numFmtId="0" xfId="0" applyAlignment="1" applyBorder="1" applyFont="1">
      <alignment horizontal="left" readingOrder="0" shrinkToFit="0" vertical="center" wrapText="1"/>
    </xf>
    <xf borderId="23" fillId="4" fontId="51" numFmtId="0" xfId="0" applyAlignment="1" applyBorder="1" applyFont="1">
      <alignment horizontal="left" readingOrder="0" shrinkToFit="0" vertical="center" wrapText="1"/>
    </xf>
    <xf borderId="25" fillId="4" fontId="52" numFmtId="0" xfId="0" applyAlignment="1" applyBorder="1" applyFont="1">
      <alignment horizontal="left" readingOrder="0" shrinkToFit="0" vertical="center" wrapText="1"/>
    </xf>
    <xf borderId="57" fillId="4" fontId="51" numFmtId="0" xfId="0" applyAlignment="1" applyBorder="1" applyFont="1">
      <alignment horizontal="left" shrinkToFit="0" vertical="center" wrapText="1"/>
    </xf>
    <xf borderId="57" fillId="4" fontId="51" numFmtId="0" xfId="0" applyAlignment="1" applyBorder="1" applyFont="1">
      <alignment horizontal="left" readingOrder="0" shrinkToFit="0" vertical="center" wrapText="1"/>
    </xf>
    <xf borderId="21" fillId="0" fontId="52" numFmtId="0" xfId="0" applyAlignment="1" applyBorder="1" applyFont="1">
      <alignment shrinkToFit="0" vertical="center" wrapText="1"/>
    </xf>
    <xf borderId="21" fillId="0" fontId="35" numFmtId="0" xfId="0" applyAlignment="1" applyBorder="1" applyFont="1">
      <alignment shrinkToFit="0" vertical="center" wrapText="1"/>
    </xf>
    <xf borderId="21" fillId="0" fontId="35" numFmtId="0" xfId="0" applyAlignment="1" applyBorder="1" applyFont="1">
      <alignment readingOrder="0" shrinkToFit="0" vertical="center" wrapText="1"/>
    </xf>
    <xf borderId="21" fillId="0" fontId="35" numFmtId="0" xfId="0" applyAlignment="1" applyBorder="1" applyFont="1">
      <alignment shrinkToFit="0" vertical="center" wrapText="1"/>
    </xf>
    <xf borderId="21" fillId="0" fontId="35" numFmtId="0" xfId="0" applyAlignment="1" applyBorder="1" applyFont="1">
      <alignment horizontal="center" readingOrder="0" shrinkToFit="0" vertical="center" wrapText="1"/>
    </xf>
    <xf borderId="21" fillId="0" fontId="41" numFmtId="0" xfId="0" applyAlignment="1" applyBorder="1" applyFont="1">
      <alignment horizontal="center" readingOrder="0" shrinkToFit="0" vertical="center" wrapText="1"/>
    </xf>
    <xf borderId="21" fillId="0" fontId="41" numFmtId="0" xfId="0" applyAlignment="1" applyBorder="1" applyFont="1">
      <alignment horizontal="center" shrinkToFit="0" vertical="center" wrapText="1"/>
    </xf>
    <xf borderId="21" fillId="0" fontId="33" numFmtId="0" xfId="0" applyAlignment="1" applyBorder="1" applyFont="1">
      <alignment horizontal="center" shrinkToFit="0" vertical="center" wrapText="1"/>
    </xf>
    <xf borderId="21" fillId="0" fontId="35" numFmtId="0" xfId="0" applyAlignment="1" applyBorder="1" applyFont="1">
      <alignment horizontal="center" shrinkToFit="0" vertical="center" wrapText="1"/>
    </xf>
    <xf borderId="21" fillId="0" fontId="41" numFmtId="0" xfId="0" applyAlignment="1" applyBorder="1" applyFont="1">
      <alignment horizontal="left" shrinkToFit="0" vertical="center" wrapText="1"/>
    </xf>
    <xf borderId="21" fillId="0" fontId="41" numFmtId="0" xfId="0" applyAlignment="1" applyBorder="1" applyFont="1">
      <alignment shrinkToFit="0" vertical="center" wrapText="1"/>
    </xf>
    <xf borderId="1" fillId="4" fontId="37" numFmtId="0" xfId="0" applyAlignment="1" applyBorder="1" applyFont="1">
      <alignment horizontal="center" shrinkToFit="0" vertical="center" wrapText="1"/>
    </xf>
    <xf borderId="0" fillId="0" fontId="2" numFmtId="0" xfId="0" applyAlignment="1" applyFont="1">
      <alignment horizontal="center" vertical="center"/>
    </xf>
    <xf borderId="0" fillId="0" fontId="41" numFmtId="0" xfId="0" applyAlignment="1" applyFont="1">
      <alignment horizontal="center" vertical="center"/>
    </xf>
    <xf borderId="0" fillId="0" fontId="2" numFmtId="0" xfId="0" applyAlignment="1" applyFont="1">
      <alignment horizontal="center"/>
    </xf>
    <xf borderId="0" fillId="0" fontId="41" numFmtId="0" xfId="0" applyAlignment="1" applyFont="1">
      <alignment horizontal="left" vertical="center"/>
    </xf>
    <xf borderId="54" fillId="4" fontId="37" numFmtId="0" xfId="0" applyAlignment="1" applyBorder="1" applyFont="1">
      <alignment horizontal="center" shrinkToFit="0" vertical="center" wrapText="1"/>
    </xf>
    <xf borderId="45" fillId="5" fontId="33" numFmtId="0" xfId="0" applyAlignment="1" applyBorder="1" applyFont="1">
      <alignment horizontal="center" shrinkToFit="0" vertical="center" wrapText="1"/>
    </xf>
    <xf borderId="0" fillId="0" fontId="41" numFmtId="0" xfId="0" applyAlignment="1" applyFont="1">
      <alignment vertical="center"/>
    </xf>
    <xf borderId="48" fillId="17" fontId="54" numFmtId="0" xfId="0" applyAlignment="1" applyBorder="1" applyFont="1">
      <alignment shrinkToFit="0" vertical="center" wrapText="1"/>
    </xf>
    <xf borderId="21" fillId="0" fontId="55" numFmtId="0" xfId="0" applyAlignment="1" applyBorder="1" applyFont="1">
      <alignment shrinkToFit="0" vertical="center" wrapText="1"/>
    </xf>
    <xf borderId="21" fillId="0" fontId="55" numFmtId="0" xfId="0" applyAlignment="1" applyBorder="1" applyFont="1">
      <alignment shrinkToFit="0" vertical="center" wrapText="1"/>
    </xf>
    <xf borderId="0" fillId="0" fontId="55" numFmtId="0" xfId="0" applyAlignment="1" applyFont="1">
      <alignment shrinkToFit="0" vertical="center" wrapText="1"/>
    </xf>
    <xf borderId="21" fillId="0" fontId="55" numFmtId="0" xfId="0" applyAlignment="1" applyBorder="1" applyFont="1">
      <alignment readingOrder="0" shrinkToFit="0" vertical="center" wrapText="1"/>
    </xf>
    <xf borderId="21" fillId="0" fontId="14" numFmtId="0" xfId="0" applyAlignment="1" applyBorder="1" applyFont="1">
      <alignment readingOrder="0" shrinkToFit="0" vertical="center" wrapText="1"/>
    </xf>
    <xf borderId="48" fillId="17" fontId="56" numFmtId="0" xfId="0" applyAlignment="1" applyBorder="1" applyFont="1">
      <alignment horizontal="left" readingOrder="0" shrinkToFit="0" vertical="center" wrapText="1"/>
    </xf>
    <xf borderId="48" fillId="16" fontId="57" numFmtId="0" xfId="0" applyAlignment="1" applyBorder="1" applyFont="1">
      <alignment horizontal="left" readingOrder="0" shrinkToFit="0" vertical="center" wrapText="1"/>
    </xf>
    <xf borderId="21" fillId="0" fontId="58" numFmtId="0" xfId="0" applyAlignment="1" applyBorder="1" applyFont="1">
      <alignment horizontal="left" readingOrder="0" shrinkToFit="0" vertical="center" wrapText="1"/>
    </xf>
    <xf borderId="21" fillId="0" fontId="59" numFmtId="0" xfId="0" applyAlignment="1" applyBorder="1" applyFont="1">
      <alignment readingOrder="0" shrinkToFit="0" vertical="center" wrapText="1"/>
    </xf>
    <xf borderId="21" fillId="0" fontId="2" numFmtId="0" xfId="0" applyAlignment="1" applyBorder="1" applyFont="1">
      <alignment vertical="center"/>
    </xf>
    <xf borderId="21" fillId="0" fontId="60" numFmtId="0" xfId="0" applyAlignment="1" applyBorder="1" applyFont="1">
      <alignment readingOrder="0" shrinkToFit="0" vertical="center" wrapText="1"/>
    </xf>
    <xf borderId="21" fillId="0" fontId="61" numFmtId="0" xfId="0" applyAlignment="1" applyBorder="1" applyFont="1">
      <alignment horizontal="center" readingOrder="0" shrinkToFit="0" vertical="center" wrapText="1"/>
    </xf>
    <xf borderId="21" fillId="4" fontId="3" numFmtId="0" xfId="0" applyAlignment="1" applyBorder="1" applyFont="1">
      <alignment horizontal="center" shrinkToFit="0" vertical="center" wrapText="1"/>
    </xf>
    <xf borderId="48" fillId="4" fontId="12" numFmtId="0" xfId="0" applyAlignment="1" applyBorder="1" applyFont="1">
      <alignment shrinkToFit="0" vertical="center" wrapText="1"/>
    </xf>
    <xf borderId="0" fillId="4" fontId="12" numFmtId="0" xfId="0" applyAlignment="1" applyFont="1">
      <alignment horizontal="left" shrinkToFit="0" vertical="center" wrapText="1"/>
    </xf>
    <xf borderId="21" fillId="0" fontId="12" numFmtId="0" xfId="0" applyAlignment="1" applyBorder="1" applyFont="1">
      <alignment horizontal="center" readingOrder="0" shrinkToFit="0" vertical="center" wrapText="1"/>
    </xf>
    <xf borderId="48" fillId="0" fontId="12" numFmtId="0" xfId="0" applyAlignment="1" applyBorder="1" applyFont="1">
      <alignment shrinkToFit="0" vertical="center" wrapText="1"/>
    </xf>
    <xf borderId="21" fillId="0" fontId="60" numFmtId="0" xfId="0" applyAlignment="1" applyBorder="1" applyFont="1">
      <alignment shrinkToFit="0" vertical="center" wrapText="1"/>
    </xf>
    <xf borderId="21" fillId="0" fontId="59" numFmtId="0" xfId="0" applyAlignment="1" applyBorder="1" applyFont="1">
      <alignment shrinkToFit="0" vertical="center" wrapText="1"/>
    </xf>
    <xf borderId="21" fillId="0" fontId="59" numFmtId="0" xfId="0" applyAlignment="1" applyBorder="1" applyFont="1">
      <alignment shrinkToFit="0" vertical="center" wrapText="1"/>
    </xf>
    <xf borderId="48" fillId="16" fontId="52" numFmtId="0" xfId="0" applyAlignment="1" applyBorder="1" applyFont="1">
      <alignment horizontal="left" readingOrder="0" shrinkToFit="0" vertical="center" wrapText="1"/>
    </xf>
    <xf borderId="21" fillId="4" fontId="2" numFmtId="0" xfId="0" applyAlignment="1" applyBorder="1" applyFont="1">
      <alignment readingOrder="0" shrinkToFit="0" vertical="center" wrapText="1"/>
    </xf>
    <xf borderId="21" fillId="4" fontId="44" numFmtId="0" xfId="0" applyAlignment="1" applyBorder="1" applyFont="1">
      <alignment readingOrder="0" shrinkToFit="0" vertical="center" wrapText="1"/>
    </xf>
    <xf borderId="21" fillId="4" fontId="2" numFmtId="0" xfId="0" applyAlignment="1" applyBorder="1" applyFont="1">
      <alignment shrinkToFit="0" vertical="center" wrapText="1"/>
    </xf>
    <xf borderId="21" fillId="4" fontId="12" numFmtId="0" xfId="0" applyAlignment="1" applyBorder="1" applyFont="1">
      <alignment readingOrder="0" shrinkToFit="0" vertical="center" wrapText="1"/>
    </xf>
    <xf quotePrefix="1" borderId="21" fillId="0" fontId="14" numFmtId="0" xfId="0" applyAlignment="1" applyBorder="1" applyFont="1">
      <alignment shrinkToFit="0" vertical="center" wrapText="1"/>
    </xf>
    <xf borderId="21" fillId="21" fontId="14" numFmtId="0" xfId="0" applyAlignment="1" applyBorder="1" applyFill="1" applyFont="1">
      <alignment readingOrder="0" shrinkToFit="0" vertical="center" wrapText="1"/>
    </xf>
    <xf borderId="21" fillId="0" fontId="2" numFmtId="0" xfId="0" applyAlignment="1" applyBorder="1" applyFont="1">
      <alignment readingOrder="0" vertical="center"/>
    </xf>
    <xf borderId="21" fillId="0" fontId="2" numFmtId="0" xfId="0" applyAlignment="1" applyBorder="1" applyFont="1">
      <alignment readingOrder="0"/>
    </xf>
    <xf borderId="21" fillId="0" fontId="2" numFmtId="0" xfId="0" applyBorder="1" applyFont="1"/>
    <xf borderId="0" fillId="0" fontId="2" numFmtId="0" xfId="0" applyFont="1"/>
    <xf borderId="21" fillId="0" fontId="62" numFmtId="0" xfId="0" applyAlignment="1" applyBorder="1" applyFont="1">
      <alignment readingOrder="0" shrinkToFit="0" vertical="center" wrapText="1"/>
    </xf>
    <xf borderId="21" fillId="0" fontId="2" numFmtId="0" xfId="0" applyAlignment="1" applyBorder="1" applyFont="1">
      <alignment readingOrder="0" shrinkToFit="0" wrapText="1"/>
    </xf>
    <xf borderId="21" fillId="0" fontId="2" numFmtId="0" xfId="0" applyBorder="1" applyFont="1"/>
    <xf borderId="21" fillId="0" fontId="2" numFmtId="0" xfId="0" applyAlignment="1" applyBorder="1" applyFont="1">
      <alignment vertical="center"/>
    </xf>
    <xf borderId="21" fillId="0" fontId="14" numFmtId="0" xfId="0" applyAlignment="1" applyBorder="1" applyFont="1">
      <alignment vertical="center"/>
    </xf>
    <xf borderId="21" fillId="0" fontId="14" numFmtId="0" xfId="0" applyAlignment="1" applyBorder="1" applyFont="1">
      <alignment horizontal="center" vertical="center"/>
    </xf>
    <xf borderId="21" fillId="0" fontId="14" numFmtId="0" xfId="0" applyAlignment="1" applyBorder="1" applyFont="1">
      <alignment horizontal="center" vertical="center"/>
    </xf>
    <xf borderId="21" fillId="0" fontId="14" numFmtId="0" xfId="0" applyAlignment="1" applyBorder="1" applyFont="1">
      <alignment vertical="center"/>
    </xf>
    <xf borderId="21" fillId="0" fontId="13" numFmtId="0" xfId="0" applyAlignment="1" applyBorder="1" applyFont="1">
      <alignment horizontal="center" readingOrder="0" vertical="center"/>
    </xf>
    <xf borderId="21" fillId="4" fontId="14" numFmtId="0" xfId="0" applyAlignment="1" applyBorder="1" applyFont="1">
      <alignment vertical="center"/>
    </xf>
    <xf borderId="21" fillId="0" fontId="14" numFmtId="0" xfId="0" applyAlignment="1" applyBorder="1" applyFont="1">
      <alignment readingOrder="0" shrinkToFit="0" wrapText="1"/>
    </xf>
    <xf borderId="45" fillId="4" fontId="2" numFmtId="0" xfId="0" applyAlignment="1" applyBorder="1" applyFont="1">
      <alignment horizontal="center" readingOrder="0" shrinkToFit="0" vertical="center" wrapText="1"/>
    </xf>
    <xf borderId="21" fillId="0" fontId="55" numFmtId="0" xfId="0" applyAlignment="1" applyBorder="1" applyFont="1">
      <alignment horizontal="center" shrinkToFit="0" vertical="center" wrapText="1"/>
    </xf>
    <xf borderId="21" fillId="0" fontId="12" numFmtId="0" xfId="0" applyAlignment="1" applyBorder="1" applyFont="1">
      <alignment horizontal="left" readingOrder="0" shrinkToFit="0" vertical="center" wrapText="1"/>
    </xf>
    <xf borderId="21" fillId="4" fontId="12" numFmtId="0" xfId="0" applyAlignment="1" applyBorder="1" applyFont="1">
      <alignment readingOrder="0" shrinkToFit="0" vertical="center" wrapText="1"/>
    </xf>
    <xf borderId="48" fillId="16" fontId="3" numFmtId="0" xfId="0" applyAlignment="1" applyBorder="1" applyFont="1">
      <alignment readingOrder="0" shrinkToFit="0" vertical="center" wrapText="1"/>
    </xf>
    <xf borderId="48" fillId="16" fontId="3" numFmtId="0" xfId="0" applyAlignment="1" applyBorder="1" applyFont="1">
      <alignment shrinkToFit="0" vertical="center" wrapText="1"/>
    </xf>
    <xf borderId="21" fillId="0" fontId="2" numFmtId="0" xfId="0" applyAlignment="1" applyBorder="1" applyFont="1">
      <alignment horizontal="center" readingOrder="0" vertical="center"/>
    </xf>
    <xf borderId="49" fillId="5" fontId="13" numFmtId="0" xfId="0" applyAlignment="1" applyBorder="1" applyFont="1">
      <alignment horizontal="center" shrinkToFit="0" vertical="center" wrapText="1"/>
    </xf>
    <xf borderId="23" fillId="5" fontId="13" numFmtId="0" xfId="0" applyAlignment="1" applyBorder="1" applyFont="1">
      <alignment horizontal="center" shrinkToFit="0" vertical="center" wrapText="1"/>
    </xf>
    <xf borderId="48" fillId="22" fontId="63" numFmtId="0" xfId="0" applyAlignment="1" applyBorder="1" applyFill="1" applyFont="1">
      <alignment readingOrder="0" shrinkToFit="0" vertical="center" wrapText="1"/>
    </xf>
    <xf borderId="21" fillId="0" fontId="14" numFmtId="0" xfId="0" applyAlignment="1" applyBorder="1" applyFont="1">
      <alignment shrinkToFit="0" vertical="top" wrapText="1"/>
    </xf>
    <xf borderId="21" fillId="0" fontId="14" numFmtId="0" xfId="0" applyAlignment="1" applyBorder="1" applyFont="1">
      <alignment shrinkToFit="0" vertical="top" wrapText="1"/>
    </xf>
    <xf borderId="21" fillId="0" fontId="14" numFmtId="0" xfId="0" applyAlignment="1" applyBorder="1" applyFont="1">
      <alignment readingOrder="0" shrinkToFit="0" vertical="top" wrapText="1"/>
    </xf>
    <xf borderId="48" fillId="22" fontId="64" numFmtId="0" xfId="0" applyAlignment="1" applyBorder="1" applyFont="1">
      <alignment readingOrder="0" shrinkToFit="0" vertical="center" wrapText="1"/>
    </xf>
    <xf borderId="21" fillId="4" fontId="14" numFmtId="0" xfId="0" applyAlignment="1" applyBorder="1" applyFont="1">
      <alignment shrinkToFit="0" vertical="top" wrapText="1"/>
    </xf>
    <xf borderId="21" fillId="4" fontId="14" numFmtId="0" xfId="0" applyAlignment="1" applyBorder="1" applyFont="1">
      <alignment shrinkToFit="0" vertical="top" wrapText="1"/>
    </xf>
    <xf borderId="21" fillId="4" fontId="14" numFmtId="0" xfId="0" applyAlignment="1" applyBorder="1" applyFont="1">
      <alignment readingOrder="0" shrinkToFit="0" vertical="top" wrapText="1"/>
    </xf>
    <xf borderId="21" fillId="0" fontId="65" numFmtId="0" xfId="0" applyAlignment="1" applyBorder="1" applyFont="1">
      <alignment horizontal="center" shrinkToFit="0" vertical="center" wrapText="1"/>
    </xf>
    <xf borderId="21" fillId="0" fontId="66" numFmtId="0" xfId="0" applyAlignment="1" applyBorder="1" applyFont="1">
      <alignment horizontal="center" shrinkToFit="0" vertical="center" wrapText="1"/>
    </xf>
    <xf borderId="21" fillId="0" fontId="67" numFmtId="0" xfId="0" applyAlignment="1" applyBorder="1" applyFont="1">
      <alignment readingOrder="0" shrinkToFit="0" wrapText="1"/>
    </xf>
    <xf borderId="21" fillId="0" fontId="14" numFmtId="0" xfId="0" applyAlignment="1" applyBorder="1" applyFont="1">
      <alignment shrinkToFit="0" wrapText="1"/>
    </xf>
    <xf borderId="21" fillId="0" fontId="14" numFmtId="0" xfId="0" applyBorder="1" applyFont="1"/>
    <xf borderId="21" fillId="0" fontId="14" numFmtId="0" xfId="0" applyBorder="1" applyFont="1"/>
    <xf borderId="21" fillId="0" fontId="68" numFmtId="0" xfId="0" applyAlignment="1" applyBorder="1" applyFont="1">
      <alignment readingOrder="0" shrinkToFit="0" wrapText="1"/>
    </xf>
    <xf borderId="48" fillId="23" fontId="3" numFmtId="0" xfId="0" applyAlignment="1" applyBorder="1" applyFill="1" applyFont="1">
      <alignment readingOrder="0" shrinkToFit="0" vertical="center" wrapText="1"/>
    </xf>
    <xf borderId="21" fillId="0" fontId="69" numFmtId="0" xfId="0" applyAlignment="1" applyBorder="1" applyFont="1">
      <alignment readingOrder="0" shrinkToFit="0" vertical="center" wrapText="1"/>
    </xf>
    <xf borderId="0" fillId="0" fontId="70" numFmtId="0" xfId="0" applyAlignment="1" applyFont="1">
      <alignment readingOrder="0" vertical="center"/>
    </xf>
    <xf borderId="0" fillId="0" fontId="71" numFmtId="0" xfId="0" applyAlignment="1" applyFont="1">
      <alignment readingOrder="0" vertical="center"/>
    </xf>
    <xf borderId="0" fillId="0" fontId="72" numFmtId="0" xfId="0" applyAlignment="1" applyFont="1">
      <alignment readingOrder="0" vertical="center"/>
    </xf>
    <xf borderId="21" fillId="0" fontId="70" numFmtId="0" xfId="0" applyAlignment="1" applyBorder="1" applyFont="1">
      <alignment readingOrder="0" vertical="center"/>
    </xf>
    <xf borderId="21" fillId="0" fontId="71" numFmtId="0" xfId="0" applyAlignment="1" applyBorder="1" applyFont="1">
      <alignment readingOrder="0" vertical="center"/>
    </xf>
    <xf borderId="22" fillId="0" fontId="53" numFmtId="0" xfId="0" applyAlignment="1" applyBorder="1" applyFont="1">
      <alignment readingOrder="0" vertical="center"/>
    </xf>
    <xf borderId="21" fillId="0" fontId="53" numFmtId="0" xfId="0" applyAlignment="1" applyBorder="1" applyFont="1">
      <alignment readingOrder="0" vertical="center"/>
    </xf>
    <xf borderId="21" fillId="0" fontId="53" numFmtId="0" xfId="0" applyAlignment="1" applyBorder="1" applyFont="1">
      <alignment vertical="center"/>
    </xf>
    <xf borderId="0" fillId="0" fontId="53" numFmtId="0" xfId="0" applyAlignment="1" applyFont="1">
      <alignment vertical="center"/>
    </xf>
    <xf borderId="21" fillId="0" fontId="73" numFmtId="0" xfId="0" applyAlignment="1" applyBorder="1" applyFont="1">
      <alignment readingOrder="0" vertical="center"/>
    </xf>
    <xf borderId="21" fillId="0" fontId="74" numFmtId="0" xfId="0" applyAlignment="1" applyBorder="1" applyFont="1">
      <alignment readingOrder="0" vertical="center"/>
    </xf>
    <xf borderId="0" fillId="0" fontId="53" numFmtId="0" xfId="0" applyAlignment="1" applyFont="1">
      <alignment readingOrder="0" vertical="center"/>
    </xf>
    <xf borderId="21" fillId="0" fontId="53" numFmtId="0" xfId="0" applyAlignment="1" applyBorder="1" applyFont="1">
      <alignment readingOrder="0" shrinkToFit="0" vertical="center" wrapText="1"/>
    </xf>
    <xf borderId="0" fillId="0" fontId="53" numFmtId="0" xfId="0" applyAlignment="1" applyFont="1">
      <alignment readingOrder="0" shrinkToFit="0" vertical="center" wrapText="1"/>
    </xf>
    <xf borderId="21" fillId="0" fontId="53" numFmtId="0" xfId="0" applyAlignment="1" applyBorder="1" applyFont="1">
      <alignment readingOrder="0" vertical="center"/>
    </xf>
  </cellXfs>
  <cellStyles count="1">
    <cellStyle xfId="0" name="Normal" builtinId="0"/>
  </cellStyles>
  <dxfs count="8">
    <dxf>
      <font>
        <b/>
        <color rgb="FFFFFFFF"/>
      </font>
      <fill>
        <patternFill patternType="solid">
          <fgColor rgb="FF808080"/>
          <bgColor rgb="FF808080"/>
        </patternFill>
      </fill>
      <border/>
    </dxf>
    <dxf>
      <font>
        <b/>
        <color rgb="FFFFFFFF"/>
      </font>
      <fill>
        <patternFill patternType="solid">
          <fgColor rgb="FFFF0000"/>
          <bgColor rgb="FFFF0000"/>
        </patternFill>
      </fill>
      <border/>
    </dxf>
    <dxf>
      <font>
        <b/>
        <color rgb="FFFFFFFF"/>
      </font>
      <fill>
        <patternFill patternType="solid">
          <fgColor rgb="FF6FAC46"/>
          <bgColor rgb="FF6FAC46"/>
        </patternFill>
      </fill>
      <border/>
    </dxf>
    <dxf>
      <font/>
      <fill>
        <patternFill patternType="solid">
          <fgColor rgb="FFFFE699"/>
          <bgColor rgb="FFFFE699"/>
        </patternFill>
      </fill>
      <border/>
    </dxf>
    <dxf>
      <font>
        <b/>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ont>
        <b/>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fill>
        <patternFill patternType="solid">
          <fgColor rgb="FFFFE699"/>
          <bgColor rgb="FFFFE699"/>
        </patternFill>
      </fill>
      <border>
        <left style="thin">
          <color rgb="FF000000"/>
        </left>
        <right style="thin">
          <color rgb="FF000000"/>
        </right>
        <top style="thin">
          <color rgb="FF000000"/>
        </top>
        <bottom style="thin">
          <color rgb="FF000000"/>
        </bottom>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533400</xdr:colOff>
      <xdr:row>2</xdr:row>
      <xdr:rowOff>76200</xdr:rowOff>
    </xdr:from>
    <xdr:ext cx="1695450" cy="542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26</xdr:row>
      <xdr:rowOff>285750</xdr:rowOff>
    </xdr:from>
    <xdr:ext cx="200025" cy="581025"/>
    <xdr:sp>
      <xdr:nvSpPr>
        <xdr:cNvPr id="3" name="Shape 3"/>
        <xdr:cNvSpPr txBox="1"/>
      </xdr:nvSpPr>
      <xdr:spPr>
        <a:xfrm>
          <a:off x="5250750" y="3494250"/>
          <a:ext cx="190500" cy="57150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171450</xdr:colOff>
      <xdr:row>0</xdr:row>
      <xdr:rowOff>0</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0</xdr:row>
      <xdr:rowOff>114300</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85725</xdr:rowOff>
    </xdr:from>
    <xdr:ext cx="1752600" cy="53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104775</xdr:rowOff>
    </xdr:from>
    <xdr:ext cx="1752600" cy="533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h Dang Chau" id="{8750b43d-919e-48d1-a4ba-3d1bccac987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7" dT="2026-04-01T04:18:50.00" personId="{8750b43d-919e-48d1-a4ba-3d1bccac987c}" id="{970b842b-5cf9-461e-b53c-b5f0b38e1a98}" done="0">
    <x18tc:text xml:space="preserve">Hỏi lại BA: Sau khi kích hoạt code thành công, button Kích hoạt code có disable không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aging.tongdaiwifi.vn/" TargetMode="External"/><Relationship Id="rId2" Type="http://schemas.openxmlformats.org/officeDocument/2006/relationships/hyperlink" Target="https://staging.tongdaiwifi.vn/" TargetMode="External"/><Relationship Id="rId3" Type="http://schemas.openxmlformats.org/officeDocument/2006/relationships/hyperlink" Target="http://tongdaiwifi.vn/" TargetMode="External"/><Relationship Id="rId4" Type="http://schemas.openxmlformats.org/officeDocument/2006/relationships/hyperlink" Target="https://staging.tongdaiwifi.vn/" TargetMode="External"/><Relationship Id="rId5" Type="http://schemas.openxmlformats.org/officeDocument/2006/relationships/hyperlink" Target="https://foxproject.atlassian.net/browse/EP-938" TargetMode="External"/><Relationship Id="rId6" Type="http://schemas.openxmlformats.org/officeDocument/2006/relationships/hyperlink" Target="https://foxproject.atlassian.net/browse/EP-980" TargetMode="External"/><Relationship Id="rId7" Type="http://schemas.openxmlformats.org/officeDocument/2006/relationships/hyperlink" Target="https://foxproject.atlassian.net/browse/EP-922"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oxproject.atlassian.net/browse/EP-937" TargetMode="External"/><Relationship Id="rId2" Type="http://schemas.openxmlformats.org/officeDocument/2006/relationships/hyperlink" Target="https://foxproject.atlassian.net/browse/EP-975"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foxproject.atlassian.net/browse/EP-890" TargetMode="External"/><Relationship Id="rId9" Type="http://schemas.openxmlformats.org/officeDocument/2006/relationships/vmlDrawing" Target="../drawings/vmlDrawing1.vml"/><Relationship Id="rId5" Type="http://schemas.openxmlformats.org/officeDocument/2006/relationships/hyperlink" Target="https://foxproject.atlassian.net/browse/EP-890" TargetMode="External"/><Relationship Id="rId6" Type="http://schemas.openxmlformats.org/officeDocument/2006/relationships/hyperlink" Target="https://foxproject.atlassian.net/browse/EP-890" TargetMode="External"/><Relationship Id="rId7" Type="http://schemas.openxmlformats.org/officeDocument/2006/relationships/hyperlink" Target="https://foxproject.atlassian.net/browse/EP-910"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foxproject.atlassian.net/browse/EP-891" TargetMode="External"/><Relationship Id="rId2" Type="http://schemas.openxmlformats.org/officeDocument/2006/relationships/hyperlink" Target="https://foxproject.atlassian.net/browse/EP-899"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taging.tongdaiwifi.vn/dich-vu-so" TargetMode="External"/><Relationship Id="rId2" Type="http://schemas.openxmlformats.org/officeDocument/2006/relationships/hyperlink" Target="https://foxproject.atlassian.net/browse/EP-920"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foxproject.atlassian.net/browse/EP-908" TargetMode="External"/><Relationship Id="rId2" Type="http://schemas.openxmlformats.org/officeDocument/2006/relationships/hyperlink" Target="https://foxproject.atlassian.net/browse/EP-908" TargetMode="External"/><Relationship Id="rId3" Type="http://schemas.openxmlformats.org/officeDocument/2006/relationships/hyperlink" Target="https://saleplatform-stag.fpt.net/web-admin/DocumentDigital/ViewDocumentDigitalV2?guid=f27df4eb-1557-4d7b-9d22-896269be38d6" TargetMode="External"/><Relationship Id="rId4" Type="http://schemas.openxmlformats.org/officeDocument/2006/relationships/hyperlink" Target="https://foxproject.atlassian.net/browse/EP-896" TargetMode="External"/><Relationship Id="rId5" Type="http://schemas.openxmlformats.org/officeDocument/2006/relationships/hyperlink" Target="https://saleplatform-stag.fpt.net/web-admin/DocumentDigital/ViewDocumentDigitalV2?guid=732adf32-b79a-468f-8f40-218157a0359c" TargetMode="External"/><Relationship Id="rId6" Type="http://schemas.openxmlformats.org/officeDocument/2006/relationships/hyperlink" Target="https://saleplatform-stag.fpt.net/web-admin/DocumentDigital/ViewDocumentDigitalV2?guid=daf20e92-4b19-4beb-82af-da1abdf8ca64"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14" width="9.88"/>
    <col customWidth="1" min="15" max="15" width="11.75"/>
    <col customWidth="1" min="16" max="26" width="9.88"/>
  </cols>
  <sheetData>
    <row r="1" ht="39.75" customHeight="1">
      <c r="A1" s="1"/>
      <c r="B1" s="1"/>
      <c r="C1" s="1"/>
      <c r="D1" s="1"/>
      <c r="E1" s="1"/>
      <c r="F1" s="1"/>
      <c r="G1" s="1"/>
      <c r="H1" s="1"/>
      <c r="I1" s="1"/>
      <c r="J1" s="1"/>
      <c r="K1" s="1"/>
      <c r="L1" s="1"/>
      <c r="M1" s="1"/>
      <c r="N1" s="1"/>
      <c r="O1" s="1"/>
      <c r="P1" s="1"/>
      <c r="Q1" s="1"/>
      <c r="R1" s="1"/>
      <c r="S1" s="1"/>
      <c r="T1" s="1"/>
      <c r="U1" s="1"/>
      <c r="V1" s="1"/>
      <c r="W1" s="2"/>
      <c r="X1" s="2"/>
      <c r="Y1" s="2"/>
      <c r="Z1" s="2"/>
    </row>
    <row r="2" ht="39.75" customHeight="1">
      <c r="A2" s="1"/>
      <c r="B2" s="3"/>
      <c r="C2" s="4"/>
      <c r="D2" s="4"/>
      <c r="E2" s="4"/>
      <c r="F2" s="4"/>
      <c r="G2" s="4"/>
      <c r="H2" s="4"/>
      <c r="I2" s="4"/>
      <c r="J2" s="4"/>
      <c r="K2" s="4"/>
      <c r="L2" s="4"/>
      <c r="M2" s="4"/>
      <c r="N2" s="4"/>
      <c r="O2" s="5"/>
      <c r="P2" s="1"/>
      <c r="Q2" s="1"/>
      <c r="R2" s="1"/>
      <c r="S2" s="1"/>
      <c r="T2" s="1"/>
      <c r="U2" s="1"/>
      <c r="V2" s="1"/>
      <c r="W2" s="2"/>
      <c r="X2" s="2"/>
      <c r="Y2" s="2"/>
      <c r="Z2" s="2"/>
    </row>
    <row r="3" ht="39.75" customHeight="1">
      <c r="A3" s="1"/>
      <c r="B3" s="6"/>
      <c r="C3" s="1"/>
      <c r="D3" s="1"/>
      <c r="E3" s="1"/>
      <c r="F3" s="1"/>
      <c r="G3" s="1"/>
      <c r="H3" s="1"/>
      <c r="I3" s="1"/>
      <c r="J3" s="1"/>
      <c r="K3" s="1"/>
      <c r="L3" s="1"/>
      <c r="M3" s="1"/>
      <c r="N3" s="1"/>
      <c r="O3" s="7"/>
      <c r="P3" s="1"/>
      <c r="Q3" s="1"/>
      <c r="R3" s="1"/>
      <c r="S3" s="1"/>
      <c r="T3" s="1"/>
      <c r="U3" s="1"/>
      <c r="V3" s="1"/>
      <c r="W3" s="2"/>
      <c r="X3" s="2"/>
      <c r="Y3" s="2"/>
      <c r="Z3" s="2"/>
    </row>
    <row r="4" ht="39.75" customHeight="1">
      <c r="A4" s="1"/>
      <c r="B4" s="6"/>
      <c r="C4" s="1"/>
      <c r="D4" s="1"/>
      <c r="E4" s="1"/>
      <c r="F4" s="1"/>
      <c r="G4" s="1"/>
      <c r="H4" s="1"/>
      <c r="I4" s="8"/>
      <c r="J4" s="1"/>
      <c r="K4" s="1"/>
      <c r="L4" s="1"/>
      <c r="M4" s="1"/>
      <c r="N4" s="1"/>
      <c r="O4" s="7"/>
      <c r="P4" s="1"/>
      <c r="Q4" s="1"/>
      <c r="R4" s="1"/>
      <c r="S4" s="1"/>
      <c r="T4" s="1"/>
      <c r="U4" s="1"/>
      <c r="V4" s="1"/>
      <c r="W4" s="2"/>
      <c r="X4" s="2"/>
      <c r="Y4" s="2"/>
      <c r="Z4" s="2"/>
    </row>
    <row r="5" ht="39.75" customHeight="1">
      <c r="A5" s="1"/>
      <c r="B5" s="6"/>
      <c r="C5" s="1"/>
      <c r="D5" s="1"/>
      <c r="E5" s="1"/>
      <c r="F5" s="9"/>
      <c r="G5" s="1"/>
      <c r="H5" s="1"/>
      <c r="I5" s="1"/>
      <c r="J5" s="1"/>
      <c r="K5" s="1"/>
      <c r="L5" s="1"/>
      <c r="M5" s="1"/>
      <c r="N5" s="1"/>
      <c r="O5" s="7"/>
      <c r="P5" s="1"/>
      <c r="Q5" s="1"/>
      <c r="R5" s="1"/>
      <c r="S5" s="1"/>
      <c r="T5" s="1"/>
      <c r="U5" s="1"/>
      <c r="V5" s="1"/>
      <c r="W5" s="2"/>
      <c r="X5" s="2"/>
      <c r="Y5" s="2"/>
      <c r="Z5" s="2"/>
    </row>
    <row r="6" ht="39.75" customHeight="1">
      <c r="A6" s="1"/>
      <c r="B6" s="10" t="s">
        <v>0</v>
      </c>
      <c r="C6" s="11"/>
      <c r="D6" s="11"/>
      <c r="E6" s="11"/>
      <c r="F6" s="11"/>
      <c r="G6" s="11"/>
      <c r="H6" s="11"/>
      <c r="I6" s="11"/>
      <c r="J6" s="11"/>
      <c r="K6" s="11"/>
      <c r="L6" s="11"/>
      <c r="M6" s="11"/>
      <c r="N6" s="11"/>
      <c r="O6" s="12"/>
      <c r="P6" s="1"/>
      <c r="Q6" s="1"/>
      <c r="R6" s="1"/>
      <c r="S6" s="1"/>
      <c r="T6" s="1"/>
      <c r="U6" s="1"/>
      <c r="V6" s="1"/>
      <c r="W6" s="2"/>
      <c r="X6" s="2"/>
      <c r="Y6" s="2"/>
      <c r="Z6" s="2"/>
    </row>
    <row r="7" ht="39.75" customHeight="1">
      <c r="A7" s="1"/>
      <c r="B7" s="13" t="s">
        <v>1</v>
      </c>
      <c r="C7" s="11"/>
      <c r="D7" s="11"/>
      <c r="E7" s="11"/>
      <c r="F7" s="11"/>
      <c r="G7" s="11"/>
      <c r="H7" s="11"/>
      <c r="I7" s="11"/>
      <c r="J7" s="11"/>
      <c r="K7" s="11"/>
      <c r="L7" s="11"/>
      <c r="M7" s="11"/>
      <c r="N7" s="11"/>
      <c r="O7" s="12"/>
      <c r="P7" s="1"/>
      <c r="Q7" s="1"/>
      <c r="R7" s="1"/>
      <c r="S7" s="1"/>
      <c r="T7" s="1"/>
      <c r="U7" s="1"/>
      <c r="V7" s="1"/>
      <c r="W7" s="2"/>
      <c r="X7" s="2"/>
      <c r="Y7" s="2"/>
      <c r="Z7" s="2"/>
    </row>
    <row r="8" ht="39.75" customHeight="1">
      <c r="A8" s="1"/>
      <c r="B8" s="6"/>
      <c r="C8" s="1"/>
      <c r="D8" s="1"/>
      <c r="E8" s="1"/>
      <c r="F8" s="1"/>
      <c r="G8" s="1"/>
      <c r="H8" s="1"/>
      <c r="I8" s="1"/>
      <c r="J8" s="1"/>
      <c r="K8" s="1"/>
      <c r="L8" s="1"/>
      <c r="M8" s="1"/>
      <c r="N8" s="1"/>
      <c r="O8" s="7"/>
      <c r="P8" s="1"/>
      <c r="Q8" s="1"/>
      <c r="R8" s="1"/>
      <c r="S8" s="1"/>
      <c r="T8" s="1"/>
      <c r="U8" s="1"/>
      <c r="V8" s="1"/>
      <c r="W8" s="2"/>
      <c r="X8" s="2"/>
      <c r="Y8" s="2"/>
      <c r="Z8" s="2"/>
    </row>
    <row r="9" ht="39.75" customHeight="1">
      <c r="A9" s="1"/>
      <c r="B9" s="6"/>
      <c r="C9" s="1"/>
      <c r="D9" s="1"/>
      <c r="E9" s="1"/>
      <c r="F9" s="14" t="s">
        <v>2</v>
      </c>
      <c r="G9" s="15"/>
      <c r="H9" s="16"/>
      <c r="I9" s="17"/>
      <c r="J9" s="15"/>
      <c r="K9" s="16"/>
      <c r="L9" s="1"/>
      <c r="M9" s="1"/>
      <c r="N9" s="1"/>
      <c r="O9" s="7"/>
      <c r="P9" s="1"/>
      <c r="Q9" s="1"/>
      <c r="R9" s="1"/>
      <c r="S9" s="1"/>
      <c r="T9" s="1"/>
      <c r="U9" s="1"/>
      <c r="V9" s="1"/>
      <c r="W9" s="1"/>
      <c r="X9" s="1"/>
      <c r="Y9" s="1"/>
      <c r="Z9" s="1"/>
    </row>
    <row r="10" ht="39.75" customHeight="1">
      <c r="A10" s="1"/>
      <c r="B10" s="6"/>
      <c r="C10" s="1"/>
      <c r="D10" s="1"/>
      <c r="E10" s="1"/>
      <c r="F10" s="14" t="s">
        <v>3</v>
      </c>
      <c r="G10" s="15"/>
      <c r="H10" s="16"/>
      <c r="I10" s="18" t="s">
        <v>4</v>
      </c>
      <c r="J10" s="15"/>
      <c r="K10" s="16"/>
      <c r="L10" s="1"/>
      <c r="M10" s="1"/>
      <c r="N10" s="1"/>
      <c r="O10" s="7"/>
      <c r="P10" s="1"/>
      <c r="Q10" s="1"/>
      <c r="R10" s="1"/>
      <c r="S10" s="1"/>
      <c r="T10" s="1"/>
      <c r="U10" s="1"/>
      <c r="V10" s="1"/>
      <c r="W10" s="1"/>
      <c r="X10" s="1"/>
      <c r="Y10" s="1"/>
      <c r="Z10" s="1"/>
    </row>
    <row r="11" ht="39.75" customHeight="1">
      <c r="A11" s="1"/>
      <c r="B11" s="6"/>
      <c r="C11" s="1"/>
      <c r="D11" s="1"/>
      <c r="E11" s="1"/>
      <c r="F11" s="14" t="s">
        <v>5</v>
      </c>
      <c r="G11" s="15"/>
      <c r="H11" s="16"/>
      <c r="I11" s="19"/>
      <c r="J11" s="15"/>
      <c r="K11" s="16"/>
      <c r="L11" s="1"/>
      <c r="M11" s="1"/>
      <c r="N11" s="1"/>
      <c r="O11" s="7"/>
      <c r="P11" s="1"/>
      <c r="Q11" s="1"/>
      <c r="R11" s="1"/>
      <c r="S11" s="1"/>
      <c r="T11" s="1"/>
      <c r="U11" s="1"/>
      <c r="V11" s="20"/>
      <c r="W11" s="1"/>
      <c r="X11" s="1"/>
      <c r="Y11" s="1"/>
      <c r="Z11" s="1"/>
    </row>
    <row r="12" ht="39.75" customHeight="1">
      <c r="A12" s="1"/>
      <c r="B12" s="6"/>
      <c r="C12" s="1"/>
      <c r="D12" s="1"/>
      <c r="E12" s="1"/>
      <c r="F12" s="1"/>
      <c r="G12" s="1"/>
      <c r="H12" s="1"/>
      <c r="I12" s="1"/>
      <c r="J12" s="1"/>
      <c r="K12" s="1"/>
      <c r="L12" s="1"/>
      <c r="M12" s="1"/>
      <c r="N12" s="1"/>
      <c r="O12" s="7"/>
      <c r="P12" s="1"/>
      <c r="Q12" s="1"/>
      <c r="R12" s="1"/>
      <c r="S12" s="1"/>
      <c r="T12" s="1"/>
      <c r="U12" s="1"/>
      <c r="V12" s="1"/>
      <c r="W12" s="1"/>
      <c r="X12" s="1"/>
      <c r="Y12" s="1"/>
      <c r="Z12" s="1"/>
    </row>
    <row r="13" ht="39.75" customHeight="1">
      <c r="A13" s="1"/>
      <c r="B13" s="21"/>
      <c r="C13" s="22"/>
      <c r="D13" s="22"/>
      <c r="E13" s="22"/>
      <c r="F13" s="22"/>
      <c r="G13" s="22"/>
      <c r="H13" s="22"/>
      <c r="I13" s="22"/>
      <c r="J13" s="22"/>
      <c r="K13" s="22"/>
      <c r="L13" s="22"/>
      <c r="M13" s="22"/>
      <c r="N13" s="22"/>
      <c r="O13" s="23"/>
      <c r="P13" s="1"/>
      <c r="Q13" s="1"/>
      <c r="R13" s="1"/>
      <c r="S13" s="1"/>
      <c r="T13" s="1"/>
      <c r="U13" s="1"/>
      <c r="V13" s="1"/>
      <c r="W13" s="1"/>
      <c r="X13" s="1"/>
      <c r="Y13" s="1"/>
      <c r="Z13" s="1"/>
    </row>
    <row r="14" ht="39.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39.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39.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39.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39.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39.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39.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9.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39.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39.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39.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39.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39.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39.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39.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39.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39.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39.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39.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39.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39.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3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3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3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3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3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3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3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3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3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3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3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3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3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3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3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3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3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3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3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3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3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3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3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3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3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3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3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3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3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3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3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3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3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3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3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3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3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3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3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3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3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3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3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3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3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3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3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3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3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3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3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3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3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3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3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3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3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3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3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3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3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3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3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3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3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3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3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3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3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3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3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3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3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3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3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3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3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3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3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3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3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3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3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3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3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3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3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3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3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3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3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3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3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3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3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3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3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3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3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3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3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3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3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3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3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3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3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3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3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3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3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3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3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3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3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3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3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3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3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3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3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3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3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3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3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3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3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3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3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3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3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3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3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3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3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3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3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3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3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3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3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3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3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3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3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3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3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3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3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3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3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3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3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3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3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3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3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3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3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3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3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3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3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3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3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3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3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3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3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3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3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3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3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3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3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3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3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3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3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3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3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3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3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3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3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3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39.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39.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39.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39.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39.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39.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39.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39.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39.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39.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39.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39.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39.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39.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39.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39.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39.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39.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39.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39.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39.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39.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39.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39.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39.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39.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39.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39.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39.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39.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39.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39.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39.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39.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39.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39.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39.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39.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39.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39.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39.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39.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39.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39.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39.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39.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39.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39.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39.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39.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39.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39.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39.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39.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39.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39.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39.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39.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39.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39.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39.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39.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39.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39.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39.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39.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39.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39.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39.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39.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39.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39.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39.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39.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39.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39.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39.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39.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39.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39.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39.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39.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39.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39.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39.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39.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39.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39.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39.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39.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39.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39.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39.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39.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39.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39.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39.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39.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39.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39.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39.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39.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39.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39.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39.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39.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39.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39.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39.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39.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39.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39.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39.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39.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39.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39.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39.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39.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39.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39.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39.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39.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39.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39.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39.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39.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39.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39.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39.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39.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39.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39.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39.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39.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39.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39.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39.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39.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39.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39.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39.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39.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39.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39.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39.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39.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39.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39.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39.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39.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39.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39.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39.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39.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39.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39.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39.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39.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39.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39.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39.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39.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39.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39.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39.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39.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39.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39.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39.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39.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39.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39.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39.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39.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39.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39.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39.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39.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39.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39.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39.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39.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39.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39.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39.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39.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39.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39.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39.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39.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39.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39.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39.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39.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39.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39.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39.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39.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39.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39.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39.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39.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39.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39.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39.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39.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39.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39.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39.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39.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39.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39.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39.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39.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39.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39.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39.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39.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39.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39.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39.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39.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39.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39.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39.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39.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39.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39.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39.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39.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39.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39.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39.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39.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39.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39.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39.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39.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39.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39.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39.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39.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39.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39.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39.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39.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39.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39.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39.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39.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39.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39.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39.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39.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39.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39.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39.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39.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39.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39.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39.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39.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39.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39.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39.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39.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39.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39.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39.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39.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39.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39.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39.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39.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39.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39.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39.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39.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39.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39.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39.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39.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39.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39.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39.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39.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39.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39.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39.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39.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39.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39.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39.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39.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39.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39.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39.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39.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39.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39.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39.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39.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39.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39.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39.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39.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39.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39.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39.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39.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39.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39.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39.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39.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39.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39.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39.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39.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39.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39.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39.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39.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39.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39.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39.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39.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39.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39.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39.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39.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39.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39.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39.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39.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39.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39.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39.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39.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39.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39.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39.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39.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39.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39.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39.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39.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39.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39.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39.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39.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39.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39.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39.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39.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39.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39.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39.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39.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39.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39.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39.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39.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39.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39.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39.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39.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39.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39.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39.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39.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39.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39.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39.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39.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39.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39.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39.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39.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39.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39.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39.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39.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39.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39.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39.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39.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39.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39.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39.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39.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39.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39.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39.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39.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39.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39.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39.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39.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39.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39.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39.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39.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39.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39.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39.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39.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39.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39.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39.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39.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39.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39.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39.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39.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39.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39.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39.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39.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39.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39.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39.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39.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39.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39.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39.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39.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39.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39.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39.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39.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39.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39.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39.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39.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39.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39.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39.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39.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39.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39.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39.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39.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39.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39.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39.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39.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39.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39.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39.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39.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39.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39.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39.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39.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39.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39.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39.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39.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39.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39.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39.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39.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39.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39.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39.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39.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39.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39.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39.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39.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39.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39.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39.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39.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39.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39.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39.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39.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39.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39.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39.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39.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39.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39.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39.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39.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39.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39.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39.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39.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39.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39.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39.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39.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39.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39.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39.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39.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39.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39.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39.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39.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39.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39.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39.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39.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39.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39.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39.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39.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39.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39.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39.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39.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39.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39.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39.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39.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39.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39.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39.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39.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39.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39.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39.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39.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39.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39.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39.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39.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39.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39.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39.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39.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39.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39.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39.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39.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39.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39.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39.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39.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39.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39.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39.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39.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39.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39.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39.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39.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39.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39.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39.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39.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39.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39.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39.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39.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39.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39.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39.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39.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39.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39.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39.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39.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39.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39.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39.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39.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39.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39.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39.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39.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39.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39.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39.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39.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39.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39.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39.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39.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39.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39.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39.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39.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39.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39.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39.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39.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39.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39.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39.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39.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39.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39.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39.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39.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39.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39.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39.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39.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39.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39.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39.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39.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39.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39.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39.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39.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39.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39.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39.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39.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39.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39.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39.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39.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39.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39.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39.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39.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39.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39.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39.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39.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39.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39.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39.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39.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39.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39.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39.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39.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39.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39.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39.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39.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39.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39.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39.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39.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39.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39.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39.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39.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39.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39.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39.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39.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39.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39.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39.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39.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39.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39.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39.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39.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39.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39.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39.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39.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39.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39.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39.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39.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39.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39.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39.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39.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39.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39.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39.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39.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39.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39.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39.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39.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39.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39.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39.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39.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39.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39.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39.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39.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39.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39.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39.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39.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39.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39.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39.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39.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39.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39.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39.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39.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39.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39.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39.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39.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39.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39.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39.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39.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39.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39.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39.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39.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39.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39.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39.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39.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39.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39.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39.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39.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39.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39.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39.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39.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39.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39.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39.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39.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39.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39.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39.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39.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39.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39.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39.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39.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39.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39.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39.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39.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39.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39.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39.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39.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39.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39.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39.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39.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39.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39.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39.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39.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39.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39.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39.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39.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39.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39.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39.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39.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39.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39.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39.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39.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39.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39.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39.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39.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39.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39.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39.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39.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39.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39.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39.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39.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39.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39.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39.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39.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39.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39.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6:O6"/>
    <mergeCell ref="B7:O7"/>
    <mergeCell ref="F9:H9"/>
    <mergeCell ref="I9:K9"/>
    <mergeCell ref="F10:H10"/>
    <mergeCell ref="I10:K10"/>
    <mergeCell ref="F11:H11"/>
    <mergeCell ref="I11:K1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1.88"/>
    <col customWidth="1" min="3" max="4" width="22.88"/>
    <col customWidth="1" min="5" max="5" width="22.63"/>
    <col customWidth="1" min="6" max="6" width="41.75"/>
    <col customWidth="1" min="7" max="7" width="63.25"/>
    <col customWidth="1" min="8" max="8" width="18.38"/>
    <col customWidth="1" min="9" max="26" width="11.88"/>
    <col customWidth="1" min="27" max="27" width="14.38"/>
  </cols>
  <sheetData>
    <row r="1">
      <c r="A1" s="24"/>
      <c r="B1" s="25"/>
      <c r="C1" s="26" t="s">
        <v>6</v>
      </c>
      <c r="D1" s="11"/>
      <c r="E1" s="11"/>
      <c r="F1" s="11"/>
      <c r="G1" s="11"/>
      <c r="H1" s="11"/>
      <c r="I1" s="25"/>
      <c r="J1" s="25"/>
      <c r="K1" s="25"/>
      <c r="L1" s="25"/>
      <c r="M1" s="25"/>
      <c r="N1" s="25"/>
      <c r="O1" s="25"/>
      <c r="P1" s="25"/>
      <c r="Q1" s="25"/>
      <c r="R1" s="25"/>
      <c r="S1" s="25"/>
      <c r="T1" s="25"/>
      <c r="U1" s="25"/>
      <c r="V1" s="25"/>
      <c r="W1" s="25"/>
      <c r="X1" s="25"/>
      <c r="Y1" s="25"/>
      <c r="Z1" s="25"/>
      <c r="AA1" s="27"/>
    </row>
    <row r="2">
      <c r="A2" s="24"/>
      <c r="B2" s="25"/>
      <c r="C2" s="25"/>
      <c r="D2" s="25"/>
      <c r="E2" s="25"/>
      <c r="F2" s="25"/>
      <c r="G2" s="25"/>
      <c r="H2" s="28"/>
      <c r="I2" s="25"/>
      <c r="J2" s="25"/>
      <c r="K2" s="25"/>
      <c r="L2" s="25"/>
      <c r="M2" s="25"/>
      <c r="N2" s="25"/>
      <c r="O2" s="25"/>
      <c r="P2" s="25"/>
      <c r="Q2" s="25"/>
      <c r="R2" s="25"/>
      <c r="S2" s="25"/>
      <c r="T2" s="25"/>
      <c r="U2" s="25"/>
      <c r="V2" s="25"/>
      <c r="W2" s="25"/>
      <c r="X2" s="25"/>
      <c r="Y2" s="25"/>
      <c r="Z2" s="25"/>
      <c r="AA2" s="27"/>
    </row>
    <row r="3">
      <c r="A3" s="24"/>
      <c r="B3" s="29"/>
      <c r="C3" s="29"/>
      <c r="D3" s="29"/>
      <c r="E3" s="29"/>
      <c r="F3" s="29"/>
      <c r="G3" s="29"/>
      <c r="H3" s="30"/>
      <c r="I3" s="25"/>
      <c r="J3" s="25"/>
      <c r="K3" s="25"/>
      <c r="L3" s="25"/>
      <c r="M3" s="25"/>
      <c r="N3" s="25"/>
      <c r="O3" s="25"/>
      <c r="P3" s="25"/>
      <c r="Q3" s="25"/>
      <c r="R3" s="25"/>
      <c r="S3" s="25"/>
      <c r="T3" s="25"/>
      <c r="U3" s="25"/>
      <c r="V3" s="25"/>
      <c r="W3" s="25"/>
      <c r="X3" s="25"/>
      <c r="Y3" s="25"/>
      <c r="Z3" s="25"/>
      <c r="AA3" s="27"/>
    </row>
    <row r="4">
      <c r="A4" s="31"/>
      <c r="B4" s="32" t="s">
        <v>7</v>
      </c>
      <c r="C4" s="33" t="s">
        <v>8</v>
      </c>
      <c r="D4" s="32" t="s">
        <v>9</v>
      </c>
      <c r="E4" s="32" t="s">
        <v>10</v>
      </c>
      <c r="F4" s="32" t="s">
        <v>11</v>
      </c>
      <c r="G4" s="32" t="s">
        <v>12</v>
      </c>
      <c r="H4" s="32" t="s">
        <v>13</v>
      </c>
      <c r="I4" s="34"/>
      <c r="J4" s="35"/>
      <c r="K4" s="35"/>
      <c r="L4" s="35"/>
      <c r="M4" s="35"/>
      <c r="N4" s="35"/>
      <c r="O4" s="35"/>
      <c r="P4" s="35"/>
      <c r="Q4" s="35"/>
      <c r="R4" s="35"/>
      <c r="S4" s="35"/>
      <c r="T4" s="35"/>
      <c r="U4" s="35"/>
      <c r="V4" s="35"/>
      <c r="W4" s="35"/>
      <c r="X4" s="35"/>
      <c r="Y4" s="35"/>
      <c r="Z4" s="35"/>
      <c r="AA4" s="36"/>
    </row>
    <row r="5">
      <c r="A5" s="37"/>
      <c r="B5" s="38" t="s">
        <v>14</v>
      </c>
      <c r="C5" s="39"/>
      <c r="D5" s="38"/>
      <c r="E5" s="38"/>
      <c r="F5" s="38"/>
      <c r="G5" s="38"/>
      <c r="H5" s="38"/>
      <c r="I5" s="40"/>
      <c r="J5" s="41"/>
      <c r="K5" s="41"/>
      <c r="L5" s="41"/>
      <c r="M5" s="41"/>
      <c r="N5" s="41"/>
      <c r="O5" s="41"/>
      <c r="P5" s="41"/>
      <c r="Q5" s="41"/>
      <c r="R5" s="41"/>
      <c r="S5" s="41"/>
      <c r="T5" s="41"/>
      <c r="U5" s="41"/>
      <c r="V5" s="41"/>
      <c r="W5" s="41"/>
      <c r="X5" s="41"/>
      <c r="Y5" s="41"/>
      <c r="Z5" s="41"/>
      <c r="AA5" s="42"/>
    </row>
    <row r="6">
      <c r="A6" s="31"/>
      <c r="B6" s="43" t="s">
        <v>15</v>
      </c>
      <c r="C6" s="44" t="s">
        <v>16</v>
      </c>
      <c r="D6" s="44" t="s">
        <v>17</v>
      </c>
      <c r="E6" s="44" t="s">
        <v>18</v>
      </c>
      <c r="F6" s="45" t="s">
        <v>19</v>
      </c>
      <c r="G6" s="45" t="s">
        <v>19</v>
      </c>
      <c r="H6" s="46" t="s">
        <v>20</v>
      </c>
      <c r="I6" s="47"/>
      <c r="J6" s="48"/>
      <c r="K6" s="48"/>
      <c r="L6" s="48"/>
      <c r="M6" s="48"/>
      <c r="N6" s="48"/>
      <c r="O6" s="48"/>
      <c r="P6" s="48"/>
      <c r="Q6" s="48"/>
      <c r="R6" s="48"/>
      <c r="S6" s="48"/>
      <c r="T6" s="48"/>
      <c r="U6" s="48"/>
      <c r="V6" s="48"/>
      <c r="W6" s="48"/>
      <c r="X6" s="48"/>
      <c r="Y6" s="48"/>
      <c r="Z6" s="48"/>
      <c r="AA6" s="36"/>
    </row>
    <row r="7">
      <c r="A7" s="31"/>
      <c r="B7" s="49" t="s">
        <v>21</v>
      </c>
      <c r="C7" s="50">
        <v>46026.0</v>
      </c>
      <c r="D7" s="51" t="s">
        <v>17</v>
      </c>
      <c r="E7" s="51" t="s">
        <v>18</v>
      </c>
      <c r="F7" s="52" t="s">
        <v>22</v>
      </c>
      <c r="G7" s="53" t="s">
        <v>23</v>
      </c>
      <c r="H7" s="54" t="s">
        <v>20</v>
      </c>
      <c r="I7" s="47"/>
      <c r="J7" s="48"/>
      <c r="K7" s="48"/>
      <c r="L7" s="48"/>
      <c r="M7" s="48"/>
      <c r="N7" s="48"/>
      <c r="O7" s="48"/>
      <c r="P7" s="48"/>
      <c r="Q7" s="48"/>
      <c r="R7" s="48"/>
      <c r="S7" s="48"/>
      <c r="T7" s="48"/>
      <c r="U7" s="48"/>
      <c r="V7" s="48"/>
      <c r="W7" s="48"/>
      <c r="X7" s="48"/>
      <c r="Y7" s="48"/>
      <c r="Z7" s="48"/>
      <c r="AA7" s="36"/>
    </row>
    <row r="8">
      <c r="A8" s="31"/>
      <c r="B8" s="55"/>
      <c r="C8" s="55"/>
      <c r="D8" s="55"/>
      <c r="E8" s="55"/>
      <c r="F8" s="52" t="s">
        <v>24</v>
      </c>
      <c r="G8" s="53" t="s">
        <v>25</v>
      </c>
      <c r="H8" s="54" t="s">
        <v>20</v>
      </c>
      <c r="I8" s="47"/>
      <c r="J8" s="48"/>
      <c r="K8" s="48"/>
      <c r="L8" s="48"/>
      <c r="M8" s="48"/>
      <c r="N8" s="48"/>
      <c r="O8" s="48"/>
      <c r="P8" s="48"/>
      <c r="Q8" s="48"/>
      <c r="R8" s="48"/>
      <c r="S8" s="48"/>
      <c r="T8" s="48"/>
      <c r="U8" s="48"/>
      <c r="V8" s="48"/>
      <c r="W8" s="48"/>
      <c r="X8" s="48"/>
      <c r="Y8" s="48"/>
      <c r="Z8" s="48"/>
      <c r="AA8" s="36"/>
    </row>
    <row r="9">
      <c r="A9" s="31"/>
      <c r="B9" s="55"/>
      <c r="C9" s="55"/>
      <c r="D9" s="55"/>
      <c r="E9" s="55"/>
      <c r="F9" s="52" t="s">
        <v>26</v>
      </c>
      <c r="G9" s="53" t="s">
        <v>27</v>
      </c>
      <c r="H9" s="54" t="s">
        <v>20</v>
      </c>
      <c r="I9" s="47"/>
      <c r="J9" s="48"/>
      <c r="K9" s="48"/>
      <c r="L9" s="48"/>
      <c r="M9" s="48"/>
      <c r="N9" s="48"/>
      <c r="O9" s="48"/>
      <c r="P9" s="48"/>
      <c r="Q9" s="48"/>
      <c r="R9" s="48"/>
      <c r="S9" s="48"/>
      <c r="T9" s="48"/>
      <c r="U9" s="48"/>
      <c r="V9" s="48"/>
      <c r="W9" s="48"/>
      <c r="X9" s="48"/>
      <c r="Y9" s="48"/>
      <c r="Z9" s="48"/>
      <c r="AA9" s="36"/>
    </row>
    <row r="10">
      <c r="A10" s="31"/>
      <c r="B10" s="55"/>
      <c r="C10" s="55"/>
      <c r="D10" s="55"/>
      <c r="E10" s="55"/>
      <c r="F10" s="52" t="s">
        <v>28</v>
      </c>
      <c r="G10" s="53" t="s">
        <v>29</v>
      </c>
      <c r="H10" s="54" t="s">
        <v>20</v>
      </c>
      <c r="I10" s="47"/>
      <c r="J10" s="48"/>
      <c r="K10" s="48"/>
      <c r="L10" s="48"/>
      <c r="M10" s="48"/>
      <c r="N10" s="48"/>
      <c r="O10" s="48"/>
      <c r="P10" s="48"/>
      <c r="Q10" s="48"/>
      <c r="R10" s="48"/>
      <c r="S10" s="48"/>
      <c r="T10" s="48"/>
      <c r="U10" s="48"/>
      <c r="V10" s="48"/>
      <c r="W10" s="48"/>
      <c r="X10" s="48"/>
      <c r="Y10" s="48"/>
      <c r="Z10" s="48"/>
      <c r="AA10" s="36"/>
    </row>
    <row r="11">
      <c r="A11" s="31"/>
      <c r="B11" s="55"/>
      <c r="C11" s="55"/>
      <c r="D11" s="55"/>
      <c r="E11" s="55"/>
      <c r="F11" s="52" t="s">
        <v>30</v>
      </c>
      <c r="G11" s="53" t="s">
        <v>31</v>
      </c>
      <c r="H11" s="54" t="s">
        <v>20</v>
      </c>
      <c r="I11" s="47"/>
      <c r="J11" s="48"/>
      <c r="K11" s="48"/>
      <c r="L11" s="48"/>
      <c r="M11" s="48"/>
      <c r="N11" s="48"/>
      <c r="O11" s="48"/>
      <c r="P11" s="48"/>
      <c r="Q11" s="48"/>
      <c r="R11" s="48"/>
      <c r="S11" s="48"/>
      <c r="T11" s="48"/>
      <c r="U11" s="48"/>
      <c r="V11" s="48"/>
      <c r="W11" s="48"/>
      <c r="X11" s="48"/>
      <c r="Y11" s="48"/>
      <c r="Z11" s="48"/>
      <c r="AA11" s="36"/>
    </row>
    <row r="12">
      <c r="A12" s="31"/>
      <c r="B12" s="56"/>
      <c r="C12" s="56"/>
      <c r="D12" s="56"/>
      <c r="E12" s="56"/>
      <c r="F12" s="57" t="s">
        <v>32</v>
      </c>
      <c r="G12" s="57" t="s">
        <v>33</v>
      </c>
      <c r="H12" s="54" t="s">
        <v>20</v>
      </c>
      <c r="I12" s="47"/>
      <c r="J12" s="48"/>
      <c r="K12" s="48"/>
      <c r="L12" s="48"/>
      <c r="M12" s="48"/>
      <c r="N12" s="48"/>
      <c r="O12" s="48"/>
      <c r="P12" s="48"/>
      <c r="Q12" s="48"/>
      <c r="R12" s="48"/>
      <c r="S12" s="48"/>
      <c r="T12" s="48"/>
      <c r="U12" s="48"/>
      <c r="V12" s="48"/>
      <c r="W12" s="48"/>
      <c r="X12" s="48"/>
      <c r="Y12" s="48"/>
      <c r="Z12" s="48"/>
      <c r="AA12" s="36"/>
    </row>
    <row r="13">
      <c r="A13" s="31"/>
      <c r="B13" s="58"/>
      <c r="C13" s="59"/>
      <c r="D13" s="59"/>
      <c r="E13" s="59"/>
      <c r="F13" s="60"/>
      <c r="G13" s="60"/>
      <c r="H13" s="61"/>
      <c r="I13" s="47"/>
      <c r="J13" s="48"/>
      <c r="K13" s="48"/>
      <c r="L13" s="48"/>
      <c r="M13" s="48"/>
      <c r="N13" s="48"/>
      <c r="O13" s="48"/>
      <c r="P13" s="48"/>
      <c r="Q13" s="48"/>
      <c r="R13" s="48"/>
      <c r="S13" s="48"/>
      <c r="T13" s="48"/>
      <c r="U13" s="48"/>
      <c r="V13" s="48"/>
      <c r="W13" s="48"/>
      <c r="X13" s="48"/>
      <c r="Y13" s="48"/>
      <c r="Z13" s="48"/>
      <c r="AA13" s="36"/>
    </row>
    <row r="14">
      <c r="A14" s="31"/>
      <c r="B14" s="62"/>
      <c r="C14" s="63"/>
      <c r="D14" s="63"/>
      <c r="E14" s="63"/>
      <c r="F14" s="64"/>
      <c r="G14" s="64"/>
      <c r="H14" s="65"/>
      <c r="I14" s="47"/>
      <c r="J14" s="48"/>
      <c r="K14" s="48"/>
      <c r="L14" s="48"/>
      <c r="M14" s="48"/>
      <c r="N14" s="48"/>
      <c r="O14" s="48"/>
      <c r="P14" s="48"/>
      <c r="Q14" s="48"/>
      <c r="R14" s="48"/>
      <c r="S14" s="48"/>
      <c r="T14" s="48"/>
      <c r="U14" s="48"/>
      <c r="V14" s="48"/>
      <c r="W14" s="48"/>
      <c r="X14" s="48"/>
      <c r="Y14" s="48"/>
      <c r="Z14" s="48"/>
      <c r="AA14" s="36"/>
    </row>
    <row r="15">
      <c r="A15" s="31"/>
      <c r="B15" s="62"/>
      <c r="C15" s="63"/>
      <c r="D15" s="63"/>
      <c r="E15" s="63"/>
      <c r="F15" s="64"/>
      <c r="G15" s="64"/>
      <c r="H15" s="65"/>
      <c r="I15" s="47"/>
      <c r="J15" s="48"/>
      <c r="K15" s="48"/>
      <c r="L15" s="48"/>
      <c r="M15" s="48"/>
      <c r="N15" s="48"/>
      <c r="O15" s="48"/>
      <c r="P15" s="48"/>
      <c r="Q15" s="48"/>
      <c r="R15" s="48"/>
      <c r="S15" s="48"/>
      <c r="T15" s="48"/>
      <c r="U15" s="48"/>
      <c r="V15" s="48"/>
      <c r="W15" s="48"/>
      <c r="X15" s="48"/>
      <c r="Y15" s="48"/>
      <c r="Z15" s="48"/>
      <c r="AA15" s="36"/>
    </row>
    <row r="16">
      <c r="A16" s="31"/>
      <c r="B16" s="62"/>
      <c r="C16" s="63"/>
      <c r="D16" s="63"/>
      <c r="E16" s="63"/>
      <c r="F16" s="64"/>
      <c r="G16" s="64"/>
      <c r="H16" s="65"/>
      <c r="I16" s="47"/>
      <c r="J16" s="48"/>
      <c r="K16" s="48"/>
      <c r="L16" s="48"/>
      <c r="M16" s="48"/>
      <c r="N16" s="48"/>
      <c r="O16" s="48"/>
      <c r="P16" s="48"/>
      <c r="Q16" s="48"/>
      <c r="R16" s="48"/>
      <c r="S16" s="48"/>
      <c r="T16" s="48"/>
      <c r="U16" s="48"/>
      <c r="V16" s="48"/>
      <c r="W16" s="48"/>
      <c r="X16" s="48"/>
      <c r="Y16" s="48"/>
      <c r="Z16" s="48"/>
      <c r="AA16" s="36"/>
    </row>
    <row r="17">
      <c r="A17" s="31"/>
      <c r="B17" s="62"/>
      <c r="C17" s="63"/>
      <c r="D17" s="63"/>
      <c r="E17" s="63"/>
      <c r="F17" s="64"/>
      <c r="G17" s="64"/>
      <c r="H17" s="65"/>
      <c r="I17" s="47"/>
      <c r="J17" s="48"/>
      <c r="K17" s="48"/>
      <c r="L17" s="48"/>
      <c r="M17" s="48"/>
      <c r="N17" s="48"/>
      <c r="O17" s="48"/>
      <c r="P17" s="48"/>
      <c r="Q17" s="48"/>
      <c r="R17" s="48"/>
      <c r="S17" s="48"/>
      <c r="T17" s="48"/>
      <c r="U17" s="48"/>
      <c r="V17" s="48"/>
      <c r="W17" s="48"/>
      <c r="X17" s="48"/>
      <c r="Y17" s="48"/>
      <c r="Z17" s="48"/>
      <c r="AA17" s="36"/>
    </row>
    <row r="18">
      <c r="A18" s="31"/>
      <c r="B18" s="62"/>
      <c r="C18" s="63"/>
      <c r="D18" s="63"/>
      <c r="E18" s="63"/>
      <c r="F18" s="64"/>
      <c r="G18" s="64"/>
      <c r="H18" s="65"/>
      <c r="I18" s="47"/>
      <c r="J18" s="48"/>
      <c r="K18" s="48"/>
      <c r="L18" s="48"/>
      <c r="M18" s="48"/>
      <c r="N18" s="48"/>
      <c r="O18" s="48"/>
      <c r="P18" s="48"/>
      <c r="Q18" s="48"/>
      <c r="R18" s="48"/>
      <c r="S18" s="48"/>
      <c r="T18" s="48"/>
      <c r="U18" s="48"/>
      <c r="V18" s="48"/>
      <c r="W18" s="48"/>
      <c r="X18" s="48"/>
      <c r="Y18" s="48"/>
      <c r="Z18" s="48"/>
      <c r="AA18" s="36"/>
    </row>
    <row r="19">
      <c r="A19" s="31"/>
      <c r="B19" s="62"/>
      <c r="C19" s="63"/>
      <c r="D19" s="63"/>
      <c r="E19" s="63"/>
      <c r="F19" s="64"/>
      <c r="G19" s="64"/>
      <c r="H19" s="65"/>
      <c r="I19" s="47"/>
      <c r="J19" s="48"/>
      <c r="K19" s="48"/>
      <c r="L19" s="48"/>
      <c r="M19" s="48"/>
      <c r="N19" s="48"/>
      <c r="O19" s="48"/>
      <c r="P19" s="48"/>
      <c r="Q19" s="48"/>
      <c r="R19" s="48"/>
      <c r="S19" s="48"/>
      <c r="T19" s="48"/>
      <c r="U19" s="48"/>
      <c r="V19" s="48"/>
      <c r="W19" s="48"/>
      <c r="X19" s="48"/>
      <c r="Y19" s="48"/>
      <c r="Z19" s="48"/>
      <c r="AA19" s="36"/>
    </row>
    <row r="20">
      <c r="A20" s="31"/>
      <c r="B20" s="62"/>
      <c r="C20" s="63"/>
      <c r="D20" s="63"/>
      <c r="E20" s="63"/>
      <c r="F20" s="64"/>
      <c r="G20" s="64"/>
      <c r="H20" s="65"/>
      <c r="I20" s="47"/>
      <c r="J20" s="48"/>
      <c r="K20" s="48"/>
      <c r="L20" s="48"/>
      <c r="M20" s="48"/>
      <c r="N20" s="48"/>
      <c r="O20" s="48"/>
      <c r="P20" s="48"/>
      <c r="Q20" s="48"/>
      <c r="R20" s="48"/>
      <c r="S20" s="48"/>
      <c r="T20" s="48"/>
      <c r="U20" s="48"/>
      <c r="V20" s="48"/>
      <c r="W20" s="48"/>
      <c r="X20" s="48"/>
      <c r="Y20" s="48"/>
      <c r="Z20" s="48"/>
      <c r="AA20" s="36"/>
    </row>
    <row r="21">
      <c r="A21" s="31"/>
      <c r="B21" s="62"/>
      <c r="C21" s="63"/>
      <c r="D21" s="63"/>
      <c r="E21" s="63"/>
      <c r="F21" s="64"/>
      <c r="G21" s="64"/>
      <c r="H21" s="65"/>
      <c r="I21" s="47"/>
      <c r="J21" s="48"/>
      <c r="K21" s="48"/>
      <c r="L21" s="48"/>
      <c r="M21" s="48"/>
      <c r="N21" s="48"/>
      <c r="O21" s="48"/>
      <c r="P21" s="48"/>
      <c r="Q21" s="48"/>
      <c r="R21" s="48"/>
      <c r="S21" s="48"/>
      <c r="T21" s="48"/>
      <c r="U21" s="48"/>
      <c r="V21" s="48"/>
      <c r="W21" s="48"/>
      <c r="X21" s="48"/>
      <c r="Y21" s="48"/>
      <c r="Z21" s="48"/>
      <c r="AA21" s="36"/>
    </row>
    <row r="22">
      <c r="A22" s="31"/>
      <c r="B22" s="62"/>
      <c r="C22" s="63"/>
      <c r="D22" s="63"/>
      <c r="E22" s="63"/>
      <c r="F22" s="64"/>
      <c r="G22" s="64"/>
      <c r="H22" s="65"/>
      <c r="I22" s="47"/>
      <c r="J22" s="48"/>
      <c r="K22" s="48"/>
      <c r="L22" s="48"/>
      <c r="M22" s="48"/>
      <c r="N22" s="48"/>
      <c r="O22" s="48"/>
      <c r="P22" s="48"/>
      <c r="Q22" s="48"/>
      <c r="R22" s="48"/>
      <c r="S22" s="48"/>
      <c r="T22" s="48"/>
      <c r="U22" s="48"/>
      <c r="V22" s="48"/>
      <c r="W22" s="48"/>
      <c r="X22" s="48"/>
      <c r="Y22" s="48"/>
      <c r="Z22" s="48"/>
      <c r="AA22" s="36"/>
    </row>
    <row r="23">
      <c r="A23" s="31"/>
      <c r="B23" s="62"/>
      <c r="C23" s="63"/>
      <c r="D23" s="63"/>
      <c r="E23" s="63"/>
      <c r="F23" s="66"/>
      <c r="G23" s="64"/>
      <c r="H23" s="65"/>
      <c r="I23" s="47"/>
      <c r="J23" s="48"/>
      <c r="K23" s="48"/>
      <c r="L23" s="48"/>
      <c r="M23" s="48"/>
      <c r="N23" s="48"/>
      <c r="O23" s="48"/>
      <c r="P23" s="48"/>
      <c r="Q23" s="48"/>
      <c r="R23" s="48"/>
      <c r="S23" s="48"/>
      <c r="T23" s="48"/>
      <c r="U23" s="48"/>
      <c r="V23" s="48"/>
      <c r="W23" s="48"/>
      <c r="X23" s="48"/>
      <c r="Y23" s="48"/>
      <c r="Z23" s="48"/>
      <c r="AA23" s="36"/>
    </row>
    <row r="24">
      <c r="A24" s="31"/>
      <c r="B24" s="62"/>
      <c r="C24" s="63"/>
      <c r="D24" s="63"/>
      <c r="E24" s="63"/>
      <c r="F24" s="64"/>
      <c r="G24" s="64"/>
      <c r="H24" s="65"/>
      <c r="I24" s="47"/>
      <c r="J24" s="48"/>
      <c r="K24" s="48"/>
      <c r="L24" s="48"/>
      <c r="M24" s="48"/>
      <c r="N24" s="48"/>
      <c r="O24" s="48"/>
      <c r="P24" s="48"/>
      <c r="Q24" s="48"/>
      <c r="R24" s="48"/>
      <c r="S24" s="48"/>
      <c r="T24" s="48"/>
      <c r="U24" s="48"/>
      <c r="V24" s="48"/>
      <c r="W24" s="48"/>
      <c r="X24" s="48"/>
      <c r="Y24" s="48"/>
      <c r="Z24" s="48"/>
      <c r="AA24" s="36"/>
    </row>
    <row r="25">
      <c r="A25" s="31"/>
      <c r="B25" s="62"/>
      <c r="C25" s="63"/>
      <c r="D25" s="63"/>
      <c r="E25" s="63"/>
      <c r="F25" s="64"/>
      <c r="G25" s="64"/>
      <c r="H25" s="65"/>
      <c r="I25" s="47"/>
      <c r="J25" s="48"/>
      <c r="K25" s="48"/>
      <c r="L25" s="48"/>
      <c r="M25" s="48"/>
      <c r="N25" s="48"/>
      <c r="O25" s="48"/>
      <c r="P25" s="48"/>
      <c r="Q25" s="48"/>
      <c r="R25" s="48"/>
      <c r="S25" s="48"/>
      <c r="T25" s="48"/>
      <c r="U25" s="48"/>
      <c r="V25" s="48"/>
      <c r="W25" s="48"/>
      <c r="X25" s="48"/>
      <c r="Y25" s="48"/>
      <c r="Z25" s="48"/>
      <c r="AA25" s="36"/>
    </row>
    <row r="26">
      <c r="A26" s="31"/>
      <c r="B26" s="62"/>
      <c r="C26" s="63"/>
      <c r="D26" s="63"/>
      <c r="E26" s="63"/>
      <c r="F26" s="67"/>
      <c r="G26" s="64"/>
      <c r="H26" s="65"/>
      <c r="I26" s="47"/>
      <c r="J26" s="48"/>
      <c r="K26" s="48"/>
      <c r="L26" s="48"/>
      <c r="M26" s="48"/>
      <c r="N26" s="48"/>
      <c r="O26" s="48"/>
      <c r="P26" s="48"/>
      <c r="Q26" s="48"/>
      <c r="R26" s="48"/>
      <c r="S26" s="48"/>
      <c r="T26" s="48"/>
      <c r="U26" s="48"/>
      <c r="V26" s="48"/>
      <c r="W26" s="48"/>
      <c r="X26" s="48"/>
      <c r="Y26" s="48"/>
      <c r="Z26" s="48"/>
      <c r="AA26" s="36"/>
    </row>
    <row r="27">
      <c r="A27" s="31"/>
      <c r="B27" s="62"/>
      <c r="C27" s="63"/>
      <c r="D27" s="63"/>
      <c r="E27" s="63"/>
      <c r="F27" s="66"/>
      <c r="G27" s="64"/>
      <c r="H27" s="65"/>
      <c r="I27" s="47"/>
      <c r="J27" s="48"/>
      <c r="K27" s="48"/>
      <c r="L27" s="48"/>
      <c r="M27" s="48"/>
      <c r="N27" s="48"/>
      <c r="O27" s="48"/>
      <c r="P27" s="48"/>
      <c r="Q27" s="48"/>
      <c r="R27" s="48"/>
      <c r="S27" s="48"/>
      <c r="T27" s="48"/>
      <c r="U27" s="48"/>
      <c r="V27" s="48"/>
      <c r="W27" s="48"/>
      <c r="X27" s="48"/>
      <c r="Y27" s="48"/>
      <c r="Z27" s="48"/>
      <c r="AA27" s="36"/>
    </row>
    <row r="28">
      <c r="A28" s="24"/>
      <c r="B28" s="27"/>
      <c r="C28" s="68"/>
      <c r="D28" s="68"/>
      <c r="E28" s="68"/>
      <c r="F28" s="68"/>
      <c r="G28" s="27"/>
      <c r="H28" s="27"/>
      <c r="I28" s="27"/>
      <c r="J28" s="27"/>
      <c r="K28" s="27"/>
      <c r="L28" s="27"/>
      <c r="M28" s="27"/>
      <c r="N28" s="27"/>
      <c r="O28" s="27"/>
      <c r="P28" s="27"/>
      <c r="Q28" s="27"/>
      <c r="R28" s="27"/>
      <c r="S28" s="27"/>
      <c r="T28" s="27"/>
      <c r="U28" s="27"/>
      <c r="V28" s="27"/>
      <c r="W28" s="27"/>
      <c r="X28" s="27"/>
      <c r="Y28" s="27"/>
      <c r="Z28" s="27"/>
      <c r="AA28" s="27"/>
    </row>
    <row r="29">
      <c r="A29" s="69"/>
      <c r="B29" s="70"/>
      <c r="C29" s="71" t="s">
        <v>34</v>
      </c>
      <c r="D29" s="72"/>
      <c r="E29" s="72"/>
      <c r="F29" s="72"/>
      <c r="G29" s="72"/>
      <c r="H29" s="73"/>
      <c r="I29" s="73"/>
      <c r="J29" s="74"/>
      <c r="K29" s="74"/>
      <c r="L29" s="74"/>
      <c r="M29" s="74"/>
      <c r="N29" s="74"/>
      <c r="O29" s="74"/>
      <c r="P29" s="74"/>
      <c r="Q29" s="74"/>
      <c r="R29" s="74"/>
      <c r="S29" s="74"/>
      <c r="T29" s="74"/>
      <c r="U29" s="74"/>
      <c r="V29" s="74"/>
      <c r="W29" s="74"/>
      <c r="X29" s="74"/>
      <c r="Y29" s="74"/>
      <c r="Z29" s="74"/>
      <c r="AA29" s="74"/>
    </row>
    <row r="30">
      <c r="A30" s="24"/>
      <c r="B30" s="75" t="s">
        <v>35</v>
      </c>
      <c r="C30" s="75"/>
      <c r="D30" s="76"/>
      <c r="E30" s="77"/>
      <c r="F30" s="77"/>
      <c r="G30" s="77"/>
      <c r="H30" s="76"/>
      <c r="I30" s="76"/>
      <c r="J30" s="25"/>
      <c r="K30" s="25"/>
      <c r="L30" s="25"/>
      <c r="M30" s="25"/>
      <c r="N30" s="25"/>
      <c r="O30" s="25"/>
      <c r="P30" s="25"/>
      <c r="Q30" s="25"/>
      <c r="R30" s="25"/>
      <c r="S30" s="25"/>
      <c r="T30" s="25"/>
      <c r="U30" s="25"/>
      <c r="V30" s="25"/>
      <c r="W30" s="25"/>
      <c r="X30" s="25"/>
      <c r="Y30" s="25"/>
      <c r="Z30" s="25"/>
      <c r="AA30" s="25"/>
    </row>
    <row r="31">
      <c r="A31" s="24"/>
      <c r="B31" s="78"/>
      <c r="C31" s="78"/>
      <c r="D31" s="79"/>
      <c r="E31" s="80"/>
      <c r="F31" s="80"/>
      <c r="G31" s="80"/>
      <c r="H31" s="79"/>
      <c r="I31" s="79"/>
      <c r="J31" s="25"/>
      <c r="K31" s="25"/>
      <c r="L31" s="25"/>
      <c r="M31" s="25"/>
      <c r="N31" s="25"/>
      <c r="O31" s="25"/>
      <c r="P31" s="25"/>
      <c r="Q31" s="25"/>
      <c r="R31" s="25"/>
      <c r="S31" s="25"/>
      <c r="T31" s="25"/>
      <c r="U31" s="25"/>
      <c r="V31" s="25"/>
      <c r="W31" s="25"/>
      <c r="X31" s="25"/>
      <c r="Y31" s="25"/>
      <c r="Z31" s="25"/>
      <c r="AA31" s="25"/>
    </row>
    <row r="32">
      <c r="A32" s="81"/>
      <c r="B32" s="33" t="s">
        <v>5</v>
      </c>
      <c r="C32" s="32" t="s">
        <v>36</v>
      </c>
      <c r="D32" s="32" t="s">
        <v>37</v>
      </c>
      <c r="E32" s="32" t="s">
        <v>38</v>
      </c>
      <c r="F32" s="32" t="s">
        <v>39</v>
      </c>
      <c r="G32" s="82" t="s">
        <v>40</v>
      </c>
      <c r="H32" s="83"/>
      <c r="I32" s="84"/>
      <c r="J32" s="85"/>
      <c r="K32" s="25"/>
      <c r="L32" s="25"/>
      <c r="M32" s="25"/>
      <c r="N32" s="25"/>
      <c r="O32" s="25"/>
      <c r="P32" s="25"/>
      <c r="Q32" s="25"/>
      <c r="R32" s="25"/>
      <c r="S32" s="25"/>
      <c r="T32" s="25"/>
      <c r="U32" s="25"/>
      <c r="V32" s="25"/>
      <c r="W32" s="25"/>
      <c r="X32" s="25"/>
      <c r="Y32" s="25"/>
      <c r="Z32" s="25"/>
      <c r="AA32" s="25"/>
    </row>
    <row r="33">
      <c r="A33" s="81"/>
      <c r="B33" s="63"/>
      <c r="C33" s="62" t="s">
        <v>4</v>
      </c>
      <c r="D33" s="86"/>
      <c r="E33" s="86"/>
      <c r="F33" s="86"/>
      <c r="G33" s="87" t="s">
        <v>41</v>
      </c>
      <c r="H33" s="83"/>
      <c r="I33" s="84"/>
      <c r="J33" s="85"/>
      <c r="K33" s="25"/>
      <c r="L33" s="25"/>
      <c r="M33" s="25"/>
      <c r="N33" s="25"/>
      <c r="O33" s="25"/>
      <c r="P33" s="25"/>
      <c r="Q33" s="25"/>
      <c r="R33" s="25"/>
      <c r="S33" s="25"/>
      <c r="T33" s="25"/>
      <c r="U33" s="25"/>
      <c r="V33" s="25"/>
      <c r="W33" s="25"/>
      <c r="X33" s="25"/>
      <c r="Y33" s="25"/>
      <c r="Z33" s="25"/>
      <c r="AA33" s="25"/>
    </row>
    <row r="34">
      <c r="A34" s="81"/>
      <c r="B34" s="63"/>
      <c r="C34" s="62"/>
      <c r="D34" s="86"/>
      <c r="E34" s="86"/>
      <c r="F34" s="86"/>
      <c r="G34" s="88"/>
      <c r="H34" s="83"/>
      <c r="I34" s="84"/>
      <c r="J34" s="85"/>
      <c r="K34" s="25"/>
      <c r="L34" s="25"/>
      <c r="M34" s="25"/>
      <c r="N34" s="25"/>
      <c r="O34" s="25"/>
      <c r="P34" s="25"/>
      <c r="Q34" s="25"/>
      <c r="R34" s="25"/>
      <c r="S34" s="25"/>
      <c r="T34" s="25"/>
      <c r="U34" s="25"/>
      <c r="V34" s="25"/>
      <c r="W34" s="25"/>
      <c r="X34" s="25"/>
      <c r="Y34" s="25"/>
      <c r="Z34" s="25"/>
      <c r="AA34" s="25"/>
    </row>
    <row r="35">
      <c r="A35" s="81"/>
      <c r="B35" s="89"/>
      <c r="C35" s="62"/>
      <c r="D35" s="86"/>
      <c r="E35" s="86"/>
      <c r="F35" s="86"/>
      <c r="G35" s="87"/>
      <c r="H35" s="83"/>
      <c r="I35" s="84"/>
      <c r="J35" s="85"/>
      <c r="K35" s="25"/>
      <c r="L35" s="25"/>
      <c r="M35" s="25"/>
      <c r="N35" s="25"/>
      <c r="O35" s="25"/>
      <c r="P35" s="25"/>
      <c r="Q35" s="25"/>
      <c r="R35" s="25"/>
      <c r="S35" s="25"/>
      <c r="T35" s="25"/>
      <c r="U35" s="25"/>
      <c r="V35" s="25"/>
      <c r="W35" s="25"/>
      <c r="X35" s="25"/>
      <c r="Y35" s="25"/>
      <c r="Z35" s="25"/>
      <c r="AA35" s="25"/>
    </row>
    <row r="36">
      <c r="A36" s="24"/>
      <c r="B36" s="90"/>
      <c r="C36" s="91"/>
      <c r="D36" s="92"/>
      <c r="E36" s="92"/>
      <c r="F36" s="92"/>
      <c r="G36" s="93"/>
      <c r="H36" s="94"/>
      <c r="I36" s="95"/>
      <c r="J36" s="25"/>
      <c r="K36" s="25"/>
      <c r="L36" s="25"/>
      <c r="M36" s="25"/>
      <c r="N36" s="25"/>
      <c r="O36" s="25"/>
      <c r="P36" s="25"/>
      <c r="Q36" s="25"/>
      <c r="R36" s="25"/>
      <c r="S36" s="25"/>
      <c r="T36" s="25"/>
      <c r="U36" s="25"/>
      <c r="V36" s="25"/>
      <c r="W36" s="25"/>
      <c r="X36" s="25"/>
      <c r="Y36" s="25"/>
      <c r="Z36" s="25"/>
      <c r="AA36" s="25"/>
    </row>
    <row r="37">
      <c r="A37" s="24"/>
      <c r="B37" s="25"/>
      <c r="C37" s="25"/>
      <c r="D37" s="25"/>
      <c r="E37" s="25"/>
      <c r="F37" s="25"/>
      <c r="G37" s="25"/>
      <c r="H37" s="28"/>
      <c r="I37" s="25"/>
      <c r="J37" s="25"/>
      <c r="K37" s="25"/>
      <c r="L37" s="25"/>
      <c r="M37" s="25"/>
      <c r="N37" s="25"/>
      <c r="O37" s="25"/>
      <c r="P37" s="25"/>
      <c r="Q37" s="25"/>
      <c r="R37" s="25"/>
      <c r="S37" s="25"/>
      <c r="T37" s="25"/>
      <c r="U37" s="25"/>
      <c r="V37" s="25"/>
      <c r="W37" s="25"/>
      <c r="X37" s="25"/>
      <c r="Y37" s="25"/>
      <c r="Z37" s="25"/>
      <c r="AA37" s="27"/>
    </row>
    <row r="38">
      <c r="A38" s="24"/>
      <c r="B38" s="25"/>
      <c r="C38" s="25"/>
      <c r="D38" s="25"/>
      <c r="E38" s="25"/>
      <c r="F38" s="25"/>
      <c r="G38" s="25"/>
      <c r="H38" s="28"/>
      <c r="I38" s="25"/>
      <c r="J38" s="25"/>
      <c r="K38" s="25"/>
      <c r="L38" s="25"/>
      <c r="M38" s="25"/>
      <c r="N38" s="25"/>
      <c r="O38" s="25"/>
      <c r="P38" s="25"/>
      <c r="Q38" s="25"/>
      <c r="R38" s="25"/>
      <c r="S38" s="25"/>
      <c r="T38" s="25"/>
      <c r="U38" s="25"/>
      <c r="V38" s="25"/>
      <c r="W38" s="25"/>
      <c r="X38" s="25"/>
      <c r="Y38" s="25"/>
      <c r="Z38" s="25"/>
      <c r="AA38" s="27"/>
    </row>
    <row r="39">
      <c r="A39" s="24"/>
      <c r="B39" s="25"/>
      <c r="C39" s="25"/>
      <c r="D39" s="25"/>
      <c r="E39" s="25"/>
      <c r="F39" s="25"/>
      <c r="G39" s="25"/>
      <c r="H39" s="28"/>
      <c r="I39" s="25"/>
      <c r="J39" s="25"/>
      <c r="K39" s="25"/>
      <c r="L39" s="25"/>
      <c r="M39" s="25"/>
      <c r="N39" s="25"/>
      <c r="O39" s="25"/>
      <c r="P39" s="25"/>
      <c r="Q39" s="25"/>
      <c r="R39" s="25"/>
      <c r="S39" s="25"/>
      <c r="T39" s="25"/>
      <c r="U39" s="25"/>
      <c r="V39" s="25"/>
      <c r="W39" s="25"/>
      <c r="X39" s="25"/>
      <c r="Y39" s="25"/>
      <c r="Z39" s="25"/>
      <c r="AA39" s="27"/>
    </row>
    <row r="40">
      <c r="A40" s="24"/>
      <c r="B40" s="25"/>
      <c r="C40" s="25"/>
      <c r="D40" s="25"/>
      <c r="E40" s="25"/>
      <c r="F40" s="25"/>
      <c r="G40" s="25"/>
      <c r="H40" s="28"/>
      <c r="I40" s="25"/>
      <c r="J40" s="25"/>
      <c r="K40" s="25"/>
      <c r="L40" s="25"/>
      <c r="M40" s="25"/>
      <c r="N40" s="25"/>
      <c r="O40" s="25"/>
      <c r="P40" s="25"/>
      <c r="Q40" s="25"/>
      <c r="R40" s="25"/>
      <c r="S40" s="25"/>
      <c r="T40" s="25"/>
      <c r="U40" s="25"/>
      <c r="V40" s="25"/>
      <c r="W40" s="25"/>
      <c r="X40" s="25"/>
      <c r="Y40" s="25"/>
      <c r="Z40" s="25"/>
      <c r="AA40" s="27"/>
    </row>
    <row r="41">
      <c r="A41" s="24"/>
      <c r="B41" s="25"/>
      <c r="C41" s="25"/>
      <c r="D41" s="25"/>
      <c r="E41" s="25"/>
      <c r="F41" s="25"/>
      <c r="G41" s="25"/>
      <c r="H41" s="28"/>
      <c r="I41" s="25"/>
      <c r="J41" s="25"/>
      <c r="K41" s="25"/>
      <c r="L41" s="25"/>
      <c r="M41" s="25"/>
      <c r="N41" s="25"/>
      <c r="O41" s="25"/>
      <c r="P41" s="25"/>
      <c r="Q41" s="25"/>
      <c r="R41" s="25"/>
      <c r="S41" s="25"/>
      <c r="T41" s="25"/>
      <c r="U41" s="25"/>
      <c r="V41" s="25"/>
      <c r="W41" s="25"/>
      <c r="X41" s="25"/>
      <c r="Y41" s="25"/>
      <c r="Z41" s="25"/>
      <c r="AA41" s="27"/>
    </row>
    <row r="42">
      <c r="A42" s="24"/>
      <c r="B42" s="25"/>
      <c r="C42" s="25"/>
      <c r="D42" s="25"/>
      <c r="E42" s="25"/>
      <c r="F42" s="25"/>
      <c r="G42" s="25"/>
      <c r="H42" s="28"/>
      <c r="I42" s="25"/>
      <c r="J42" s="25"/>
      <c r="K42" s="25"/>
      <c r="L42" s="25"/>
      <c r="M42" s="25"/>
      <c r="N42" s="25"/>
      <c r="O42" s="25"/>
      <c r="P42" s="25"/>
      <c r="Q42" s="25"/>
      <c r="R42" s="25"/>
      <c r="S42" s="25"/>
      <c r="T42" s="25"/>
      <c r="U42" s="25"/>
      <c r="V42" s="25"/>
      <c r="W42" s="25"/>
      <c r="X42" s="25"/>
      <c r="Y42" s="25"/>
      <c r="Z42" s="25"/>
      <c r="AA42" s="27"/>
    </row>
    <row r="43">
      <c r="A43" s="24"/>
      <c r="B43" s="25"/>
      <c r="C43" s="25"/>
      <c r="D43" s="25"/>
      <c r="E43" s="25"/>
      <c r="F43" s="25"/>
      <c r="G43" s="25"/>
      <c r="H43" s="28"/>
      <c r="I43" s="25"/>
      <c r="J43" s="25"/>
      <c r="K43" s="25"/>
      <c r="L43" s="25"/>
      <c r="M43" s="25"/>
      <c r="N43" s="25"/>
      <c r="O43" s="25"/>
      <c r="P43" s="25"/>
      <c r="Q43" s="25"/>
      <c r="R43" s="25"/>
      <c r="S43" s="25"/>
      <c r="T43" s="25"/>
      <c r="U43" s="25"/>
      <c r="V43" s="25"/>
      <c r="W43" s="25"/>
      <c r="X43" s="25"/>
      <c r="Y43" s="25"/>
      <c r="Z43" s="25"/>
      <c r="AA43" s="27"/>
    </row>
    <row r="44">
      <c r="A44" s="24"/>
      <c r="B44" s="25"/>
      <c r="C44" s="25"/>
      <c r="D44" s="25"/>
      <c r="E44" s="25"/>
      <c r="F44" s="25"/>
      <c r="G44" s="25"/>
      <c r="H44" s="28"/>
      <c r="I44" s="25"/>
      <c r="J44" s="25"/>
      <c r="K44" s="25"/>
      <c r="L44" s="25"/>
      <c r="M44" s="25"/>
      <c r="N44" s="25"/>
      <c r="O44" s="25"/>
      <c r="P44" s="25"/>
      <c r="Q44" s="25"/>
      <c r="R44" s="25"/>
      <c r="S44" s="25"/>
      <c r="T44" s="25"/>
      <c r="U44" s="25"/>
      <c r="V44" s="25"/>
      <c r="W44" s="25"/>
      <c r="X44" s="25"/>
      <c r="Y44" s="25"/>
      <c r="Z44" s="25"/>
      <c r="AA44" s="27"/>
    </row>
    <row r="45">
      <c r="A45" s="24"/>
      <c r="B45" s="25"/>
      <c r="C45" s="25"/>
      <c r="D45" s="25"/>
      <c r="E45" s="25"/>
      <c r="F45" s="25"/>
      <c r="G45" s="25"/>
      <c r="H45" s="28"/>
      <c r="I45" s="25"/>
      <c r="J45" s="25"/>
      <c r="K45" s="25"/>
      <c r="L45" s="25"/>
      <c r="M45" s="25"/>
      <c r="N45" s="25"/>
      <c r="O45" s="25"/>
      <c r="P45" s="25"/>
      <c r="Q45" s="25"/>
      <c r="R45" s="25"/>
      <c r="S45" s="25"/>
      <c r="T45" s="25"/>
      <c r="U45" s="25"/>
      <c r="V45" s="25"/>
      <c r="W45" s="25"/>
      <c r="X45" s="25"/>
      <c r="Y45" s="25"/>
      <c r="Z45" s="25"/>
      <c r="AA45" s="27"/>
    </row>
    <row r="46">
      <c r="A46" s="24"/>
      <c r="B46" s="25"/>
      <c r="C46" s="25"/>
      <c r="D46" s="25"/>
      <c r="E46" s="25"/>
      <c r="F46" s="25"/>
      <c r="G46" s="25"/>
      <c r="H46" s="28"/>
      <c r="I46" s="25"/>
      <c r="J46" s="25"/>
      <c r="K46" s="25"/>
      <c r="L46" s="25"/>
      <c r="M46" s="25"/>
      <c r="N46" s="25"/>
      <c r="O46" s="25"/>
      <c r="P46" s="25"/>
      <c r="Q46" s="25"/>
      <c r="R46" s="25"/>
      <c r="S46" s="25"/>
      <c r="T46" s="25"/>
      <c r="U46" s="25"/>
      <c r="V46" s="25"/>
      <c r="W46" s="25"/>
      <c r="X46" s="25"/>
      <c r="Y46" s="25"/>
      <c r="Z46" s="25"/>
      <c r="AA46" s="27"/>
    </row>
    <row r="47">
      <c r="A47" s="24"/>
      <c r="B47" s="25"/>
      <c r="C47" s="25"/>
      <c r="D47" s="25"/>
      <c r="E47" s="25"/>
      <c r="F47" s="25"/>
      <c r="G47" s="25"/>
      <c r="H47" s="28"/>
      <c r="I47" s="25"/>
      <c r="J47" s="25"/>
      <c r="K47" s="25"/>
      <c r="L47" s="25"/>
      <c r="M47" s="25"/>
      <c r="N47" s="25"/>
      <c r="O47" s="25"/>
      <c r="P47" s="25"/>
      <c r="Q47" s="25"/>
      <c r="R47" s="25"/>
      <c r="S47" s="25"/>
      <c r="T47" s="25"/>
      <c r="U47" s="25"/>
      <c r="V47" s="25"/>
      <c r="W47" s="25"/>
      <c r="X47" s="25"/>
      <c r="Y47" s="25"/>
      <c r="Z47" s="25"/>
      <c r="AA47" s="27"/>
    </row>
    <row r="48">
      <c r="A48" s="24"/>
      <c r="B48" s="25"/>
      <c r="C48" s="25"/>
      <c r="D48" s="25"/>
      <c r="E48" s="25"/>
      <c r="F48" s="25"/>
      <c r="G48" s="25"/>
      <c r="H48" s="28"/>
      <c r="I48" s="25"/>
      <c r="J48" s="25"/>
      <c r="K48" s="25"/>
      <c r="L48" s="25"/>
      <c r="M48" s="25"/>
      <c r="N48" s="25"/>
      <c r="O48" s="25"/>
      <c r="P48" s="25"/>
      <c r="Q48" s="25"/>
      <c r="R48" s="25"/>
      <c r="S48" s="25"/>
      <c r="T48" s="25"/>
      <c r="U48" s="25"/>
      <c r="V48" s="25"/>
      <c r="W48" s="25"/>
      <c r="X48" s="25"/>
      <c r="Y48" s="25"/>
      <c r="Z48" s="25"/>
      <c r="AA48" s="27"/>
    </row>
    <row r="49">
      <c r="A49" s="24"/>
      <c r="B49" s="25"/>
      <c r="C49" s="25"/>
      <c r="D49" s="25"/>
      <c r="E49" s="25"/>
      <c r="F49" s="25"/>
      <c r="G49" s="25"/>
      <c r="H49" s="28"/>
      <c r="I49" s="25"/>
      <c r="J49" s="25"/>
      <c r="K49" s="25"/>
      <c r="L49" s="25"/>
      <c r="M49" s="25"/>
      <c r="N49" s="25"/>
      <c r="O49" s="25"/>
      <c r="P49" s="25"/>
      <c r="Q49" s="25"/>
      <c r="R49" s="25"/>
      <c r="S49" s="25"/>
      <c r="T49" s="25"/>
      <c r="U49" s="25"/>
      <c r="V49" s="25"/>
      <c r="W49" s="25"/>
      <c r="X49" s="25"/>
      <c r="Y49" s="25"/>
      <c r="Z49" s="25"/>
      <c r="AA49" s="27"/>
    </row>
    <row r="50">
      <c r="A50" s="24"/>
      <c r="B50" s="25"/>
      <c r="C50" s="25"/>
      <c r="D50" s="25"/>
      <c r="E50" s="25"/>
      <c r="F50" s="25"/>
      <c r="G50" s="25"/>
      <c r="H50" s="28"/>
      <c r="I50" s="25"/>
      <c r="J50" s="25"/>
      <c r="K50" s="25"/>
      <c r="L50" s="25"/>
      <c r="M50" s="25"/>
      <c r="N50" s="25"/>
      <c r="O50" s="25"/>
      <c r="P50" s="25"/>
      <c r="Q50" s="25"/>
      <c r="R50" s="25"/>
      <c r="S50" s="25"/>
      <c r="T50" s="25"/>
      <c r="U50" s="25"/>
      <c r="V50" s="25"/>
      <c r="W50" s="25"/>
      <c r="X50" s="25"/>
      <c r="Y50" s="25"/>
      <c r="Z50" s="25"/>
      <c r="AA50" s="27"/>
    </row>
    <row r="51">
      <c r="A51" s="24"/>
      <c r="B51" s="25"/>
      <c r="C51" s="25"/>
      <c r="D51" s="25"/>
      <c r="E51" s="25"/>
      <c r="F51" s="25"/>
      <c r="G51" s="25"/>
      <c r="H51" s="28"/>
      <c r="I51" s="25"/>
      <c r="J51" s="25"/>
      <c r="K51" s="25"/>
      <c r="L51" s="25"/>
      <c r="M51" s="25"/>
      <c r="N51" s="25"/>
      <c r="O51" s="25"/>
      <c r="P51" s="25"/>
      <c r="Q51" s="25"/>
      <c r="R51" s="25"/>
      <c r="S51" s="25"/>
      <c r="T51" s="25"/>
      <c r="U51" s="25"/>
      <c r="V51" s="25"/>
      <c r="W51" s="25"/>
      <c r="X51" s="25"/>
      <c r="Y51" s="25"/>
      <c r="Z51" s="25"/>
      <c r="AA51" s="27"/>
    </row>
    <row r="52">
      <c r="A52" s="24"/>
      <c r="B52" s="25"/>
      <c r="C52" s="25"/>
      <c r="D52" s="25"/>
      <c r="E52" s="25"/>
      <c r="F52" s="25"/>
      <c r="G52" s="25"/>
      <c r="H52" s="28"/>
      <c r="I52" s="25"/>
      <c r="J52" s="25"/>
      <c r="K52" s="25"/>
      <c r="L52" s="25"/>
      <c r="M52" s="25"/>
      <c r="N52" s="25"/>
      <c r="O52" s="25"/>
      <c r="P52" s="25"/>
      <c r="Q52" s="25"/>
      <c r="R52" s="25"/>
      <c r="S52" s="25"/>
      <c r="T52" s="25"/>
      <c r="U52" s="25"/>
      <c r="V52" s="25"/>
      <c r="W52" s="25"/>
      <c r="X52" s="25"/>
      <c r="Y52" s="25"/>
      <c r="Z52" s="25"/>
      <c r="AA52" s="27"/>
    </row>
    <row r="53">
      <c r="A53" s="24"/>
      <c r="B53" s="25"/>
      <c r="C53" s="25"/>
      <c r="D53" s="25"/>
      <c r="E53" s="25"/>
      <c r="F53" s="25"/>
      <c r="G53" s="25"/>
      <c r="H53" s="28"/>
      <c r="I53" s="25"/>
      <c r="J53" s="25"/>
      <c r="K53" s="25"/>
      <c r="L53" s="25"/>
      <c r="M53" s="25"/>
      <c r="N53" s="25"/>
      <c r="O53" s="25"/>
      <c r="P53" s="25"/>
      <c r="Q53" s="25"/>
      <c r="R53" s="25"/>
      <c r="S53" s="25"/>
      <c r="T53" s="25"/>
      <c r="U53" s="25"/>
      <c r="V53" s="25"/>
      <c r="W53" s="25"/>
      <c r="X53" s="25"/>
      <c r="Y53" s="25"/>
      <c r="Z53" s="25"/>
      <c r="AA53" s="27"/>
    </row>
    <row r="54">
      <c r="A54" s="24"/>
      <c r="B54" s="25"/>
      <c r="C54" s="25"/>
      <c r="D54" s="25"/>
      <c r="E54" s="25"/>
      <c r="F54" s="25"/>
      <c r="G54" s="25"/>
      <c r="H54" s="28"/>
      <c r="I54" s="25"/>
      <c r="J54" s="25"/>
      <c r="K54" s="25"/>
      <c r="L54" s="25"/>
      <c r="M54" s="25"/>
      <c r="N54" s="25"/>
      <c r="O54" s="25"/>
      <c r="P54" s="25"/>
      <c r="Q54" s="25"/>
      <c r="R54" s="25"/>
      <c r="S54" s="25"/>
      <c r="T54" s="25"/>
      <c r="U54" s="25"/>
      <c r="V54" s="25"/>
      <c r="W54" s="25"/>
      <c r="X54" s="25"/>
      <c r="Y54" s="25"/>
      <c r="Z54" s="25"/>
      <c r="AA54" s="27"/>
    </row>
    <row r="55">
      <c r="A55" s="24"/>
      <c r="B55" s="25"/>
      <c r="C55" s="25"/>
      <c r="D55" s="25"/>
      <c r="E55" s="25"/>
      <c r="F55" s="25"/>
      <c r="G55" s="25"/>
      <c r="H55" s="28"/>
      <c r="I55" s="25"/>
      <c r="J55" s="25"/>
      <c r="K55" s="25"/>
      <c r="L55" s="25"/>
      <c r="M55" s="25"/>
      <c r="N55" s="25"/>
      <c r="O55" s="25"/>
      <c r="P55" s="25"/>
      <c r="Q55" s="25"/>
      <c r="R55" s="25"/>
      <c r="S55" s="25"/>
      <c r="T55" s="25"/>
      <c r="U55" s="25"/>
      <c r="V55" s="25"/>
      <c r="W55" s="25"/>
      <c r="X55" s="25"/>
      <c r="Y55" s="25"/>
      <c r="Z55" s="25"/>
      <c r="AA55" s="27"/>
    </row>
    <row r="56">
      <c r="A56" s="24"/>
      <c r="B56" s="25"/>
      <c r="C56" s="25"/>
      <c r="D56" s="25"/>
      <c r="E56" s="25"/>
      <c r="F56" s="25"/>
      <c r="G56" s="25"/>
      <c r="H56" s="28"/>
      <c r="I56" s="25"/>
      <c r="J56" s="25"/>
      <c r="K56" s="25"/>
      <c r="L56" s="25"/>
      <c r="M56" s="25"/>
      <c r="N56" s="25"/>
      <c r="O56" s="25"/>
      <c r="P56" s="25"/>
      <c r="Q56" s="25"/>
      <c r="R56" s="25"/>
      <c r="S56" s="25"/>
      <c r="T56" s="25"/>
      <c r="U56" s="25"/>
      <c r="V56" s="25"/>
      <c r="W56" s="25"/>
      <c r="X56" s="25"/>
      <c r="Y56" s="25"/>
      <c r="Z56" s="25"/>
      <c r="AA56" s="27"/>
    </row>
    <row r="57">
      <c r="A57" s="24"/>
      <c r="B57" s="25"/>
      <c r="C57" s="25"/>
      <c r="D57" s="25"/>
      <c r="E57" s="25"/>
      <c r="F57" s="25"/>
      <c r="G57" s="25"/>
      <c r="H57" s="28"/>
      <c r="I57" s="25"/>
      <c r="J57" s="25"/>
      <c r="K57" s="25"/>
      <c r="L57" s="25"/>
      <c r="M57" s="25"/>
      <c r="N57" s="25"/>
      <c r="O57" s="25"/>
      <c r="P57" s="25"/>
      <c r="Q57" s="25"/>
      <c r="R57" s="25"/>
      <c r="S57" s="25"/>
      <c r="T57" s="25"/>
      <c r="U57" s="25"/>
      <c r="V57" s="25"/>
      <c r="W57" s="25"/>
      <c r="X57" s="25"/>
      <c r="Y57" s="25"/>
      <c r="Z57" s="25"/>
      <c r="AA57" s="27"/>
    </row>
    <row r="58">
      <c r="A58" s="24"/>
      <c r="B58" s="25"/>
      <c r="C58" s="25"/>
      <c r="D58" s="25"/>
      <c r="E58" s="25"/>
      <c r="F58" s="25"/>
      <c r="G58" s="25"/>
      <c r="H58" s="28"/>
      <c r="I58" s="25"/>
      <c r="J58" s="25"/>
      <c r="K58" s="25"/>
      <c r="L58" s="25"/>
      <c r="M58" s="25"/>
      <c r="N58" s="25"/>
      <c r="O58" s="25"/>
      <c r="P58" s="25"/>
      <c r="Q58" s="25"/>
      <c r="R58" s="25"/>
      <c r="S58" s="25"/>
      <c r="T58" s="25"/>
      <c r="U58" s="25"/>
      <c r="V58" s="25"/>
      <c r="W58" s="25"/>
      <c r="X58" s="25"/>
      <c r="Y58" s="25"/>
      <c r="Z58" s="25"/>
      <c r="AA58" s="27"/>
    </row>
    <row r="59">
      <c r="A59" s="24"/>
      <c r="B59" s="25"/>
      <c r="C59" s="25"/>
      <c r="D59" s="25"/>
      <c r="E59" s="25"/>
      <c r="F59" s="25"/>
      <c r="G59" s="25"/>
      <c r="H59" s="28"/>
      <c r="I59" s="25"/>
      <c r="J59" s="25"/>
      <c r="K59" s="25"/>
      <c r="L59" s="25"/>
      <c r="M59" s="25"/>
      <c r="N59" s="25"/>
      <c r="O59" s="25"/>
      <c r="P59" s="25"/>
      <c r="Q59" s="25"/>
      <c r="R59" s="25"/>
      <c r="S59" s="25"/>
      <c r="T59" s="25"/>
      <c r="U59" s="25"/>
      <c r="V59" s="25"/>
      <c r="W59" s="25"/>
      <c r="X59" s="25"/>
      <c r="Y59" s="25"/>
      <c r="Z59" s="25"/>
      <c r="AA59" s="27"/>
    </row>
    <row r="60">
      <c r="A60" s="24"/>
      <c r="B60" s="25"/>
      <c r="C60" s="25"/>
      <c r="D60" s="25"/>
      <c r="E60" s="25"/>
      <c r="F60" s="25"/>
      <c r="G60" s="25"/>
      <c r="H60" s="28"/>
      <c r="I60" s="25"/>
      <c r="J60" s="25"/>
      <c r="K60" s="25"/>
      <c r="L60" s="25"/>
      <c r="M60" s="25"/>
      <c r="N60" s="25"/>
      <c r="O60" s="25"/>
      <c r="P60" s="25"/>
      <c r="Q60" s="25"/>
      <c r="R60" s="25"/>
      <c r="S60" s="25"/>
      <c r="T60" s="25"/>
      <c r="U60" s="25"/>
      <c r="V60" s="25"/>
      <c r="W60" s="25"/>
      <c r="X60" s="25"/>
      <c r="Y60" s="25"/>
      <c r="Z60" s="25"/>
      <c r="AA60" s="27"/>
    </row>
    <row r="61">
      <c r="A61" s="24"/>
      <c r="B61" s="25"/>
      <c r="C61" s="25"/>
      <c r="D61" s="25"/>
      <c r="E61" s="25"/>
      <c r="F61" s="25"/>
      <c r="G61" s="25"/>
      <c r="H61" s="28"/>
      <c r="I61" s="25"/>
      <c r="J61" s="25"/>
      <c r="K61" s="25"/>
      <c r="L61" s="25"/>
      <c r="M61" s="25"/>
      <c r="N61" s="25"/>
      <c r="O61" s="25"/>
      <c r="P61" s="25"/>
      <c r="Q61" s="25"/>
      <c r="R61" s="25"/>
      <c r="S61" s="25"/>
      <c r="T61" s="25"/>
      <c r="U61" s="25"/>
      <c r="V61" s="25"/>
      <c r="W61" s="25"/>
      <c r="X61" s="25"/>
      <c r="Y61" s="25"/>
      <c r="Z61" s="25"/>
      <c r="AA61" s="27"/>
    </row>
    <row r="62">
      <c r="A62" s="24"/>
      <c r="B62" s="25"/>
      <c r="C62" s="25"/>
      <c r="D62" s="25"/>
      <c r="E62" s="25"/>
      <c r="F62" s="25"/>
      <c r="G62" s="25"/>
      <c r="H62" s="28"/>
      <c r="I62" s="25"/>
      <c r="J62" s="25"/>
      <c r="K62" s="25"/>
      <c r="L62" s="25"/>
      <c r="M62" s="25"/>
      <c r="N62" s="25"/>
      <c r="O62" s="25"/>
      <c r="P62" s="25"/>
      <c r="Q62" s="25"/>
      <c r="R62" s="25"/>
      <c r="S62" s="25"/>
      <c r="T62" s="25"/>
      <c r="U62" s="25"/>
      <c r="V62" s="25"/>
      <c r="W62" s="25"/>
      <c r="X62" s="25"/>
      <c r="Y62" s="25"/>
      <c r="Z62" s="25"/>
      <c r="AA62" s="27"/>
    </row>
    <row r="63">
      <c r="A63" s="24"/>
      <c r="B63" s="25"/>
      <c r="C63" s="25"/>
      <c r="D63" s="25"/>
      <c r="E63" s="25"/>
      <c r="F63" s="25"/>
      <c r="G63" s="25"/>
      <c r="H63" s="28"/>
      <c r="I63" s="25"/>
      <c r="J63" s="25"/>
      <c r="K63" s="25"/>
      <c r="L63" s="25"/>
      <c r="M63" s="25"/>
      <c r="N63" s="25"/>
      <c r="O63" s="25"/>
      <c r="P63" s="25"/>
      <c r="Q63" s="25"/>
      <c r="R63" s="25"/>
      <c r="S63" s="25"/>
      <c r="T63" s="25"/>
      <c r="U63" s="25"/>
      <c r="V63" s="25"/>
      <c r="W63" s="25"/>
      <c r="X63" s="25"/>
      <c r="Y63" s="25"/>
      <c r="Z63" s="25"/>
      <c r="AA63" s="27"/>
    </row>
    <row r="64">
      <c r="A64" s="24"/>
      <c r="B64" s="25"/>
      <c r="C64" s="25"/>
      <c r="D64" s="25"/>
      <c r="E64" s="25"/>
      <c r="F64" s="25"/>
      <c r="G64" s="25"/>
      <c r="H64" s="28"/>
      <c r="I64" s="25"/>
      <c r="J64" s="25"/>
      <c r="K64" s="25"/>
      <c r="L64" s="25"/>
      <c r="M64" s="25"/>
      <c r="N64" s="25"/>
      <c r="O64" s="25"/>
      <c r="P64" s="25"/>
      <c r="Q64" s="25"/>
      <c r="R64" s="25"/>
      <c r="S64" s="25"/>
      <c r="T64" s="25"/>
      <c r="U64" s="25"/>
      <c r="V64" s="25"/>
      <c r="W64" s="25"/>
      <c r="X64" s="25"/>
      <c r="Y64" s="25"/>
      <c r="Z64" s="25"/>
      <c r="AA64" s="27"/>
    </row>
    <row r="65">
      <c r="A65" s="24"/>
      <c r="B65" s="25"/>
      <c r="C65" s="25"/>
      <c r="D65" s="25"/>
      <c r="E65" s="25"/>
      <c r="F65" s="25"/>
      <c r="G65" s="25"/>
      <c r="H65" s="28"/>
      <c r="I65" s="25"/>
      <c r="J65" s="25"/>
      <c r="K65" s="25"/>
      <c r="L65" s="25"/>
      <c r="M65" s="25"/>
      <c r="N65" s="25"/>
      <c r="O65" s="25"/>
      <c r="P65" s="25"/>
      <c r="Q65" s="25"/>
      <c r="R65" s="25"/>
      <c r="S65" s="25"/>
      <c r="T65" s="25"/>
      <c r="U65" s="25"/>
      <c r="V65" s="25"/>
      <c r="W65" s="25"/>
      <c r="X65" s="25"/>
      <c r="Y65" s="25"/>
      <c r="Z65" s="25"/>
      <c r="AA65" s="27"/>
    </row>
    <row r="66">
      <c r="A66" s="24"/>
      <c r="B66" s="25"/>
      <c r="C66" s="25"/>
      <c r="D66" s="25"/>
      <c r="E66" s="25"/>
      <c r="F66" s="25"/>
      <c r="G66" s="25"/>
      <c r="H66" s="28"/>
      <c r="I66" s="25"/>
      <c r="J66" s="25"/>
      <c r="K66" s="25"/>
      <c r="L66" s="25"/>
      <c r="M66" s="25"/>
      <c r="N66" s="25"/>
      <c r="O66" s="25"/>
      <c r="P66" s="25"/>
      <c r="Q66" s="25"/>
      <c r="R66" s="25"/>
      <c r="S66" s="25"/>
      <c r="T66" s="25"/>
      <c r="U66" s="25"/>
      <c r="V66" s="25"/>
      <c r="W66" s="25"/>
      <c r="X66" s="25"/>
      <c r="Y66" s="25"/>
      <c r="Z66" s="25"/>
      <c r="AA66" s="27"/>
    </row>
    <row r="67">
      <c r="A67" s="24"/>
      <c r="B67" s="25"/>
      <c r="C67" s="25"/>
      <c r="D67" s="25"/>
      <c r="E67" s="25"/>
      <c r="F67" s="25"/>
      <c r="G67" s="25"/>
      <c r="H67" s="28"/>
      <c r="I67" s="25"/>
      <c r="J67" s="25"/>
      <c r="K67" s="25"/>
      <c r="L67" s="25"/>
      <c r="M67" s="25"/>
      <c r="N67" s="25"/>
      <c r="O67" s="25"/>
      <c r="P67" s="25"/>
      <c r="Q67" s="25"/>
      <c r="R67" s="25"/>
      <c r="S67" s="25"/>
      <c r="T67" s="25"/>
      <c r="U67" s="25"/>
      <c r="V67" s="25"/>
      <c r="W67" s="25"/>
      <c r="X67" s="25"/>
      <c r="Y67" s="25"/>
      <c r="Z67" s="25"/>
      <c r="AA67" s="27"/>
    </row>
    <row r="68">
      <c r="A68" s="24"/>
      <c r="B68" s="25"/>
      <c r="C68" s="25"/>
      <c r="D68" s="25"/>
      <c r="E68" s="25"/>
      <c r="F68" s="25"/>
      <c r="G68" s="25"/>
      <c r="H68" s="28"/>
      <c r="I68" s="25"/>
      <c r="J68" s="25"/>
      <c r="K68" s="25"/>
      <c r="L68" s="25"/>
      <c r="M68" s="25"/>
      <c r="N68" s="25"/>
      <c r="O68" s="25"/>
      <c r="P68" s="25"/>
      <c r="Q68" s="25"/>
      <c r="R68" s="25"/>
      <c r="S68" s="25"/>
      <c r="T68" s="25"/>
      <c r="U68" s="25"/>
      <c r="V68" s="25"/>
      <c r="W68" s="25"/>
      <c r="X68" s="25"/>
      <c r="Y68" s="25"/>
      <c r="Z68" s="25"/>
      <c r="AA68" s="27"/>
    </row>
    <row r="69">
      <c r="A69" s="24"/>
      <c r="B69" s="25"/>
      <c r="C69" s="25"/>
      <c r="D69" s="25"/>
      <c r="E69" s="25"/>
      <c r="F69" s="25"/>
      <c r="G69" s="25"/>
      <c r="H69" s="28"/>
      <c r="I69" s="25"/>
      <c r="J69" s="25"/>
      <c r="K69" s="25"/>
      <c r="L69" s="25"/>
      <c r="M69" s="25"/>
      <c r="N69" s="25"/>
      <c r="O69" s="25"/>
      <c r="P69" s="25"/>
      <c r="Q69" s="25"/>
      <c r="R69" s="25"/>
      <c r="S69" s="25"/>
      <c r="T69" s="25"/>
      <c r="U69" s="25"/>
      <c r="V69" s="25"/>
      <c r="W69" s="25"/>
      <c r="X69" s="25"/>
      <c r="Y69" s="25"/>
      <c r="Z69" s="25"/>
      <c r="AA69" s="27"/>
    </row>
    <row r="70">
      <c r="A70" s="24"/>
      <c r="B70" s="25"/>
      <c r="C70" s="25"/>
      <c r="D70" s="25"/>
      <c r="E70" s="25"/>
      <c r="F70" s="25"/>
      <c r="G70" s="25"/>
      <c r="H70" s="28"/>
      <c r="I70" s="25"/>
      <c r="J70" s="25"/>
      <c r="K70" s="25"/>
      <c r="L70" s="25"/>
      <c r="M70" s="25"/>
      <c r="N70" s="25"/>
      <c r="O70" s="25"/>
      <c r="P70" s="25"/>
      <c r="Q70" s="25"/>
      <c r="R70" s="25"/>
      <c r="S70" s="25"/>
      <c r="T70" s="25"/>
      <c r="U70" s="25"/>
      <c r="V70" s="25"/>
      <c r="W70" s="25"/>
      <c r="X70" s="25"/>
      <c r="Y70" s="25"/>
      <c r="Z70" s="25"/>
      <c r="AA70" s="27"/>
    </row>
    <row r="71">
      <c r="A71" s="24"/>
      <c r="B71" s="25"/>
      <c r="C71" s="25"/>
      <c r="D71" s="25"/>
      <c r="E71" s="25"/>
      <c r="F71" s="25"/>
      <c r="G71" s="25"/>
      <c r="H71" s="28"/>
      <c r="I71" s="25"/>
      <c r="J71" s="25"/>
      <c r="K71" s="25"/>
      <c r="L71" s="25"/>
      <c r="M71" s="25"/>
      <c r="N71" s="25"/>
      <c r="O71" s="25"/>
      <c r="P71" s="25"/>
      <c r="Q71" s="25"/>
      <c r="R71" s="25"/>
      <c r="S71" s="25"/>
      <c r="T71" s="25"/>
      <c r="U71" s="25"/>
      <c r="V71" s="25"/>
      <c r="W71" s="25"/>
      <c r="X71" s="25"/>
      <c r="Y71" s="25"/>
      <c r="Z71" s="25"/>
      <c r="AA71" s="27"/>
    </row>
    <row r="72">
      <c r="A72" s="24"/>
      <c r="B72" s="25"/>
      <c r="C72" s="25"/>
      <c r="D72" s="25"/>
      <c r="E72" s="25"/>
      <c r="F72" s="25"/>
      <c r="G72" s="25"/>
      <c r="H72" s="28"/>
      <c r="I72" s="25"/>
      <c r="J72" s="25"/>
      <c r="K72" s="25"/>
      <c r="L72" s="25"/>
      <c r="M72" s="25"/>
      <c r="N72" s="25"/>
      <c r="O72" s="25"/>
      <c r="P72" s="25"/>
      <c r="Q72" s="25"/>
      <c r="R72" s="25"/>
      <c r="S72" s="25"/>
      <c r="T72" s="25"/>
      <c r="U72" s="25"/>
      <c r="V72" s="25"/>
      <c r="W72" s="25"/>
      <c r="X72" s="25"/>
      <c r="Y72" s="25"/>
      <c r="Z72" s="25"/>
      <c r="AA72" s="27"/>
    </row>
    <row r="73">
      <c r="A73" s="24"/>
      <c r="B73" s="25"/>
      <c r="C73" s="25"/>
      <c r="D73" s="25"/>
      <c r="E73" s="25"/>
      <c r="F73" s="25"/>
      <c r="G73" s="25"/>
      <c r="H73" s="28"/>
      <c r="I73" s="25"/>
      <c r="J73" s="25"/>
      <c r="K73" s="25"/>
      <c r="L73" s="25"/>
      <c r="M73" s="25"/>
      <c r="N73" s="25"/>
      <c r="O73" s="25"/>
      <c r="P73" s="25"/>
      <c r="Q73" s="25"/>
      <c r="R73" s="25"/>
      <c r="S73" s="25"/>
      <c r="T73" s="25"/>
      <c r="U73" s="25"/>
      <c r="V73" s="25"/>
      <c r="W73" s="25"/>
      <c r="X73" s="25"/>
      <c r="Y73" s="25"/>
      <c r="Z73" s="25"/>
      <c r="AA73" s="27"/>
    </row>
    <row r="74">
      <c r="A74" s="24"/>
      <c r="B74" s="25"/>
      <c r="C74" s="25"/>
      <c r="D74" s="25"/>
      <c r="E74" s="25"/>
      <c r="F74" s="25"/>
      <c r="G74" s="25"/>
      <c r="H74" s="28"/>
      <c r="I74" s="25"/>
      <c r="J74" s="25"/>
      <c r="K74" s="25"/>
      <c r="L74" s="25"/>
      <c r="M74" s="25"/>
      <c r="N74" s="25"/>
      <c r="O74" s="25"/>
      <c r="P74" s="25"/>
      <c r="Q74" s="25"/>
      <c r="R74" s="25"/>
      <c r="S74" s="25"/>
      <c r="T74" s="25"/>
      <c r="U74" s="25"/>
      <c r="V74" s="25"/>
      <c r="W74" s="25"/>
      <c r="X74" s="25"/>
      <c r="Y74" s="25"/>
      <c r="Z74" s="25"/>
      <c r="AA74" s="27"/>
    </row>
    <row r="75">
      <c r="A75" s="24"/>
      <c r="B75" s="25"/>
      <c r="C75" s="25"/>
      <c r="D75" s="25"/>
      <c r="E75" s="25"/>
      <c r="F75" s="25"/>
      <c r="G75" s="25"/>
      <c r="H75" s="28"/>
      <c r="I75" s="25"/>
      <c r="J75" s="25"/>
      <c r="K75" s="25"/>
      <c r="L75" s="25"/>
      <c r="M75" s="25"/>
      <c r="N75" s="25"/>
      <c r="O75" s="25"/>
      <c r="P75" s="25"/>
      <c r="Q75" s="25"/>
      <c r="R75" s="25"/>
      <c r="S75" s="25"/>
      <c r="T75" s="25"/>
      <c r="U75" s="25"/>
      <c r="V75" s="25"/>
      <c r="W75" s="25"/>
      <c r="X75" s="25"/>
      <c r="Y75" s="25"/>
      <c r="Z75" s="25"/>
      <c r="AA75" s="27"/>
    </row>
    <row r="76">
      <c r="A76" s="24"/>
      <c r="B76" s="25"/>
      <c r="C76" s="25"/>
      <c r="D76" s="25"/>
      <c r="E76" s="25"/>
      <c r="F76" s="25"/>
      <c r="G76" s="25"/>
      <c r="H76" s="28"/>
      <c r="I76" s="25"/>
      <c r="J76" s="25"/>
      <c r="K76" s="25"/>
      <c r="L76" s="25"/>
      <c r="M76" s="25"/>
      <c r="N76" s="25"/>
      <c r="O76" s="25"/>
      <c r="P76" s="25"/>
      <c r="Q76" s="25"/>
      <c r="R76" s="25"/>
      <c r="S76" s="25"/>
      <c r="T76" s="25"/>
      <c r="U76" s="25"/>
      <c r="V76" s="25"/>
      <c r="W76" s="25"/>
      <c r="X76" s="25"/>
      <c r="Y76" s="25"/>
      <c r="Z76" s="25"/>
      <c r="AA76" s="27"/>
    </row>
    <row r="77">
      <c r="A77" s="24"/>
      <c r="B77" s="25"/>
      <c r="C77" s="25"/>
      <c r="D77" s="25"/>
      <c r="E77" s="25"/>
      <c r="F77" s="25"/>
      <c r="G77" s="25"/>
      <c r="H77" s="28"/>
      <c r="I77" s="25"/>
      <c r="J77" s="25"/>
      <c r="K77" s="25"/>
      <c r="L77" s="25"/>
      <c r="M77" s="25"/>
      <c r="N77" s="25"/>
      <c r="O77" s="25"/>
      <c r="P77" s="25"/>
      <c r="Q77" s="25"/>
      <c r="R77" s="25"/>
      <c r="S77" s="25"/>
      <c r="T77" s="25"/>
      <c r="U77" s="25"/>
      <c r="V77" s="25"/>
      <c r="W77" s="25"/>
      <c r="X77" s="25"/>
      <c r="Y77" s="25"/>
      <c r="Z77" s="25"/>
      <c r="AA77" s="27"/>
    </row>
    <row r="78">
      <c r="A78" s="24"/>
      <c r="B78" s="25"/>
      <c r="C78" s="25"/>
      <c r="D78" s="25"/>
      <c r="E78" s="25"/>
      <c r="F78" s="25"/>
      <c r="G78" s="25"/>
      <c r="H78" s="28"/>
      <c r="I78" s="25"/>
      <c r="J78" s="25"/>
      <c r="K78" s="25"/>
      <c r="L78" s="25"/>
      <c r="M78" s="25"/>
      <c r="N78" s="25"/>
      <c r="O78" s="25"/>
      <c r="P78" s="25"/>
      <c r="Q78" s="25"/>
      <c r="R78" s="25"/>
      <c r="S78" s="25"/>
      <c r="T78" s="25"/>
      <c r="U78" s="25"/>
      <c r="V78" s="25"/>
      <c r="W78" s="25"/>
      <c r="X78" s="25"/>
      <c r="Y78" s="25"/>
      <c r="Z78" s="25"/>
      <c r="AA78" s="27"/>
    </row>
    <row r="79">
      <c r="A79" s="24"/>
      <c r="B79" s="25"/>
      <c r="C79" s="25"/>
      <c r="D79" s="25"/>
      <c r="E79" s="25"/>
      <c r="F79" s="25"/>
      <c r="G79" s="25"/>
      <c r="H79" s="28"/>
      <c r="I79" s="25"/>
      <c r="J79" s="25"/>
      <c r="K79" s="25"/>
      <c r="L79" s="25"/>
      <c r="M79" s="25"/>
      <c r="N79" s="25"/>
      <c r="O79" s="25"/>
      <c r="P79" s="25"/>
      <c r="Q79" s="25"/>
      <c r="R79" s="25"/>
      <c r="S79" s="25"/>
      <c r="T79" s="25"/>
      <c r="U79" s="25"/>
      <c r="V79" s="25"/>
      <c r="W79" s="25"/>
      <c r="X79" s="25"/>
      <c r="Y79" s="25"/>
      <c r="Z79" s="25"/>
      <c r="AA79" s="27"/>
    </row>
    <row r="80">
      <c r="A80" s="24"/>
      <c r="B80" s="25"/>
      <c r="C80" s="25"/>
      <c r="D80" s="25"/>
      <c r="E80" s="25"/>
      <c r="F80" s="25"/>
      <c r="G80" s="25"/>
      <c r="H80" s="28"/>
      <c r="I80" s="25"/>
      <c r="J80" s="25"/>
      <c r="K80" s="25"/>
      <c r="L80" s="25"/>
      <c r="M80" s="25"/>
      <c r="N80" s="25"/>
      <c r="O80" s="25"/>
      <c r="P80" s="25"/>
      <c r="Q80" s="25"/>
      <c r="R80" s="25"/>
      <c r="S80" s="25"/>
      <c r="T80" s="25"/>
      <c r="U80" s="25"/>
      <c r="V80" s="25"/>
      <c r="W80" s="25"/>
      <c r="X80" s="25"/>
      <c r="Y80" s="25"/>
      <c r="Z80" s="25"/>
      <c r="AA80" s="27"/>
    </row>
    <row r="81">
      <c r="A81" s="24"/>
      <c r="B81" s="25"/>
      <c r="C81" s="25"/>
      <c r="D81" s="25"/>
      <c r="E81" s="25"/>
      <c r="F81" s="25"/>
      <c r="G81" s="25"/>
      <c r="H81" s="28"/>
      <c r="I81" s="25"/>
      <c r="J81" s="25"/>
      <c r="K81" s="25"/>
      <c r="L81" s="25"/>
      <c r="M81" s="25"/>
      <c r="N81" s="25"/>
      <c r="O81" s="25"/>
      <c r="P81" s="25"/>
      <c r="Q81" s="25"/>
      <c r="R81" s="25"/>
      <c r="S81" s="25"/>
      <c r="T81" s="25"/>
      <c r="U81" s="25"/>
      <c r="V81" s="25"/>
      <c r="W81" s="25"/>
      <c r="X81" s="25"/>
      <c r="Y81" s="25"/>
      <c r="Z81" s="25"/>
      <c r="AA81" s="27"/>
    </row>
    <row r="82">
      <c r="A82" s="24"/>
      <c r="B82" s="25"/>
      <c r="C82" s="25"/>
      <c r="D82" s="25"/>
      <c r="E82" s="25"/>
      <c r="F82" s="25"/>
      <c r="G82" s="25"/>
      <c r="H82" s="28"/>
      <c r="I82" s="25"/>
      <c r="J82" s="25"/>
      <c r="K82" s="25"/>
      <c r="L82" s="25"/>
      <c r="M82" s="25"/>
      <c r="N82" s="25"/>
      <c r="O82" s="25"/>
      <c r="P82" s="25"/>
      <c r="Q82" s="25"/>
      <c r="R82" s="25"/>
      <c r="S82" s="25"/>
      <c r="T82" s="25"/>
      <c r="U82" s="25"/>
      <c r="V82" s="25"/>
      <c r="W82" s="25"/>
      <c r="X82" s="25"/>
      <c r="Y82" s="25"/>
      <c r="Z82" s="25"/>
      <c r="AA82" s="27"/>
    </row>
    <row r="83">
      <c r="A83" s="24"/>
      <c r="B83" s="25"/>
      <c r="C83" s="25"/>
      <c r="D83" s="25"/>
      <c r="E83" s="25"/>
      <c r="F83" s="25"/>
      <c r="G83" s="25"/>
      <c r="H83" s="28"/>
      <c r="I83" s="25"/>
      <c r="J83" s="25"/>
      <c r="K83" s="25"/>
      <c r="L83" s="25"/>
      <c r="M83" s="25"/>
      <c r="N83" s="25"/>
      <c r="O83" s="25"/>
      <c r="P83" s="25"/>
      <c r="Q83" s="25"/>
      <c r="R83" s="25"/>
      <c r="S83" s="25"/>
      <c r="T83" s="25"/>
      <c r="U83" s="25"/>
      <c r="V83" s="25"/>
      <c r="W83" s="25"/>
      <c r="X83" s="25"/>
      <c r="Y83" s="25"/>
      <c r="Z83" s="25"/>
      <c r="AA83" s="27"/>
    </row>
    <row r="84">
      <c r="A84" s="24"/>
      <c r="B84" s="25"/>
      <c r="C84" s="25"/>
      <c r="D84" s="25"/>
      <c r="E84" s="25"/>
      <c r="F84" s="25"/>
      <c r="G84" s="25"/>
      <c r="H84" s="28"/>
      <c r="I84" s="25"/>
      <c r="J84" s="25"/>
      <c r="K84" s="25"/>
      <c r="L84" s="25"/>
      <c r="M84" s="25"/>
      <c r="N84" s="25"/>
      <c r="O84" s="25"/>
      <c r="P84" s="25"/>
      <c r="Q84" s="25"/>
      <c r="R84" s="25"/>
      <c r="S84" s="25"/>
      <c r="T84" s="25"/>
      <c r="U84" s="25"/>
      <c r="V84" s="25"/>
      <c r="W84" s="25"/>
      <c r="X84" s="25"/>
      <c r="Y84" s="25"/>
      <c r="Z84" s="25"/>
      <c r="AA84" s="27"/>
    </row>
    <row r="85">
      <c r="A85" s="24"/>
      <c r="B85" s="25"/>
      <c r="C85" s="25"/>
      <c r="D85" s="25"/>
      <c r="E85" s="25"/>
      <c r="F85" s="25"/>
      <c r="G85" s="25"/>
      <c r="H85" s="28"/>
      <c r="I85" s="25"/>
      <c r="J85" s="25"/>
      <c r="K85" s="25"/>
      <c r="L85" s="25"/>
      <c r="M85" s="25"/>
      <c r="N85" s="25"/>
      <c r="O85" s="25"/>
      <c r="P85" s="25"/>
      <c r="Q85" s="25"/>
      <c r="R85" s="25"/>
      <c r="S85" s="25"/>
      <c r="T85" s="25"/>
      <c r="U85" s="25"/>
      <c r="V85" s="25"/>
      <c r="W85" s="25"/>
      <c r="X85" s="25"/>
      <c r="Y85" s="25"/>
      <c r="Z85" s="25"/>
      <c r="AA85" s="27"/>
    </row>
    <row r="86">
      <c r="A86" s="24"/>
      <c r="B86" s="25"/>
      <c r="C86" s="25"/>
      <c r="D86" s="25"/>
      <c r="E86" s="25"/>
      <c r="F86" s="25"/>
      <c r="G86" s="25"/>
      <c r="H86" s="28"/>
      <c r="I86" s="25"/>
      <c r="J86" s="25"/>
      <c r="K86" s="25"/>
      <c r="L86" s="25"/>
      <c r="M86" s="25"/>
      <c r="N86" s="25"/>
      <c r="O86" s="25"/>
      <c r="P86" s="25"/>
      <c r="Q86" s="25"/>
      <c r="R86" s="25"/>
      <c r="S86" s="25"/>
      <c r="T86" s="25"/>
      <c r="U86" s="25"/>
      <c r="V86" s="25"/>
      <c r="W86" s="25"/>
      <c r="X86" s="25"/>
      <c r="Y86" s="25"/>
      <c r="Z86" s="25"/>
      <c r="AA86" s="27"/>
    </row>
    <row r="87">
      <c r="A87" s="24"/>
      <c r="B87" s="25"/>
      <c r="C87" s="25"/>
      <c r="D87" s="25"/>
      <c r="E87" s="25"/>
      <c r="F87" s="25"/>
      <c r="G87" s="25"/>
      <c r="H87" s="28"/>
      <c r="I87" s="25"/>
      <c r="J87" s="25"/>
      <c r="K87" s="25"/>
      <c r="L87" s="25"/>
      <c r="M87" s="25"/>
      <c r="N87" s="25"/>
      <c r="O87" s="25"/>
      <c r="P87" s="25"/>
      <c r="Q87" s="25"/>
      <c r="R87" s="25"/>
      <c r="S87" s="25"/>
      <c r="T87" s="25"/>
      <c r="U87" s="25"/>
      <c r="V87" s="25"/>
      <c r="W87" s="25"/>
      <c r="X87" s="25"/>
      <c r="Y87" s="25"/>
      <c r="Z87" s="25"/>
      <c r="AA87" s="27"/>
    </row>
    <row r="88">
      <c r="A88" s="24"/>
      <c r="B88" s="25"/>
      <c r="C88" s="25"/>
      <c r="D88" s="25"/>
      <c r="E88" s="25"/>
      <c r="F88" s="25"/>
      <c r="G88" s="25"/>
      <c r="H88" s="28"/>
      <c r="I88" s="25"/>
      <c r="J88" s="25"/>
      <c r="K88" s="25"/>
      <c r="L88" s="25"/>
      <c r="M88" s="25"/>
      <c r="N88" s="25"/>
      <c r="O88" s="25"/>
      <c r="P88" s="25"/>
      <c r="Q88" s="25"/>
      <c r="R88" s="25"/>
      <c r="S88" s="25"/>
      <c r="T88" s="25"/>
      <c r="U88" s="25"/>
      <c r="V88" s="25"/>
      <c r="W88" s="25"/>
      <c r="X88" s="25"/>
      <c r="Y88" s="25"/>
      <c r="Z88" s="25"/>
      <c r="AA88" s="27"/>
    </row>
    <row r="89">
      <c r="A89" s="24"/>
      <c r="B89" s="25"/>
      <c r="C89" s="25"/>
      <c r="D89" s="25"/>
      <c r="E89" s="25"/>
      <c r="F89" s="25"/>
      <c r="G89" s="25"/>
      <c r="H89" s="28"/>
      <c r="I89" s="25"/>
      <c r="J89" s="25"/>
      <c r="K89" s="25"/>
      <c r="L89" s="25"/>
      <c r="M89" s="25"/>
      <c r="N89" s="25"/>
      <c r="O89" s="25"/>
      <c r="P89" s="25"/>
      <c r="Q89" s="25"/>
      <c r="R89" s="25"/>
      <c r="S89" s="25"/>
      <c r="T89" s="25"/>
      <c r="U89" s="25"/>
      <c r="V89" s="25"/>
      <c r="W89" s="25"/>
      <c r="X89" s="25"/>
      <c r="Y89" s="25"/>
      <c r="Z89" s="25"/>
      <c r="AA89" s="27"/>
    </row>
    <row r="90">
      <c r="A90" s="24"/>
      <c r="B90" s="25"/>
      <c r="C90" s="25"/>
      <c r="D90" s="25"/>
      <c r="E90" s="25"/>
      <c r="F90" s="25"/>
      <c r="G90" s="25"/>
      <c r="H90" s="28"/>
      <c r="I90" s="25"/>
      <c r="J90" s="25"/>
      <c r="K90" s="25"/>
      <c r="L90" s="25"/>
      <c r="M90" s="25"/>
      <c r="N90" s="25"/>
      <c r="O90" s="25"/>
      <c r="P90" s="25"/>
      <c r="Q90" s="25"/>
      <c r="R90" s="25"/>
      <c r="S90" s="25"/>
      <c r="T90" s="25"/>
      <c r="U90" s="25"/>
      <c r="V90" s="25"/>
      <c r="W90" s="25"/>
      <c r="X90" s="25"/>
      <c r="Y90" s="25"/>
      <c r="Z90" s="25"/>
      <c r="AA90" s="27"/>
    </row>
    <row r="91">
      <c r="A91" s="24"/>
      <c r="B91" s="25"/>
      <c r="C91" s="25"/>
      <c r="D91" s="25"/>
      <c r="E91" s="25"/>
      <c r="F91" s="25"/>
      <c r="G91" s="25"/>
      <c r="H91" s="28"/>
      <c r="I91" s="25"/>
      <c r="J91" s="25"/>
      <c r="K91" s="25"/>
      <c r="L91" s="25"/>
      <c r="M91" s="25"/>
      <c r="N91" s="25"/>
      <c r="O91" s="25"/>
      <c r="P91" s="25"/>
      <c r="Q91" s="25"/>
      <c r="R91" s="25"/>
      <c r="S91" s="25"/>
      <c r="T91" s="25"/>
      <c r="U91" s="25"/>
      <c r="V91" s="25"/>
      <c r="W91" s="25"/>
      <c r="X91" s="25"/>
      <c r="Y91" s="25"/>
      <c r="Z91" s="25"/>
      <c r="AA91" s="27"/>
    </row>
    <row r="92">
      <c r="A92" s="24"/>
      <c r="B92" s="25"/>
      <c r="C92" s="25"/>
      <c r="D92" s="25"/>
      <c r="E92" s="25"/>
      <c r="F92" s="25"/>
      <c r="G92" s="25"/>
      <c r="H92" s="28"/>
      <c r="I92" s="25"/>
      <c r="J92" s="25"/>
      <c r="K92" s="25"/>
      <c r="L92" s="25"/>
      <c r="M92" s="25"/>
      <c r="N92" s="25"/>
      <c r="O92" s="25"/>
      <c r="P92" s="25"/>
      <c r="Q92" s="25"/>
      <c r="R92" s="25"/>
      <c r="S92" s="25"/>
      <c r="T92" s="25"/>
      <c r="U92" s="25"/>
      <c r="V92" s="25"/>
      <c r="W92" s="25"/>
      <c r="X92" s="25"/>
      <c r="Y92" s="25"/>
      <c r="Z92" s="25"/>
      <c r="AA92" s="27"/>
    </row>
    <row r="93">
      <c r="A93" s="24"/>
      <c r="B93" s="25"/>
      <c r="C93" s="25"/>
      <c r="D93" s="25"/>
      <c r="E93" s="25"/>
      <c r="F93" s="25"/>
      <c r="G93" s="25"/>
      <c r="H93" s="28"/>
      <c r="I93" s="25"/>
      <c r="J93" s="25"/>
      <c r="K93" s="25"/>
      <c r="L93" s="25"/>
      <c r="M93" s="25"/>
      <c r="N93" s="25"/>
      <c r="O93" s="25"/>
      <c r="P93" s="25"/>
      <c r="Q93" s="25"/>
      <c r="R93" s="25"/>
      <c r="S93" s="25"/>
      <c r="T93" s="25"/>
      <c r="U93" s="25"/>
      <c r="V93" s="25"/>
      <c r="W93" s="25"/>
      <c r="X93" s="25"/>
      <c r="Y93" s="25"/>
      <c r="Z93" s="25"/>
      <c r="AA93" s="27"/>
    </row>
    <row r="94">
      <c r="A94" s="24"/>
      <c r="B94" s="25"/>
      <c r="C94" s="25"/>
      <c r="D94" s="25"/>
      <c r="E94" s="25"/>
      <c r="F94" s="25"/>
      <c r="G94" s="25"/>
      <c r="H94" s="28"/>
      <c r="I94" s="25"/>
      <c r="J94" s="25"/>
      <c r="K94" s="25"/>
      <c r="L94" s="25"/>
      <c r="M94" s="25"/>
      <c r="N94" s="25"/>
      <c r="O94" s="25"/>
      <c r="P94" s="25"/>
      <c r="Q94" s="25"/>
      <c r="R94" s="25"/>
      <c r="S94" s="25"/>
      <c r="T94" s="25"/>
      <c r="U94" s="25"/>
      <c r="V94" s="25"/>
      <c r="W94" s="25"/>
      <c r="X94" s="25"/>
      <c r="Y94" s="25"/>
      <c r="Z94" s="25"/>
      <c r="AA94" s="27"/>
    </row>
    <row r="95">
      <c r="A95" s="24"/>
      <c r="B95" s="25"/>
      <c r="C95" s="25"/>
      <c r="D95" s="25"/>
      <c r="E95" s="25"/>
      <c r="F95" s="25"/>
      <c r="G95" s="25"/>
      <c r="H95" s="28"/>
      <c r="I95" s="25"/>
      <c r="J95" s="25"/>
      <c r="K95" s="25"/>
      <c r="L95" s="25"/>
      <c r="M95" s="25"/>
      <c r="N95" s="25"/>
      <c r="O95" s="25"/>
      <c r="P95" s="25"/>
      <c r="Q95" s="25"/>
      <c r="R95" s="25"/>
      <c r="S95" s="25"/>
      <c r="T95" s="25"/>
      <c r="U95" s="25"/>
      <c r="V95" s="25"/>
      <c r="W95" s="25"/>
      <c r="X95" s="25"/>
      <c r="Y95" s="25"/>
      <c r="Z95" s="25"/>
      <c r="AA95" s="27"/>
    </row>
    <row r="96">
      <c r="A96" s="24"/>
      <c r="B96" s="25"/>
      <c r="C96" s="25"/>
      <c r="D96" s="25"/>
      <c r="E96" s="25"/>
      <c r="F96" s="25"/>
      <c r="G96" s="25"/>
      <c r="H96" s="28"/>
      <c r="I96" s="25"/>
      <c r="J96" s="25"/>
      <c r="K96" s="25"/>
      <c r="L96" s="25"/>
      <c r="M96" s="25"/>
      <c r="N96" s="25"/>
      <c r="O96" s="25"/>
      <c r="P96" s="25"/>
      <c r="Q96" s="25"/>
      <c r="R96" s="25"/>
      <c r="S96" s="25"/>
      <c r="T96" s="25"/>
      <c r="U96" s="25"/>
      <c r="V96" s="25"/>
      <c r="W96" s="25"/>
      <c r="X96" s="25"/>
      <c r="Y96" s="25"/>
      <c r="Z96" s="25"/>
      <c r="AA96" s="27"/>
    </row>
    <row r="97">
      <c r="A97" s="24"/>
      <c r="B97" s="25"/>
      <c r="C97" s="25"/>
      <c r="D97" s="25"/>
      <c r="E97" s="25"/>
      <c r="F97" s="25"/>
      <c r="G97" s="25"/>
      <c r="H97" s="28"/>
      <c r="I97" s="25"/>
      <c r="J97" s="25"/>
      <c r="K97" s="25"/>
      <c r="L97" s="25"/>
      <c r="M97" s="25"/>
      <c r="N97" s="25"/>
      <c r="O97" s="25"/>
      <c r="P97" s="25"/>
      <c r="Q97" s="25"/>
      <c r="R97" s="25"/>
      <c r="S97" s="25"/>
      <c r="T97" s="25"/>
      <c r="U97" s="25"/>
      <c r="V97" s="25"/>
      <c r="W97" s="25"/>
      <c r="X97" s="25"/>
      <c r="Y97" s="25"/>
      <c r="Z97" s="25"/>
      <c r="AA97" s="27"/>
    </row>
    <row r="98">
      <c r="A98" s="24"/>
      <c r="B98" s="25"/>
      <c r="C98" s="25"/>
      <c r="D98" s="25"/>
      <c r="E98" s="25"/>
      <c r="F98" s="25"/>
      <c r="G98" s="25"/>
      <c r="H98" s="28"/>
      <c r="I98" s="25"/>
      <c r="J98" s="25"/>
      <c r="K98" s="25"/>
      <c r="L98" s="25"/>
      <c r="M98" s="25"/>
      <c r="N98" s="25"/>
      <c r="O98" s="25"/>
      <c r="P98" s="25"/>
      <c r="Q98" s="25"/>
      <c r="R98" s="25"/>
      <c r="S98" s="25"/>
      <c r="T98" s="25"/>
      <c r="U98" s="25"/>
      <c r="V98" s="25"/>
      <c r="W98" s="25"/>
      <c r="X98" s="25"/>
      <c r="Y98" s="25"/>
      <c r="Z98" s="25"/>
      <c r="AA98" s="27"/>
    </row>
    <row r="99">
      <c r="A99" s="24"/>
      <c r="B99" s="25"/>
      <c r="C99" s="25"/>
      <c r="D99" s="25"/>
      <c r="E99" s="25"/>
      <c r="F99" s="25"/>
      <c r="G99" s="25"/>
      <c r="H99" s="28"/>
      <c r="I99" s="25"/>
      <c r="J99" s="25"/>
      <c r="K99" s="25"/>
      <c r="L99" s="25"/>
      <c r="M99" s="25"/>
      <c r="N99" s="25"/>
      <c r="O99" s="25"/>
      <c r="P99" s="25"/>
      <c r="Q99" s="25"/>
      <c r="R99" s="25"/>
      <c r="S99" s="25"/>
      <c r="T99" s="25"/>
      <c r="U99" s="25"/>
      <c r="V99" s="25"/>
      <c r="W99" s="25"/>
      <c r="X99" s="25"/>
      <c r="Y99" s="25"/>
      <c r="Z99" s="25"/>
      <c r="AA99" s="27"/>
    </row>
    <row r="100">
      <c r="A100" s="24"/>
      <c r="B100" s="25"/>
      <c r="C100" s="25"/>
      <c r="D100" s="25"/>
      <c r="E100" s="25"/>
      <c r="F100" s="25"/>
      <c r="G100" s="25"/>
      <c r="H100" s="28"/>
      <c r="I100" s="25"/>
      <c r="J100" s="25"/>
      <c r="K100" s="25"/>
      <c r="L100" s="25"/>
      <c r="M100" s="25"/>
      <c r="N100" s="25"/>
      <c r="O100" s="25"/>
      <c r="P100" s="25"/>
      <c r="Q100" s="25"/>
      <c r="R100" s="25"/>
      <c r="S100" s="25"/>
      <c r="T100" s="25"/>
      <c r="U100" s="25"/>
      <c r="V100" s="25"/>
      <c r="W100" s="25"/>
      <c r="X100" s="25"/>
      <c r="Y100" s="25"/>
      <c r="Z100" s="25"/>
      <c r="AA100" s="27"/>
    </row>
    <row r="101">
      <c r="A101" s="24"/>
      <c r="B101" s="25"/>
      <c r="C101" s="25"/>
      <c r="D101" s="25"/>
      <c r="E101" s="25"/>
      <c r="F101" s="25"/>
      <c r="G101" s="25"/>
      <c r="H101" s="28"/>
      <c r="I101" s="25"/>
      <c r="J101" s="25"/>
      <c r="K101" s="25"/>
      <c r="L101" s="25"/>
      <c r="M101" s="25"/>
      <c r="N101" s="25"/>
      <c r="O101" s="25"/>
      <c r="P101" s="25"/>
      <c r="Q101" s="25"/>
      <c r="R101" s="25"/>
      <c r="S101" s="25"/>
      <c r="T101" s="25"/>
      <c r="U101" s="25"/>
      <c r="V101" s="25"/>
      <c r="W101" s="25"/>
      <c r="X101" s="25"/>
      <c r="Y101" s="25"/>
      <c r="Z101" s="25"/>
      <c r="AA101" s="27"/>
    </row>
    <row r="102">
      <c r="A102" s="24"/>
      <c r="B102" s="25"/>
      <c r="C102" s="25"/>
      <c r="D102" s="25"/>
      <c r="E102" s="25"/>
      <c r="F102" s="25"/>
      <c r="G102" s="25"/>
      <c r="H102" s="28"/>
      <c r="I102" s="25"/>
      <c r="J102" s="25"/>
      <c r="K102" s="25"/>
      <c r="L102" s="25"/>
      <c r="M102" s="25"/>
      <c r="N102" s="25"/>
      <c r="O102" s="25"/>
      <c r="P102" s="25"/>
      <c r="Q102" s="25"/>
      <c r="R102" s="25"/>
      <c r="S102" s="25"/>
      <c r="T102" s="25"/>
      <c r="U102" s="25"/>
      <c r="V102" s="25"/>
      <c r="W102" s="25"/>
      <c r="X102" s="25"/>
      <c r="Y102" s="25"/>
      <c r="Z102" s="25"/>
      <c r="AA102" s="27"/>
    </row>
    <row r="103">
      <c r="A103" s="24"/>
      <c r="B103" s="25"/>
      <c r="C103" s="25"/>
      <c r="D103" s="25"/>
      <c r="E103" s="25"/>
      <c r="F103" s="25"/>
      <c r="G103" s="25"/>
      <c r="H103" s="28"/>
      <c r="I103" s="25"/>
      <c r="J103" s="25"/>
      <c r="K103" s="25"/>
      <c r="L103" s="25"/>
      <c r="M103" s="25"/>
      <c r="N103" s="25"/>
      <c r="O103" s="25"/>
      <c r="P103" s="25"/>
      <c r="Q103" s="25"/>
      <c r="R103" s="25"/>
      <c r="S103" s="25"/>
      <c r="T103" s="25"/>
      <c r="U103" s="25"/>
      <c r="V103" s="25"/>
      <c r="W103" s="25"/>
      <c r="X103" s="25"/>
      <c r="Y103" s="25"/>
      <c r="Z103" s="25"/>
      <c r="AA103" s="27"/>
    </row>
    <row r="104">
      <c r="A104" s="24"/>
      <c r="B104" s="25"/>
      <c r="C104" s="25"/>
      <c r="D104" s="25"/>
      <c r="E104" s="25"/>
      <c r="F104" s="25"/>
      <c r="G104" s="25"/>
      <c r="H104" s="28"/>
      <c r="I104" s="25"/>
      <c r="J104" s="25"/>
      <c r="K104" s="25"/>
      <c r="L104" s="25"/>
      <c r="M104" s="25"/>
      <c r="N104" s="25"/>
      <c r="O104" s="25"/>
      <c r="P104" s="25"/>
      <c r="Q104" s="25"/>
      <c r="R104" s="25"/>
      <c r="S104" s="25"/>
      <c r="T104" s="25"/>
      <c r="U104" s="25"/>
      <c r="V104" s="25"/>
      <c r="W104" s="25"/>
      <c r="X104" s="25"/>
      <c r="Y104" s="25"/>
      <c r="Z104" s="25"/>
      <c r="AA104" s="27"/>
    </row>
    <row r="105">
      <c r="A105" s="24"/>
      <c r="B105" s="25"/>
      <c r="C105" s="25"/>
      <c r="D105" s="25"/>
      <c r="E105" s="25"/>
      <c r="F105" s="25"/>
      <c r="G105" s="25"/>
      <c r="H105" s="28"/>
      <c r="I105" s="25"/>
      <c r="J105" s="25"/>
      <c r="K105" s="25"/>
      <c r="L105" s="25"/>
      <c r="M105" s="25"/>
      <c r="N105" s="25"/>
      <c r="O105" s="25"/>
      <c r="P105" s="25"/>
      <c r="Q105" s="25"/>
      <c r="R105" s="25"/>
      <c r="S105" s="25"/>
      <c r="T105" s="25"/>
      <c r="U105" s="25"/>
      <c r="V105" s="25"/>
      <c r="W105" s="25"/>
      <c r="X105" s="25"/>
      <c r="Y105" s="25"/>
      <c r="Z105" s="25"/>
      <c r="AA105" s="27"/>
    </row>
    <row r="106">
      <c r="A106" s="24"/>
      <c r="B106" s="25"/>
      <c r="C106" s="25"/>
      <c r="D106" s="25"/>
      <c r="E106" s="25"/>
      <c r="F106" s="25"/>
      <c r="G106" s="25"/>
      <c r="H106" s="28"/>
      <c r="I106" s="25"/>
      <c r="J106" s="25"/>
      <c r="K106" s="25"/>
      <c r="L106" s="25"/>
      <c r="M106" s="25"/>
      <c r="N106" s="25"/>
      <c r="O106" s="25"/>
      <c r="P106" s="25"/>
      <c r="Q106" s="25"/>
      <c r="R106" s="25"/>
      <c r="S106" s="25"/>
      <c r="T106" s="25"/>
      <c r="U106" s="25"/>
      <c r="V106" s="25"/>
      <c r="W106" s="25"/>
      <c r="X106" s="25"/>
      <c r="Y106" s="25"/>
      <c r="Z106" s="25"/>
      <c r="AA106" s="27"/>
    </row>
    <row r="107">
      <c r="A107" s="24"/>
      <c r="B107" s="25"/>
      <c r="C107" s="25"/>
      <c r="D107" s="25"/>
      <c r="E107" s="25"/>
      <c r="F107" s="25"/>
      <c r="G107" s="25"/>
      <c r="H107" s="28"/>
      <c r="I107" s="25"/>
      <c r="J107" s="25"/>
      <c r="K107" s="25"/>
      <c r="L107" s="25"/>
      <c r="M107" s="25"/>
      <c r="N107" s="25"/>
      <c r="O107" s="25"/>
      <c r="P107" s="25"/>
      <c r="Q107" s="25"/>
      <c r="R107" s="25"/>
      <c r="S107" s="25"/>
      <c r="T107" s="25"/>
      <c r="U107" s="25"/>
      <c r="V107" s="25"/>
      <c r="W107" s="25"/>
      <c r="X107" s="25"/>
      <c r="Y107" s="25"/>
      <c r="Z107" s="25"/>
      <c r="AA107" s="27"/>
    </row>
    <row r="108">
      <c r="A108" s="24"/>
      <c r="B108" s="25"/>
      <c r="C108" s="25"/>
      <c r="D108" s="25"/>
      <c r="E108" s="25"/>
      <c r="F108" s="25"/>
      <c r="G108" s="25"/>
      <c r="H108" s="28"/>
      <c r="I108" s="25"/>
      <c r="J108" s="25"/>
      <c r="K108" s="25"/>
      <c r="L108" s="25"/>
      <c r="M108" s="25"/>
      <c r="N108" s="25"/>
      <c r="O108" s="25"/>
      <c r="P108" s="25"/>
      <c r="Q108" s="25"/>
      <c r="R108" s="25"/>
      <c r="S108" s="25"/>
      <c r="T108" s="25"/>
      <c r="U108" s="25"/>
      <c r="V108" s="25"/>
      <c r="W108" s="25"/>
      <c r="X108" s="25"/>
      <c r="Y108" s="25"/>
      <c r="Z108" s="25"/>
      <c r="AA108" s="27"/>
    </row>
    <row r="109">
      <c r="A109" s="24"/>
      <c r="B109" s="25"/>
      <c r="C109" s="25"/>
      <c r="D109" s="25"/>
      <c r="E109" s="25"/>
      <c r="F109" s="25"/>
      <c r="G109" s="25"/>
      <c r="H109" s="28"/>
      <c r="I109" s="25"/>
      <c r="J109" s="25"/>
      <c r="K109" s="25"/>
      <c r="L109" s="25"/>
      <c r="M109" s="25"/>
      <c r="N109" s="25"/>
      <c r="O109" s="25"/>
      <c r="P109" s="25"/>
      <c r="Q109" s="25"/>
      <c r="R109" s="25"/>
      <c r="S109" s="25"/>
      <c r="T109" s="25"/>
      <c r="U109" s="25"/>
      <c r="V109" s="25"/>
      <c r="W109" s="25"/>
      <c r="X109" s="25"/>
      <c r="Y109" s="25"/>
      <c r="Z109" s="25"/>
      <c r="AA109" s="27"/>
    </row>
    <row r="110">
      <c r="A110" s="24"/>
      <c r="B110" s="25"/>
      <c r="C110" s="25"/>
      <c r="D110" s="25"/>
      <c r="E110" s="25"/>
      <c r="F110" s="25"/>
      <c r="G110" s="25"/>
      <c r="H110" s="28"/>
      <c r="I110" s="25"/>
      <c r="J110" s="25"/>
      <c r="K110" s="25"/>
      <c r="L110" s="25"/>
      <c r="M110" s="25"/>
      <c r="N110" s="25"/>
      <c r="O110" s="25"/>
      <c r="P110" s="25"/>
      <c r="Q110" s="25"/>
      <c r="R110" s="25"/>
      <c r="S110" s="25"/>
      <c r="T110" s="25"/>
      <c r="U110" s="25"/>
      <c r="V110" s="25"/>
      <c r="W110" s="25"/>
      <c r="X110" s="25"/>
      <c r="Y110" s="25"/>
      <c r="Z110" s="25"/>
      <c r="AA110" s="27"/>
    </row>
    <row r="111">
      <c r="A111" s="24"/>
      <c r="B111" s="25"/>
      <c r="C111" s="25"/>
      <c r="D111" s="25"/>
      <c r="E111" s="25"/>
      <c r="F111" s="25"/>
      <c r="G111" s="25"/>
      <c r="H111" s="28"/>
      <c r="I111" s="25"/>
      <c r="J111" s="25"/>
      <c r="K111" s="25"/>
      <c r="L111" s="25"/>
      <c r="M111" s="25"/>
      <c r="N111" s="25"/>
      <c r="O111" s="25"/>
      <c r="P111" s="25"/>
      <c r="Q111" s="25"/>
      <c r="R111" s="25"/>
      <c r="S111" s="25"/>
      <c r="T111" s="25"/>
      <c r="U111" s="25"/>
      <c r="V111" s="25"/>
      <c r="W111" s="25"/>
      <c r="X111" s="25"/>
      <c r="Y111" s="25"/>
      <c r="Z111" s="25"/>
      <c r="AA111" s="27"/>
    </row>
    <row r="112">
      <c r="A112" s="24"/>
      <c r="B112" s="25"/>
      <c r="C112" s="25"/>
      <c r="D112" s="25"/>
      <c r="E112" s="25"/>
      <c r="F112" s="25"/>
      <c r="G112" s="25"/>
      <c r="H112" s="28"/>
      <c r="I112" s="25"/>
      <c r="J112" s="25"/>
      <c r="K112" s="25"/>
      <c r="L112" s="25"/>
      <c r="M112" s="25"/>
      <c r="N112" s="25"/>
      <c r="O112" s="25"/>
      <c r="P112" s="25"/>
      <c r="Q112" s="25"/>
      <c r="R112" s="25"/>
      <c r="S112" s="25"/>
      <c r="T112" s="25"/>
      <c r="U112" s="25"/>
      <c r="V112" s="25"/>
      <c r="W112" s="25"/>
      <c r="X112" s="25"/>
      <c r="Y112" s="25"/>
      <c r="Z112" s="25"/>
      <c r="AA112" s="27"/>
    </row>
    <row r="113">
      <c r="A113" s="24"/>
      <c r="B113" s="25"/>
      <c r="C113" s="25"/>
      <c r="D113" s="25"/>
      <c r="E113" s="25"/>
      <c r="F113" s="25"/>
      <c r="G113" s="25"/>
      <c r="H113" s="28"/>
      <c r="I113" s="25"/>
      <c r="J113" s="25"/>
      <c r="K113" s="25"/>
      <c r="L113" s="25"/>
      <c r="M113" s="25"/>
      <c r="N113" s="25"/>
      <c r="O113" s="25"/>
      <c r="P113" s="25"/>
      <c r="Q113" s="25"/>
      <c r="R113" s="25"/>
      <c r="S113" s="25"/>
      <c r="T113" s="25"/>
      <c r="U113" s="25"/>
      <c r="V113" s="25"/>
      <c r="W113" s="25"/>
      <c r="X113" s="25"/>
      <c r="Y113" s="25"/>
      <c r="Z113" s="25"/>
      <c r="AA113" s="27"/>
    </row>
    <row r="114">
      <c r="A114" s="24"/>
      <c r="B114" s="25"/>
      <c r="C114" s="25"/>
      <c r="D114" s="25"/>
      <c r="E114" s="25"/>
      <c r="F114" s="25"/>
      <c r="G114" s="25"/>
      <c r="H114" s="28"/>
      <c r="I114" s="25"/>
      <c r="J114" s="25"/>
      <c r="K114" s="25"/>
      <c r="L114" s="25"/>
      <c r="M114" s="25"/>
      <c r="N114" s="25"/>
      <c r="O114" s="25"/>
      <c r="P114" s="25"/>
      <c r="Q114" s="25"/>
      <c r="R114" s="25"/>
      <c r="S114" s="25"/>
      <c r="T114" s="25"/>
      <c r="U114" s="25"/>
      <c r="V114" s="25"/>
      <c r="W114" s="25"/>
      <c r="X114" s="25"/>
      <c r="Y114" s="25"/>
      <c r="Z114" s="25"/>
      <c r="AA114" s="27"/>
    </row>
    <row r="115">
      <c r="A115" s="24"/>
      <c r="B115" s="25"/>
      <c r="C115" s="25"/>
      <c r="D115" s="25"/>
      <c r="E115" s="25"/>
      <c r="F115" s="25"/>
      <c r="G115" s="25"/>
      <c r="H115" s="28"/>
      <c r="I115" s="25"/>
      <c r="J115" s="25"/>
      <c r="K115" s="25"/>
      <c r="L115" s="25"/>
      <c r="M115" s="25"/>
      <c r="N115" s="25"/>
      <c r="O115" s="25"/>
      <c r="P115" s="25"/>
      <c r="Q115" s="25"/>
      <c r="R115" s="25"/>
      <c r="S115" s="25"/>
      <c r="T115" s="25"/>
      <c r="U115" s="25"/>
      <c r="V115" s="25"/>
      <c r="W115" s="25"/>
      <c r="X115" s="25"/>
      <c r="Y115" s="25"/>
      <c r="Z115" s="25"/>
      <c r="AA115" s="27"/>
    </row>
    <row r="116">
      <c r="A116" s="24"/>
      <c r="B116" s="25"/>
      <c r="C116" s="25"/>
      <c r="D116" s="25"/>
      <c r="E116" s="25"/>
      <c r="F116" s="25"/>
      <c r="G116" s="25"/>
      <c r="H116" s="28"/>
      <c r="I116" s="25"/>
      <c r="J116" s="25"/>
      <c r="K116" s="25"/>
      <c r="L116" s="25"/>
      <c r="M116" s="25"/>
      <c r="N116" s="25"/>
      <c r="O116" s="25"/>
      <c r="P116" s="25"/>
      <c r="Q116" s="25"/>
      <c r="R116" s="25"/>
      <c r="S116" s="25"/>
      <c r="T116" s="25"/>
      <c r="U116" s="25"/>
      <c r="V116" s="25"/>
      <c r="W116" s="25"/>
      <c r="X116" s="25"/>
      <c r="Y116" s="25"/>
      <c r="Z116" s="25"/>
      <c r="AA116" s="27"/>
    </row>
    <row r="117">
      <c r="A117" s="24"/>
      <c r="B117" s="25"/>
      <c r="C117" s="25"/>
      <c r="D117" s="25"/>
      <c r="E117" s="25"/>
      <c r="F117" s="25"/>
      <c r="G117" s="25"/>
      <c r="H117" s="28"/>
      <c r="I117" s="25"/>
      <c r="J117" s="25"/>
      <c r="K117" s="25"/>
      <c r="L117" s="25"/>
      <c r="M117" s="25"/>
      <c r="N117" s="25"/>
      <c r="O117" s="25"/>
      <c r="P117" s="25"/>
      <c r="Q117" s="25"/>
      <c r="R117" s="25"/>
      <c r="S117" s="25"/>
      <c r="T117" s="25"/>
      <c r="U117" s="25"/>
      <c r="V117" s="25"/>
      <c r="W117" s="25"/>
      <c r="X117" s="25"/>
      <c r="Y117" s="25"/>
      <c r="Z117" s="25"/>
      <c r="AA117" s="27"/>
    </row>
    <row r="118">
      <c r="A118" s="24"/>
      <c r="B118" s="25"/>
      <c r="C118" s="25"/>
      <c r="D118" s="25"/>
      <c r="E118" s="25"/>
      <c r="F118" s="25"/>
      <c r="G118" s="25"/>
      <c r="H118" s="28"/>
      <c r="I118" s="25"/>
      <c r="J118" s="25"/>
      <c r="K118" s="25"/>
      <c r="L118" s="25"/>
      <c r="M118" s="25"/>
      <c r="N118" s="25"/>
      <c r="O118" s="25"/>
      <c r="P118" s="25"/>
      <c r="Q118" s="25"/>
      <c r="R118" s="25"/>
      <c r="S118" s="25"/>
      <c r="T118" s="25"/>
      <c r="U118" s="25"/>
      <c r="V118" s="25"/>
      <c r="W118" s="25"/>
      <c r="X118" s="25"/>
      <c r="Y118" s="25"/>
      <c r="Z118" s="25"/>
      <c r="AA118" s="27"/>
    </row>
    <row r="119">
      <c r="A119" s="24"/>
      <c r="B119" s="25"/>
      <c r="C119" s="25"/>
      <c r="D119" s="25"/>
      <c r="E119" s="25"/>
      <c r="F119" s="25"/>
      <c r="G119" s="25"/>
      <c r="H119" s="28"/>
      <c r="I119" s="25"/>
      <c r="J119" s="25"/>
      <c r="K119" s="25"/>
      <c r="L119" s="25"/>
      <c r="M119" s="25"/>
      <c r="N119" s="25"/>
      <c r="O119" s="25"/>
      <c r="P119" s="25"/>
      <c r="Q119" s="25"/>
      <c r="R119" s="25"/>
      <c r="S119" s="25"/>
      <c r="T119" s="25"/>
      <c r="U119" s="25"/>
      <c r="V119" s="25"/>
      <c r="W119" s="25"/>
      <c r="X119" s="25"/>
      <c r="Y119" s="25"/>
      <c r="Z119" s="25"/>
      <c r="AA119" s="27"/>
    </row>
    <row r="120">
      <c r="A120" s="24"/>
      <c r="B120" s="25"/>
      <c r="C120" s="25"/>
      <c r="D120" s="25"/>
      <c r="E120" s="25"/>
      <c r="F120" s="25"/>
      <c r="G120" s="25"/>
      <c r="H120" s="28"/>
      <c r="I120" s="25"/>
      <c r="J120" s="25"/>
      <c r="K120" s="25"/>
      <c r="L120" s="25"/>
      <c r="M120" s="25"/>
      <c r="N120" s="25"/>
      <c r="O120" s="25"/>
      <c r="P120" s="25"/>
      <c r="Q120" s="25"/>
      <c r="R120" s="25"/>
      <c r="S120" s="25"/>
      <c r="T120" s="25"/>
      <c r="U120" s="25"/>
      <c r="V120" s="25"/>
      <c r="W120" s="25"/>
      <c r="X120" s="25"/>
      <c r="Y120" s="25"/>
      <c r="Z120" s="25"/>
      <c r="AA120" s="27"/>
    </row>
    <row r="121">
      <c r="A121" s="24"/>
      <c r="B121" s="25"/>
      <c r="C121" s="25"/>
      <c r="D121" s="25"/>
      <c r="E121" s="25"/>
      <c r="F121" s="25"/>
      <c r="G121" s="25"/>
      <c r="H121" s="28"/>
      <c r="I121" s="25"/>
      <c r="J121" s="25"/>
      <c r="K121" s="25"/>
      <c r="L121" s="25"/>
      <c r="M121" s="25"/>
      <c r="N121" s="25"/>
      <c r="O121" s="25"/>
      <c r="P121" s="25"/>
      <c r="Q121" s="25"/>
      <c r="R121" s="25"/>
      <c r="S121" s="25"/>
      <c r="T121" s="25"/>
      <c r="U121" s="25"/>
      <c r="V121" s="25"/>
      <c r="W121" s="25"/>
      <c r="X121" s="25"/>
      <c r="Y121" s="25"/>
      <c r="Z121" s="25"/>
      <c r="AA121" s="27"/>
    </row>
    <row r="122">
      <c r="A122" s="24"/>
      <c r="B122" s="25"/>
      <c r="C122" s="25"/>
      <c r="D122" s="25"/>
      <c r="E122" s="25"/>
      <c r="F122" s="25"/>
      <c r="G122" s="25"/>
      <c r="H122" s="28"/>
      <c r="I122" s="25"/>
      <c r="J122" s="25"/>
      <c r="K122" s="25"/>
      <c r="L122" s="25"/>
      <c r="M122" s="25"/>
      <c r="N122" s="25"/>
      <c r="O122" s="25"/>
      <c r="P122" s="25"/>
      <c r="Q122" s="25"/>
      <c r="R122" s="25"/>
      <c r="S122" s="25"/>
      <c r="T122" s="25"/>
      <c r="U122" s="25"/>
      <c r="V122" s="25"/>
      <c r="W122" s="25"/>
      <c r="X122" s="25"/>
      <c r="Y122" s="25"/>
      <c r="Z122" s="25"/>
      <c r="AA122" s="27"/>
    </row>
    <row r="123">
      <c r="A123" s="24"/>
      <c r="B123" s="25"/>
      <c r="C123" s="25"/>
      <c r="D123" s="25"/>
      <c r="E123" s="25"/>
      <c r="F123" s="25"/>
      <c r="G123" s="25"/>
      <c r="H123" s="28"/>
      <c r="I123" s="25"/>
      <c r="J123" s="25"/>
      <c r="K123" s="25"/>
      <c r="L123" s="25"/>
      <c r="M123" s="25"/>
      <c r="N123" s="25"/>
      <c r="O123" s="25"/>
      <c r="P123" s="25"/>
      <c r="Q123" s="25"/>
      <c r="R123" s="25"/>
      <c r="S123" s="25"/>
      <c r="T123" s="25"/>
      <c r="U123" s="25"/>
      <c r="V123" s="25"/>
      <c r="W123" s="25"/>
      <c r="X123" s="25"/>
      <c r="Y123" s="25"/>
      <c r="Z123" s="25"/>
      <c r="AA123" s="27"/>
    </row>
    <row r="124">
      <c r="A124" s="24"/>
      <c r="B124" s="25"/>
      <c r="C124" s="25"/>
      <c r="D124" s="25"/>
      <c r="E124" s="25"/>
      <c r="F124" s="25"/>
      <c r="G124" s="25"/>
      <c r="H124" s="28"/>
      <c r="I124" s="25"/>
      <c r="J124" s="25"/>
      <c r="K124" s="25"/>
      <c r="L124" s="25"/>
      <c r="M124" s="25"/>
      <c r="N124" s="25"/>
      <c r="O124" s="25"/>
      <c r="P124" s="25"/>
      <c r="Q124" s="25"/>
      <c r="R124" s="25"/>
      <c r="S124" s="25"/>
      <c r="T124" s="25"/>
      <c r="U124" s="25"/>
      <c r="V124" s="25"/>
      <c r="W124" s="25"/>
      <c r="X124" s="25"/>
      <c r="Y124" s="25"/>
      <c r="Z124" s="25"/>
      <c r="AA124" s="27"/>
    </row>
    <row r="125">
      <c r="A125" s="24"/>
      <c r="B125" s="25"/>
      <c r="C125" s="25"/>
      <c r="D125" s="25"/>
      <c r="E125" s="25"/>
      <c r="F125" s="25"/>
      <c r="G125" s="25"/>
      <c r="H125" s="28"/>
      <c r="I125" s="25"/>
      <c r="J125" s="25"/>
      <c r="K125" s="25"/>
      <c r="L125" s="25"/>
      <c r="M125" s="25"/>
      <c r="N125" s="25"/>
      <c r="O125" s="25"/>
      <c r="P125" s="25"/>
      <c r="Q125" s="25"/>
      <c r="R125" s="25"/>
      <c r="S125" s="25"/>
      <c r="T125" s="25"/>
      <c r="U125" s="25"/>
      <c r="V125" s="25"/>
      <c r="W125" s="25"/>
      <c r="X125" s="25"/>
      <c r="Y125" s="25"/>
      <c r="Z125" s="25"/>
      <c r="AA125" s="27"/>
    </row>
    <row r="126">
      <c r="A126" s="24"/>
      <c r="B126" s="25"/>
      <c r="C126" s="25"/>
      <c r="D126" s="25"/>
      <c r="E126" s="25"/>
      <c r="F126" s="25"/>
      <c r="G126" s="25"/>
      <c r="H126" s="28"/>
      <c r="I126" s="25"/>
      <c r="J126" s="25"/>
      <c r="K126" s="25"/>
      <c r="L126" s="25"/>
      <c r="M126" s="25"/>
      <c r="N126" s="25"/>
      <c r="O126" s="25"/>
      <c r="P126" s="25"/>
      <c r="Q126" s="25"/>
      <c r="R126" s="25"/>
      <c r="S126" s="25"/>
      <c r="T126" s="25"/>
      <c r="U126" s="25"/>
      <c r="V126" s="25"/>
      <c r="W126" s="25"/>
      <c r="X126" s="25"/>
      <c r="Y126" s="25"/>
      <c r="Z126" s="25"/>
      <c r="AA126" s="27"/>
    </row>
    <row r="127">
      <c r="A127" s="24"/>
      <c r="B127" s="25"/>
      <c r="C127" s="25"/>
      <c r="D127" s="25"/>
      <c r="E127" s="25"/>
      <c r="F127" s="25"/>
      <c r="G127" s="25"/>
      <c r="H127" s="28"/>
      <c r="I127" s="25"/>
      <c r="J127" s="25"/>
      <c r="K127" s="25"/>
      <c r="L127" s="25"/>
      <c r="M127" s="25"/>
      <c r="N127" s="25"/>
      <c r="O127" s="25"/>
      <c r="P127" s="25"/>
      <c r="Q127" s="25"/>
      <c r="R127" s="25"/>
      <c r="S127" s="25"/>
      <c r="T127" s="25"/>
      <c r="U127" s="25"/>
      <c r="V127" s="25"/>
      <c r="W127" s="25"/>
      <c r="X127" s="25"/>
      <c r="Y127" s="25"/>
      <c r="Z127" s="25"/>
      <c r="AA127" s="27"/>
    </row>
    <row r="128">
      <c r="A128" s="24"/>
      <c r="B128" s="25"/>
      <c r="C128" s="25"/>
      <c r="D128" s="25"/>
      <c r="E128" s="25"/>
      <c r="F128" s="25"/>
      <c r="G128" s="25"/>
      <c r="H128" s="28"/>
      <c r="I128" s="25"/>
      <c r="J128" s="25"/>
      <c r="K128" s="25"/>
      <c r="L128" s="25"/>
      <c r="M128" s="25"/>
      <c r="N128" s="25"/>
      <c r="O128" s="25"/>
      <c r="P128" s="25"/>
      <c r="Q128" s="25"/>
      <c r="R128" s="25"/>
      <c r="S128" s="25"/>
      <c r="T128" s="25"/>
      <c r="U128" s="25"/>
      <c r="V128" s="25"/>
      <c r="W128" s="25"/>
      <c r="X128" s="25"/>
      <c r="Y128" s="25"/>
      <c r="Z128" s="25"/>
      <c r="AA128" s="27"/>
    </row>
    <row r="129">
      <c r="A129" s="24"/>
      <c r="B129" s="25"/>
      <c r="C129" s="25"/>
      <c r="D129" s="25"/>
      <c r="E129" s="25"/>
      <c r="F129" s="25"/>
      <c r="G129" s="25"/>
      <c r="H129" s="28"/>
      <c r="I129" s="25"/>
      <c r="J129" s="25"/>
      <c r="K129" s="25"/>
      <c r="L129" s="25"/>
      <c r="M129" s="25"/>
      <c r="N129" s="25"/>
      <c r="O129" s="25"/>
      <c r="P129" s="25"/>
      <c r="Q129" s="25"/>
      <c r="R129" s="25"/>
      <c r="S129" s="25"/>
      <c r="T129" s="25"/>
      <c r="U129" s="25"/>
      <c r="V129" s="25"/>
      <c r="W129" s="25"/>
      <c r="X129" s="25"/>
      <c r="Y129" s="25"/>
      <c r="Z129" s="25"/>
      <c r="AA129" s="27"/>
    </row>
    <row r="130">
      <c r="A130" s="24"/>
      <c r="B130" s="25"/>
      <c r="C130" s="25"/>
      <c r="D130" s="25"/>
      <c r="E130" s="25"/>
      <c r="F130" s="25"/>
      <c r="G130" s="25"/>
      <c r="H130" s="28"/>
      <c r="I130" s="25"/>
      <c r="J130" s="25"/>
      <c r="K130" s="25"/>
      <c r="L130" s="25"/>
      <c r="M130" s="25"/>
      <c r="N130" s="25"/>
      <c r="O130" s="25"/>
      <c r="P130" s="25"/>
      <c r="Q130" s="25"/>
      <c r="R130" s="25"/>
      <c r="S130" s="25"/>
      <c r="T130" s="25"/>
      <c r="U130" s="25"/>
      <c r="V130" s="25"/>
      <c r="W130" s="25"/>
      <c r="X130" s="25"/>
      <c r="Y130" s="25"/>
      <c r="Z130" s="25"/>
      <c r="AA130" s="27"/>
    </row>
    <row r="131">
      <c r="A131" s="24"/>
      <c r="B131" s="25"/>
      <c r="C131" s="25"/>
      <c r="D131" s="25"/>
      <c r="E131" s="25"/>
      <c r="F131" s="25"/>
      <c r="G131" s="25"/>
      <c r="H131" s="28"/>
      <c r="I131" s="25"/>
      <c r="J131" s="25"/>
      <c r="K131" s="25"/>
      <c r="L131" s="25"/>
      <c r="M131" s="25"/>
      <c r="N131" s="25"/>
      <c r="O131" s="25"/>
      <c r="P131" s="25"/>
      <c r="Q131" s="25"/>
      <c r="R131" s="25"/>
      <c r="S131" s="25"/>
      <c r="T131" s="25"/>
      <c r="U131" s="25"/>
      <c r="V131" s="25"/>
      <c r="W131" s="25"/>
      <c r="X131" s="25"/>
      <c r="Y131" s="25"/>
      <c r="Z131" s="25"/>
      <c r="AA131" s="27"/>
    </row>
    <row r="132">
      <c r="A132" s="24"/>
      <c r="B132" s="25"/>
      <c r="C132" s="25"/>
      <c r="D132" s="25"/>
      <c r="E132" s="25"/>
      <c r="F132" s="25"/>
      <c r="G132" s="25"/>
      <c r="H132" s="28"/>
      <c r="I132" s="25"/>
      <c r="J132" s="25"/>
      <c r="K132" s="25"/>
      <c r="L132" s="25"/>
      <c r="M132" s="25"/>
      <c r="N132" s="25"/>
      <c r="O132" s="25"/>
      <c r="P132" s="25"/>
      <c r="Q132" s="25"/>
      <c r="R132" s="25"/>
      <c r="S132" s="25"/>
      <c r="T132" s="25"/>
      <c r="U132" s="25"/>
      <c r="V132" s="25"/>
      <c r="W132" s="25"/>
      <c r="X132" s="25"/>
      <c r="Y132" s="25"/>
      <c r="Z132" s="25"/>
      <c r="AA132" s="27"/>
    </row>
    <row r="133">
      <c r="A133" s="24"/>
      <c r="B133" s="25"/>
      <c r="C133" s="25"/>
      <c r="D133" s="25"/>
      <c r="E133" s="25"/>
      <c r="F133" s="25"/>
      <c r="G133" s="25"/>
      <c r="H133" s="28"/>
      <c r="I133" s="25"/>
      <c r="J133" s="25"/>
      <c r="K133" s="25"/>
      <c r="L133" s="25"/>
      <c r="M133" s="25"/>
      <c r="N133" s="25"/>
      <c r="O133" s="25"/>
      <c r="P133" s="25"/>
      <c r="Q133" s="25"/>
      <c r="R133" s="25"/>
      <c r="S133" s="25"/>
      <c r="T133" s="25"/>
      <c r="U133" s="25"/>
      <c r="V133" s="25"/>
      <c r="W133" s="25"/>
      <c r="X133" s="25"/>
      <c r="Y133" s="25"/>
      <c r="Z133" s="25"/>
      <c r="AA133" s="27"/>
    </row>
    <row r="134">
      <c r="A134" s="24"/>
      <c r="B134" s="25"/>
      <c r="C134" s="25"/>
      <c r="D134" s="25"/>
      <c r="E134" s="25"/>
      <c r="F134" s="25"/>
      <c r="G134" s="25"/>
      <c r="H134" s="28"/>
      <c r="I134" s="25"/>
      <c r="J134" s="25"/>
      <c r="K134" s="25"/>
      <c r="L134" s="25"/>
      <c r="M134" s="25"/>
      <c r="N134" s="25"/>
      <c r="O134" s="25"/>
      <c r="P134" s="25"/>
      <c r="Q134" s="25"/>
      <c r="R134" s="25"/>
      <c r="S134" s="25"/>
      <c r="T134" s="25"/>
      <c r="U134" s="25"/>
      <c r="V134" s="25"/>
      <c r="W134" s="25"/>
      <c r="X134" s="25"/>
      <c r="Y134" s="25"/>
      <c r="Z134" s="25"/>
      <c r="AA134" s="27"/>
    </row>
    <row r="135">
      <c r="A135" s="24"/>
      <c r="B135" s="25"/>
      <c r="C135" s="25"/>
      <c r="D135" s="25"/>
      <c r="E135" s="25"/>
      <c r="F135" s="25"/>
      <c r="G135" s="25"/>
      <c r="H135" s="28"/>
      <c r="I135" s="25"/>
      <c r="J135" s="25"/>
      <c r="K135" s="25"/>
      <c r="L135" s="25"/>
      <c r="M135" s="25"/>
      <c r="N135" s="25"/>
      <c r="O135" s="25"/>
      <c r="P135" s="25"/>
      <c r="Q135" s="25"/>
      <c r="R135" s="25"/>
      <c r="S135" s="25"/>
      <c r="T135" s="25"/>
      <c r="U135" s="25"/>
      <c r="V135" s="25"/>
      <c r="W135" s="25"/>
      <c r="X135" s="25"/>
      <c r="Y135" s="25"/>
      <c r="Z135" s="25"/>
      <c r="AA135" s="27"/>
    </row>
    <row r="136">
      <c r="A136" s="24"/>
      <c r="B136" s="25"/>
      <c r="C136" s="25"/>
      <c r="D136" s="25"/>
      <c r="E136" s="25"/>
      <c r="F136" s="25"/>
      <c r="G136" s="25"/>
      <c r="H136" s="28"/>
      <c r="I136" s="25"/>
      <c r="J136" s="25"/>
      <c r="K136" s="25"/>
      <c r="L136" s="25"/>
      <c r="M136" s="25"/>
      <c r="N136" s="25"/>
      <c r="O136" s="25"/>
      <c r="P136" s="25"/>
      <c r="Q136" s="25"/>
      <c r="R136" s="25"/>
      <c r="S136" s="25"/>
      <c r="T136" s="25"/>
      <c r="U136" s="25"/>
      <c r="V136" s="25"/>
      <c r="W136" s="25"/>
      <c r="X136" s="25"/>
      <c r="Y136" s="25"/>
      <c r="Z136" s="25"/>
      <c r="AA136" s="27"/>
    </row>
    <row r="137">
      <c r="A137" s="24"/>
      <c r="B137" s="25"/>
      <c r="C137" s="25"/>
      <c r="D137" s="25"/>
      <c r="E137" s="25"/>
      <c r="F137" s="25"/>
      <c r="G137" s="25"/>
      <c r="H137" s="28"/>
      <c r="I137" s="25"/>
      <c r="J137" s="25"/>
      <c r="K137" s="25"/>
      <c r="L137" s="25"/>
      <c r="M137" s="25"/>
      <c r="N137" s="25"/>
      <c r="O137" s="25"/>
      <c r="P137" s="25"/>
      <c r="Q137" s="25"/>
      <c r="R137" s="25"/>
      <c r="S137" s="25"/>
      <c r="T137" s="25"/>
      <c r="U137" s="25"/>
      <c r="V137" s="25"/>
      <c r="W137" s="25"/>
      <c r="X137" s="25"/>
      <c r="Y137" s="25"/>
      <c r="Z137" s="25"/>
      <c r="AA137" s="27"/>
    </row>
    <row r="138">
      <c r="A138" s="24"/>
      <c r="B138" s="25"/>
      <c r="C138" s="25"/>
      <c r="D138" s="25"/>
      <c r="E138" s="25"/>
      <c r="F138" s="25"/>
      <c r="G138" s="25"/>
      <c r="H138" s="28"/>
      <c r="I138" s="25"/>
      <c r="J138" s="25"/>
      <c r="K138" s="25"/>
      <c r="L138" s="25"/>
      <c r="M138" s="25"/>
      <c r="N138" s="25"/>
      <c r="O138" s="25"/>
      <c r="P138" s="25"/>
      <c r="Q138" s="25"/>
      <c r="R138" s="25"/>
      <c r="S138" s="25"/>
      <c r="T138" s="25"/>
      <c r="U138" s="25"/>
      <c r="V138" s="25"/>
      <c r="W138" s="25"/>
      <c r="X138" s="25"/>
      <c r="Y138" s="25"/>
      <c r="Z138" s="25"/>
      <c r="AA138" s="27"/>
    </row>
    <row r="139">
      <c r="A139" s="24"/>
      <c r="B139" s="25"/>
      <c r="C139" s="25"/>
      <c r="D139" s="25"/>
      <c r="E139" s="25"/>
      <c r="F139" s="25"/>
      <c r="G139" s="25"/>
      <c r="H139" s="28"/>
      <c r="I139" s="25"/>
      <c r="J139" s="25"/>
      <c r="K139" s="25"/>
      <c r="L139" s="25"/>
      <c r="M139" s="25"/>
      <c r="N139" s="25"/>
      <c r="O139" s="25"/>
      <c r="P139" s="25"/>
      <c r="Q139" s="25"/>
      <c r="R139" s="25"/>
      <c r="S139" s="25"/>
      <c r="T139" s="25"/>
      <c r="U139" s="25"/>
      <c r="V139" s="25"/>
      <c r="W139" s="25"/>
      <c r="X139" s="25"/>
      <c r="Y139" s="25"/>
      <c r="Z139" s="25"/>
      <c r="AA139" s="27"/>
    </row>
    <row r="140">
      <c r="A140" s="24"/>
      <c r="B140" s="25"/>
      <c r="C140" s="25"/>
      <c r="D140" s="25"/>
      <c r="E140" s="25"/>
      <c r="F140" s="25"/>
      <c r="G140" s="25"/>
      <c r="H140" s="28"/>
      <c r="I140" s="25"/>
      <c r="J140" s="25"/>
      <c r="K140" s="25"/>
      <c r="L140" s="25"/>
      <c r="M140" s="25"/>
      <c r="N140" s="25"/>
      <c r="O140" s="25"/>
      <c r="P140" s="25"/>
      <c r="Q140" s="25"/>
      <c r="R140" s="25"/>
      <c r="S140" s="25"/>
      <c r="T140" s="25"/>
      <c r="U140" s="25"/>
      <c r="V140" s="25"/>
      <c r="W140" s="25"/>
      <c r="X140" s="25"/>
      <c r="Y140" s="25"/>
      <c r="Z140" s="25"/>
      <c r="AA140" s="27"/>
    </row>
    <row r="141">
      <c r="A141" s="24"/>
      <c r="B141" s="25"/>
      <c r="C141" s="25"/>
      <c r="D141" s="25"/>
      <c r="E141" s="25"/>
      <c r="F141" s="25"/>
      <c r="G141" s="25"/>
      <c r="H141" s="28"/>
      <c r="I141" s="25"/>
      <c r="J141" s="25"/>
      <c r="K141" s="25"/>
      <c r="L141" s="25"/>
      <c r="M141" s="25"/>
      <c r="N141" s="25"/>
      <c r="O141" s="25"/>
      <c r="P141" s="25"/>
      <c r="Q141" s="25"/>
      <c r="R141" s="25"/>
      <c r="S141" s="25"/>
      <c r="T141" s="25"/>
      <c r="U141" s="25"/>
      <c r="V141" s="25"/>
      <c r="W141" s="25"/>
      <c r="X141" s="25"/>
      <c r="Y141" s="25"/>
      <c r="Z141" s="25"/>
      <c r="AA141" s="27"/>
    </row>
    <row r="142">
      <c r="A142" s="24"/>
      <c r="B142" s="25"/>
      <c r="C142" s="25"/>
      <c r="D142" s="25"/>
      <c r="E142" s="25"/>
      <c r="F142" s="25"/>
      <c r="G142" s="25"/>
      <c r="H142" s="28"/>
      <c r="I142" s="25"/>
      <c r="J142" s="25"/>
      <c r="K142" s="25"/>
      <c r="L142" s="25"/>
      <c r="M142" s="25"/>
      <c r="N142" s="25"/>
      <c r="O142" s="25"/>
      <c r="P142" s="25"/>
      <c r="Q142" s="25"/>
      <c r="R142" s="25"/>
      <c r="S142" s="25"/>
      <c r="T142" s="25"/>
      <c r="U142" s="25"/>
      <c r="V142" s="25"/>
      <c r="W142" s="25"/>
      <c r="X142" s="25"/>
      <c r="Y142" s="25"/>
      <c r="Z142" s="25"/>
      <c r="AA142" s="27"/>
    </row>
    <row r="143">
      <c r="A143" s="24"/>
      <c r="B143" s="25"/>
      <c r="C143" s="25"/>
      <c r="D143" s="25"/>
      <c r="E143" s="25"/>
      <c r="F143" s="25"/>
      <c r="G143" s="25"/>
      <c r="H143" s="28"/>
      <c r="I143" s="25"/>
      <c r="J143" s="25"/>
      <c r="K143" s="25"/>
      <c r="L143" s="25"/>
      <c r="M143" s="25"/>
      <c r="N143" s="25"/>
      <c r="O143" s="25"/>
      <c r="P143" s="25"/>
      <c r="Q143" s="25"/>
      <c r="R143" s="25"/>
      <c r="S143" s="25"/>
      <c r="T143" s="25"/>
      <c r="U143" s="25"/>
      <c r="V143" s="25"/>
      <c r="W143" s="25"/>
      <c r="X143" s="25"/>
      <c r="Y143" s="25"/>
      <c r="Z143" s="25"/>
      <c r="AA143" s="27"/>
    </row>
    <row r="144">
      <c r="A144" s="24"/>
      <c r="B144" s="25"/>
      <c r="C144" s="25"/>
      <c r="D144" s="25"/>
      <c r="E144" s="25"/>
      <c r="F144" s="25"/>
      <c r="G144" s="25"/>
      <c r="H144" s="28"/>
      <c r="I144" s="25"/>
      <c r="J144" s="25"/>
      <c r="K144" s="25"/>
      <c r="L144" s="25"/>
      <c r="M144" s="25"/>
      <c r="N144" s="25"/>
      <c r="O144" s="25"/>
      <c r="P144" s="25"/>
      <c r="Q144" s="25"/>
      <c r="R144" s="25"/>
      <c r="S144" s="25"/>
      <c r="T144" s="25"/>
      <c r="U144" s="25"/>
      <c r="V144" s="25"/>
      <c r="W144" s="25"/>
      <c r="X144" s="25"/>
      <c r="Y144" s="25"/>
      <c r="Z144" s="25"/>
      <c r="AA144" s="27"/>
    </row>
    <row r="145">
      <c r="A145" s="24"/>
      <c r="B145" s="25"/>
      <c r="C145" s="25"/>
      <c r="D145" s="25"/>
      <c r="E145" s="25"/>
      <c r="F145" s="25"/>
      <c r="G145" s="25"/>
      <c r="H145" s="28"/>
      <c r="I145" s="25"/>
      <c r="J145" s="25"/>
      <c r="K145" s="25"/>
      <c r="L145" s="25"/>
      <c r="M145" s="25"/>
      <c r="N145" s="25"/>
      <c r="O145" s="25"/>
      <c r="P145" s="25"/>
      <c r="Q145" s="25"/>
      <c r="R145" s="25"/>
      <c r="S145" s="25"/>
      <c r="T145" s="25"/>
      <c r="U145" s="25"/>
      <c r="V145" s="25"/>
      <c r="W145" s="25"/>
      <c r="X145" s="25"/>
      <c r="Y145" s="25"/>
      <c r="Z145" s="25"/>
      <c r="AA145" s="27"/>
    </row>
    <row r="146">
      <c r="A146" s="24"/>
      <c r="B146" s="25"/>
      <c r="C146" s="25"/>
      <c r="D146" s="25"/>
      <c r="E146" s="25"/>
      <c r="F146" s="25"/>
      <c r="G146" s="25"/>
      <c r="H146" s="28"/>
      <c r="I146" s="25"/>
      <c r="J146" s="25"/>
      <c r="K146" s="25"/>
      <c r="L146" s="25"/>
      <c r="M146" s="25"/>
      <c r="N146" s="25"/>
      <c r="O146" s="25"/>
      <c r="P146" s="25"/>
      <c r="Q146" s="25"/>
      <c r="R146" s="25"/>
      <c r="S146" s="25"/>
      <c r="T146" s="25"/>
      <c r="U146" s="25"/>
      <c r="V146" s="25"/>
      <c r="W146" s="25"/>
      <c r="X146" s="25"/>
      <c r="Y146" s="25"/>
      <c r="Z146" s="25"/>
      <c r="AA146" s="27"/>
    </row>
    <row r="147">
      <c r="A147" s="24"/>
      <c r="B147" s="25"/>
      <c r="C147" s="25"/>
      <c r="D147" s="25"/>
      <c r="E147" s="25"/>
      <c r="F147" s="25"/>
      <c r="G147" s="25"/>
      <c r="H147" s="28"/>
      <c r="I147" s="25"/>
      <c r="J147" s="25"/>
      <c r="K147" s="25"/>
      <c r="L147" s="25"/>
      <c r="M147" s="25"/>
      <c r="N147" s="25"/>
      <c r="O147" s="25"/>
      <c r="P147" s="25"/>
      <c r="Q147" s="25"/>
      <c r="R147" s="25"/>
      <c r="S147" s="25"/>
      <c r="T147" s="25"/>
      <c r="U147" s="25"/>
      <c r="V147" s="25"/>
      <c r="W147" s="25"/>
      <c r="X147" s="25"/>
      <c r="Y147" s="25"/>
      <c r="Z147" s="25"/>
      <c r="AA147" s="27"/>
    </row>
    <row r="148">
      <c r="A148" s="24"/>
      <c r="B148" s="25"/>
      <c r="C148" s="25"/>
      <c r="D148" s="25"/>
      <c r="E148" s="25"/>
      <c r="F148" s="25"/>
      <c r="G148" s="25"/>
      <c r="H148" s="28"/>
      <c r="I148" s="25"/>
      <c r="J148" s="25"/>
      <c r="K148" s="25"/>
      <c r="L148" s="25"/>
      <c r="M148" s="25"/>
      <c r="N148" s="25"/>
      <c r="O148" s="25"/>
      <c r="P148" s="25"/>
      <c r="Q148" s="25"/>
      <c r="R148" s="25"/>
      <c r="S148" s="25"/>
      <c r="T148" s="25"/>
      <c r="U148" s="25"/>
      <c r="V148" s="25"/>
      <c r="W148" s="25"/>
      <c r="X148" s="25"/>
      <c r="Y148" s="25"/>
      <c r="Z148" s="25"/>
      <c r="AA148" s="27"/>
    </row>
    <row r="149">
      <c r="A149" s="24"/>
      <c r="B149" s="25"/>
      <c r="C149" s="25"/>
      <c r="D149" s="25"/>
      <c r="E149" s="25"/>
      <c r="F149" s="25"/>
      <c r="G149" s="25"/>
      <c r="H149" s="28"/>
      <c r="I149" s="25"/>
      <c r="J149" s="25"/>
      <c r="K149" s="25"/>
      <c r="L149" s="25"/>
      <c r="M149" s="25"/>
      <c r="N149" s="25"/>
      <c r="O149" s="25"/>
      <c r="P149" s="25"/>
      <c r="Q149" s="25"/>
      <c r="R149" s="25"/>
      <c r="S149" s="25"/>
      <c r="T149" s="25"/>
      <c r="U149" s="25"/>
      <c r="V149" s="25"/>
      <c r="W149" s="25"/>
      <c r="X149" s="25"/>
      <c r="Y149" s="25"/>
      <c r="Z149" s="25"/>
      <c r="AA149" s="27"/>
    </row>
    <row r="150">
      <c r="A150" s="24"/>
      <c r="B150" s="25"/>
      <c r="C150" s="25"/>
      <c r="D150" s="25"/>
      <c r="E150" s="25"/>
      <c r="F150" s="25"/>
      <c r="G150" s="25"/>
      <c r="H150" s="28"/>
      <c r="I150" s="25"/>
      <c r="J150" s="25"/>
      <c r="K150" s="25"/>
      <c r="L150" s="25"/>
      <c r="M150" s="25"/>
      <c r="N150" s="25"/>
      <c r="O150" s="25"/>
      <c r="P150" s="25"/>
      <c r="Q150" s="25"/>
      <c r="R150" s="25"/>
      <c r="S150" s="25"/>
      <c r="T150" s="25"/>
      <c r="U150" s="25"/>
      <c r="V150" s="25"/>
      <c r="W150" s="25"/>
      <c r="X150" s="25"/>
      <c r="Y150" s="25"/>
      <c r="Z150" s="25"/>
      <c r="AA150" s="27"/>
    </row>
    <row r="151">
      <c r="A151" s="24"/>
      <c r="B151" s="25"/>
      <c r="C151" s="25"/>
      <c r="D151" s="25"/>
      <c r="E151" s="25"/>
      <c r="F151" s="25"/>
      <c r="G151" s="25"/>
      <c r="H151" s="28"/>
      <c r="I151" s="25"/>
      <c r="J151" s="25"/>
      <c r="K151" s="25"/>
      <c r="L151" s="25"/>
      <c r="M151" s="25"/>
      <c r="N151" s="25"/>
      <c r="O151" s="25"/>
      <c r="P151" s="25"/>
      <c r="Q151" s="25"/>
      <c r="R151" s="25"/>
      <c r="S151" s="25"/>
      <c r="T151" s="25"/>
      <c r="U151" s="25"/>
      <c r="V151" s="25"/>
      <c r="W151" s="25"/>
      <c r="X151" s="25"/>
      <c r="Y151" s="25"/>
      <c r="Z151" s="25"/>
      <c r="AA151" s="27"/>
    </row>
    <row r="152">
      <c r="A152" s="24"/>
      <c r="B152" s="25"/>
      <c r="C152" s="25"/>
      <c r="D152" s="25"/>
      <c r="E152" s="25"/>
      <c r="F152" s="25"/>
      <c r="G152" s="25"/>
      <c r="H152" s="28"/>
      <c r="I152" s="25"/>
      <c r="J152" s="25"/>
      <c r="K152" s="25"/>
      <c r="L152" s="25"/>
      <c r="M152" s="25"/>
      <c r="N152" s="25"/>
      <c r="O152" s="25"/>
      <c r="P152" s="25"/>
      <c r="Q152" s="25"/>
      <c r="R152" s="25"/>
      <c r="S152" s="25"/>
      <c r="T152" s="25"/>
      <c r="U152" s="25"/>
      <c r="V152" s="25"/>
      <c r="W152" s="25"/>
      <c r="X152" s="25"/>
      <c r="Y152" s="25"/>
      <c r="Z152" s="25"/>
      <c r="AA152" s="27"/>
    </row>
    <row r="153">
      <c r="A153" s="24"/>
      <c r="B153" s="25"/>
      <c r="C153" s="25"/>
      <c r="D153" s="25"/>
      <c r="E153" s="25"/>
      <c r="F153" s="25"/>
      <c r="G153" s="25"/>
      <c r="H153" s="28"/>
      <c r="I153" s="25"/>
      <c r="J153" s="25"/>
      <c r="K153" s="25"/>
      <c r="L153" s="25"/>
      <c r="M153" s="25"/>
      <c r="N153" s="25"/>
      <c r="O153" s="25"/>
      <c r="P153" s="25"/>
      <c r="Q153" s="25"/>
      <c r="R153" s="25"/>
      <c r="S153" s="25"/>
      <c r="T153" s="25"/>
      <c r="U153" s="25"/>
      <c r="V153" s="25"/>
      <c r="W153" s="25"/>
      <c r="X153" s="25"/>
      <c r="Y153" s="25"/>
      <c r="Z153" s="25"/>
      <c r="AA153" s="27"/>
    </row>
    <row r="154">
      <c r="A154" s="24"/>
      <c r="B154" s="25"/>
      <c r="C154" s="25"/>
      <c r="D154" s="25"/>
      <c r="E154" s="25"/>
      <c r="F154" s="25"/>
      <c r="G154" s="25"/>
      <c r="H154" s="28"/>
      <c r="I154" s="25"/>
      <c r="J154" s="25"/>
      <c r="K154" s="25"/>
      <c r="L154" s="25"/>
      <c r="M154" s="25"/>
      <c r="N154" s="25"/>
      <c r="O154" s="25"/>
      <c r="P154" s="25"/>
      <c r="Q154" s="25"/>
      <c r="R154" s="25"/>
      <c r="S154" s="25"/>
      <c r="T154" s="25"/>
      <c r="U154" s="25"/>
      <c r="V154" s="25"/>
      <c r="W154" s="25"/>
      <c r="X154" s="25"/>
      <c r="Y154" s="25"/>
      <c r="Z154" s="25"/>
      <c r="AA154" s="27"/>
    </row>
    <row r="155">
      <c r="A155" s="24"/>
      <c r="B155" s="25"/>
      <c r="C155" s="25"/>
      <c r="D155" s="25"/>
      <c r="E155" s="25"/>
      <c r="F155" s="25"/>
      <c r="G155" s="25"/>
      <c r="H155" s="28"/>
      <c r="I155" s="25"/>
      <c r="J155" s="25"/>
      <c r="K155" s="25"/>
      <c r="L155" s="25"/>
      <c r="M155" s="25"/>
      <c r="N155" s="25"/>
      <c r="O155" s="25"/>
      <c r="P155" s="25"/>
      <c r="Q155" s="25"/>
      <c r="R155" s="25"/>
      <c r="S155" s="25"/>
      <c r="T155" s="25"/>
      <c r="U155" s="25"/>
      <c r="V155" s="25"/>
      <c r="W155" s="25"/>
      <c r="X155" s="25"/>
      <c r="Y155" s="25"/>
      <c r="Z155" s="25"/>
      <c r="AA155" s="27"/>
    </row>
    <row r="156">
      <c r="A156" s="24"/>
      <c r="B156" s="25"/>
      <c r="C156" s="25"/>
      <c r="D156" s="25"/>
      <c r="E156" s="25"/>
      <c r="F156" s="25"/>
      <c r="G156" s="25"/>
      <c r="H156" s="28"/>
      <c r="I156" s="25"/>
      <c r="J156" s="25"/>
      <c r="K156" s="25"/>
      <c r="L156" s="25"/>
      <c r="M156" s="25"/>
      <c r="N156" s="25"/>
      <c r="O156" s="25"/>
      <c r="P156" s="25"/>
      <c r="Q156" s="25"/>
      <c r="R156" s="25"/>
      <c r="S156" s="25"/>
      <c r="T156" s="25"/>
      <c r="U156" s="25"/>
      <c r="V156" s="25"/>
      <c r="W156" s="25"/>
      <c r="X156" s="25"/>
      <c r="Y156" s="25"/>
      <c r="Z156" s="25"/>
      <c r="AA156" s="27"/>
    </row>
    <row r="157">
      <c r="A157" s="24"/>
      <c r="B157" s="25"/>
      <c r="C157" s="25"/>
      <c r="D157" s="25"/>
      <c r="E157" s="25"/>
      <c r="F157" s="25"/>
      <c r="G157" s="25"/>
      <c r="H157" s="28"/>
      <c r="I157" s="25"/>
      <c r="J157" s="25"/>
      <c r="K157" s="25"/>
      <c r="L157" s="25"/>
      <c r="M157" s="25"/>
      <c r="N157" s="25"/>
      <c r="O157" s="25"/>
      <c r="P157" s="25"/>
      <c r="Q157" s="25"/>
      <c r="R157" s="25"/>
      <c r="S157" s="25"/>
      <c r="T157" s="25"/>
      <c r="U157" s="25"/>
      <c r="V157" s="25"/>
      <c r="W157" s="25"/>
      <c r="X157" s="25"/>
      <c r="Y157" s="25"/>
      <c r="Z157" s="25"/>
      <c r="AA157" s="27"/>
    </row>
    <row r="158">
      <c r="A158" s="24"/>
      <c r="B158" s="25"/>
      <c r="C158" s="25"/>
      <c r="D158" s="25"/>
      <c r="E158" s="25"/>
      <c r="F158" s="25"/>
      <c r="G158" s="25"/>
      <c r="H158" s="28"/>
      <c r="I158" s="25"/>
      <c r="J158" s="25"/>
      <c r="K158" s="25"/>
      <c r="L158" s="25"/>
      <c r="M158" s="25"/>
      <c r="N158" s="25"/>
      <c r="O158" s="25"/>
      <c r="P158" s="25"/>
      <c r="Q158" s="25"/>
      <c r="R158" s="25"/>
      <c r="S158" s="25"/>
      <c r="T158" s="25"/>
      <c r="U158" s="25"/>
      <c r="V158" s="25"/>
      <c r="W158" s="25"/>
      <c r="X158" s="25"/>
      <c r="Y158" s="25"/>
      <c r="Z158" s="25"/>
      <c r="AA158" s="27"/>
    </row>
    <row r="159">
      <c r="A159" s="24"/>
      <c r="B159" s="25"/>
      <c r="C159" s="25"/>
      <c r="D159" s="25"/>
      <c r="E159" s="25"/>
      <c r="F159" s="25"/>
      <c r="G159" s="25"/>
      <c r="H159" s="28"/>
      <c r="I159" s="25"/>
      <c r="J159" s="25"/>
      <c r="K159" s="25"/>
      <c r="L159" s="25"/>
      <c r="M159" s="25"/>
      <c r="N159" s="25"/>
      <c r="O159" s="25"/>
      <c r="P159" s="25"/>
      <c r="Q159" s="25"/>
      <c r="R159" s="25"/>
      <c r="S159" s="25"/>
      <c r="T159" s="25"/>
      <c r="U159" s="25"/>
      <c r="V159" s="25"/>
      <c r="W159" s="25"/>
      <c r="X159" s="25"/>
      <c r="Y159" s="25"/>
      <c r="Z159" s="25"/>
      <c r="AA159" s="27"/>
    </row>
    <row r="160">
      <c r="A160" s="24"/>
      <c r="B160" s="25"/>
      <c r="C160" s="25"/>
      <c r="D160" s="25"/>
      <c r="E160" s="25"/>
      <c r="F160" s="25"/>
      <c r="G160" s="25"/>
      <c r="H160" s="28"/>
      <c r="I160" s="25"/>
      <c r="J160" s="25"/>
      <c r="K160" s="25"/>
      <c r="L160" s="25"/>
      <c r="M160" s="25"/>
      <c r="N160" s="25"/>
      <c r="O160" s="25"/>
      <c r="P160" s="25"/>
      <c r="Q160" s="25"/>
      <c r="R160" s="25"/>
      <c r="S160" s="25"/>
      <c r="T160" s="25"/>
      <c r="U160" s="25"/>
      <c r="V160" s="25"/>
      <c r="W160" s="25"/>
      <c r="X160" s="25"/>
      <c r="Y160" s="25"/>
      <c r="Z160" s="25"/>
      <c r="AA160" s="27"/>
    </row>
    <row r="161">
      <c r="A161" s="24"/>
      <c r="B161" s="25"/>
      <c r="C161" s="25"/>
      <c r="D161" s="25"/>
      <c r="E161" s="25"/>
      <c r="F161" s="25"/>
      <c r="G161" s="25"/>
      <c r="H161" s="28"/>
      <c r="I161" s="25"/>
      <c r="J161" s="25"/>
      <c r="K161" s="25"/>
      <c r="L161" s="25"/>
      <c r="M161" s="25"/>
      <c r="N161" s="25"/>
      <c r="O161" s="25"/>
      <c r="P161" s="25"/>
      <c r="Q161" s="25"/>
      <c r="R161" s="25"/>
      <c r="S161" s="25"/>
      <c r="T161" s="25"/>
      <c r="U161" s="25"/>
      <c r="V161" s="25"/>
      <c r="W161" s="25"/>
      <c r="X161" s="25"/>
      <c r="Y161" s="25"/>
      <c r="Z161" s="25"/>
      <c r="AA161" s="27"/>
    </row>
    <row r="162">
      <c r="A162" s="24"/>
      <c r="B162" s="25"/>
      <c r="C162" s="25"/>
      <c r="D162" s="25"/>
      <c r="E162" s="25"/>
      <c r="F162" s="25"/>
      <c r="G162" s="25"/>
      <c r="H162" s="28"/>
      <c r="I162" s="25"/>
      <c r="J162" s="25"/>
      <c r="K162" s="25"/>
      <c r="L162" s="25"/>
      <c r="M162" s="25"/>
      <c r="N162" s="25"/>
      <c r="O162" s="25"/>
      <c r="P162" s="25"/>
      <c r="Q162" s="25"/>
      <c r="R162" s="25"/>
      <c r="S162" s="25"/>
      <c r="T162" s="25"/>
      <c r="U162" s="25"/>
      <c r="V162" s="25"/>
      <c r="W162" s="25"/>
      <c r="X162" s="25"/>
      <c r="Y162" s="25"/>
      <c r="Z162" s="25"/>
      <c r="AA162" s="27"/>
    </row>
    <row r="163">
      <c r="A163" s="24"/>
      <c r="B163" s="25"/>
      <c r="C163" s="25"/>
      <c r="D163" s="25"/>
      <c r="E163" s="25"/>
      <c r="F163" s="25"/>
      <c r="G163" s="25"/>
      <c r="H163" s="28"/>
      <c r="I163" s="25"/>
      <c r="J163" s="25"/>
      <c r="K163" s="25"/>
      <c r="L163" s="25"/>
      <c r="M163" s="25"/>
      <c r="N163" s="25"/>
      <c r="O163" s="25"/>
      <c r="P163" s="25"/>
      <c r="Q163" s="25"/>
      <c r="R163" s="25"/>
      <c r="S163" s="25"/>
      <c r="T163" s="25"/>
      <c r="U163" s="25"/>
      <c r="V163" s="25"/>
      <c r="W163" s="25"/>
      <c r="X163" s="25"/>
      <c r="Y163" s="25"/>
      <c r="Z163" s="25"/>
      <c r="AA163" s="27"/>
    </row>
    <row r="164">
      <c r="A164" s="24"/>
      <c r="B164" s="25"/>
      <c r="C164" s="25"/>
      <c r="D164" s="25"/>
      <c r="E164" s="25"/>
      <c r="F164" s="25"/>
      <c r="G164" s="25"/>
      <c r="H164" s="28"/>
      <c r="I164" s="25"/>
      <c r="J164" s="25"/>
      <c r="K164" s="25"/>
      <c r="L164" s="25"/>
      <c r="M164" s="25"/>
      <c r="N164" s="25"/>
      <c r="O164" s="25"/>
      <c r="P164" s="25"/>
      <c r="Q164" s="25"/>
      <c r="R164" s="25"/>
      <c r="S164" s="25"/>
      <c r="T164" s="25"/>
      <c r="U164" s="25"/>
      <c r="V164" s="25"/>
      <c r="W164" s="25"/>
      <c r="X164" s="25"/>
      <c r="Y164" s="25"/>
      <c r="Z164" s="25"/>
      <c r="AA164" s="27"/>
    </row>
    <row r="165">
      <c r="A165" s="24"/>
      <c r="B165" s="25"/>
      <c r="C165" s="25"/>
      <c r="D165" s="25"/>
      <c r="E165" s="25"/>
      <c r="F165" s="25"/>
      <c r="G165" s="25"/>
      <c r="H165" s="28"/>
      <c r="I165" s="25"/>
      <c r="J165" s="25"/>
      <c r="K165" s="25"/>
      <c r="L165" s="25"/>
      <c r="M165" s="25"/>
      <c r="N165" s="25"/>
      <c r="O165" s="25"/>
      <c r="P165" s="25"/>
      <c r="Q165" s="25"/>
      <c r="R165" s="25"/>
      <c r="S165" s="25"/>
      <c r="T165" s="25"/>
      <c r="U165" s="25"/>
      <c r="V165" s="25"/>
      <c r="W165" s="25"/>
      <c r="X165" s="25"/>
      <c r="Y165" s="25"/>
      <c r="Z165" s="25"/>
      <c r="AA165" s="27"/>
    </row>
    <row r="166">
      <c r="A166" s="24"/>
      <c r="B166" s="25"/>
      <c r="C166" s="25"/>
      <c r="D166" s="25"/>
      <c r="E166" s="25"/>
      <c r="F166" s="25"/>
      <c r="G166" s="25"/>
      <c r="H166" s="28"/>
      <c r="I166" s="25"/>
      <c r="J166" s="25"/>
      <c r="K166" s="25"/>
      <c r="L166" s="25"/>
      <c r="M166" s="25"/>
      <c r="N166" s="25"/>
      <c r="O166" s="25"/>
      <c r="P166" s="25"/>
      <c r="Q166" s="25"/>
      <c r="R166" s="25"/>
      <c r="S166" s="25"/>
      <c r="T166" s="25"/>
      <c r="U166" s="25"/>
      <c r="V166" s="25"/>
      <c r="W166" s="25"/>
      <c r="X166" s="25"/>
      <c r="Y166" s="25"/>
      <c r="Z166" s="25"/>
      <c r="AA166" s="27"/>
    </row>
    <row r="167">
      <c r="A167" s="24"/>
      <c r="B167" s="25"/>
      <c r="C167" s="25"/>
      <c r="D167" s="25"/>
      <c r="E167" s="25"/>
      <c r="F167" s="25"/>
      <c r="G167" s="25"/>
      <c r="H167" s="28"/>
      <c r="I167" s="25"/>
      <c r="J167" s="25"/>
      <c r="K167" s="25"/>
      <c r="L167" s="25"/>
      <c r="M167" s="25"/>
      <c r="N167" s="25"/>
      <c r="O167" s="25"/>
      <c r="P167" s="25"/>
      <c r="Q167" s="25"/>
      <c r="R167" s="25"/>
      <c r="S167" s="25"/>
      <c r="T167" s="25"/>
      <c r="U167" s="25"/>
      <c r="V167" s="25"/>
      <c r="W167" s="25"/>
      <c r="X167" s="25"/>
      <c r="Y167" s="25"/>
      <c r="Z167" s="25"/>
      <c r="AA167" s="27"/>
    </row>
    <row r="168">
      <c r="A168" s="24"/>
      <c r="B168" s="25"/>
      <c r="C168" s="25"/>
      <c r="D168" s="25"/>
      <c r="E168" s="25"/>
      <c r="F168" s="25"/>
      <c r="G168" s="25"/>
      <c r="H168" s="28"/>
      <c r="I168" s="25"/>
      <c r="J168" s="25"/>
      <c r="K168" s="25"/>
      <c r="L168" s="25"/>
      <c r="M168" s="25"/>
      <c r="N168" s="25"/>
      <c r="O168" s="25"/>
      <c r="P168" s="25"/>
      <c r="Q168" s="25"/>
      <c r="R168" s="25"/>
      <c r="S168" s="25"/>
      <c r="T168" s="25"/>
      <c r="U168" s="25"/>
      <c r="V168" s="25"/>
      <c r="W168" s="25"/>
      <c r="X168" s="25"/>
      <c r="Y168" s="25"/>
      <c r="Z168" s="25"/>
      <c r="AA168" s="27"/>
    </row>
    <row r="169">
      <c r="A169" s="24"/>
      <c r="B169" s="25"/>
      <c r="C169" s="25"/>
      <c r="D169" s="25"/>
      <c r="E169" s="25"/>
      <c r="F169" s="25"/>
      <c r="G169" s="25"/>
      <c r="H169" s="28"/>
      <c r="I169" s="25"/>
      <c r="J169" s="25"/>
      <c r="K169" s="25"/>
      <c r="L169" s="25"/>
      <c r="M169" s="25"/>
      <c r="N169" s="25"/>
      <c r="O169" s="25"/>
      <c r="P169" s="25"/>
      <c r="Q169" s="25"/>
      <c r="R169" s="25"/>
      <c r="S169" s="25"/>
      <c r="T169" s="25"/>
      <c r="U169" s="25"/>
      <c r="V169" s="25"/>
      <c r="W169" s="25"/>
      <c r="X169" s="25"/>
      <c r="Y169" s="25"/>
      <c r="Z169" s="25"/>
      <c r="AA169" s="27"/>
    </row>
    <row r="170">
      <c r="A170" s="24"/>
      <c r="B170" s="25"/>
      <c r="C170" s="25"/>
      <c r="D170" s="25"/>
      <c r="E170" s="25"/>
      <c r="F170" s="25"/>
      <c r="G170" s="25"/>
      <c r="H170" s="28"/>
      <c r="I170" s="25"/>
      <c r="J170" s="25"/>
      <c r="K170" s="25"/>
      <c r="L170" s="25"/>
      <c r="M170" s="25"/>
      <c r="N170" s="25"/>
      <c r="O170" s="25"/>
      <c r="P170" s="25"/>
      <c r="Q170" s="25"/>
      <c r="R170" s="25"/>
      <c r="S170" s="25"/>
      <c r="T170" s="25"/>
      <c r="U170" s="25"/>
      <c r="V170" s="25"/>
      <c r="W170" s="25"/>
      <c r="X170" s="25"/>
      <c r="Y170" s="25"/>
      <c r="Z170" s="25"/>
      <c r="AA170" s="27"/>
    </row>
    <row r="171">
      <c r="A171" s="24"/>
      <c r="B171" s="25"/>
      <c r="C171" s="25"/>
      <c r="D171" s="25"/>
      <c r="E171" s="25"/>
      <c r="F171" s="25"/>
      <c r="G171" s="25"/>
      <c r="H171" s="28"/>
      <c r="I171" s="25"/>
      <c r="J171" s="25"/>
      <c r="K171" s="25"/>
      <c r="L171" s="25"/>
      <c r="M171" s="25"/>
      <c r="N171" s="25"/>
      <c r="O171" s="25"/>
      <c r="P171" s="25"/>
      <c r="Q171" s="25"/>
      <c r="R171" s="25"/>
      <c r="S171" s="25"/>
      <c r="T171" s="25"/>
      <c r="U171" s="25"/>
      <c r="V171" s="25"/>
      <c r="W171" s="25"/>
      <c r="X171" s="25"/>
      <c r="Y171" s="25"/>
      <c r="Z171" s="25"/>
      <c r="AA171" s="27"/>
    </row>
    <row r="172">
      <c r="A172" s="24"/>
      <c r="B172" s="25"/>
      <c r="C172" s="25"/>
      <c r="D172" s="25"/>
      <c r="E172" s="25"/>
      <c r="F172" s="25"/>
      <c r="G172" s="25"/>
      <c r="H172" s="28"/>
      <c r="I172" s="25"/>
      <c r="J172" s="25"/>
      <c r="K172" s="25"/>
      <c r="L172" s="25"/>
      <c r="M172" s="25"/>
      <c r="N172" s="25"/>
      <c r="O172" s="25"/>
      <c r="P172" s="25"/>
      <c r="Q172" s="25"/>
      <c r="R172" s="25"/>
      <c r="S172" s="25"/>
      <c r="T172" s="25"/>
      <c r="U172" s="25"/>
      <c r="V172" s="25"/>
      <c r="W172" s="25"/>
      <c r="X172" s="25"/>
      <c r="Y172" s="25"/>
      <c r="Z172" s="25"/>
      <c r="AA172" s="27"/>
    </row>
    <row r="173">
      <c r="A173" s="24"/>
      <c r="B173" s="25"/>
      <c r="C173" s="25"/>
      <c r="D173" s="25"/>
      <c r="E173" s="25"/>
      <c r="F173" s="25"/>
      <c r="G173" s="25"/>
      <c r="H173" s="28"/>
      <c r="I173" s="25"/>
      <c r="J173" s="25"/>
      <c r="K173" s="25"/>
      <c r="L173" s="25"/>
      <c r="M173" s="25"/>
      <c r="N173" s="25"/>
      <c r="O173" s="25"/>
      <c r="P173" s="25"/>
      <c r="Q173" s="25"/>
      <c r="R173" s="25"/>
      <c r="S173" s="25"/>
      <c r="T173" s="25"/>
      <c r="U173" s="25"/>
      <c r="V173" s="25"/>
      <c r="W173" s="25"/>
      <c r="X173" s="25"/>
      <c r="Y173" s="25"/>
      <c r="Z173" s="25"/>
      <c r="AA173" s="27"/>
    </row>
    <row r="174">
      <c r="A174" s="24"/>
      <c r="B174" s="25"/>
      <c r="C174" s="25"/>
      <c r="D174" s="25"/>
      <c r="E174" s="25"/>
      <c r="F174" s="25"/>
      <c r="G174" s="25"/>
      <c r="H174" s="28"/>
      <c r="I174" s="25"/>
      <c r="J174" s="25"/>
      <c r="K174" s="25"/>
      <c r="L174" s="25"/>
      <c r="M174" s="25"/>
      <c r="N174" s="25"/>
      <c r="O174" s="25"/>
      <c r="P174" s="25"/>
      <c r="Q174" s="25"/>
      <c r="R174" s="25"/>
      <c r="S174" s="25"/>
      <c r="T174" s="25"/>
      <c r="U174" s="25"/>
      <c r="V174" s="25"/>
      <c r="W174" s="25"/>
      <c r="X174" s="25"/>
      <c r="Y174" s="25"/>
      <c r="Z174" s="25"/>
      <c r="AA174" s="27"/>
    </row>
    <row r="175">
      <c r="A175" s="24"/>
      <c r="B175" s="25"/>
      <c r="C175" s="25"/>
      <c r="D175" s="25"/>
      <c r="E175" s="25"/>
      <c r="F175" s="25"/>
      <c r="G175" s="25"/>
      <c r="H175" s="28"/>
      <c r="I175" s="25"/>
      <c r="J175" s="25"/>
      <c r="K175" s="25"/>
      <c r="L175" s="25"/>
      <c r="M175" s="25"/>
      <c r="N175" s="25"/>
      <c r="O175" s="25"/>
      <c r="P175" s="25"/>
      <c r="Q175" s="25"/>
      <c r="R175" s="25"/>
      <c r="S175" s="25"/>
      <c r="T175" s="25"/>
      <c r="U175" s="25"/>
      <c r="V175" s="25"/>
      <c r="W175" s="25"/>
      <c r="X175" s="25"/>
      <c r="Y175" s="25"/>
      <c r="Z175" s="25"/>
      <c r="AA175" s="27"/>
    </row>
    <row r="176">
      <c r="A176" s="24"/>
      <c r="B176" s="25"/>
      <c r="C176" s="25"/>
      <c r="D176" s="25"/>
      <c r="E176" s="25"/>
      <c r="F176" s="25"/>
      <c r="G176" s="25"/>
      <c r="H176" s="28"/>
      <c r="I176" s="25"/>
      <c r="J176" s="25"/>
      <c r="K176" s="25"/>
      <c r="L176" s="25"/>
      <c r="M176" s="25"/>
      <c r="N176" s="25"/>
      <c r="O176" s="25"/>
      <c r="P176" s="25"/>
      <c r="Q176" s="25"/>
      <c r="R176" s="25"/>
      <c r="S176" s="25"/>
      <c r="T176" s="25"/>
      <c r="U176" s="25"/>
      <c r="V176" s="25"/>
      <c r="W176" s="25"/>
      <c r="X176" s="25"/>
      <c r="Y176" s="25"/>
      <c r="Z176" s="25"/>
      <c r="AA176" s="27"/>
    </row>
    <row r="177">
      <c r="A177" s="24"/>
      <c r="B177" s="25"/>
      <c r="C177" s="25"/>
      <c r="D177" s="25"/>
      <c r="E177" s="25"/>
      <c r="F177" s="25"/>
      <c r="G177" s="25"/>
      <c r="H177" s="28"/>
      <c r="I177" s="25"/>
      <c r="J177" s="25"/>
      <c r="K177" s="25"/>
      <c r="L177" s="25"/>
      <c r="M177" s="25"/>
      <c r="N177" s="25"/>
      <c r="O177" s="25"/>
      <c r="P177" s="25"/>
      <c r="Q177" s="25"/>
      <c r="R177" s="25"/>
      <c r="S177" s="25"/>
      <c r="T177" s="25"/>
      <c r="U177" s="25"/>
      <c r="V177" s="25"/>
      <c r="W177" s="25"/>
      <c r="X177" s="25"/>
      <c r="Y177" s="25"/>
      <c r="Z177" s="25"/>
      <c r="AA177" s="27"/>
    </row>
    <row r="178">
      <c r="A178" s="24"/>
      <c r="B178" s="25"/>
      <c r="C178" s="25"/>
      <c r="D178" s="25"/>
      <c r="E178" s="25"/>
      <c r="F178" s="25"/>
      <c r="G178" s="25"/>
      <c r="H178" s="28"/>
      <c r="I178" s="25"/>
      <c r="J178" s="25"/>
      <c r="K178" s="25"/>
      <c r="L178" s="25"/>
      <c r="M178" s="25"/>
      <c r="N178" s="25"/>
      <c r="O178" s="25"/>
      <c r="P178" s="25"/>
      <c r="Q178" s="25"/>
      <c r="R178" s="25"/>
      <c r="S178" s="25"/>
      <c r="T178" s="25"/>
      <c r="U178" s="25"/>
      <c r="V178" s="25"/>
      <c r="W178" s="25"/>
      <c r="X178" s="25"/>
      <c r="Y178" s="25"/>
      <c r="Z178" s="25"/>
      <c r="AA178" s="27"/>
    </row>
    <row r="179">
      <c r="A179" s="24"/>
      <c r="B179" s="25"/>
      <c r="C179" s="25"/>
      <c r="D179" s="25"/>
      <c r="E179" s="25"/>
      <c r="F179" s="25"/>
      <c r="G179" s="25"/>
      <c r="H179" s="28"/>
      <c r="I179" s="25"/>
      <c r="J179" s="25"/>
      <c r="K179" s="25"/>
      <c r="L179" s="25"/>
      <c r="M179" s="25"/>
      <c r="N179" s="25"/>
      <c r="O179" s="25"/>
      <c r="P179" s="25"/>
      <c r="Q179" s="25"/>
      <c r="R179" s="25"/>
      <c r="S179" s="25"/>
      <c r="T179" s="25"/>
      <c r="U179" s="25"/>
      <c r="V179" s="25"/>
      <c r="W179" s="25"/>
      <c r="X179" s="25"/>
      <c r="Y179" s="25"/>
      <c r="Z179" s="25"/>
      <c r="AA179" s="27"/>
    </row>
    <row r="180">
      <c r="A180" s="24"/>
      <c r="B180" s="25"/>
      <c r="C180" s="25"/>
      <c r="D180" s="25"/>
      <c r="E180" s="25"/>
      <c r="F180" s="25"/>
      <c r="G180" s="25"/>
      <c r="H180" s="28"/>
      <c r="I180" s="25"/>
      <c r="J180" s="25"/>
      <c r="K180" s="25"/>
      <c r="L180" s="25"/>
      <c r="M180" s="25"/>
      <c r="N180" s="25"/>
      <c r="O180" s="25"/>
      <c r="P180" s="25"/>
      <c r="Q180" s="25"/>
      <c r="R180" s="25"/>
      <c r="S180" s="25"/>
      <c r="T180" s="25"/>
      <c r="U180" s="25"/>
      <c r="V180" s="25"/>
      <c r="W180" s="25"/>
      <c r="X180" s="25"/>
      <c r="Y180" s="25"/>
      <c r="Z180" s="25"/>
      <c r="AA180" s="27"/>
    </row>
    <row r="181">
      <c r="A181" s="24"/>
      <c r="B181" s="25"/>
      <c r="C181" s="25"/>
      <c r="D181" s="25"/>
      <c r="E181" s="25"/>
      <c r="F181" s="25"/>
      <c r="G181" s="25"/>
      <c r="H181" s="28"/>
      <c r="I181" s="25"/>
      <c r="J181" s="25"/>
      <c r="K181" s="25"/>
      <c r="L181" s="25"/>
      <c r="M181" s="25"/>
      <c r="N181" s="25"/>
      <c r="O181" s="25"/>
      <c r="P181" s="25"/>
      <c r="Q181" s="25"/>
      <c r="R181" s="25"/>
      <c r="S181" s="25"/>
      <c r="T181" s="25"/>
      <c r="U181" s="25"/>
      <c r="V181" s="25"/>
      <c r="W181" s="25"/>
      <c r="X181" s="25"/>
      <c r="Y181" s="25"/>
      <c r="Z181" s="25"/>
      <c r="AA181" s="27"/>
    </row>
    <row r="182">
      <c r="A182" s="24"/>
      <c r="B182" s="25"/>
      <c r="C182" s="25"/>
      <c r="D182" s="25"/>
      <c r="E182" s="25"/>
      <c r="F182" s="25"/>
      <c r="G182" s="25"/>
      <c r="H182" s="28"/>
      <c r="I182" s="25"/>
      <c r="J182" s="25"/>
      <c r="K182" s="25"/>
      <c r="L182" s="25"/>
      <c r="M182" s="25"/>
      <c r="N182" s="25"/>
      <c r="O182" s="25"/>
      <c r="P182" s="25"/>
      <c r="Q182" s="25"/>
      <c r="R182" s="25"/>
      <c r="S182" s="25"/>
      <c r="T182" s="25"/>
      <c r="U182" s="25"/>
      <c r="V182" s="25"/>
      <c r="W182" s="25"/>
      <c r="X182" s="25"/>
      <c r="Y182" s="25"/>
      <c r="Z182" s="25"/>
      <c r="AA182" s="27"/>
    </row>
    <row r="183">
      <c r="A183" s="24"/>
      <c r="B183" s="25"/>
      <c r="C183" s="25"/>
      <c r="D183" s="25"/>
      <c r="E183" s="25"/>
      <c r="F183" s="25"/>
      <c r="G183" s="25"/>
      <c r="H183" s="28"/>
      <c r="I183" s="25"/>
      <c r="J183" s="25"/>
      <c r="K183" s="25"/>
      <c r="L183" s="25"/>
      <c r="M183" s="25"/>
      <c r="N183" s="25"/>
      <c r="O183" s="25"/>
      <c r="P183" s="25"/>
      <c r="Q183" s="25"/>
      <c r="R183" s="25"/>
      <c r="S183" s="25"/>
      <c r="T183" s="25"/>
      <c r="U183" s="25"/>
      <c r="V183" s="25"/>
      <c r="W183" s="25"/>
      <c r="X183" s="25"/>
      <c r="Y183" s="25"/>
      <c r="Z183" s="25"/>
      <c r="AA183" s="27"/>
    </row>
    <row r="184">
      <c r="A184" s="24"/>
      <c r="B184" s="25"/>
      <c r="C184" s="25"/>
      <c r="D184" s="25"/>
      <c r="E184" s="25"/>
      <c r="F184" s="25"/>
      <c r="G184" s="25"/>
      <c r="H184" s="28"/>
      <c r="I184" s="25"/>
      <c r="J184" s="25"/>
      <c r="K184" s="25"/>
      <c r="L184" s="25"/>
      <c r="M184" s="25"/>
      <c r="N184" s="25"/>
      <c r="O184" s="25"/>
      <c r="P184" s="25"/>
      <c r="Q184" s="25"/>
      <c r="R184" s="25"/>
      <c r="S184" s="25"/>
      <c r="T184" s="25"/>
      <c r="U184" s="25"/>
      <c r="V184" s="25"/>
      <c r="W184" s="25"/>
      <c r="X184" s="25"/>
      <c r="Y184" s="25"/>
      <c r="Z184" s="25"/>
      <c r="AA184" s="27"/>
    </row>
    <row r="185">
      <c r="A185" s="24"/>
      <c r="B185" s="25"/>
      <c r="C185" s="25"/>
      <c r="D185" s="25"/>
      <c r="E185" s="25"/>
      <c r="F185" s="25"/>
      <c r="G185" s="25"/>
      <c r="H185" s="28"/>
      <c r="I185" s="25"/>
      <c r="J185" s="25"/>
      <c r="K185" s="25"/>
      <c r="L185" s="25"/>
      <c r="M185" s="25"/>
      <c r="N185" s="25"/>
      <c r="O185" s="25"/>
      <c r="P185" s="25"/>
      <c r="Q185" s="25"/>
      <c r="R185" s="25"/>
      <c r="S185" s="25"/>
      <c r="T185" s="25"/>
      <c r="U185" s="25"/>
      <c r="V185" s="25"/>
      <c r="W185" s="25"/>
      <c r="X185" s="25"/>
      <c r="Y185" s="25"/>
      <c r="Z185" s="25"/>
      <c r="AA185" s="27"/>
    </row>
    <row r="186">
      <c r="A186" s="24"/>
      <c r="B186" s="25"/>
      <c r="C186" s="25"/>
      <c r="D186" s="25"/>
      <c r="E186" s="25"/>
      <c r="F186" s="25"/>
      <c r="G186" s="25"/>
      <c r="H186" s="28"/>
      <c r="I186" s="25"/>
      <c r="J186" s="25"/>
      <c r="K186" s="25"/>
      <c r="L186" s="25"/>
      <c r="M186" s="25"/>
      <c r="N186" s="25"/>
      <c r="O186" s="25"/>
      <c r="P186" s="25"/>
      <c r="Q186" s="25"/>
      <c r="R186" s="25"/>
      <c r="S186" s="25"/>
      <c r="T186" s="25"/>
      <c r="U186" s="25"/>
      <c r="V186" s="25"/>
      <c r="W186" s="25"/>
      <c r="X186" s="25"/>
      <c r="Y186" s="25"/>
      <c r="Z186" s="25"/>
      <c r="AA186" s="27"/>
    </row>
    <row r="187">
      <c r="A187" s="24"/>
      <c r="B187" s="25"/>
      <c r="C187" s="25"/>
      <c r="D187" s="25"/>
      <c r="E187" s="25"/>
      <c r="F187" s="25"/>
      <c r="G187" s="25"/>
      <c r="H187" s="28"/>
      <c r="I187" s="25"/>
      <c r="J187" s="25"/>
      <c r="K187" s="25"/>
      <c r="L187" s="25"/>
      <c r="M187" s="25"/>
      <c r="N187" s="25"/>
      <c r="O187" s="25"/>
      <c r="P187" s="25"/>
      <c r="Q187" s="25"/>
      <c r="R187" s="25"/>
      <c r="S187" s="25"/>
      <c r="T187" s="25"/>
      <c r="U187" s="25"/>
      <c r="V187" s="25"/>
      <c r="W187" s="25"/>
      <c r="X187" s="25"/>
      <c r="Y187" s="25"/>
      <c r="Z187" s="25"/>
      <c r="AA187" s="27"/>
    </row>
    <row r="188">
      <c r="A188" s="24"/>
      <c r="B188" s="25"/>
      <c r="C188" s="25"/>
      <c r="D188" s="25"/>
      <c r="E188" s="25"/>
      <c r="F188" s="25"/>
      <c r="G188" s="25"/>
      <c r="H188" s="28"/>
      <c r="I188" s="25"/>
      <c r="J188" s="25"/>
      <c r="K188" s="25"/>
      <c r="L188" s="25"/>
      <c r="M188" s="25"/>
      <c r="N188" s="25"/>
      <c r="O188" s="25"/>
      <c r="P188" s="25"/>
      <c r="Q188" s="25"/>
      <c r="R188" s="25"/>
      <c r="S188" s="25"/>
      <c r="T188" s="25"/>
      <c r="U188" s="25"/>
      <c r="V188" s="25"/>
      <c r="W188" s="25"/>
      <c r="X188" s="25"/>
      <c r="Y188" s="25"/>
      <c r="Z188" s="25"/>
      <c r="AA188" s="27"/>
    </row>
    <row r="189">
      <c r="A189" s="24"/>
      <c r="B189" s="25"/>
      <c r="C189" s="25"/>
      <c r="D189" s="25"/>
      <c r="E189" s="25"/>
      <c r="F189" s="25"/>
      <c r="G189" s="25"/>
      <c r="H189" s="28"/>
      <c r="I189" s="25"/>
      <c r="J189" s="25"/>
      <c r="K189" s="25"/>
      <c r="L189" s="25"/>
      <c r="M189" s="25"/>
      <c r="N189" s="25"/>
      <c r="O189" s="25"/>
      <c r="P189" s="25"/>
      <c r="Q189" s="25"/>
      <c r="R189" s="25"/>
      <c r="S189" s="25"/>
      <c r="T189" s="25"/>
      <c r="U189" s="25"/>
      <c r="V189" s="25"/>
      <c r="W189" s="25"/>
      <c r="X189" s="25"/>
      <c r="Y189" s="25"/>
      <c r="Z189" s="25"/>
      <c r="AA189" s="27"/>
    </row>
    <row r="190">
      <c r="A190" s="24"/>
      <c r="B190" s="25"/>
      <c r="C190" s="25"/>
      <c r="D190" s="25"/>
      <c r="E190" s="25"/>
      <c r="F190" s="25"/>
      <c r="G190" s="25"/>
      <c r="H190" s="28"/>
      <c r="I190" s="25"/>
      <c r="J190" s="25"/>
      <c r="K190" s="25"/>
      <c r="L190" s="25"/>
      <c r="M190" s="25"/>
      <c r="N190" s="25"/>
      <c r="O190" s="25"/>
      <c r="P190" s="25"/>
      <c r="Q190" s="25"/>
      <c r="R190" s="25"/>
      <c r="S190" s="25"/>
      <c r="T190" s="25"/>
      <c r="U190" s="25"/>
      <c r="V190" s="25"/>
      <c r="W190" s="25"/>
      <c r="X190" s="25"/>
      <c r="Y190" s="25"/>
      <c r="Z190" s="25"/>
      <c r="AA190" s="27"/>
    </row>
    <row r="191">
      <c r="A191" s="24"/>
      <c r="B191" s="25"/>
      <c r="C191" s="25"/>
      <c r="D191" s="25"/>
      <c r="E191" s="25"/>
      <c r="F191" s="25"/>
      <c r="G191" s="25"/>
      <c r="H191" s="28"/>
      <c r="I191" s="25"/>
      <c r="J191" s="25"/>
      <c r="K191" s="25"/>
      <c r="L191" s="25"/>
      <c r="M191" s="25"/>
      <c r="N191" s="25"/>
      <c r="O191" s="25"/>
      <c r="P191" s="25"/>
      <c r="Q191" s="25"/>
      <c r="R191" s="25"/>
      <c r="S191" s="25"/>
      <c r="T191" s="25"/>
      <c r="U191" s="25"/>
      <c r="V191" s="25"/>
      <c r="W191" s="25"/>
      <c r="X191" s="25"/>
      <c r="Y191" s="25"/>
      <c r="Z191" s="25"/>
      <c r="AA191" s="27"/>
    </row>
    <row r="192">
      <c r="A192" s="24"/>
      <c r="B192" s="25"/>
      <c r="C192" s="25"/>
      <c r="D192" s="25"/>
      <c r="E192" s="25"/>
      <c r="F192" s="25"/>
      <c r="G192" s="25"/>
      <c r="H192" s="28"/>
      <c r="I192" s="25"/>
      <c r="J192" s="25"/>
      <c r="K192" s="25"/>
      <c r="L192" s="25"/>
      <c r="M192" s="25"/>
      <c r="N192" s="25"/>
      <c r="O192" s="25"/>
      <c r="P192" s="25"/>
      <c r="Q192" s="25"/>
      <c r="R192" s="25"/>
      <c r="S192" s="25"/>
      <c r="T192" s="25"/>
      <c r="U192" s="25"/>
      <c r="V192" s="25"/>
      <c r="W192" s="25"/>
      <c r="X192" s="25"/>
      <c r="Y192" s="25"/>
      <c r="Z192" s="25"/>
      <c r="AA192" s="27"/>
    </row>
    <row r="193">
      <c r="A193" s="24"/>
      <c r="B193" s="25"/>
      <c r="C193" s="25"/>
      <c r="D193" s="25"/>
      <c r="E193" s="25"/>
      <c r="F193" s="25"/>
      <c r="G193" s="25"/>
      <c r="H193" s="28"/>
      <c r="I193" s="25"/>
      <c r="J193" s="25"/>
      <c r="K193" s="25"/>
      <c r="L193" s="25"/>
      <c r="M193" s="25"/>
      <c r="N193" s="25"/>
      <c r="O193" s="25"/>
      <c r="P193" s="25"/>
      <c r="Q193" s="25"/>
      <c r="R193" s="25"/>
      <c r="S193" s="25"/>
      <c r="T193" s="25"/>
      <c r="U193" s="25"/>
      <c r="V193" s="25"/>
      <c r="W193" s="25"/>
      <c r="X193" s="25"/>
      <c r="Y193" s="25"/>
      <c r="Z193" s="25"/>
      <c r="AA193" s="27"/>
    </row>
    <row r="194">
      <c r="A194" s="24"/>
      <c r="B194" s="25"/>
      <c r="C194" s="25"/>
      <c r="D194" s="25"/>
      <c r="E194" s="25"/>
      <c r="F194" s="25"/>
      <c r="G194" s="25"/>
      <c r="H194" s="28"/>
      <c r="I194" s="25"/>
      <c r="J194" s="25"/>
      <c r="K194" s="25"/>
      <c r="L194" s="25"/>
      <c r="M194" s="25"/>
      <c r="N194" s="25"/>
      <c r="O194" s="25"/>
      <c r="P194" s="25"/>
      <c r="Q194" s="25"/>
      <c r="R194" s="25"/>
      <c r="S194" s="25"/>
      <c r="T194" s="25"/>
      <c r="U194" s="25"/>
      <c r="V194" s="25"/>
      <c r="W194" s="25"/>
      <c r="X194" s="25"/>
      <c r="Y194" s="25"/>
      <c r="Z194" s="25"/>
      <c r="AA194" s="27"/>
    </row>
    <row r="195">
      <c r="A195" s="24"/>
      <c r="B195" s="25"/>
      <c r="C195" s="25"/>
      <c r="D195" s="25"/>
      <c r="E195" s="25"/>
      <c r="F195" s="25"/>
      <c r="G195" s="25"/>
      <c r="H195" s="28"/>
      <c r="I195" s="25"/>
      <c r="J195" s="25"/>
      <c r="K195" s="25"/>
      <c r="L195" s="25"/>
      <c r="M195" s="25"/>
      <c r="N195" s="25"/>
      <c r="O195" s="25"/>
      <c r="P195" s="25"/>
      <c r="Q195" s="25"/>
      <c r="R195" s="25"/>
      <c r="S195" s="25"/>
      <c r="T195" s="25"/>
      <c r="U195" s="25"/>
      <c r="V195" s="25"/>
      <c r="W195" s="25"/>
      <c r="X195" s="25"/>
      <c r="Y195" s="25"/>
      <c r="Z195" s="25"/>
      <c r="AA195" s="27"/>
    </row>
    <row r="196">
      <c r="A196" s="24"/>
      <c r="B196" s="25"/>
      <c r="C196" s="25"/>
      <c r="D196" s="25"/>
      <c r="E196" s="25"/>
      <c r="F196" s="25"/>
      <c r="G196" s="25"/>
      <c r="H196" s="28"/>
      <c r="I196" s="25"/>
      <c r="J196" s="25"/>
      <c r="K196" s="25"/>
      <c r="L196" s="25"/>
      <c r="M196" s="25"/>
      <c r="N196" s="25"/>
      <c r="O196" s="25"/>
      <c r="P196" s="25"/>
      <c r="Q196" s="25"/>
      <c r="R196" s="25"/>
      <c r="S196" s="25"/>
      <c r="T196" s="25"/>
      <c r="U196" s="25"/>
      <c r="V196" s="25"/>
      <c r="W196" s="25"/>
      <c r="X196" s="25"/>
      <c r="Y196" s="25"/>
      <c r="Z196" s="25"/>
      <c r="AA196" s="27"/>
    </row>
    <row r="197">
      <c r="A197" s="24"/>
      <c r="B197" s="25"/>
      <c r="C197" s="25"/>
      <c r="D197" s="25"/>
      <c r="E197" s="25"/>
      <c r="F197" s="25"/>
      <c r="G197" s="25"/>
      <c r="H197" s="28"/>
      <c r="I197" s="25"/>
      <c r="J197" s="25"/>
      <c r="K197" s="25"/>
      <c r="L197" s="25"/>
      <c r="M197" s="25"/>
      <c r="N197" s="25"/>
      <c r="O197" s="25"/>
      <c r="P197" s="25"/>
      <c r="Q197" s="25"/>
      <c r="R197" s="25"/>
      <c r="S197" s="25"/>
      <c r="T197" s="25"/>
      <c r="U197" s="25"/>
      <c r="V197" s="25"/>
      <c r="W197" s="25"/>
      <c r="X197" s="25"/>
      <c r="Y197" s="25"/>
      <c r="Z197" s="25"/>
      <c r="AA197" s="27"/>
    </row>
    <row r="198">
      <c r="A198" s="24"/>
      <c r="B198" s="25"/>
      <c r="C198" s="25"/>
      <c r="D198" s="25"/>
      <c r="E198" s="25"/>
      <c r="F198" s="25"/>
      <c r="G198" s="25"/>
      <c r="H198" s="28"/>
      <c r="I198" s="25"/>
      <c r="J198" s="25"/>
      <c r="K198" s="25"/>
      <c r="L198" s="25"/>
      <c r="M198" s="25"/>
      <c r="N198" s="25"/>
      <c r="O198" s="25"/>
      <c r="P198" s="25"/>
      <c r="Q198" s="25"/>
      <c r="R198" s="25"/>
      <c r="S198" s="25"/>
      <c r="T198" s="25"/>
      <c r="U198" s="25"/>
      <c r="V198" s="25"/>
      <c r="W198" s="25"/>
      <c r="X198" s="25"/>
      <c r="Y198" s="25"/>
      <c r="Z198" s="25"/>
      <c r="AA198" s="27"/>
    </row>
    <row r="199">
      <c r="A199" s="24"/>
      <c r="B199" s="25"/>
      <c r="C199" s="25"/>
      <c r="D199" s="25"/>
      <c r="E199" s="25"/>
      <c r="F199" s="25"/>
      <c r="G199" s="25"/>
      <c r="H199" s="28"/>
      <c r="I199" s="25"/>
      <c r="J199" s="25"/>
      <c r="K199" s="25"/>
      <c r="L199" s="25"/>
      <c r="M199" s="25"/>
      <c r="N199" s="25"/>
      <c r="O199" s="25"/>
      <c r="P199" s="25"/>
      <c r="Q199" s="25"/>
      <c r="R199" s="25"/>
      <c r="S199" s="25"/>
      <c r="T199" s="25"/>
      <c r="U199" s="25"/>
      <c r="V199" s="25"/>
      <c r="W199" s="25"/>
      <c r="X199" s="25"/>
      <c r="Y199" s="25"/>
      <c r="Z199" s="25"/>
      <c r="AA199" s="27"/>
    </row>
    <row r="200">
      <c r="A200" s="24"/>
      <c r="B200" s="25"/>
      <c r="C200" s="25"/>
      <c r="D200" s="25"/>
      <c r="E200" s="25"/>
      <c r="F200" s="25"/>
      <c r="G200" s="25"/>
      <c r="H200" s="28"/>
      <c r="I200" s="25"/>
      <c r="J200" s="25"/>
      <c r="K200" s="25"/>
      <c r="L200" s="25"/>
      <c r="M200" s="25"/>
      <c r="N200" s="25"/>
      <c r="O200" s="25"/>
      <c r="P200" s="25"/>
      <c r="Q200" s="25"/>
      <c r="R200" s="25"/>
      <c r="S200" s="25"/>
      <c r="T200" s="25"/>
      <c r="U200" s="25"/>
      <c r="V200" s="25"/>
      <c r="W200" s="25"/>
      <c r="X200" s="25"/>
      <c r="Y200" s="25"/>
      <c r="Z200" s="25"/>
      <c r="AA200" s="27"/>
    </row>
    <row r="201">
      <c r="A201" s="24"/>
      <c r="B201" s="25"/>
      <c r="C201" s="25"/>
      <c r="D201" s="25"/>
      <c r="E201" s="25"/>
      <c r="F201" s="25"/>
      <c r="G201" s="25"/>
      <c r="H201" s="28"/>
      <c r="I201" s="25"/>
      <c r="J201" s="25"/>
      <c r="K201" s="25"/>
      <c r="L201" s="25"/>
      <c r="M201" s="25"/>
      <c r="N201" s="25"/>
      <c r="O201" s="25"/>
      <c r="P201" s="25"/>
      <c r="Q201" s="25"/>
      <c r="R201" s="25"/>
      <c r="S201" s="25"/>
      <c r="T201" s="25"/>
      <c r="U201" s="25"/>
      <c r="V201" s="25"/>
      <c r="W201" s="25"/>
      <c r="X201" s="25"/>
      <c r="Y201" s="25"/>
      <c r="Z201" s="25"/>
      <c r="AA201" s="27"/>
    </row>
    <row r="202">
      <c r="A202" s="24"/>
      <c r="B202" s="25"/>
      <c r="C202" s="25"/>
      <c r="D202" s="25"/>
      <c r="E202" s="25"/>
      <c r="F202" s="25"/>
      <c r="G202" s="25"/>
      <c r="H202" s="28"/>
      <c r="I202" s="25"/>
      <c r="J202" s="25"/>
      <c r="K202" s="25"/>
      <c r="L202" s="25"/>
      <c r="M202" s="25"/>
      <c r="N202" s="25"/>
      <c r="O202" s="25"/>
      <c r="P202" s="25"/>
      <c r="Q202" s="25"/>
      <c r="R202" s="25"/>
      <c r="S202" s="25"/>
      <c r="T202" s="25"/>
      <c r="U202" s="25"/>
      <c r="V202" s="25"/>
      <c r="W202" s="25"/>
      <c r="X202" s="25"/>
      <c r="Y202" s="25"/>
      <c r="Z202" s="25"/>
      <c r="AA202" s="27"/>
    </row>
    <row r="203">
      <c r="A203" s="24"/>
      <c r="B203" s="25"/>
      <c r="C203" s="25"/>
      <c r="D203" s="25"/>
      <c r="E203" s="25"/>
      <c r="F203" s="25"/>
      <c r="G203" s="25"/>
      <c r="H203" s="28"/>
      <c r="I203" s="25"/>
      <c r="J203" s="25"/>
      <c r="K203" s="25"/>
      <c r="L203" s="25"/>
      <c r="M203" s="25"/>
      <c r="N203" s="25"/>
      <c r="O203" s="25"/>
      <c r="P203" s="25"/>
      <c r="Q203" s="25"/>
      <c r="R203" s="25"/>
      <c r="S203" s="25"/>
      <c r="T203" s="25"/>
      <c r="U203" s="25"/>
      <c r="V203" s="25"/>
      <c r="W203" s="25"/>
      <c r="X203" s="25"/>
      <c r="Y203" s="25"/>
      <c r="Z203" s="25"/>
      <c r="AA203" s="27"/>
    </row>
    <row r="204">
      <c r="A204" s="24"/>
      <c r="B204" s="25"/>
      <c r="C204" s="25"/>
      <c r="D204" s="25"/>
      <c r="E204" s="25"/>
      <c r="F204" s="25"/>
      <c r="G204" s="25"/>
      <c r="H204" s="28"/>
      <c r="I204" s="25"/>
      <c r="J204" s="25"/>
      <c r="K204" s="25"/>
      <c r="L204" s="25"/>
      <c r="M204" s="25"/>
      <c r="N204" s="25"/>
      <c r="O204" s="25"/>
      <c r="P204" s="25"/>
      <c r="Q204" s="25"/>
      <c r="R204" s="25"/>
      <c r="S204" s="25"/>
      <c r="T204" s="25"/>
      <c r="U204" s="25"/>
      <c r="V204" s="25"/>
      <c r="W204" s="25"/>
      <c r="X204" s="25"/>
      <c r="Y204" s="25"/>
      <c r="Z204" s="25"/>
      <c r="AA204" s="27"/>
    </row>
    <row r="205">
      <c r="A205" s="24"/>
      <c r="B205" s="25"/>
      <c r="C205" s="25"/>
      <c r="D205" s="25"/>
      <c r="E205" s="25"/>
      <c r="F205" s="25"/>
      <c r="G205" s="25"/>
      <c r="H205" s="28"/>
      <c r="I205" s="25"/>
      <c r="J205" s="25"/>
      <c r="K205" s="25"/>
      <c r="L205" s="25"/>
      <c r="M205" s="25"/>
      <c r="N205" s="25"/>
      <c r="O205" s="25"/>
      <c r="P205" s="25"/>
      <c r="Q205" s="25"/>
      <c r="R205" s="25"/>
      <c r="S205" s="25"/>
      <c r="T205" s="25"/>
      <c r="U205" s="25"/>
      <c r="V205" s="25"/>
      <c r="W205" s="25"/>
      <c r="X205" s="25"/>
      <c r="Y205" s="25"/>
      <c r="Z205" s="25"/>
      <c r="AA205" s="27"/>
    </row>
    <row r="206">
      <c r="A206" s="24"/>
      <c r="B206" s="25"/>
      <c r="C206" s="25"/>
      <c r="D206" s="25"/>
      <c r="E206" s="25"/>
      <c r="F206" s="25"/>
      <c r="G206" s="25"/>
      <c r="H206" s="28"/>
      <c r="I206" s="25"/>
      <c r="J206" s="25"/>
      <c r="K206" s="25"/>
      <c r="L206" s="25"/>
      <c r="M206" s="25"/>
      <c r="N206" s="25"/>
      <c r="O206" s="25"/>
      <c r="P206" s="25"/>
      <c r="Q206" s="25"/>
      <c r="R206" s="25"/>
      <c r="S206" s="25"/>
      <c r="T206" s="25"/>
      <c r="U206" s="25"/>
      <c r="V206" s="25"/>
      <c r="W206" s="25"/>
      <c r="X206" s="25"/>
      <c r="Y206" s="25"/>
      <c r="Z206" s="25"/>
      <c r="AA206" s="27"/>
    </row>
    <row r="207">
      <c r="A207" s="24"/>
      <c r="B207" s="25"/>
      <c r="C207" s="25"/>
      <c r="D207" s="25"/>
      <c r="E207" s="25"/>
      <c r="F207" s="25"/>
      <c r="G207" s="25"/>
      <c r="H207" s="28"/>
      <c r="I207" s="25"/>
      <c r="J207" s="25"/>
      <c r="K207" s="25"/>
      <c r="L207" s="25"/>
      <c r="M207" s="25"/>
      <c r="N207" s="25"/>
      <c r="O207" s="25"/>
      <c r="P207" s="25"/>
      <c r="Q207" s="25"/>
      <c r="R207" s="25"/>
      <c r="S207" s="25"/>
      <c r="T207" s="25"/>
      <c r="U207" s="25"/>
      <c r="V207" s="25"/>
      <c r="W207" s="25"/>
      <c r="X207" s="25"/>
      <c r="Y207" s="25"/>
      <c r="Z207" s="25"/>
      <c r="AA207" s="27"/>
    </row>
    <row r="208">
      <c r="A208" s="24"/>
      <c r="B208" s="25"/>
      <c r="C208" s="25"/>
      <c r="D208" s="25"/>
      <c r="E208" s="25"/>
      <c r="F208" s="25"/>
      <c r="G208" s="25"/>
      <c r="H208" s="28"/>
      <c r="I208" s="25"/>
      <c r="J208" s="25"/>
      <c r="K208" s="25"/>
      <c r="L208" s="25"/>
      <c r="M208" s="25"/>
      <c r="N208" s="25"/>
      <c r="O208" s="25"/>
      <c r="P208" s="25"/>
      <c r="Q208" s="25"/>
      <c r="R208" s="25"/>
      <c r="S208" s="25"/>
      <c r="T208" s="25"/>
      <c r="U208" s="25"/>
      <c r="V208" s="25"/>
      <c r="W208" s="25"/>
      <c r="X208" s="25"/>
      <c r="Y208" s="25"/>
      <c r="Z208" s="25"/>
      <c r="AA208" s="27"/>
    </row>
    <row r="209">
      <c r="A209" s="24"/>
      <c r="B209" s="25"/>
      <c r="C209" s="25"/>
      <c r="D209" s="25"/>
      <c r="E209" s="25"/>
      <c r="F209" s="25"/>
      <c r="G209" s="25"/>
      <c r="H209" s="28"/>
      <c r="I209" s="25"/>
      <c r="J209" s="25"/>
      <c r="K209" s="25"/>
      <c r="L209" s="25"/>
      <c r="M209" s="25"/>
      <c r="N209" s="25"/>
      <c r="O209" s="25"/>
      <c r="P209" s="25"/>
      <c r="Q209" s="25"/>
      <c r="R209" s="25"/>
      <c r="S209" s="25"/>
      <c r="T209" s="25"/>
      <c r="U209" s="25"/>
      <c r="V209" s="25"/>
      <c r="W209" s="25"/>
      <c r="X209" s="25"/>
      <c r="Y209" s="25"/>
      <c r="Z209" s="25"/>
      <c r="AA209" s="27"/>
    </row>
    <row r="210">
      <c r="A210" s="24"/>
      <c r="B210" s="25"/>
      <c r="C210" s="25"/>
      <c r="D210" s="25"/>
      <c r="E210" s="25"/>
      <c r="F210" s="25"/>
      <c r="G210" s="25"/>
      <c r="H210" s="28"/>
      <c r="I210" s="25"/>
      <c r="J210" s="25"/>
      <c r="K210" s="25"/>
      <c r="L210" s="25"/>
      <c r="M210" s="25"/>
      <c r="N210" s="25"/>
      <c r="O210" s="25"/>
      <c r="P210" s="25"/>
      <c r="Q210" s="25"/>
      <c r="R210" s="25"/>
      <c r="S210" s="25"/>
      <c r="T210" s="25"/>
      <c r="U210" s="25"/>
      <c r="V210" s="25"/>
      <c r="W210" s="25"/>
      <c r="X210" s="25"/>
      <c r="Y210" s="25"/>
      <c r="Z210" s="25"/>
      <c r="AA210" s="27"/>
    </row>
    <row r="211">
      <c r="A211" s="24"/>
      <c r="B211" s="25"/>
      <c r="C211" s="25"/>
      <c r="D211" s="25"/>
      <c r="E211" s="25"/>
      <c r="F211" s="25"/>
      <c r="G211" s="25"/>
      <c r="H211" s="28"/>
      <c r="I211" s="25"/>
      <c r="J211" s="25"/>
      <c r="K211" s="25"/>
      <c r="L211" s="25"/>
      <c r="M211" s="25"/>
      <c r="N211" s="25"/>
      <c r="O211" s="25"/>
      <c r="P211" s="25"/>
      <c r="Q211" s="25"/>
      <c r="R211" s="25"/>
      <c r="S211" s="25"/>
      <c r="T211" s="25"/>
      <c r="U211" s="25"/>
      <c r="V211" s="25"/>
      <c r="W211" s="25"/>
      <c r="X211" s="25"/>
      <c r="Y211" s="25"/>
      <c r="Z211" s="25"/>
      <c r="AA211" s="27"/>
    </row>
    <row r="212">
      <c r="A212" s="24"/>
      <c r="B212" s="25"/>
      <c r="C212" s="25"/>
      <c r="D212" s="25"/>
      <c r="E212" s="25"/>
      <c r="F212" s="25"/>
      <c r="G212" s="25"/>
      <c r="H212" s="28"/>
      <c r="I212" s="25"/>
      <c r="J212" s="25"/>
      <c r="K212" s="25"/>
      <c r="L212" s="25"/>
      <c r="M212" s="25"/>
      <c r="N212" s="25"/>
      <c r="O212" s="25"/>
      <c r="P212" s="25"/>
      <c r="Q212" s="25"/>
      <c r="R212" s="25"/>
      <c r="S212" s="25"/>
      <c r="T212" s="25"/>
      <c r="U212" s="25"/>
      <c r="V212" s="25"/>
      <c r="W212" s="25"/>
      <c r="X212" s="25"/>
      <c r="Y212" s="25"/>
      <c r="Z212" s="25"/>
      <c r="AA212" s="27"/>
    </row>
    <row r="213">
      <c r="A213" s="24"/>
      <c r="B213" s="25"/>
      <c r="C213" s="25"/>
      <c r="D213" s="25"/>
      <c r="E213" s="25"/>
      <c r="F213" s="25"/>
      <c r="G213" s="25"/>
      <c r="H213" s="28"/>
      <c r="I213" s="25"/>
      <c r="J213" s="25"/>
      <c r="K213" s="25"/>
      <c r="L213" s="25"/>
      <c r="M213" s="25"/>
      <c r="N213" s="25"/>
      <c r="O213" s="25"/>
      <c r="P213" s="25"/>
      <c r="Q213" s="25"/>
      <c r="R213" s="25"/>
      <c r="S213" s="25"/>
      <c r="T213" s="25"/>
      <c r="U213" s="25"/>
      <c r="V213" s="25"/>
      <c r="W213" s="25"/>
      <c r="X213" s="25"/>
      <c r="Y213" s="25"/>
      <c r="Z213" s="25"/>
      <c r="AA213" s="27"/>
    </row>
    <row r="214">
      <c r="A214" s="24"/>
      <c r="B214" s="25"/>
      <c r="C214" s="25"/>
      <c r="D214" s="25"/>
      <c r="E214" s="25"/>
      <c r="F214" s="25"/>
      <c r="G214" s="25"/>
      <c r="H214" s="28"/>
      <c r="I214" s="25"/>
      <c r="J214" s="25"/>
      <c r="K214" s="25"/>
      <c r="L214" s="25"/>
      <c r="M214" s="25"/>
      <c r="N214" s="25"/>
      <c r="O214" s="25"/>
      <c r="P214" s="25"/>
      <c r="Q214" s="25"/>
      <c r="R214" s="25"/>
      <c r="S214" s="25"/>
      <c r="T214" s="25"/>
      <c r="U214" s="25"/>
      <c r="V214" s="25"/>
      <c r="W214" s="25"/>
      <c r="X214" s="25"/>
      <c r="Y214" s="25"/>
      <c r="Z214" s="25"/>
      <c r="AA214" s="27"/>
    </row>
    <row r="215">
      <c r="A215" s="24"/>
      <c r="B215" s="25"/>
      <c r="C215" s="25"/>
      <c r="D215" s="25"/>
      <c r="E215" s="25"/>
      <c r="F215" s="25"/>
      <c r="G215" s="25"/>
      <c r="H215" s="28"/>
      <c r="I215" s="25"/>
      <c r="J215" s="25"/>
      <c r="K215" s="25"/>
      <c r="L215" s="25"/>
      <c r="M215" s="25"/>
      <c r="N215" s="25"/>
      <c r="O215" s="25"/>
      <c r="P215" s="25"/>
      <c r="Q215" s="25"/>
      <c r="R215" s="25"/>
      <c r="S215" s="25"/>
      <c r="T215" s="25"/>
      <c r="U215" s="25"/>
      <c r="V215" s="25"/>
      <c r="W215" s="25"/>
      <c r="X215" s="25"/>
      <c r="Y215" s="25"/>
      <c r="Z215" s="25"/>
      <c r="AA215" s="27"/>
    </row>
    <row r="216">
      <c r="A216" s="24"/>
      <c r="B216" s="25"/>
      <c r="C216" s="25"/>
      <c r="D216" s="25"/>
      <c r="E216" s="25"/>
      <c r="F216" s="25"/>
      <c r="G216" s="25"/>
      <c r="H216" s="28"/>
      <c r="I216" s="25"/>
      <c r="J216" s="25"/>
      <c r="K216" s="25"/>
      <c r="L216" s="25"/>
      <c r="M216" s="25"/>
      <c r="N216" s="25"/>
      <c r="O216" s="25"/>
      <c r="P216" s="25"/>
      <c r="Q216" s="25"/>
      <c r="R216" s="25"/>
      <c r="S216" s="25"/>
      <c r="T216" s="25"/>
      <c r="U216" s="25"/>
      <c r="V216" s="25"/>
      <c r="W216" s="25"/>
      <c r="X216" s="25"/>
      <c r="Y216" s="25"/>
      <c r="Z216" s="25"/>
      <c r="AA216" s="27"/>
    </row>
    <row r="217">
      <c r="A217" s="24"/>
      <c r="B217" s="25"/>
      <c r="C217" s="25"/>
      <c r="D217" s="25"/>
      <c r="E217" s="25"/>
      <c r="F217" s="25"/>
      <c r="G217" s="25"/>
      <c r="H217" s="28"/>
      <c r="I217" s="25"/>
      <c r="J217" s="25"/>
      <c r="K217" s="25"/>
      <c r="L217" s="25"/>
      <c r="M217" s="25"/>
      <c r="N217" s="25"/>
      <c r="O217" s="25"/>
      <c r="P217" s="25"/>
      <c r="Q217" s="25"/>
      <c r="R217" s="25"/>
      <c r="S217" s="25"/>
      <c r="T217" s="25"/>
      <c r="U217" s="25"/>
      <c r="V217" s="25"/>
      <c r="W217" s="25"/>
      <c r="X217" s="25"/>
      <c r="Y217" s="25"/>
      <c r="Z217" s="25"/>
      <c r="AA217" s="27"/>
    </row>
    <row r="218">
      <c r="A218" s="24"/>
      <c r="B218" s="25"/>
      <c r="C218" s="25"/>
      <c r="D218" s="25"/>
      <c r="E218" s="25"/>
      <c r="F218" s="25"/>
      <c r="G218" s="25"/>
      <c r="H218" s="28"/>
      <c r="I218" s="25"/>
      <c r="J218" s="25"/>
      <c r="K218" s="25"/>
      <c r="L218" s="25"/>
      <c r="M218" s="25"/>
      <c r="N218" s="25"/>
      <c r="O218" s="25"/>
      <c r="P218" s="25"/>
      <c r="Q218" s="25"/>
      <c r="R218" s="25"/>
      <c r="S218" s="25"/>
      <c r="T218" s="25"/>
      <c r="U218" s="25"/>
      <c r="V218" s="25"/>
      <c r="W218" s="25"/>
      <c r="X218" s="25"/>
      <c r="Y218" s="25"/>
      <c r="Z218" s="25"/>
      <c r="AA218" s="27"/>
    </row>
    <row r="219">
      <c r="A219" s="24"/>
      <c r="B219" s="25"/>
      <c r="C219" s="25"/>
      <c r="D219" s="25"/>
      <c r="E219" s="25"/>
      <c r="F219" s="25"/>
      <c r="G219" s="25"/>
      <c r="H219" s="28"/>
      <c r="I219" s="25"/>
      <c r="J219" s="25"/>
      <c r="K219" s="25"/>
      <c r="L219" s="25"/>
      <c r="M219" s="25"/>
      <c r="N219" s="25"/>
      <c r="O219" s="25"/>
      <c r="P219" s="25"/>
      <c r="Q219" s="25"/>
      <c r="R219" s="25"/>
      <c r="S219" s="25"/>
      <c r="T219" s="25"/>
      <c r="U219" s="25"/>
      <c r="V219" s="25"/>
      <c r="W219" s="25"/>
      <c r="X219" s="25"/>
      <c r="Y219" s="25"/>
      <c r="Z219" s="25"/>
      <c r="AA219" s="27"/>
    </row>
    <row r="220">
      <c r="A220" s="24"/>
      <c r="B220" s="25"/>
      <c r="C220" s="25"/>
      <c r="D220" s="25"/>
      <c r="E220" s="25"/>
      <c r="F220" s="25"/>
      <c r="G220" s="25"/>
      <c r="H220" s="28"/>
      <c r="I220" s="25"/>
      <c r="J220" s="25"/>
      <c r="K220" s="25"/>
      <c r="L220" s="25"/>
      <c r="M220" s="25"/>
      <c r="N220" s="25"/>
      <c r="O220" s="25"/>
      <c r="P220" s="25"/>
      <c r="Q220" s="25"/>
      <c r="R220" s="25"/>
      <c r="S220" s="25"/>
      <c r="T220" s="25"/>
      <c r="U220" s="25"/>
      <c r="V220" s="25"/>
      <c r="W220" s="25"/>
      <c r="X220" s="25"/>
      <c r="Y220" s="25"/>
      <c r="Z220" s="25"/>
      <c r="AA220" s="27"/>
    </row>
    <row r="221">
      <c r="A221" s="24"/>
      <c r="B221" s="25"/>
      <c r="C221" s="25"/>
      <c r="D221" s="25"/>
      <c r="E221" s="25"/>
      <c r="F221" s="25"/>
      <c r="G221" s="25"/>
      <c r="H221" s="28"/>
      <c r="I221" s="25"/>
      <c r="J221" s="25"/>
      <c r="K221" s="25"/>
      <c r="L221" s="25"/>
      <c r="M221" s="25"/>
      <c r="N221" s="25"/>
      <c r="O221" s="25"/>
      <c r="P221" s="25"/>
      <c r="Q221" s="25"/>
      <c r="R221" s="25"/>
      <c r="S221" s="25"/>
      <c r="T221" s="25"/>
      <c r="U221" s="25"/>
      <c r="V221" s="25"/>
      <c r="W221" s="25"/>
      <c r="X221" s="25"/>
      <c r="Y221" s="25"/>
      <c r="Z221" s="25"/>
      <c r="AA221" s="27"/>
    </row>
    <row r="222">
      <c r="A222" s="24"/>
      <c r="B222" s="25"/>
      <c r="C222" s="25"/>
      <c r="D222" s="25"/>
      <c r="E222" s="25"/>
      <c r="F222" s="25"/>
      <c r="G222" s="25"/>
      <c r="H222" s="28"/>
      <c r="I222" s="25"/>
      <c r="J222" s="25"/>
      <c r="K222" s="25"/>
      <c r="L222" s="25"/>
      <c r="M222" s="25"/>
      <c r="N222" s="25"/>
      <c r="O222" s="25"/>
      <c r="P222" s="25"/>
      <c r="Q222" s="25"/>
      <c r="R222" s="25"/>
      <c r="S222" s="25"/>
      <c r="T222" s="25"/>
      <c r="U222" s="25"/>
      <c r="V222" s="25"/>
      <c r="W222" s="25"/>
      <c r="X222" s="25"/>
      <c r="Y222" s="25"/>
      <c r="Z222" s="25"/>
      <c r="AA222" s="27"/>
    </row>
    <row r="223">
      <c r="A223" s="24"/>
      <c r="B223" s="25"/>
      <c r="C223" s="25"/>
      <c r="D223" s="25"/>
      <c r="E223" s="25"/>
      <c r="F223" s="25"/>
      <c r="G223" s="25"/>
      <c r="H223" s="28"/>
      <c r="I223" s="25"/>
      <c r="J223" s="25"/>
      <c r="K223" s="25"/>
      <c r="L223" s="25"/>
      <c r="M223" s="25"/>
      <c r="N223" s="25"/>
      <c r="O223" s="25"/>
      <c r="P223" s="25"/>
      <c r="Q223" s="25"/>
      <c r="R223" s="25"/>
      <c r="S223" s="25"/>
      <c r="T223" s="25"/>
      <c r="U223" s="25"/>
      <c r="V223" s="25"/>
      <c r="W223" s="25"/>
      <c r="X223" s="25"/>
      <c r="Y223" s="25"/>
      <c r="Z223" s="25"/>
      <c r="AA223" s="27"/>
    </row>
    <row r="224">
      <c r="A224" s="24"/>
      <c r="B224" s="25"/>
      <c r="C224" s="25"/>
      <c r="D224" s="25"/>
      <c r="E224" s="25"/>
      <c r="F224" s="25"/>
      <c r="G224" s="25"/>
      <c r="H224" s="28"/>
      <c r="I224" s="25"/>
      <c r="J224" s="25"/>
      <c r="K224" s="25"/>
      <c r="L224" s="25"/>
      <c r="M224" s="25"/>
      <c r="N224" s="25"/>
      <c r="O224" s="25"/>
      <c r="P224" s="25"/>
      <c r="Q224" s="25"/>
      <c r="R224" s="25"/>
      <c r="S224" s="25"/>
      <c r="T224" s="25"/>
      <c r="U224" s="25"/>
      <c r="V224" s="25"/>
      <c r="W224" s="25"/>
      <c r="X224" s="25"/>
      <c r="Y224" s="25"/>
      <c r="Z224" s="25"/>
      <c r="AA224" s="27"/>
    </row>
    <row r="225">
      <c r="A225" s="24"/>
      <c r="B225" s="25"/>
      <c r="C225" s="25"/>
      <c r="D225" s="25"/>
      <c r="E225" s="25"/>
      <c r="F225" s="25"/>
      <c r="G225" s="25"/>
      <c r="H225" s="28"/>
      <c r="I225" s="25"/>
      <c r="J225" s="25"/>
      <c r="K225" s="25"/>
      <c r="L225" s="25"/>
      <c r="M225" s="25"/>
      <c r="N225" s="25"/>
      <c r="O225" s="25"/>
      <c r="P225" s="25"/>
      <c r="Q225" s="25"/>
      <c r="R225" s="25"/>
      <c r="S225" s="25"/>
      <c r="T225" s="25"/>
      <c r="U225" s="25"/>
      <c r="V225" s="25"/>
      <c r="W225" s="25"/>
      <c r="X225" s="25"/>
      <c r="Y225" s="25"/>
      <c r="Z225" s="25"/>
      <c r="AA225" s="27"/>
    </row>
    <row r="226">
      <c r="A226" s="24"/>
      <c r="B226" s="25"/>
      <c r="C226" s="25"/>
      <c r="D226" s="25"/>
      <c r="E226" s="25"/>
      <c r="F226" s="25"/>
      <c r="G226" s="25"/>
      <c r="H226" s="28"/>
      <c r="I226" s="25"/>
      <c r="J226" s="25"/>
      <c r="K226" s="25"/>
      <c r="L226" s="25"/>
      <c r="M226" s="25"/>
      <c r="N226" s="25"/>
      <c r="O226" s="25"/>
      <c r="P226" s="25"/>
      <c r="Q226" s="25"/>
      <c r="R226" s="25"/>
      <c r="S226" s="25"/>
      <c r="T226" s="25"/>
      <c r="U226" s="25"/>
      <c r="V226" s="25"/>
      <c r="W226" s="25"/>
      <c r="X226" s="25"/>
      <c r="Y226" s="25"/>
      <c r="Z226" s="25"/>
      <c r="AA226" s="27"/>
    </row>
    <row r="227">
      <c r="A227" s="24"/>
      <c r="B227" s="25"/>
      <c r="C227" s="25"/>
      <c r="D227" s="25"/>
      <c r="E227" s="25"/>
      <c r="F227" s="25"/>
      <c r="G227" s="25"/>
      <c r="H227" s="28"/>
      <c r="I227" s="25"/>
      <c r="J227" s="25"/>
      <c r="K227" s="25"/>
      <c r="L227" s="25"/>
      <c r="M227" s="25"/>
      <c r="N227" s="25"/>
      <c r="O227" s="25"/>
      <c r="P227" s="25"/>
      <c r="Q227" s="25"/>
      <c r="R227" s="25"/>
      <c r="S227" s="25"/>
      <c r="T227" s="25"/>
      <c r="U227" s="25"/>
      <c r="V227" s="25"/>
      <c r="W227" s="25"/>
      <c r="X227" s="25"/>
      <c r="Y227" s="25"/>
      <c r="Z227" s="25"/>
      <c r="AA227" s="27"/>
    </row>
    <row r="228">
      <c r="A228" s="24"/>
      <c r="B228" s="25"/>
      <c r="C228" s="25"/>
      <c r="D228" s="25"/>
      <c r="E228" s="25"/>
      <c r="F228" s="25"/>
      <c r="G228" s="25"/>
      <c r="H228" s="28"/>
      <c r="I228" s="25"/>
      <c r="J228" s="25"/>
      <c r="K228" s="25"/>
      <c r="L228" s="25"/>
      <c r="M228" s="25"/>
      <c r="N228" s="25"/>
      <c r="O228" s="25"/>
      <c r="P228" s="25"/>
      <c r="Q228" s="25"/>
      <c r="R228" s="25"/>
      <c r="S228" s="25"/>
      <c r="T228" s="25"/>
      <c r="U228" s="25"/>
      <c r="V228" s="25"/>
      <c r="W228" s="25"/>
      <c r="X228" s="25"/>
      <c r="Y228" s="25"/>
      <c r="Z228" s="25"/>
      <c r="AA228" s="27"/>
    </row>
    <row r="229">
      <c r="A229" s="24"/>
      <c r="B229" s="25"/>
      <c r="C229" s="25"/>
      <c r="D229" s="25"/>
      <c r="E229" s="25"/>
      <c r="F229" s="25"/>
      <c r="G229" s="25"/>
      <c r="H229" s="28"/>
      <c r="I229" s="25"/>
      <c r="J229" s="25"/>
      <c r="K229" s="25"/>
      <c r="L229" s="25"/>
      <c r="M229" s="25"/>
      <c r="N229" s="25"/>
      <c r="O229" s="25"/>
      <c r="P229" s="25"/>
      <c r="Q229" s="25"/>
      <c r="R229" s="25"/>
      <c r="S229" s="25"/>
      <c r="T229" s="25"/>
      <c r="U229" s="25"/>
      <c r="V229" s="25"/>
      <c r="W229" s="25"/>
      <c r="X229" s="25"/>
      <c r="Y229" s="25"/>
      <c r="Z229" s="25"/>
      <c r="AA229" s="27"/>
    </row>
    <row r="230">
      <c r="A230" s="24"/>
      <c r="B230" s="25"/>
      <c r="C230" s="25"/>
      <c r="D230" s="25"/>
      <c r="E230" s="25"/>
      <c r="F230" s="25"/>
      <c r="G230" s="25"/>
      <c r="H230" s="28"/>
      <c r="I230" s="25"/>
      <c r="J230" s="25"/>
      <c r="K230" s="25"/>
      <c r="L230" s="25"/>
      <c r="M230" s="25"/>
      <c r="N230" s="25"/>
      <c r="O230" s="25"/>
      <c r="P230" s="25"/>
      <c r="Q230" s="25"/>
      <c r="R230" s="25"/>
      <c r="S230" s="25"/>
      <c r="T230" s="25"/>
      <c r="U230" s="25"/>
      <c r="V230" s="25"/>
      <c r="W230" s="25"/>
      <c r="X230" s="25"/>
      <c r="Y230" s="25"/>
      <c r="Z230" s="25"/>
      <c r="AA230" s="27"/>
    </row>
    <row r="231">
      <c r="A231" s="24"/>
      <c r="B231" s="25"/>
      <c r="C231" s="25"/>
      <c r="D231" s="25"/>
      <c r="E231" s="25"/>
      <c r="F231" s="25"/>
      <c r="G231" s="25"/>
      <c r="H231" s="28"/>
      <c r="I231" s="25"/>
      <c r="J231" s="25"/>
      <c r="K231" s="25"/>
      <c r="L231" s="25"/>
      <c r="M231" s="25"/>
      <c r="N231" s="25"/>
      <c r="O231" s="25"/>
      <c r="P231" s="25"/>
      <c r="Q231" s="25"/>
      <c r="R231" s="25"/>
      <c r="S231" s="25"/>
      <c r="T231" s="25"/>
      <c r="U231" s="25"/>
      <c r="V231" s="25"/>
      <c r="W231" s="25"/>
      <c r="X231" s="25"/>
      <c r="Y231" s="25"/>
      <c r="Z231" s="25"/>
      <c r="AA231" s="27"/>
    </row>
    <row r="232">
      <c r="A232" s="24"/>
      <c r="B232" s="25"/>
      <c r="C232" s="25"/>
      <c r="D232" s="25"/>
      <c r="E232" s="25"/>
      <c r="F232" s="25"/>
      <c r="G232" s="25"/>
      <c r="H232" s="28"/>
      <c r="I232" s="25"/>
      <c r="J232" s="25"/>
      <c r="K232" s="25"/>
      <c r="L232" s="25"/>
      <c r="M232" s="25"/>
      <c r="N232" s="25"/>
      <c r="O232" s="25"/>
      <c r="P232" s="25"/>
      <c r="Q232" s="25"/>
      <c r="R232" s="25"/>
      <c r="S232" s="25"/>
      <c r="T232" s="25"/>
      <c r="U232" s="25"/>
      <c r="V232" s="25"/>
      <c r="W232" s="25"/>
      <c r="X232" s="25"/>
      <c r="Y232" s="25"/>
      <c r="Z232" s="25"/>
      <c r="AA232" s="27"/>
    </row>
    <row r="233">
      <c r="A233" s="24"/>
      <c r="B233" s="25"/>
      <c r="C233" s="25"/>
      <c r="D233" s="25"/>
      <c r="E233" s="25"/>
      <c r="F233" s="25"/>
      <c r="G233" s="25"/>
      <c r="H233" s="28"/>
      <c r="I233" s="25"/>
      <c r="J233" s="25"/>
      <c r="K233" s="25"/>
      <c r="L233" s="25"/>
      <c r="M233" s="25"/>
      <c r="N233" s="25"/>
      <c r="O233" s="25"/>
      <c r="P233" s="25"/>
      <c r="Q233" s="25"/>
      <c r="R233" s="25"/>
      <c r="S233" s="25"/>
      <c r="T233" s="25"/>
      <c r="U233" s="25"/>
      <c r="V233" s="25"/>
      <c r="W233" s="25"/>
      <c r="X233" s="25"/>
      <c r="Y233" s="25"/>
      <c r="Z233" s="25"/>
      <c r="AA233" s="27"/>
    </row>
    <row r="234">
      <c r="A234" s="24"/>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24"/>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24"/>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24"/>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24"/>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24"/>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24"/>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24"/>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24"/>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24"/>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24"/>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24"/>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24"/>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24"/>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24"/>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24"/>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24"/>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24"/>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24"/>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24"/>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24"/>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24"/>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24"/>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24"/>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24"/>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24"/>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24"/>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24"/>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24"/>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24"/>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24"/>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24"/>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24"/>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24"/>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24"/>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24"/>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24"/>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24"/>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24"/>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24"/>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24"/>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24"/>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24"/>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24"/>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24"/>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24"/>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24"/>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24"/>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24"/>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24"/>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24"/>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24"/>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24"/>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24"/>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24"/>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24"/>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24"/>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24"/>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24"/>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24"/>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24"/>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24"/>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24"/>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24"/>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24"/>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24"/>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24"/>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24"/>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24"/>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24"/>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24"/>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24"/>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24"/>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24"/>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24"/>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24"/>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24"/>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24"/>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24"/>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24"/>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24"/>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24"/>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24"/>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24"/>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24"/>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24"/>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24"/>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24"/>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24"/>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24"/>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24"/>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24"/>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24"/>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24"/>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24"/>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24"/>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24"/>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24"/>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24"/>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24"/>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24"/>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24"/>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24"/>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24"/>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24"/>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24"/>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24"/>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24"/>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24"/>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24"/>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24"/>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24"/>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24"/>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24"/>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24"/>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24"/>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24"/>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24"/>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24"/>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24"/>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24"/>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24"/>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24"/>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24"/>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24"/>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24"/>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24"/>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24"/>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24"/>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24"/>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24"/>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24"/>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24"/>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24"/>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24"/>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24"/>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24"/>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24"/>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24"/>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24"/>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24"/>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24"/>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24"/>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24"/>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24"/>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24"/>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24"/>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24"/>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24"/>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24"/>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24"/>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24"/>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24"/>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24"/>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24"/>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24"/>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24"/>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24"/>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24"/>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24"/>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24"/>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24"/>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24"/>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24"/>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24"/>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24"/>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24"/>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24"/>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24"/>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24"/>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24"/>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24"/>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24"/>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24"/>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24"/>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24"/>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24"/>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24"/>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24"/>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24"/>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24"/>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24"/>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24"/>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24"/>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24"/>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24"/>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24"/>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24"/>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24"/>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24"/>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24"/>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24"/>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24"/>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24"/>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24"/>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24"/>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24"/>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24"/>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24"/>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24"/>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24"/>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24"/>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24"/>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24"/>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24"/>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24"/>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24"/>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24"/>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24"/>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24"/>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24"/>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24"/>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24"/>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24"/>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24"/>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24"/>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24"/>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24"/>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24"/>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24"/>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24"/>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24"/>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24"/>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24"/>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24"/>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24"/>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24"/>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24"/>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24"/>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24"/>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24"/>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24"/>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24"/>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24"/>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24"/>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24"/>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24"/>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24"/>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24"/>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24"/>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24"/>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24"/>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24"/>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24"/>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24"/>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24"/>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24"/>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24"/>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24"/>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24"/>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24"/>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24"/>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24"/>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24"/>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24"/>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24"/>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24"/>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24"/>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24"/>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24"/>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24"/>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24"/>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24"/>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24"/>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24"/>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24"/>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24"/>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24"/>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24"/>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24"/>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24"/>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24"/>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24"/>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24"/>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24"/>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24"/>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24"/>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24"/>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24"/>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24"/>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24"/>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24"/>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24"/>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24"/>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24"/>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24"/>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24"/>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24"/>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24"/>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24"/>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24"/>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24"/>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24"/>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24"/>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24"/>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24"/>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24"/>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24"/>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24"/>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24"/>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24"/>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24"/>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24"/>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24"/>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24"/>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24"/>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24"/>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24"/>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24"/>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24"/>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24"/>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24"/>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24"/>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24"/>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24"/>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24"/>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24"/>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24"/>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24"/>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24"/>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24"/>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24"/>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24"/>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24"/>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24"/>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24"/>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24"/>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24"/>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24"/>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24"/>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24"/>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24"/>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24"/>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24"/>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24"/>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24"/>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24"/>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24"/>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24"/>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24"/>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24"/>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24"/>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24"/>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24"/>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24"/>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24"/>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24"/>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24"/>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24"/>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24"/>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24"/>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24"/>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24"/>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24"/>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24"/>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24"/>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24"/>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24"/>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24"/>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24"/>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24"/>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24"/>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24"/>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24"/>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24"/>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24"/>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24"/>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24"/>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24"/>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24"/>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24"/>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24"/>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24"/>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24"/>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24"/>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24"/>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24"/>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24"/>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24"/>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24"/>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24"/>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24"/>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24"/>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24"/>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24"/>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24"/>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24"/>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24"/>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24"/>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24"/>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24"/>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24"/>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24"/>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24"/>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24"/>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24"/>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24"/>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24"/>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24"/>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24"/>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24"/>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24"/>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24"/>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24"/>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24"/>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24"/>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24"/>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24"/>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24"/>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24"/>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24"/>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24"/>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24"/>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24"/>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24"/>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24"/>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24"/>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24"/>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24"/>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24"/>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24"/>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24"/>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24"/>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24"/>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24"/>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24"/>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24"/>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24"/>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24"/>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24"/>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24"/>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24"/>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24"/>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24"/>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24"/>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24"/>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24"/>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24"/>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24"/>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24"/>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24"/>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24"/>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24"/>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24"/>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24"/>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24"/>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24"/>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24"/>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24"/>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24"/>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24"/>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24"/>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24"/>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24"/>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24"/>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24"/>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24"/>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24"/>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24"/>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24"/>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24"/>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24"/>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24"/>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24"/>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24"/>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24"/>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24"/>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24"/>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24"/>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24"/>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24"/>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24"/>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24"/>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24"/>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24"/>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24"/>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24"/>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24"/>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24"/>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24"/>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24"/>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24"/>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24"/>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24"/>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24"/>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24"/>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24"/>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24"/>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24"/>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24"/>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24"/>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24"/>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24"/>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24"/>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24"/>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24"/>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24"/>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24"/>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24"/>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24"/>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24"/>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24"/>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24"/>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24"/>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24"/>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24"/>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24"/>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24"/>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24"/>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24"/>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24"/>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24"/>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24"/>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24"/>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24"/>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24"/>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24"/>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24"/>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24"/>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24"/>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24"/>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24"/>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24"/>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24"/>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24"/>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24"/>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24"/>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24"/>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24"/>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24"/>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24"/>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24"/>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24"/>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24"/>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24"/>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24"/>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24"/>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24"/>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24"/>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24"/>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24"/>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24"/>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24"/>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24"/>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24"/>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24"/>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24"/>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24"/>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24"/>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24"/>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24"/>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24"/>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24"/>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24"/>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24"/>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24"/>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24"/>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24"/>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24"/>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24"/>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24"/>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24"/>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24"/>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24"/>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24"/>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24"/>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24"/>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24"/>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24"/>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24"/>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24"/>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24"/>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24"/>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24"/>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24"/>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24"/>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24"/>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24"/>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24"/>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24"/>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24"/>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24"/>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24"/>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24"/>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24"/>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24"/>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24"/>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24"/>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24"/>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24"/>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24"/>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24"/>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24"/>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24"/>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24"/>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24"/>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24"/>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24"/>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24"/>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24"/>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24"/>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24"/>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24"/>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24"/>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24"/>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24"/>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24"/>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24"/>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24"/>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24"/>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24"/>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24"/>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24"/>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24"/>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24"/>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24"/>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24"/>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24"/>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24"/>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24"/>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24"/>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24"/>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24"/>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24"/>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24"/>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24"/>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24"/>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24"/>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24"/>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24"/>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24"/>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24"/>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24"/>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24"/>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24"/>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24"/>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24"/>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24"/>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24"/>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24"/>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24"/>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24"/>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24"/>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24"/>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24"/>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24"/>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24"/>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24"/>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24"/>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24"/>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24"/>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24"/>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24"/>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24"/>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24"/>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24"/>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24"/>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24"/>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24"/>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24"/>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24"/>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24"/>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24"/>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24"/>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24"/>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24"/>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24"/>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24"/>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24"/>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24"/>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24"/>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24"/>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24"/>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24"/>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24"/>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24"/>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24"/>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24"/>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24"/>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24"/>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24"/>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24"/>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24"/>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24"/>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24"/>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24"/>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24"/>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24"/>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24"/>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24"/>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24"/>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24"/>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24"/>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24"/>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24"/>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24"/>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24"/>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24"/>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24"/>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24"/>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24"/>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24"/>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24"/>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24"/>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24"/>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24"/>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24"/>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24"/>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24"/>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24"/>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24"/>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24"/>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24"/>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24"/>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24"/>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24"/>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24"/>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24"/>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24"/>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24"/>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24"/>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24"/>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24"/>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24"/>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24"/>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24"/>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24"/>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24"/>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24"/>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24"/>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24"/>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24"/>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24"/>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24"/>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24"/>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24"/>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24"/>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24"/>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24"/>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24"/>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24"/>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24"/>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24"/>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24"/>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24"/>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24"/>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24"/>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24"/>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24"/>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24"/>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24"/>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24"/>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24"/>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24"/>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24"/>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24"/>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24"/>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24"/>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24"/>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24"/>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24"/>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24"/>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24"/>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sheetData>
  <mergeCells count="10">
    <mergeCell ref="G34:I34"/>
    <mergeCell ref="G35:I35"/>
    <mergeCell ref="G36:I36"/>
    <mergeCell ref="C1:H1"/>
    <mergeCell ref="B7:B12"/>
    <mergeCell ref="C7:C12"/>
    <mergeCell ref="D7:D12"/>
    <mergeCell ref="E7:E12"/>
    <mergeCell ref="G32:I32"/>
    <mergeCell ref="G33:I33"/>
  </mergeCells>
  <dataValidations>
    <dataValidation type="list" allowBlank="1" showErrorMessage="1" sqref="H6:H27">
      <formula1>"Thêm mới,Cập nhật"</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9.13"/>
    <col customWidth="1" min="3" max="3" width="50.75"/>
    <col customWidth="1" min="4" max="4" width="30.88"/>
    <col customWidth="1" min="5" max="5" width="52.0"/>
    <col customWidth="1" min="6" max="6" width="13.63"/>
    <col customWidth="1" min="7" max="7" width="14.25"/>
    <col customWidth="1" min="8" max="11" width="6.63"/>
    <col customWidth="1" min="12" max="26" width="14.38"/>
  </cols>
  <sheetData>
    <row r="1" ht="15.75" customHeight="1">
      <c r="A1" s="96"/>
      <c r="B1" s="97"/>
      <c r="C1" s="11"/>
      <c r="D1" s="11"/>
      <c r="E1" s="11"/>
      <c r="F1" s="98"/>
      <c r="G1" s="98"/>
      <c r="H1" s="98"/>
      <c r="I1" s="98"/>
      <c r="J1" s="98"/>
      <c r="K1" s="98"/>
      <c r="L1" s="96"/>
      <c r="M1" s="96"/>
      <c r="N1" s="96"/>
      <c r="O1" s="96"/>
      <c r="P1" s="96"/>
      <c r="Q1" s="96"/>
      <c r="R1" s="96"/>
      <c r="S1" s="96"/>
      <c r="T1" s="96"/>
      <c r="U1" s="96"/>
      <c r="V1" s="96"/>
      <c r="W1" s="96"/>
      <c r="X1" s="96"/>
      <c r="Y1" s="96"/>
      <c r="Z1" s="96"/>
    </row>
    <row r="2" ht="15.75" customHeight="1">
      <c r="A2" s="96"/>
      <c r="B2" s="96"/>
      <c r="C2" s="96"/>
      <c r="D2" s="96"/>
      <c r="E2" s="96"/>
      <c r="F2" s="96"/>
      <c r="G2" s="96"/>
      <c r="H2" s="96"/>
      <c r="I2" s="96"/>
      <c r="J2" s="96"/>
      <c r="K2" s="96"/>
      <c r="L2" s="96"/>
      <c r="M2" s="96"/>
      <c r="N2" s="96"/>
      <c r="O2" s="96"/>
      <c r="P2" s="96"/>
      <c r="Q2" s="96"/>
      <c r="R2" s="96"/>
      <c r="S2" s="96"/>
      <c r="T2" s="96"/>
      <c r="U2" s="96"/>
      <c r="V2" s="96"/>
      <c r="W2" s="96"/>
      <c r="X2" s="96"/>
      <c r="Y2" s="96"/>
      <c r="Z2" s="96"/>
    </row>
    <row r="3" ht="34.5" customHeight="1">
      <c r="A3" s="96"/>
      <c r="B3" s="99" t="s">
        <v>42</v>
      </c>
      <c r="C3" s="100"/>
      <c r="D3" s="100"/>
      <c r="E3" s="101"/>
      <c r="F3" s="96"/>
      <c r="G3" s="96"/>
      <c r="H3" s="96"/>
      <c r="I3" s="96"/>
      <c r="J3" s="96"/>
      <c r="K3" s="96"/>
      <c r="L3" s="96"/>
      <c r="M3" s="96"/>
      <c r="N3" s="96"/>
      <c r="O3" s="96"/>
      <c r="P3" s="96"/>
      <c r="Q3" s="96"/>
      <c r="R3" s="96"/>
      <c r="S3" s="96"/>
      <c r="T3" s="96"/>
      <c r="U3" s="96"/>
      <c r="V3" s="96"/>
      <c r="W3" s="96"/>
      <c r="X3" s="96"/>
      <c r="Y3" s="96"/>
      <c r="Z3" s="96"/>
    </row>
    <row r="4" ht="34.5" customHeight="1">
      <c r="A4" s="96"/>
      <c r="B4" s="102" t="s">
        <v>43</v>
      </c>
      <c r="E4" s="103"/>
      <c r="F4" s="96"/>
      <c r="G4" s="96"/>
      <c r="H4" s="96"/>
      <c r="I4" s="96"/>
      <c r="J4" s="96"/>
      <c r="K4" s="96"/>
      <c r="L4" s="96"/>
      <c r="M4" s="96"/>
      <c r="N4" s="96"/>
      <c r="O4" s="96"/>
      <c r="P4" s="96"/>
      <c r="Q4" s="96"/>
      <c r="R4" s="96"/>
      <c r="S4" s="96"/>
      <c r="T4" s="96"/>
      <c r="U4" s="96"/>
      <c r="V4" s="96"/>
      <c r="W4" s="96"/>
      <c r="X4" s="96"/>
      <c r="Y4" s="96"/>
      <c r="Z4" s="96"/>
    </row>
    <row r="5" ht="34.5" customHeight="1">
      <c r="A5" s="96"/>
      <c r="B5" s="104" t="s">
        <v>44</v>
      </c>
      <c r="E5" s="103"/>
      <c r="F5" s="96"/>
      <c r="G5" s="96"/>
      <c r="H5" s="96"/>
      <c r="I5" s="96"/>
      <c r="J5" s="96"/>
      <c r="K5" s="96"/>
      <c r="L5" s="96"/>
      <c r="M5" s="96"/>
      <c r="N5" s="96"/>
      <c r="O5" s="96"/>
      <c r="P5" s="96"/>
      <c r="Q5" s="96"/>
      <c r="R5" s="96"/>
      <c r="S5" s="96"/>
      <c r="T5" s="96"/>
      <c r="U5" s="96"/>
      <c r="V5" s="96"/>
      <c r="W5" s="96"/>
      <c r="X5" s="96"/>
      <c r="Y5" s="96"/>
      <c r="Z5" s="96"/>
    </row>
    <row r="6" ht="34.5" customHeight="1">
      <c r="A6" s="96"/>
      <c r="B6" s="104" t="s">
        <v>45</v>
      </c>
      <c r="E6" s="103"/>
      <c r="F6" s="96"/>
      <c r="G6" s="96"/>
      <c r="H6" s="96"/>
      <c r="I6" s="96"/>
      <c r="J6" s="96"/>
      <c r="K6" s="96"/>
      <c r="L6" s="96"/>
      <c r="M6" s="96"/>
      <c r="N6" s="96"/>
      <c r="O6" s="96"/>
      <c r="P6" s="96"/>
      <c r="Q6" s="96"/>
      <c r="R6" s="96"/>
      <c r="S6" s="96"/>
      <c r="T6" s="96"/>
      <c r="U6" s="96"/>
      <c r="V6" s="96"/>
      <c r="W6" s="96"/>
      <c r="X6" s="96"/>
      <c r="Y6" s="96"/>
      <c r="Z6" s="96"/>
    </row>
    <row r="7" ht="34.5" customHeight="1">
      <c r="A7" s="96"/>
      <c r="B7" s="105" t="s">
        <v>46</v>
      </c>
      <c r="E7" s="103"/>
      <c r="F7" s="96"/>
      <c r="G7" s="96"/>
      <c r="H7" s="96"/>
      <c r="I7" s="96"/>
      <c r="J7" s="96"/>
      <c r="K7" s="96"/>
      <c r="L7" s="96"/>
      <c r="M7" s="96"/>
      <c r="N7" s="96"/>
      <c r="O7" s="96"/>
      <c r="P7" s="96"/>
      <c r="Q7" s="96"/>
      <c r="R7" s="96"/>
      <c r="S7" s="96"/>
      <c r="T7" s="96"/>
      <c r="U7" s="96"/>
      <c r="V7" s="96"/>
      <c r="W7" s="96"/>
      <c r="X7" s="96"/>
      <c r="Y7" s="96"/>
      <c r="Z7" s="96"/>
    </row>
    <row r="8" ht="34.5" customHeight="1">
      <c r="A8" s="96"/>
      <c r="B8" s="106" t="s">
        <v>47</v>
      </c>
      <c r="E8" s="103"/>
      <c r="F8" s="96"/>
      <c r="G8" s="96"/>
      <c r="H8" s="96"/>
      <c r="I8" s="96"/>
      <c r="J8" s="96"/>
      <c r="K8" s="96"/>
      <c r="L8" s="96"/>
      <c r="M8" s="96"/>
      <c r="N8" s="96"/>
      <c r="O8" s="96"/>
      <c r="P8" s="96"/>
      <c r="Q8" s="96"/>
      <c r="R8" s="96"/>
      <c r="S8" s="96"/>
      <c r="T8" s="96"/>
      <c r="U8" s="96"/>
      <c r="V8" s="96"/>
      <c r="W8" s="96"/>
      <c r="X8" s="96"/>
      <c r="Y8" s="96"/>
      <c r="Z8" s="96"/>
    </row>
    <row r="9" ht="34.5" customHeight="1">
      <c r="A9" s="96"/>
      <c r="B9" s="107" t="s">
        <v>48</v>
      </c>
      <c r="E9" s="103"/>
      <c r="F9" s="96"/>
      <c r="G9" s="96"/>
      <c r="H9" s="96"/>
      <c r="I9" s="96"/>
      <c r="J9" s="96"/>
      <c r="K9" s="96"/>
      <c r="L9" s="96"/>
      <c r="M9" s="96"/>
      <c r="N9" s="96"/>
      <c r="O9" s="96"/>
      <c r="P9" s="96"/>
      <c r="Q9" s="96"/>
      <c r="R9" s="96"/>
      <c r="S9" s="96"/>
      <c r="T9" s="96"/>
      <c r="U9" s="96"/>
      <c r="V9" s="96"/>
      <c r="W9" s="96"/>
      <c r="X9" s="96"/>
      <c r="Y9" s="96"/>
      <c r="Z9" s="96"/>
    </row>
    <row r="10" ht="34.5" customHeight="1">
      <c r="A10" s="96"/>
      <c r="B10" s="108" t="s">
        <v>49</v>
      </c>
      <c r="E10" s="103"/>
      <c r="F10" s="96"/>
      <c r="G10" s="96"/>
      <c r="H10" s="96"/>
      <c r="I10" s="96"/>
      <c r="J10" s="96"/>
      <c r="K10" s="96"/>
      <c r="L10" s="96"/>
      <c r="M10" s="96"/>
      <c r="N10" s="96"/>
      <c r="O10" s="96"/>
      <c r="P10" s="96"/>
      <c r="Q10" s="96"/>
      <c r="R10" s="96"/>
      <c r="S10" s="96"/>
      <c r="T10" s="96"/>
      <c r="U10" s="96"/>
      <c r="V10" s="96"/>
      <c r="W10" s="96"/>
      <c r="X10" s="96"/>
      <c r="Y10" s="96"/>
      <c r="Z10" s="96"/>
    </row>
    <row r="11" ht="18.75" customHeight="1">
      <c r="A11" s="96"/>
      <c r="B11" s="109" t="s">
        <v>50</v>
      </c>
      <c r="C11" s="110"/>
      <c r="D11" s="110"/>
      <c r="E11" s="111"/>
      <c r="F11" s="96"/>
      <c r="G11" s="96"/>
      <c r="H11" s="96"/>
      <c r="I11" s="96"/>
      <c r="J11" s="96"/>
      <c r="K11" s="96"/>
      <c r="L11" s="96"/>
      <c r="M11" s="96"/>
      <c r="N11" s="96"/>
      <c r="O11" s="96"/>
      <c r="P11" s="96"/>
      <c r="Q11" s="96"/>
      <c r="R11" s="96"/>
      <c r="S11" s="96"/>
      <c r="T11" s="96"/>
      <c r="U11" s="96"/>
      <c r="V11" s="96"/>
      <c r="W11" s="96"/>
      <c r="X11" s="96"/>
      <c r="Y11" s="96"/>
      <c r="Z11" s="96"/>
    </row>
    <row r="12" ht="18.75" customHeight="1">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ht="35.25" customHeight="1">
      <c r="A13" s="96"/>
      <c r="B13" s="112" t="s">
        <v>51</v>
      </c>
      <c r="F13" s="96"/>
      <c r="G13" s="96"/>
      <c r="H13" s="96"/>
      <c r="I13" s="96"/>
      <c r="J13" s="96"/>
      <c r="K13" s="96"/>
      <c r="L13" s="96"/>
      <c r="M13" s="96"/>
      <c r="N13" s="96"/>
      <c r="O13" s="96"/>
      <c r="P13" s="96"/>
      <c r="Q13" s="96"/>
      <c r="R13" s="96"/>
      <c r="S13" s="96"/>
      <c r="T13" s="96"/>
      <c r="U13" s="96"/>
      <c r="V13" s="96"/>
      <c r="W13" s="96"/>
      <c r="X13" s="96"/>
      <c r="Y13" s="96"/>
      <c r="Z13" s="96"/>
    </row>
    <row r="14" ht="15.75" customHeight="1">
      <c r="A14" s="96"/>
      <c r="B14" s="113"/>
      <c r="C14" s="113"/>
      <c r="D14" s="113"/>
      <c r="E14" s="113"/>
      <c r="F14" s="96"/>
      <c r="G14" s="96"/>
      <c r="H14" s="96"/>
      <c r="I14" s="96"/>
      <c r="J14" s="96"/>
      <c r="K14" s="96"/>
      <c r="L14" s="96"/>
      <c r="M14" s="96"/>
      <c r="N14" s="96"/>
      <c r="O14" s="96"/>
      <c r="P14" s="96"/>
      <c r="Q14" s="96"/>
      <c r="R14" s="96"/>
      <c r="S14" s="96"/>
      <c r="T14" s="96"/>
      <c r="U14" s="96"/>
      <c r="V14" s="96"/>
      <c r="W14" s="96"/>
      <c r="X14" s="96"/>
      <c r="Y14" s="96"/>
      <c r="Z14" s="96"/>
    </row>
    <row r="15" ht="30.0" customHeight="1">
      <c r="A15" s="114"/>
      <c r="B15" s="115" t="s">
        <v>52</v>
      </c>
      <c r="C15" s="116" t="s">
        <v>53</v>
      </c>
      <c r="D15" s="117"/>
      <c r="E15" s="118"/>
      <c r="F15" s="114"/>
      <c r="G15" s="114"/>
      <c r="H15" s="114"/>
      <c r="I15" s="114"/>
      <c r="J15" s="114"/>
      <c r="K15" s="114"/>
      <c r="L15" s="114"/>
      <c r="M15" s="114"/>
      <c r="N15" s="114"/>
      <c r="O15" s="114"/>
      <c r="P15" s="114"/>
      <c r="Q15" s="114"/>
      <c r="R15" s="114"/>
      <c r="S15" s="114"/>
      <c r="T15" s="114"/>
      <c r="U15" s="114"/>
      <c r="V15" s="114"/>
      <c r="W15" s="114"/>
      <c r="X15" s="114"/>
      <c r="Y15" s="114"/>
      <c r="Z15" s="114"/>
    </row>
    <row r="16" ht="45.0" customHeight="1">
      <c r="A16" s="96"/>
      <c r="B16" s="119" t="s">
        <v>54</v>
      </c>
      <c r="C16" s="120" t="s">
        <v>55</v>
      </c>
      <c r="D16" s="117"/>
      <c r="E16" s="118"/>
      <c r="F16" s="96"/>
      <c r="G16" s="96"/>
      <c r="H16" s="96"/>
      <c r="I16" s="96"/>
      <c r="J16" s="96"/>
      <c r="K16" s="96"/>
      <c r="L16" s="96"/>
      <c r="M16" s="96"/>
      <c r="N16" s="96"/>
      <c r="O16" s="96"/>
      <c r="P16" s="96"/>
      <c r="Q16" s="96"/>
      <c r="R16" s="96"/>
      <c r="S16" s="96"/>
      <c r="T16" s="96"/>
      <c r="U16" s="96"/>
      <c r="V16" s="96"/>
      <c r="W16" s="96"/>
      <c r="X16" s="96"/>
      <c r="Y16" s="96"/>
      <c r="Z16" s="96"/>
    </row>
    <row r="17" ht="45.0" customHeight="1">
      <c r="A17" s="96"/>
      <c r="B17" s="121" t="s">
        <v>56</v>
      </c>
      <c r="C17" s="120" t="s">
        <v>57</v>
      </c>
      <c r="D17" s="117"/>
      <c r="E17" s="118"/>
      <c r="F17" s="96"/>
      <c r="G17" s="96"/>
      <c r="H17" s="96"/>
      <c r="I17" s="96"/>
      <c r="J17" s="96"/>
      <c r="K17" s="96"/>
      <c r="L17" s="96"/>
      <c r="M17" s="96"/>
      <c r="N17" s="96"/>
      <c r="O17" s="96"/>
      <c r="P17" s="96"/>
      <c r="Q17" s="96"/>
      <c r="R17" s="96"/>
      <c r="S17" s="96"/>
      <c r="T17" s="96"/>
      <c r="U17" s="96"/>
      <c r="V17" s="96"/>
      <c r="W17" s="96"/>
      <c r="X17" s="96"/>
      <c r="Y17" s="96"/>
      <c r="Z17" s="96"/>
    </row>
    <row r="18" ht="45.0" customHeight="1">
      <c r="A18" s="96"/>
      <c r="B18" s="122" t="s">
        <v>58</v>
      </c>
      <c r="C18" s="120" t="s">
        <v>59</v>
      </c>
      <c r="D18" s="117"/>
      <c r="E18" s="118"/>
      <c r="F18" s="96"/>
      <c r="G18" s="96"/>
      <c r="H18" s="96"/>
      <c r="I18" s="96"/>
      <c r="J18" s="96"/>
      <c r="K18" s="96"/>
      <c r="L18" s="96"/>
      <c r="M18" s="96"/>
      <c r="N18" s="96"/>
      <c r="O18" s="96"/>
      <c r="P18" s="96"/>
      <c r="Q18" s="96"/>
      <c r="R18" s="96"/>
      <c r="S18" s="96"/>
      <c r="T18" s="96"/>
      <c r="U18" s="96"/>
      <c r="V18" s="96"/>
      <c r="W18" s="96"/>
      <c r="X18" s="96"/>
      <c r="Y18" s="96"/>
      <c r="Z18" s="96"/>
    </row>
    <row r="19" ht="45.0" customHeight="1">
      <c r="A19" s="96"/>
      <c r="B19" s="123" t="s">
        <v>60</v>
      </c>
      <c r="C19" s="120" t="s">
        <v>61</v>
      </c>
      <c r="D19" s="117"/>
      <c r="E19" s="118"/>
      <c r="F19" s="96"/>
      <c r="G19" s="96"/>
      <c r="H19" s="96"/>
      <c r="I19" s="96"/>
      <c r="J19" s="96"/>
      <c r="K19" s="96"/>
      <c r="L19" s="96"/>
      <c r="M19" s="96"/>
      <c r="N19" s="96"/>
      <c r="O19" s="96"/>
      <c r="P19" s="96"/>
      <c r="Q19" s="96"/>
      <c r="R19" s="96"/>
      <c r="S19" s="96"/>
      <c r="T19" s="96"/>
      <c r="U19" s="96"/>
      <c r="V19" s="96"/>
      <c r="W19" s="96"/>
      <c r="X19" s="96"/>
      <c r="Y19" s="96"/>
      <c r="Z19" s="96"/>
    </row>
    <row r="20" ht="45.0" customHeight="1">
      <c r="A20" s="96"/>
      <c r="B20" s="124" t="s">
        <v>62</v>
      </c>
      <c r="C20" s="125" t="s">
        <v>63</v>
      </c>
      <c r="D20" s="117"/>
      <c r="E20" s="118"/>
      <c r="F20" s="96"/>
      <c r="G20" s="96"/>
      <c r="H20" s="96"/>
      <c r="I20" s="96"/>
      <c r="J20" s="96"/>
      <c r="K20" s="96"/>
      <c r="L20" s="96"/>
      <c r="M20" s="96"/>
      <c r="N20" s="96"/>
      <c r="O20" s="96"/>
      <c r="P20" s="96"/>
      <c r="Q20" s="96"/>
      <c r="R20" s="96"/>
      <c r="S20" s="96"/>
      <c r="T20" s="96"/>
      <c r="U20" s="96"/>
      <c r="V20" s="96"/>
      <c r="W20" s="96"/>
      <c r="X20" s="96"/>
      <c r="Y20" s="96"/>
      <c r="Z20" s="96"/>
    </row>
    <row r="21" ht="15.75" customHeight="1">
      <c r="A21" s="96"/>
      <c r="B21" s="126"/>
      <c r="C21" s="126"/>
      <c r="D21" s="96"/>
      <c r="E21" s="96"/>
      <c r="F21" s="96"/>
      <c r="G21" s="96"/>
      <c r="H21" s="96"/>
      <c r="I21" s="96"/>
      <c r="J21" s="96"/>
      <c r="K21" s="96"/>
      <c r="L21" s="96"/>
      <c r="M21" s="96"/>
      <c r="N21" s="96"/>
      <c r="O21" s="96"/>
      <c r="P21" s="96"/>
      <c r="Q21" s="96"/>
      <c r="R21" s="96"/>
      <c r="S21" s="96"/>
      <c r="T21" s="96"/>
      <c r="U21" s="96"/>
      <c r="V21" s="96"/>
      <c r="W21" s="96"/>
      <c r="X21" s="96"/>
      <c r="Y21" s="96"/>
      <c r="Z21" s="96"/>
    </row>
    <row r="22" ht="15.75" customHeight="1">
      <c r="A22" s="96"/>
      <c r="B22" s="126"/>
      <c r="C22" s="126"/>
      <c r="D22" s="96"/>
      <c r="E22" s="96"/>
      <c r="F22" s="96"/>
      <c r="G22" s="96"/>
      <c r="H22" s="96"/>
      <c r="I22" s="96"/>
      <c r="J22" s="96"/>
      <c r="K22" s="96"/>
      <c r="L22" s="96"/>
      <c r="M22" s="96"/>
      <c r="N22" s="96"/>
      <c r="O22" s="96"/>
      <c r="P22" s="96"/>
      <c r="Q22" s="96"/>
      <c r="R22" s="96"/>
      <c r="S22" s="96"/>
      <c r="T22" s="96"/>
      <c r="U22" s="96"/>
      <c r="V22" s="96"/>
      <c r="W22" s="96"/>
      <c r="X22" s="96"/>
      <c r="Y22" s="96"/>
      <c r="Z22" s="96"/>
    </row>
    <row r="23" ht="43.5" customHeight="1">
      <c r="A23" s="96"/>
      <c r="B23" s="112" t="s">
        <v>64</v>
      </c>
      <c r="F23" s="96"/>
      <c r="G23" s="96"/>
      <c r="H23" s="96"/>
      <c r="I23" s="96"/>
      <c r="J23" s="96"/>
      <c r="K23" s="96"/>
      <c r="L23" s="96"/>
      <c r="M23" s="96"/>
      <c r="N23" s="96"/>
      <c r="O23" s="96"/>
      <c r="P23" s="96"/>
      <c r="Q23" s="96"/>
      <c r="R23" s="96"/>
      <c r="S23" s="96"/>
      <c r="T23" s="96"/>
      <c r="U23" s="96"/>
      <c r="V23" s="96"/>
      <c r="W23" s="96"/>
      <c r="X23" s="96"/>
      <c r="Y23" s="96"/>
      <c r="Z23" s="96"/>
    </row>
    <row r="24" ht="15.75" customHeight="1">
      <c r="A24" s="96"/>
      <c r="B24" s="127"/>
      <c r="C24" s="127"/>
      <c r="D24" s="127"/>
      <c r="E24" s="127"/>
      <c r="F24" s="96"/>
      <c r="G24" s="96"/>
      <c r="H24" s="96"/>
      <c r="I24" s="96"/>
      <c r="J24" s="96"/>
      <c r="K24" s="96"/>
      <c r="L24" s="96"/>
      <c r="M24" s="96"/>
      <c r="N24" s="96"/>
      <c r="O24" s="96"/>
      <c r="P24" s="96"/>
      <c r="Q24" s="96"/>
      <c r="R24" s="96"/>
      <c r="S24" s="96"/>
      <c r="T24" s="96"/>
      <c r="U24" s="96"/>
      <c r="V24" s="96"/>
      <c r="W24" s="96"/>
      <c r="X24" s="96"/>
      <c r="Y24" s="96"/>
      <c r="Z24" s="96"/>
    </row>
    <row r="25" ht="30.0" customHeight="1">
      <c r="A25" s="114"/>
      <c r="B25" s="115" t="s">
        <v>52</v>
      </c>
      <c r="C25" s="116" t="s">
        <v>53</v>
      </c>
      <c r="D25" s="117"/>
      <c r="E25" s="118"/>
      <c r="F25" s="114"/>
      <c r="G25" s="114"/>
      <c r="H25" s="114"/>
      <c r="I25" s="114"/>
      <c r="J25" s="114"/>
      <c r="K25" s="114"/>
      <c r="L25" s="114"/>
      <c r="M25" s="114"/>
      <c r="N25" s="114"/>
      <c r="O25" s="114"/>
      <c r="P25" s="114"/>
      <c r="Q25" s="114"/>
      <c r="R25" s="114"/>
      <c r="S25" s="114"/>
      <c r="T25" s="114"/>
      <c r="U25" s="114"/>
      <c r="V25" s="114"/>
      <c r="W25" s="114"/>
      <c r="X25" s="114"/>
      <c r="Y25" s="114"/>
      <c r="Z25" s="114"/>
    </row>
    <row r="26" ht="57.0" customHeight="1">
      <c r="A26" s="96"/>
      <c r="B26" s="128" t="s">
        <v>65</v>
      </c>
      <c r="C26" s="125" t="s">
        <v>66</v>
      </c>
      <c r="D26" s="117"/>
      <c r="E26" s="118"/>
      <c r="F26" s="96"/>
      <c r="G26" s="96"/>
      <c r="H26" s="96"/>
      <c r="I26" s="96"/>
      <c r="J26" s="96"/>
      <c r="K26" s="96"/>
      <c r="L26" s="96"/>
      <c r="M26" s="96"/>
      <c r="N26" s="96"/>
      <c r="O26" s="96"/>
      <c r="P26" s="96"/>
      <c r="Q26" s="96"/>
      <c r="R26" s="96"/>
      <c r="S26" s="96"/>
      <c r="T26" s="96"/>
      <c r="U26" s="96"/>
      <c r="V26" s="96"/>
      <c r="W26" s="96"/>
      <c r="X26" s="96"/>
      <c r="Y26" s="96"/>
      <c r="Z26" s="96"/>
    </row>
    <row r="27" ht="38.25" customHeight="1">
      <c r="A27" s="96"/>
      <c r="B27" s="128" t="s">
        <v>67</v>
      </c>
      <c r="C27" s="125" t="s">
        <v>68</v>
      </c>
      <c r="D27" s="117"/>
      <c r="E27" s="118"/>
      <c r="F27" s="96"/>
      <c r="G27" s="96"/>
      <c r="H27" s="96"/>
      <c r="I27" s="96"/>
      <c r="J27" s="96"/>
      <c r="K27" s="96"/>
      <c r="L27" s="96"/>
      <c r="M27" s="96"/>
      <c r="N27" s="96"/>
      <c r="O27" s="96"/>
      <c r="P27" s="96"/>
      <c r="Q27" s="96"/>
      <c r="R27" s="96"/>
      <c r="S27" s="96"/>
      <c r="T27" s="96"/>
      <c r="U27" s="96"/>
      <c r="V27" s="96"/>
      <c r="W27" s="96"/>
      <c r="X27" s="96"/>
      <c r="Y27" s="96"/>
      <c r="Z27" s="96"/>
    </row>
    <row r="28" ht="67.5" customHeight="1">
      <c r="A28" s="96"/>
      <c r="B28" s="128" t="s">
        <v>69</v>
      </c>
      <c r="C28" s="125" t="s">
        <v>70</v>
      </c>
      <c r="D28" s="117"/>
      <c r="E28" s="118"/>
      <c r="F28" s="96"/>
      <c r="G28" s="96"/>
      <c r="H28" s="96"/>
      <c r="I28" s="96"/>
      <c r="J28" s="96"/>
      <c r="K28" s="96"/>
      <c r="L28" s="96"/>
      <c r="M28" s="96"/>
      <c r="N28" s="96"/>
      <c r="O28" s="96"/>
      <c r="P28" s="96"/>
      <c r="Q28" s="96"/>
      <c r="R28" s="96"/>
      <c r="S28" s="96"/>
      <c r="T28" s="96"/>
      <c r="U28" s="96"/>
      <c r="V28" s="96"/>
      <c r="W28" s="96"/>
      <c r="X28" s="96"/>
      <c r="Y28" s="96"/>
      <c r="Z28" s="96"/>
    </row>
    <row r="29" ht="15.75" customHeight="1">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ht="15.75" customHeight="1">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ht="15.75" customHeight="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ht="15.75" customHeight="1">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ht="15.75" customHeight="1">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ht="15.75" customHeight="1">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ht="15.75" customHeight="1">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ht="15.75" customHeight="1">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ht="15.75" customHeight="1">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ht="15.75" customHeight="1">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ht="15.75" customHeight="1">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ht="15.75" customHeight="1">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ht="15.75" customHeight="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ht="15.75" customHeight="1">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ht="15.75" customHeight="1">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ht="15.75" customHeight="1">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ht="15.75" customHeight="1">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ht="15.75" customHeight="1">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ht="15.75" customHeight="1">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ht="15.75" customHeight="1">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ht="15.75" customHeight="1">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ht="15.75" customHeight="1">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ht="15.75" customHeight="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ht="15.75" customHeight="1">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ht="15.75" customHeight="1">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ht="15.75" customHeight="1">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ht="15.7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ht="15.7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ht="15.7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ht="15.7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ht="15.7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ht="15.7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ht="15.7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ht="15.7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ht="15.7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ht="15.7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ht="15.7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ht="15.7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ht="15.7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ht="15.7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ht="15.7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ht="15.7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ht="15.7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ht="15.7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ht="15.7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ht="15.7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ht="15.7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ht="15.7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ht="15.7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ht="15.7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ht="15.7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ht="15.7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ht="15.7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ht="15.7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ht="15.7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ht="15.7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ht="15.7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ht="15.7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ht="15.7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ht="15.7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ht="15.7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ht="15.7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ht="15.7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ht="15.7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ht="15.7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ht="15.7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ht="15.7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ht="15.7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ht="15.7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ht="15.7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ht="15.7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ht="15.7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ht="15.7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ht="15.7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ht="15.7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ht="15.7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ht="15.7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ht="15.7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ht="15.7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ht="15.7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ht="15.7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ht="15.7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ht="15.7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ht="15.7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ht="15.7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ht="15.7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ht="15.7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ht="15.7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ht="15.7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ht="15.7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ht="15.7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ht="15.7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ht="15.7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5.7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ht="15.7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ht="15.7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ht="15.7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ht="15.7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ht="15.7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ht="15.7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ht="15.7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ht="15.7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ht="15.7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ht="15.7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ht="15.7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ht="15.7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ht="15.7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ht="15.7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ht="15.7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ht="15.7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ht="15.7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ht="15.7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ht="15.7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ht="15.7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ht="15.7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ht="15.7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ht="15.7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ht="15.7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ht="15.7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ht="15.7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ht="15.7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ht="15.7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ht="15.7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ht="15.7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ht="15.7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ht="15.7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ht="15.7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ht="15.7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ht="15.7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5.7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5.7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ht="15.7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ht="15.7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5.7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5.7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5.7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5.7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5.7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5.7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5.7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5.7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5.7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ht="15.7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ht="15.7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ht="15.7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ht="15.7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ht="15.7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ht="15.7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ht="15.7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ht="15.7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ht="15.7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ht="15.7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ht="15.7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ht="15.7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ht="15.7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ht="15.7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ht="15.7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ht="15.7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ht="15.7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ht="15.7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ht="15.7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ht="15.7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ht="15.7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ht="15.7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ht="15.7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ht="15.7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ht="15.7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ht="15.7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ht="15.7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ht="15.7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ht="15.7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ht="15.7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ht="15.7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ht="15.7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ht="15.7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ht="15.7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5.7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5.7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5.7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5.7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5.7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5.7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5.7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5.7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5.7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5.7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5.7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5.7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5.7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5.7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5.7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5.7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5.7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ht="15.7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ht="15.7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ht="15.7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ht="15.7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ht="15.7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ht="15.7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ht="15.7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ht="15.7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ht="15.7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ht="15.7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ht="15.7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ht="15.7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ht="15.7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ht="15.7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ht="15.7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ht="15.7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ht="15.7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ht="15.7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ht="15.7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ht="15.7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ht="15.7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ht="15.7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ht="15.7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ht="15.7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ht="15.7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ht="15.7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ht="15.7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ht="15.7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ht="15.7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ht="15.7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ht="15.7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ht="15.7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ht="15.7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ht="15.7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ht="15.7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ht="15.7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ht="15.7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ht="15.7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ht="15.7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ht="15.7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ht="15.7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ht="15.7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ht="15.7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ht="15.7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ht="15.7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ht="15.7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ht="15.7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ht="15.7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ht="15.7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ht="15.7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ht="15.7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ht="15.7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ht="15.7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ht="15.7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ht="15.7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ht="15.7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ht="15.7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ht="15.7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ht="15.7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ht="15.7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ht="15.7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ht="15.7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ht="15.7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ht="15.7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ht="15.7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ht="15.7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ht="15.7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ht="15.7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ht="15.7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ht="15.7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ht="15.7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ht="15.7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ht="15.7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ht="15.7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ht="15.7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ht="15.7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ht="15.7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ht="15.7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ht="15.7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ht="15.7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ht="15.7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ht="15.7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ht="15.7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ht="15.7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ht="15.7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ht="15.7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ht="15.7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ht="15.7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ht="15.7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ht="15.7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ht="15.7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ht="15.7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ht="15.7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ht="15.7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ht="15.7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ht="15.7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ht="15.7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ht="15.7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ht="15.7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ht="15.7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ht="15.7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ht="15.7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ht="15.7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ht="15.7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ht="15.7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ht="15.7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ht="15.7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ht="15.7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ht="15.7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ht="15.7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ht="15.7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ht="15.7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ht="15.7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ht="15.7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ht="15.7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ht="15.7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ht="15.7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ht="15.7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ht="15.7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ht="15.7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ht="15.7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ht="15.7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ht="15.7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ht="15.7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ht="15.7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ht="15.7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ht="15.7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ht="15.7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ht="15.7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ht="15.7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ht="15.7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ht="15.7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ht="15.7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ht="15.7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ht="15.7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ht="15.7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ht="15.7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ht="15.7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ht="15.7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ht="15.7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ht="15.7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ht="15.7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ht="15.7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ht="15.7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ht="15.7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ht="15.7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ht="15.7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ht="15.7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ht="15.7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ht="15.7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ht="15.7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ht="15.7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ht="15.7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ht="15.7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ht="15.7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ht="15.7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ht="15.7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ht="15.7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ht="15.7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ht="15.7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ht="15.7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ht="15.7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ht="15.7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ht="15.7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ht="15.7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ht="15.7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ht="15.7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ht="15.7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ht="15.7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ht="15.7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ht="15.7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ht="15.7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ht="15.7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ht="15.7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ht="15.7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ht="15.7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ht="15.7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ht="15.7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ht="15.7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ht="15.7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ht="15.7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ht="15.7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ht="15.7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ht="15.7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ht="15.7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ht="15.7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ht="15.7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ht="15.7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ht="15.7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ht="15.7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ht="15.7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ht="15.7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ht="15.7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ht="15.7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ht="15.7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ht="15.7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ht="15.7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ht="15.7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ht="15.7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ht="15.7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ht="15.7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ht="15.7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ht="15.7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ht="15.7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ht="15.7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ht="15.7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ht="15.7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ht="15.7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ht="15.7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ht="15.7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ht="15.7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ht="15.7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ht="15.7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ht="15.7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ht="15.7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ht="15.7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ht="15.7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ht="15.7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ht="15.7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ht="15.7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ht="15.7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ht="15.7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ht="15.7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ht="15.7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ht="15.7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ht="15.7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ht="15.7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ht="15.7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ht="15.7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ht="15.7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ht="15.7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ht="15.7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ht="15.7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ht="15.7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ht="15.7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ht="15.7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ht="15.7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ht="15.7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ht="15.7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ht="15.7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ht="15.7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ht="15.7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ht="15.7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ht="15.7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ht="15.7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ht="15.7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ht="15.7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ht="15.7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ht="15.7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ht="15.7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ht="15.7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ht="15.7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ht="15.7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ht="15.7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ht="15.7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ht="15.7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ht="15.7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ht="15.7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ht="15.7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ht="15.7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ht="15.7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ht="15.7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ht="15.7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ht="15.7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ht="15.7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ht="15.7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ht="15.7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ht="15.7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ht="15.7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ht="15.7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ht="15.7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ht="15.7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ht="15.7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ht="15.7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ht="15.7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ht="15.7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ht="15.7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ht="15.7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ht="15.7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ht="15.7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ht="15.7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ht="15.7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ht="15.7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ht="15.7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ht="15.7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ht="15.7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ht="15.7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ht="15.7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ht="15.7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ht="15.7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ht="15.7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ht="15.7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ht="15.7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ht="15.7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ht="15.7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ht="15.7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ht="15.7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ht="15.7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ht="15.7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ht="15.7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ht="15.7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ht="15.7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ht="15.7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ht="15.7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ht="15.7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ht="15.7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ht="15.7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ht="15.7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ht="15.7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ht="15.7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ht="15.7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ht="15.7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ht="15.7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ht="15.7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ht="15.7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ht="15.7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ht="15.7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ht="15.7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ht="15.7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ht="15.7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ht="15.7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ht="15.7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ht="15.7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ht="15.7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ht="15.7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ht="15.7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ht="15.7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ht="15.7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ht="15.7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ht="15.7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ht="15.7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ht="15.7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ht="15.7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ht="15.7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ht="15.7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ht="15.7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ht="15.7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ht="15.7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ht="15.7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ht="15.7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ht="15.7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ht="15.7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ht="15.7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ht="15.7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ht="15.7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ht="15.7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ht="15.7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ht="15.7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ht="15.7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ht="15.7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ht="15.7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ht="15.7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ht="15.7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ht="15.7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ht="15.7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ht="15.7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ht="15.7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ht="15.7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ht="15.7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ht="15.7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ht="15.7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ht="15.7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ht="15.7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ht="15.7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ht="15.7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ht="15.7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ht="15.7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ht="15.7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ht="15.7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ht="15.7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ht="15.7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ht="15.7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ht="15.7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ht="15.7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ht="15.7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ht="15.7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ht="15.7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ht="15.7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ht="15.7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ht="15.7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ht="15.7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ht="15.7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ht="15.7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ht="15.7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ht="15.7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ht="15.7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ht="15.7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ht="15.7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ht="15.7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ht="15.7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ht="15.7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ht="15.7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ht="15.7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ht="15.7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ht="15.7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ht="15.7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ht="15.7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ht="15.7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ht="15.7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ht="15.7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ht="15.7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ht="15.7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ht="15.7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ht="15.7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ht="15.7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ht="15.7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ht="15.7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ht="15.7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ht="15.7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ht="15.7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ht="15.7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ht="15.7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ht="15.7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ht="15.7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ht="15.7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ht="15.7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ht="15.7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ht="15.7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ht="15.7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ht="15.7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ht="15.7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ht="15.7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ht="15.7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ht="15.7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ht="15.7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ht="15.7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ht="15.7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ht="15.7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ht="15.7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ht="15.7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ht="15.7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ht="15.7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ht="15.7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ht="15.7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ht="15.7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ht="15.7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ht="15.7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ht="15.7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ht="15.7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ht="15.7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ht="15.7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ht="15.7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ht="15.7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ht="15.7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ht="15.7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ht="15.7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ht="15.7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ht="15.7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ht="15.7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ht="15.7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ht="15.7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ht="15.7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ht="15.7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ht="15.7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ht="15.7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ht="15.7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ht="15.7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ht="15.7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ht="15.7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ht="15.7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ht="15.7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ht="15.7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ht="15.7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ht="15.7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ht="15.7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ht="15.7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ht="15.7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ht="15.7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ht="15.7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ht="15.7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ht="15.7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ht="15.7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ht="15.7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ht="15.7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ht="15.7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ht="15.7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ht="15.7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ht="15.7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ht="15.7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ht="15.7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ht="15.7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ht="15.7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ht="15.7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ht="15.7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ht="15.7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ht="15.7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ht="15.7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ht="15.7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ht="15.7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ht="15.7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ht="15.7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ht="15.7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ht="15.7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ht="15.7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ht="15.7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ht="15.7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ht="15.7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ht="15.7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ht="15.7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ht="15.7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ht="15.7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ht="15.7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ht="15.7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ht="15.7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ht="15.7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ht="15.7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ht="15.7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ht="15.7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ht="15.7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ht="15.7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ht="15.7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ht="15.7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ht="15.7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ht="15.7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ht="15.7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ht="15.7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ht="15.7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ht="15.7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ht="15.7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ht="15.7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ht="15.7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ht="15.7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ht="15.7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ht="15.7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ht="15.7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ht="15.7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ht="15.7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ht="15.7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ht="15.7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ht="15.7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ht="15.7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ht="15.7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ht="15.7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ht="15.7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ht="15.7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ht="15.7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ht="15.7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ht="15.7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ht="15.7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ht="15.7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ht="15.7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ht="15.7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ht="15.7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ht="15.7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ht="15.7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ht="15.7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ht="15.7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ht="15.7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ht="15.7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ht="15.7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ht="15.7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ht="15.7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ht="15.7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ht="15.7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ht="15.7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ht="15.7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ht="15.7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ht="15.7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ht="15.7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ht="15.7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ht="15.7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ht="15.7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ht="15.7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ht="15.7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ht="15.7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ht="15.7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ht="15.7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ht="15.7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ht="15.7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ht="15.7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ht="15.7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ht="15.7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ht="15.7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ht="15.7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ht="15.7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ht="15.7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ht="15.7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ht="15.7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ht="15.7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ht="15.7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ht="15.7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ht="15.7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ht="15.7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ht="15.7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ht="15.7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ht="15.7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ht="15.7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ht="15.7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ht="15.7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ht="15.7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ht="15.7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ht="15.7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ht="15.7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ht="15.7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ht="15.7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ht="15.7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ht="15.7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ht="15.7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ht="15.7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ht="15.7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ht="15.7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ht="15.7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ht="15.7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ht="15.7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ht="15.7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ht="15.7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ht="15.7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ht="15.7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ht="15.7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ht="15.7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ht="15.7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ht="15.7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ht="15.7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ht="15.7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ht="15.7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ht="15.7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ht="15.7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ht="15.7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ht="15.7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ht="15.7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ht="15.7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ht="15.7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ht="15.7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ht="15.7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ht="15.7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ht="15.7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ht="15.7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ht="15.7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ht="15.7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ht="15.7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ht="15.7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ht="15.7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ht="15.7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ht="15.7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ht="15.7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ht="15.7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ht="15.7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ht="15.7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ht="15.7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ht="15.7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ht="15.7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ht="15.7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ht="15.7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ht="15.7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ht="15.7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ht="15.7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ht="15.7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ht="15.7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ht="15.7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ht="15.7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ht="15.7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ht="15.7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ht="15.7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ht="15.7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ht="15.7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ht="15.7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ht="15.7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ht="15.7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ht="15.7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ht="15.7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ht="15.7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ht="15.7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ht="15.7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ht="15.7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ht="15.7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ht="15.7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ht="15.7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ht="15.7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ht="15.7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ht="15.7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ht="15.7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ht="15.7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ht="15.7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ht="15.7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ht="15.7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ht="15.7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ht="15.7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ht="15.7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ht="15.7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ht="15.7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ht="15.7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ht="15.7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ht="15.7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ht="15.7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ht="15.7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ht="15.7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ht="15.7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ht="15.7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ht="15.7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ht="15.7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ht="15.7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ht="15.7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ht="15.7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ht="15.7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ht="15.7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ht="15.7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ht="15.7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ht="15.7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ht="15.7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ht="15.7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ht="15.7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ht="15.7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ht="15.7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ht="15.7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ht="15.7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ht="15.7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ht="15.7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ht="15.7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ht="15.7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ht="15.7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ht="15.7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ht="15.7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ht="15.7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ht="15.7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ht="15.7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ht="15.7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ht="15.7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ht="15.7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ht="15.7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ht="15.7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ht="15.7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ht="15.7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ht="15.7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ht="15.7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ht="15.7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ht="15.7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ht="15.7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ht="15.7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ht="15.7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ht="15.7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ht="15.7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ht="15.7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ht="15.7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ht="15.7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ht="15.7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ht="15.7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ht="15.7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ht="15.7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ht="15.7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ht="15.7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ht="15.7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ht="15.7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ht="15.7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ht="15.7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ht="15.7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ht="15.7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ht="15.7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ht="15.7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ht="15.7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ht="15.7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ht="15.7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ht="15.7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ht="15.7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ht="15.7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ht="15.7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ht="15.7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ht="15.7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ht="15.7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ht="15.7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ht="15.7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ht="15.7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ht="15.7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ht="15.7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ht="15.7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ht="15.7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ht="15.7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ht="15.7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ht="15.7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ht="15.7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ht="15.7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ht="15.7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ht="15.7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ht="15.7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ht="15.7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ht="15.7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ht="15.7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ht="15.7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ht="15.7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ht="15.7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22">
    <mergeCell ref="B1:E1"/>
    <mergeCell ref="B3:E3"/>
    <mergeCell ref="B4:E4"/>
    <mergeCell ref="B5:E5"/>
    <mergeCell ref="B6:E6"/>
    <mergeCell ref="B7:E7"/>
    <mergeCell ref="B8:E8"/>
    <mergeCell ref="C18:E18"/>
    <mergeCell ref="C19:E19"/>
    <mergeCell ref="C20:E20"/>
    <mergeCell ref="B23:E23"/>
    <mergeCell ref="C25:E25"/>
    <mergeCell ref="C26:E26"/>
    <mergeCell ref="C27:E27"/>
    <mergeCell ref="C28:E28"/>
    <mergeCell ref="B9:E9"/>
    <mergeCell ref="B10:E10"/>
    <mergeCell ref="B11:E11"/>
    <mergeCell ref="B13:E13"/>
    <mergeCell ref="C15:E15"/>
    <mergeCell ref="C16:E16"/>
    <mergeCell ref="C17:E17"/>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9.0" topLeftCell="G10" activePane="bottomRight" state="frozen"/>
      <selection activeCell="G1" sqref="G1" pane="topRight"/>
      <selection activeCell="A10" sqref="A10" pane="bottomLeft"/>
      <selection activeCell="G10" sqref="G10" pane="bottomRight"/>
    </sheetView>
  </sheetViews>
  <sheetFormatPr customHeight="1" defaultColWidth="12.63" defaultRowHeight="15.0"/>
  <cols>
    <col customWidth="1" min="1" max="1" width="7.75"/>
    <col customWidth="1" min="2" max="2" width="5.88"/>
    <col customWidth="1" min="3" max="3" width="13.88"/>
    <col customWidth="1" min="4" max="4" width="21.38"/>
    <col customWidth="1" min="5" max="5" width="28.0"/>
    <col customWidth="1" min="6" max="6" width="9.63"/>
    <col customWidth="1" min="7" max="56" width="10.25"/>
  </cols>
  <sheetData>
    <row r="1">
      <c r="A1" s="126"/>
      <c r="B1" s="126"/>
      <c r="C1" s="129"/>
      <c r="D1" s="130" t="s">
        <v>71</v>
      </c>
      <c r="F1" s="129"/>
      <c r="G1" s="129"/>
      <c r="H1" s="129"/>
      <c r="I1" s="129"/>
      <c r="J1" s="129"/>
      <c r="K1" s="129"/>
      <c r="L1" s="129"/>
      <c r="M1" s="129"/>
      <c r="N1" s="129"/>
      <c r="O1" s="129"/>
      <c r="P1" s="129"/>
      <c r="Q1" s="129"/>
      <c r="R1" s="129"/>
      <c r="S1" s="129"/>
      <c r="T1" s="129"/>
      <c r="U1" s="129"/>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row>
    <row r="2">
      <c r="A2" s="126"/>
      <c r="B2" s="131"/>
      <c r="C2" s="131"/>
      <c r="F2" s="131"/>
      <c r="G2" s="131"/>
      <c r="H2" s="131"/>
      <c r="I2" s="131"/>
      <c r="J2" s="131"/>
      <c r="K2" s="131"/>
      <c r="M2" s="131"/>
      <c r="P2" s="131"/>
      <c r="Q2" s="131"/>
      <c r="T2" s="131"/>
      <c r="U2" s="131"/>
      <c r="V2" s="131"/>
      <c r="Y2" s="131"/>
      <c r="Z2" s="131"/>
      <c r="AA2" s="131"/>
      <c r="AD2" s="131"/>
      <c r="AF2" s="131"/>
      <c r="AI2" s="131"/>
      <c r="AK2" s="131"/>
      <c r="AN2" s="131"/>
      <c r="AP2" s="131"/>
      <c r="AS2" s="131"/>
      <c r="AU2" s="131"/>
      <c r="AX2" s="131"/>
      <c r="AZ2" s="131"/>
      <c r="BC2" s="131"/>
    </row>
    <row r="3">
      <c r="A3" s="126"/>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row>
    <row r="4">
      <c r="A4" s="126"/>
      <c r="B4" s="131"/>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1"/>
      <c r="AW4" s="131"/>
      <c r="AX4" s="131"/>
      <c r="AY4" s="131"/>
      <c r="AZ4" s="131"/>
      <c r="BA4" s="131"/>
      <c r="BB4" s="131"/>
      <c r="BC4" s="131"/>
      <c r="BD4" s="131"/>
    </row>
    <row r="5">
      <c r="A5" s="132" t="s">
        <v>72</v>
      </c>
      <c r="B5" s="84"/>
      <c r="C5" s="133" t="s">
        <v>0</v>
      </c>
      <c r="D5" s="134" t="s">
        <v>73</v>
      </c>
      <c r="E5" s="135" t="s">
        <v>74</v>
      </c>
      <c r="F5" s="136"/>
      <c r="G5" s="137"/>
      <c r="H5" s="137"/>
      <c r="I5" s="138"/>
      <c r="J5" s="11"/>
      <c r="K5" s="11"/>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row>
    <row r="6">
      <c r="A6" s="139" t="s">
        <v>75</v>
      </c>
      <c r="B6" s="84"/>
      <c r="C6" s="135" t="s">
        <v>76</v>
      </c>
      <c r="D6" s="134" t="s">
        <v>77</v>
      </c>
      <c r="E6" s="135" t="s">
        <v>78</v>
      </c>
      <c r="F6" s="136"/>
      <c r="G6" s="137"/>
      <c r="H6" s="137"/>
      <c r="I6" s="138"/>
      <c r="J6" s="11"/>
      <c r="K6" s="11"/>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row>
    <row r="7">
      <c r="A7" s="126"/>
      <c r="B7" s="140"/>
      <c r="C7" s="140"/>
      <c r="D7" s="140"/>
      <c r="E7" s="140"/>
      <c r="F7" s="140"/>
      <c r="G7" s="140"/>
      <c r="H7" s="140"/>
      <c r="I7" s="140"/>
      <c r="J7" s="140"/>
      <c r="K7" s="140"/>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row>
    <row r="8" ht="24.75" customHeight="1">
      <c r="A8" s="141"/>
      <c r="B8" s="142" t="s">
        <v>79</v>
      </c>
      <c r="C8" s="142" t="s">
        <v>80</v>
      </c>
      <c r="D8" s="142" t="s">
        <v>81</v>
      </c>
      <c r="E8" s="142" t="s">
        <v>82</v>
      </c>
      <c r="F8" s="142" t="s">
        <v>83</v>
      </c>
      <c r="G8" s="143" t="s">
        <v>84</v>
      </c>
      <c r="H8" s="144"/>
      <c r="I8" s="144"/>
      <c r="J8" s="144"/>
      <c r="K8" s="145" t="s">
        <v>85</v>
      </c>
      <c r="L8" s="143" t="s">
        <v>86</v>
      </c>
      <c r="M8" s="144"/>
      <c r="N8" s="144"/>
      <c r="O8" s="144"/>
      <c r="P8" s="146" t="s">
        <v>87</v>
      </c>
      <c r="Q8" s="143" t="s">
        <v>88</v>
      </c>
      <c r="R8" s="144"/>
      <c r="S8" s="144"/>
      <c r="T8" s="144"/>
      <c r="U8" s="146" t="s">
        <v>89</v>
      </c>
      <c r="V8" s="143" t="s">
        <v>90</v>
      </c>
      <c r="W8" s="144"/>
      <c r="X8" s="144"/>
      <c r="Y8" s="144"/>
      <c r="Z8" s="146" t="s">
        <v>91</v>
      </c>
      <c r="AA8" s="143" t="s">
        <v>92</v>
      </c>
      <c r="AB8" s="144"/>
      <c r="AC8" s="144"/>
      <c r="AD8" s="144"/>
      <c r="AE8" s="146" t="s">
        <v>93</v>
      </c>
      <c r="AF8" s="143" t="s">
        <v>94</v>
      </c>
      <c r="AG8" s="144"/>
      <c r="AH8" s="144"/>
      <c r="AI8" s="144"/>
      <c r="AJ8" s="145" t="s">
        <v>95</v>
      </c>
      <c r="AK8" s="143" t="s">
        <v>96</v>
      </c>
      <c r="AL8" s="144"/>
      <c r="AM8" s="144"/>
      <c r="AN8" s="144"/>
      <c r="AO8" s="145" t="s">
        <v>97</v>
      </c>
      <c r="AP8" s="143" t="s">
        <v>98</v>
      </c>
      <c r="AQ8" s="144"/>
      <c r="AR8" s="144"/>
      <c r="AS8" s="144"/>
      <c r="AT8" s="145" t="s">
        <v>99</v>
      </c>
      <c r="AU8" s="143" t="s">
        <v>100</v>
      </c>
      <c r="AV8" s="144"/>
      <c r="AW8" s="144"/>
      <c r="AX8" s="144"/>
      <c r="AY8" s="145" t="s">
        <v>101</v>
      </c>
      <c r="AZ8" s="143" t="s">
        <v>102</v>
      </c>
      <c r="BA8" s="144"/>
      <c r="BB8" s="144"/>
      <c r="BC8" s="144"/>
      <c r="BD8" s="145" t="s">
        <v>103</v>
      </c>
    </row>
    <row r="9">
      <c r="A9" s="141"/>
      <c r="B9" s="55"/>
      <c r="C9" s="55"/>
      <c r="D9" s="55"/>
      <c r="E9" s="55"/>
      <c r="F9" s="56"/>
      <c r="G9" s="147" t="s">
        <v>104</v>
      </c>
      <c r="H9" s="148" t="s">
        <v>56</v>
      </c>
      <c r="I9" s="149" t="s">
        <v>58</v>
      </c>
      <c r="J9" s="150" t="s">
        <v>62</v>
      </c>
      <c r="K9" s="151" t="s">
        <v>60</v>
      </c>
      <c r="L9" s="147" t="s">
        <v>104</v>
      </c>
      <c r="M9" s="148" t="s">
        <v>56</v>
      </c>
      <c r="N9" s="149" t="s">
        <v>58</v>
      </c>
      <c r="O9" s="150" t="s">
        <v>62</v>
      </c>
      <c r="P9" s="151" t="s">
        <v>60</v>
      </c>
      <c r="Q9" s="147" t="s">
        <v>104</v>
      </c>
      <c r="R9" s="148" t="s">
        <v>56</v>
      </c>
      <c r="S9" s="149" t="s">
        <v>58</v>
      </c>
      <c r="T9" s="150" t="s">
        <v>62</v>
      </c>
      <c r="U9" s="151" t="s">
        <v>60</v>
      </c>
      <c r="V9" s="147" t="s">
        <v>104</v>
      </c>
      <c r="W9" s="148" t="s">
        <v>56</v>
      </c>
      <c r="X9" s="149" t="s">
        <v>58</v>
      </c>
      <c r="Y9" s="150" t="s">
        <v>62</v>
      </c>
      <c r="Z9" s="151" t="s">
        <v>60</v>
      </c>
      <c r="AA9" s="147" t="s">
        <v>104</v>
      </c>
      <c r="AB9" s="148" t="s">
        <v>56</v>
      </c>
      <c r="AC9" s="149" t="s">
        <v>58</v>
      </c>
      <c r="AD9" s="150" t="s">
        <v>62</v>
      </c>
      <c r="AE9" s="151" t="s">
        <v>60</v>
      </c>
      <c r="AF9" s="147" t="s">
        <v>104</v>
      </c>
      <c r="AG9" s="148" t="s">
        <v>56</v>
      </c>
      <c r="AH9" s="149" t="s">
        <v>58</v>
      </c>
      <c r="AI9" s="150" t="s">
        <v>62</v>
      </c>
      <c r="AJ9" s="151" t="s">
        <v>60</v>
      </c>
      <c r="AK9" s="147" t="s">
        <v>104</v>
      </c>
      <c r="AL9" s="148" t="s">
        <v>56</v>
      </c>
      <c r="AM9" s="149" t="s">
        <v>58</v>
      </c>
      <c r="AN9" s="150" t="s">
        <v>62</v>
      </c>
      <c r="AO9" s="151" t="s">
        <v>60</v>
      </c>
      <c r="AP9" s="152" t="s">
        <v>105</v>
      </c>
      <c r="AQ9" s="148" t="s">
        <v>56</v>
      </c>
      <c r="AR9" s="149" t="s">
        <v>58</v>
      </c>
      <c r="AS9" s="150" t="s">
        <v>62</v>
      </c>
      <c r="AT9" s="151" t="s">
        <v>60</v>
      </c>
      <c r="AU9" s="147" t="s">
        <v>104</v>
      </c>
      <c r="AV9" s="148" t="s">
        <v>56</v>
      </c>
      <c r="AW9" s="149" t="s">
        <v>58</v>
      </c>
      <c r="AX9" s="150" t="s">
        <v>62</v>
      </c>
      <c r="AY9" s="151" t="s">
        <v>60</v>
      </c>
      <c r="AZ9" s="147" t="s">
        <v>104</v>
      </c>
      <c r="BA9" s="148" t="s">
        <v>56</v>
      </c>
      <c r="BB9" s="149" t="s">
        <v>58</v>
      </c>
      <c r="BC9" s="150" t="s">
        <v>62</v>
      </c>
      <c r="BD9" s="151" t="s">
        <v>60</v>
      </c>
    </row>
    <row r="10" ht="19.5" customHeight="1">
      <c r="A10" s="153"/>
      <c r="B10" s="154">
        <v>1.0</v>
      </c>
      <c r="C10" s="155" t="s">
        <v>106</v>
      </c>
      <c r="D10" s="156" t="s">
        <v>22</v>
      </c>
      <c r="E10" s="156" t="s">
        <v>22</v>
      </c>
      <c r="F10" s="157">
        <v>300.0</v>
      </c>
      <c r="G10" s="154">
        <f t="shared" ref="G10:G15" si="1">SUM(H10:J10)</f>
        <v>255</v>
      </c>
      <c r="H10" s="154">
        <f t="shared" ref="H10:H15" si="2">COUNTIF(INDIRECT("'"&amp;$D10&amp;"'!"&amp;K$8),"Pass")</f>
        <v>255</v>
      </c>
      <c r="I10" s="154">
        <f t="shared" ref="I10:I15" si="3">COUNTIF(INDIRECT("'"&amp;$D10&amp;"'!"&amp;K$8),"Fail")</f>
        <v>0</v>
      </c>
      <c r="J10" s="154">
        <f t="shared" ref="J10:J15" si="4">COUNTIF(INDIRECT("'"&amp;$D10&amp;"'!"&amp;K$8),"N/A")</f>
        <v>0</v>
      </c>
      <c r="K10" s="154">
        <f t="shared" ref="K10:K15" si="5">COUNTIF(INDIRECT("'"&amp;$D10&amp;"'!"&amp;K$8),"Block")</f>
        <v>45</v>
      </c>
      <c r="L10" s="154">
        <f t="shared" ref="L10:L15" si="6">SUM(M10:O10)</f>
        <v>0</v>
      </c>
      <c r="M10" s="154">
        <f t="shared" ref="M10:M15" si="7">COUNTIF(INDIRECT("'"&amp;$D10&amp;"'!"&amp;P$8),"Pass")</f>
        <v>0</v>
      </c>
      <c r="N10" s="154">
        <f t="shared" ref="N10:N15" si="8">COUNTIF(INDIRECT("'"&amp;$D10&amp;"'!"&amp;P$8),"Fail")</f>
        <v>0</v>
      </c>
      <c r="O10" s="154">
        <f t="shared" ref="O10:O15" si="9">COUNTIF(INDIRECT("'"&amp;$D10&amp;"'!"&amp;P$8),"N/A")</f>
        <v>0</v>
      </c>
      <c r="P10" s="154">
        <f t="shared" ref="P10:P15" si="10">COUNTIF(INDIRECT("'"&amp;$D10&amp;"'!"&amp;P$8),"Block")</f>
        <v>0</v>
      </c>
      <c r="Q10" s="154">
        <f t="shared" ref="Q10:Q15" si="11">SUM(R10:T10)</f>
        <v>0</v>
      </c>
      <c r="R10" s="154">
        <f t="shared" ref="R10:R15" si="12">COUNTIF(INDIRECT("'"&amp;$D10&amp;"'!"&amp;U$8),"Pass")</f>
        <v>0</v>
      </c>
      <c r="S10" s="154">
        <f t="shared" ref="S10:S15" si="13">COUNTIF(INDIRECT("'"&amp;$D10&amp;"'!"&amp;U$8),"Fail")</f>
        <v>0</v>
      </c>
      <c r="T10" s="154">
        <f t="shared" ref="T10:T15" si="14">COUNTIF(INDIRECT("'"&amp;$D10&amp;"'!"&amp;U$8),"N/A")</f>
        <v>0</v>
      </c>
      <c r="U10" s="154">
        <f t="shared" ref="U10:U15" si="15">COUNTIF(INDIRECT("'"&amp;$D10&amp;"'!"&amp;U$8),"Block")</f>
        <v>0</v>
      </c>
      <c r="V10" s="154">
        <f t="shared" ref="V10:V15" si="16">SUM(W10:Y10)</f>
        <v>0</v>
      </c>
      <c r="W10" s="154">
        <f t="shared" ref="W10:W15" si="17">COUNTIF(INDIRECT("'"&amp;$D10&amp;"'!"&amp;Z$8),"Pass")</f>
        <v>0</v>
      </c>
      <c r="X10" s="154">
        <f t="shared" ref="X10:X15" si="18">COUNTIF(INDIRECT("'"&amp;$D10&amp;"'!"&amp;Z$8),"Fail")</f>
        <v>0</v>
      </c>
      <c r="Y10" s="154">
        <f t="shared" ref="Y10:Y15" si="19">COUNTIF(INDIRECT("'"&amp;$D10&amp;"'!"&amp;Z$8),"N/A")</f>
        <v>0</v>
      </c>
      <c r="Z10" s="154">
        <f t="shared" ref="Z10:Z15" si="20">COUNTIF(INDIRECT("'"&amp;$D10&amp;"'!"&amp;Z$8),"Block")</f>
        <v>0</v>
      </c>
      <c r="AA10" s="154">
        <f t="shared" ref="AA10:AA15" si="21">SUM(AB10:AD10)</f>
        <v>0</v>
      </c>
      <c r="AB10" s="154">
        <f t="shared" ref="AB10:AB15" si="22">COUNTIF(INDIRECT("'"&amp;$D10&amp;"'!"&amp;AE$8),"Pass")</f>
        <v>0</v>
      </c>
      <c r="AC10" s="154">
        <f t="shared" ref="AC10:AC15" si="23">COUNTIF(INDIRECT("'"&amp;$D10&amp;"'!"&amp;AE$8),"Fail")</f>
        <v>0</v>
      </c>
      <c r="AD10" s="154">
        <f t="shared" ref="AD10:AD15" si="24">COUNTIF(INDIRECT("'"&amp;$D10&amp;"'!"&amp;AE$8),"N/A")</f>
        <v>0</v>
      </c>
      <c r="AE10" s="154">
        <f t="shared" ref="AE10:AE15" si="25">COUNTIF(INDIRECT("'"&amp;$D10&amp;"'!"&amp;AE$8),"Block")</f>
        <v>0</v>
      </c>
      <c r="AF10" s="154">
        <f t="shared" ref="AF10:AF15" si="26">SUM(AG10:AI10)</f>
        <v>0</v>
      </c>
      <c r="AG10" s="154">
        <f t="shared" ref="AG10:AG15" si="27">COUNTIF(INDIRECT("'"&amp;$D10&amp;"'!"&amp;AJ$8),"Pass")</f>
        <v>0</v>
      </c>
      <c r="AH10" s="154">
        <f t="shared" ref="AH10:AH15" si="28">COUNTIF(INDIRECT("'"&amp;$D10&amp;"'!"&amp;AJ$8),"Fail")</f>
        <v>0</v>
      </c>
      <c r="AI10" s="154">
        <f t="shared" ref="AI10:AI15" si="29">COUNTIF(INDIRECT("'"&amp;$D10&amp;"'!"&amp;AJ$8),"N/A")</f>
        <v>0</v>
      </c>
      <c r="AJ10" s="154">
        <f t="shared" ref="AJ10:AJ15" si="30">COUNTIF(INDIRECT("'"&amp;$D10&amp;"'!"&amp;AJ$8),"Block")</f>
        <v>0</v>
      </c>
      <c r="AK10" s="154">
        <f t="shared" ref="AK10:AK15" si="31">SUM(AL10:AN10)</f>
        <v>0</v>
      </c>
      <c r="AL10" s="154">
        <f t="shared" ref="AL10:AL15" si="32">COUNTIF(INDIRECT("'"&amp;$D10&amp;"'!"&amp;AO$8),"Pass")</f>
        <v>0</v>
      </c>
      <c r="AM10" s="154">
        <f t="shared" ref="AM10:AM15" si="33">COUNTIF(INDIRECT("'"&amp;$D10&amp;"'!"&amp;AO$8),"Fail")</f>
        <v>0</v>
      </c>
      <c r="AN10" s="154">
        <f t="shared" ref="AN10:AN15" si="34">COUNTIF(INDIRECT("'"&amp;$D10&amp;"'!"&amp;AO$8),"N/A")</f>
        <v>0</v>
      </c>
      <c r="AO10" s="154">
        <f t="shared" ref="AO10:AO15" si="35">COUNTIF(INDIRECT("'"&amp;$D10&amp;"'!"&amp;AO$8),"Block")</f>
        <v>0</v>
      </c>
      <c r="AP10" s="154">
        <f t="shared" ref="AP10:AP15" si="36">SUM(AQ10:AS10)</f>
        <v>0</v>
      </c>
      <c r="AQ10" s="154">
        <f t="shared" ref="AQ10:AQ15" si="37">COUNTIF(INDIRECT("'"&amp;$D10&amp;"'!"&amp;AT$8),"Pass")</f>
        <v>0</v>
      </c>
      <c r="AR10" s="154">
        <f t="shared" ref="AR10:AR15" si="38">COUNTIF(INDIRECT("'"&amp;$D10&amp;"'!"&amp;AT$8),"Fail")</f>
        <v>0</v>
      </c>
      <c r="AS10" s="154">
        <f t="shared" ref="AS10:AS15" si="39">COUNTIF(INDIRECT("'"&amp;$D10&amp;"'!"&amp;AT$8),"N/A")</f>
        <v>0</v>
      </c>
      <c r="AT10" s="154">
        <f t="shared" ref="AT10:AT15" si="40">COUNTIF(INDIRECT("'"&amp;$D10&amp;"'!"&amp;AT$8),"Block")</f>
        <v>0</v>
      </c>
      <c r="AU10" s="154">
        <f t="shared" ref="AU10:AU15" si="41">SUM(AV10:AX10)</f>
        <v>0</v>
      </c>
      <c r="AV10" s="154">
        <f t="shared" ref="AV10:AV15" si="42">COUNTIF(INDIRECT("'"&amp;$D10&amp;"'!"&amp;AY$8),"Pass")</f>
        <v>0</v>
      </c>
      <c r="AW10" s="154">
        <f t="shared" ref="AW10:AW15" si="43">COUNTIF(INDIRECT("'"&amp;$D10&amp;"'!"&amp;AY$8),"Fail")</f>
        <v>0</v>
      </c>
      <c r="AX10" s="154">
        <f t="shared" ref="AX10:AX15" si="44">COUNTIF(INDIRECT("'"&amp;$D10&amp;"'!"&amp;AY$8),"N/A")</f>
        <v>0</v>
      </c>
      <c r="AY10" s="154">
        <f t="shared" ref="AY10:AY15" si="45">COUNTIF(INDIRECT("'"&amp;$D10&amp;"'!"&amp;AY$8),"Block")</f>
        <v>0</v>
      </c>
      <c r="AZ10" s="154">
        <f t="shared" ref="AZ10:AZ15" si="46">SUM(BA10:BC10)</f>
        <v>0</v>
      </c>
      <c r="BA10" s="154">
        <f t="shared" ref="BA10:BA15" si="47">COUNTIF(INDIRECT("'"&amp;$D10&amp;"'!"&amp;BD$8),"Pass")</f>
        <v>0</v>
      </c>
      <c r="BB10" s="154">
        <f t="shared" ref="BB10:BB15" si="48">COUNTIF(INDIRECT("'"&amp;$D10&amp;"'!"&amp;BD$8),"Fail")</f>
        <v>0</v>
      </c>
      <c r="BC10" s="154">
        <f t="shared" ref="BC10:BC15" si="49">COUNTIF(INDIRECT("'"&amp;$D10&amp;"'!"&amp;BD$8),"N/A")</f>
        <v>0</v>
      </c>
      <c r="BD10" s="154">
        <f t="shared" ref="BD10:BD15" si="50">COUNTIF(INDIRECT("'"&amp;$D10&amp;"'!"&amp;BD$8),"Block")</f>
        <v>0</v>
      </c>
    </row>
    <row r="11" ht="19.5" customHeight="1">
      <c r="A11" s="153"/>
      <c r="B11" s="158">
        <v>2.0</v>
      </c>
      <c r="C11" s="155" t="s">
        <v>107</v>
      </c>
      <c r="D11" s="156" t="s">
        <v>24</v>
      </c>
      <c r="E11" s="156" t="s">
        <v>24</v>
      </c>
      <c r="F11" s="159">
        <f t="shared" ref="F11:F13" si="51">COUNTIF(INDIRECT("'"&amp;D11&amp;"'!A:A"),C11&amp;"*")</f>
        <v>22</v>
      </c>
      <c r="G11" s="154">
        <f t="shared" si="1"/>
        <v>17</v>
      </c>
      <c r="H11" s="154">
        <f t="shared" si="2"/>
        <v>16</v>
      </c>
      <c r="I11" s="154">
        <f t="shared" si="3"/>
        <v>0</v>
      </c>
      <c r="J11" s="154">
        <f t="shared" si="4"/>
        <v>1</v>
      </c>
      <c r="K11" s="154">
        <f t="shared" si="5"/>
        <v>5</v>
      </c>
      <c r="L11" s="154">
        <f t="shared" si="6"/>
        <v>0</v>
      </c>
      <c r="M11" s="154">
        <f t="shared" si="7"/>
        <v>0</v>
      </c>
      <c r="N11" s="154">
        <f t="shared" si="8"/>
        <v>0</v>
      </c>
      <c r="O11" s="154">
        <f t="shared" si="9"/>
        <v>0</v>
      </c>
      <c r="P11" s="154">
        <f t="shared" si="10"/>
        <v>0</v>
      </c>
      <c r="Q11" s="154">
        <f t="shared" si="11"/>
        <v>0</v>
      </c>
      <c r="R11" s="154">
        <f t="shared" si="12"/>
        <v>0</v>
      </c>
      <c r="S11" s="154">
        <f t="shared" si="13"/>
        <v>0</v>
      </c>
      <c r="T11" s="154">
        <f t="shared" si="14"/>
        <v>0</v>
      </c>
      <c r="U11" s="154">
        <f t="shared" si="15"/>
        <v>0</v>
      </c>
      <c r="V11" s="154">
        <f t="shared" si="16"/>
        <v>0</v>
      </c>
      <c r="W11" s="154">
        <f t="shared" si="17"/>
        <v>0</v>
      </c>
      <c r="X11" s="154">
        <f t="shared" si="18"/>
        <v>0</v>
      </c>
      <c r="Y11" s="154">
        <f t="shared" si="19"/>
        <v>0</v>
      </c>
      <c r="Z11" s="154">
        <f t="shared" si="20"/>
        <v>0</v>
      </c>
      <c r="AA11" s="154">
        <f t="shared" si="21"/>
        <v>0</v>
      </c>
      <c r="AB11" s="154">
        <f t="shared" si="22"/>
        <v>0</v>
      </c>
      <c r="AC11" s="154">
        <f t="shared" si="23"/>
        <v>0</v>
      </c>
      <c r="AD11" s="154">
        <f t="shared" si="24"/>
        <v>0</v>
      </c>
      <c r="AE11" s="154">
        <f t="shared" si="25"/>
        <v>0</v>
      </c>
      <c r="AF11" s="154">
        <f t="shared" si="26"/>
        <v>0</v>
      </c>
      <c r="AG11" s="154">
        <f t="shared" si="27"/>
        <v>0</v>
      </c>
      <c r="AH11" s="154">
        <f t="shared" si="28"/>
        <v>0</v>
      </c>
      <c r="AI11" s="154">
        <f t="shared" si="29"/>
        <v>0</v>
      </c>
      <c r="AJ11" s="154">
        <f t="shared" si="30"/>
        <v>0</v>
      </c>
      <c r="AK11" s="154">
        <f t="shared" si="31"/>
        <v>0</v>
      </c>
      <c r="AL11" s="154">
        <f t="shared" si="32"/>
        <v>0</v>
      </c>
      <c r="AM11" s="154">
        <f t="shared" si="33"/>
        <v>0</v>
      </c>
      <c r="AN11" s="154">
        <f t="shared" si="34"/>
        <v>0</v>
      </c>
      <c r="AO11" s="154">
        <f t="shared" si="35"/>
        <v>0</v>
      </c>
      <c r="AP11" s="154">
        <f t="shared" si="36"/>
        <v>0</v>
      </c>
      <c r="AQ11" s="154">
        <f t="shared" si="37"/>
        <v>0</v>
      </c>
      <c r="AR11" s="154">
        <f t="shared" si="38"/>
        <v>0</v>
      </c>
      <c r="AS11" s="154">
        <f t="shared" si="39"/>
        <v>0</v>
      </c>
      <c r="AT11" s="154">
        <f t="shared" si="40"/>
        <v>0</v>
      </c>
      <c r="AU11" s="154">
        <f t="shared" si="41"/>
        <v>0</v>
      </c>
      <c r="AV11" s="154">
        <f t="shared" si="42"/>
        <v>0</v>
      </c>
      <c r="AW11" s="154">
        <f t="shared" si="43"/>
        <v>0</v>
      </c>
      <c r="AX11" s="154">
        <f t="shared" si="44"/>
        <v>0</v>
      </c>
      <c r="AY11" s="154">
        <f t="shared" si="45"/>
        <v>0</v>
      </c>
      <c r="AZ11" s="154">
        <f t="shared" si="46"/>
        <v>0</v>
      </c>
      <c r="BA11" s="154">
        <f t="shared" si="47"/>
        <v>0</v>
      </c>
      <c r="BB11" s="154">
        <f t="shared" si="48"/>
        <v>0</v>
      </c>
      <c r="BC11" s="154">
        <f t="shared" si="49"/>
        <v>0</v>
      </c>
      <c r="BD11" s="154">
        <f t="shared" si="50"/>
        <v>0</v>
      </c>
    </row>
    <row r="12" ht="19.5" customHeight="1">
      <c r="A12" s="153"/>
      <c r="B12" s="158">
        <v>3.0</v>
      </c>
      <c r="C12" s="155" t="s">
        <v>108</v>
      </c>
      <c r="D12" s="156" t="s">
        <v>26</v>
      </c>
      <c r="E12" s="156" t="s">
        <v>26</v>
      </c>
      <c r="F12" s="159">
        <f t="shared" si="51"/>
        <v>24</v>
      </c>
      <c r="G12" s="154">
        <f t="shared" si="1"/>
        <v>11</v>
      </c>
      <c r="H12" s="154">
        <f t="shared" si="2"/>
        <v>11</v>
      </c>
      <c r="I12" s="154">
        <f t="shared" si="3"/>
        <v>0</v>
      </c>
      <c r="J12" s="154">
        <f t="shared" si="4"/>
        <v>0</v>
      </c>
      <c r="K12" s="154">
        <f t="shared" si="5"/>
        <v>13</v>
      </c>
      <c r="L12" s="154">
        <f t="shared" si="6"/>
        <v>0</v>
      </c>
      <c r="M12" s="154">
        <f t="shared" si="7"/>
        <v>0</v>
      </c>
      <c r="N12" s="154">
        <f t="shared" si="8"/>
        <v>0</v>
      </c>
      <c r="O12" s="154">
        <f t="shared" si="9"/>
        <v>0</v>
      </c>
      <c r="P12" s="154">
        <f t="shared" si="10"/>
        <v>0</v>
      </c>
      <c r="Q12" s="154">
        <f t="shared" si="11"/>
        <v>0</v>
      </c>
      <c r="R12" s="154">
        <f t="shared" si="12"/>
        <v>0</v>
      </c>
      <c r="S12" s="154">
        <f t="shared" si="13"/>
        <v>0</v>
      </c>
      <c r="T12" s="154">
        <f t="shared" si="14"/>
        <v>0</v>
      </c>
      <c r="U12" s="154">
        <f t="shared" si="15"/>
        <v>0</v>
      </c>
      <c r="V12" s="154">
        <f t="shared" si="16"/>
        <v>0</v>
      </c>
      <c r="W12" s="154">
        <f t="shared" si="17"/>
        <v>0</v>
      </c>
      <c r="X12" s="154">
        <f t="shared" si="18"/>
        <v>0</v>
      </c>
      <c r="Y12" s="154">
        <f t="shared" si="19"/>
        <v>0</v>
      </c>
      <c r="Z12" s="154">
        <f t="shared" si="20"/>
        <v>0</v>
      </c>
      <c r="AA12" s="154">
        <f t="shared" si="21"/>
        <v>0</v>
      </c>
      <c r="AB12" s="154">
        <f t="shared" si="22"/>
        <v>0</v>
      </c>
      <c r="AC12" s="154">
        <f t="shared" si="23"/>
        <v>0</v>
      </c>
      <c r="AD12" s="154">
        <f t="shared" si="24"/>
        <v>0</v>
      </c>
      <c r="AE12" s="154">
        <f t="shared" si="25"/>
        <v>0</v>
      </c>
      <c r="AF12" s="154">
        <f t="shared" si="26"/>
        <v>0</v>
      </c>
      <c r="AG12" s="154">
        <f t="shared" si="27"/>
        <v>0</v>
      </c>
      <c r="AH12" s="154">
        <f t="shared" si="28"/>
        <v>0</v>
      </c>
      <c r="AI12" s="154">
        <f t="shared" si="29"/>
        <v>0</v>
      </c>
      <c r="AJ12" s="154">
        <f t="shared" si="30"/>
        <v>0</v>
      </c>
      <c r="AK12" s="154">
        <f t="shared" si="31"/>
        <v>0</v>
      </c>
      <c r="AL12" s="154">
        <f t="shared" si="32"/>
        <v>0</v>
      </c>
      <c r="AM12" s="154">
        <f t="shared" si="33"/>
        <v>0</v>
      </c>
      <c r="AN12" s="154">
        <f t="shared" si="34"/>
        <v>0</v>
      </c>
      <c r="AO12" s="154">
        <f t="shared" si="35"/>
        <v>0</v>
      </c>
      <c r="AP12" s="154">
        <f t="shared" si="36"/>
        <v>0</v>
      </c>
      <c r="AQ12" s="154">
        <f t="shared" si="37"/>
        <v>0</v>
      </c>
      <c r="AR12" s="154">
        <f t="shared" si="38"/>
        <v>0</v>
      </c>
      <c r="AS12" s="154">
        <f t="shared" si="39"/>
        <v>0</v>
      </c>
      <c r="AT12" s="154">
        <f t="shared" si="40"/>
        <v>0</v>
      </c>
      <c r="AU12" s="154">
        <f t="shared" si="41"/>
        <v>0</v>
      </c>
      <c r="AV12" s="154">
        <f t="shared" si="42"/>
        <v>0</v>
      </c>
      <c r="AW12" s="154">
        <f t="shared" si="43"/>
        <v>0</v>
      </c>
      <c r="AX12" s="154">
        <f t="shared" si="44"/>
        <v>0</v>
      </c>
      <c r="AY12" s="154">
        <f t="shared" si="45"/>
        <v>0</v>
      </c>
      <c r="AZ12" s="154">
        <f t="shared" si="46"/>
        <v>0</v>
      </c>
      <c r="BA12" s="154">
        <f t="shared" si="47"/>
        <v>0</v>
      </c>
      <c r="BB12" s="154">
        <f t="shared" si="48"/>
        <v>0</v>
      </c>
      <c r="BC12" s="154">
        <f t="shared" si="49"/>
        <v>0</v>
      </c>
      <c r="BD12" s="154">
        <f t="shared" si="50"/>
        <v>0</v>
      </c>
    </row>
    <row r="13" ht="19.5" customHeight="1">
      <c r="A13" s="153"/>
      <c r="B13" s="158">
        <v>4.0</v>
      </c>
      <c r="C13" s="155" t="s">
        <v>109</v>
      </c>
      <c r="D13" s="156" t="s">
        <v>28</v>
      </c>
      <c r="E13" s="156" t="s">
        <v>28</v>
      </c>
      <c r="F13" s="159">
        <f t="shared" si="51"/>
        <v>40</v>
      </c>
      <c r="G13" s="154">
        <f t="shared" si="1"/>
        <v>13</v>
      </c>
      <c r="H13" s="154">
        <f t="shared" si="2"/>
        <v>13</v>
      </c>
      <c r="I13" s="154">
        <f t="shared" si="3"/>
        <v>0</v>
      </c>
      <c r="J13" s="154">
        <f t="shared" si="4"/>
        <v>0</v>
      </c>
      <c r="K13" s="154">
        <f t="shared" si="5"/>
        <v>27</v>
      </c>
      <c r="L13" s="154">
        <f t="shared" si="6"/>
        <v>0</v>
      </c>
      <c r="M13" s="154">
        <f t="shared" si="7"/>
        <v>0</v>
      </c>
      <c r="N13" s="154">
        <f t="shared" si="8"/>
        <v>0</v>
      </c>
      <c r="O13" s="154">
        <f t="shared" si="9"/>
        <v>0</v>
      </c>
      <c r="P13" s="154">
        <f t="shared" si="10"/>
        <v>0</v>
      </c>
      <c r="Q13" s="154">
        <f t="shared" si="11"/>
        <v>0</v>
      </c>
      <c r="R13" s="154">
        <f t="shared" si="12"/>
        <v>0</v>
      </c>
      <c r="S13" s="154">
        <f t="shared" si="13"/>
        <v>0</v>
      </c>
      <c r="T13" s="154">
        <f t="shared" si="14"/>
        <v>0</v>
      </c>
      <c r="U13" s="154">
        <f t="shared" si="15"/>
        <v>0</v>
      </c>
      <c r="V13" s="154">
        <f t="shared" si="16"/>
        <v>0</v>
      </c>
      <c r="W13" s="154">
        <f t="shared" si="17"/>
        <v>0</v>
      </c>
      <c r="X13" s="154">
        <f t="shared" si="18"/>
        <v>0</v>
      </c>
      <c r="Y13" s="154">
        <f t="shared" si="19"/>
        <v>0</v>
      </c>
      <c r="Z13" s="154">
        <f t="shared" si="20"/>
        <v>0</v>
      </c>
      <c r="AA13" s="154">
        <f t="shared" si="21"/>
        <v>0</v>
      </c>
      <c r="AB13" s="154">
        <f t="shared" si="22"/>
        <v>0</v>
      </c>
      <c r="AC13" s="154">
        <f t="shared" si="23"/>
        <v>0</v>
      </c>
      <c r="AD13" s="154">
        <f t="shared" si="24"/>
        <v>0</v>
      </c>
      <c r="AE13" s="154">
        <f t="shared" si="25"/>
        <v>0</v>
      </c>
      <c r="AF13" s="154">
        <f t="shared" si="26"/>
        <v>0</v>
      </c>
      <c r="AG13" s="154">
        <f t="shared" si="27"/>
        <v>0</v>
      </c>
      <c r="AH13" s="154">
        <f t="shared" si="28"/>
        <v>0</v>
      </c>
      <c r="AI13" s="154">
        <f t="shared" si="29"/>
        <v>0</v>
      </c>
      <c r="AJ13" s="154">
        <f t="shared" si="30"/>
        <v>0</v>
      </c>
      <c r="AK13" s="154">
        <f t="shared" si="31"/>
        <v>0</v>
      </c>
      <c r="AL13" s="154">
        <f t="shared" si="32"/>
        <v>0</v>
      </c>
      <c r="AM13" s="154">
        <f t="shared" si="33"/>
        <v>0</v>
      </c>
      <c r="AN13" s="154">
        <f t="shared" si="34"/>
        <v>0</v>
      </c>
      <c r="AO13" s="154">
        <f t="shared" si="35"/>
        <v>0</v>
      </c>
      <c r="AP13" s="154">
        <f t="shared" si="36"/>
        <v>0</v>
      </c>
      <c r="AQ13" s="154">
        <f t="shared" si="37"/>
        <v>0</v>
      </c>
      <c r="AR13" s="154">
        <f t="shared" si="38"/>
        <v>0</v>
      </c>
      <c r="AS13" s="154">
        <f t="shared" si="39"/>
        <v>0</v>
      </c>
      <c r="AT13" s="154">
        <f t="shared" si="40"/>
        <v>0</v>
      </c>
      <c r="AU13" s="154">
        <f t="shared" si="41"/>
        <v>0</v>
      </c>
      <c r="AV13" s="154">
        <f t="shared" si="42"/>
        <v>0</v>
      </c>
      <c r="AW13" s="154">
        <f t="shared" si="43"/>
        <v>0</v>
      </c>
      <c r="AX13" s="154">
        <f t="shared" si="44"/>
        <v>0</v>
      </c>
      <c r="AY13" s="154">
        <f t="shared" si="45"/>
        <v>0</v>
      </c>
      <c r="AZ13" s="154">
        <f t="shared" si="46"/>
        <v>0</v>
      </c>
      <c r="BA13" s="154">
        <f t="shared" si="47"/>
        <v>0</v>
      </c>
      <c r="BB13" s="154">
        <f t="shared" si="48"/>
        <v>0</v>
      </c>
      <c r="BC13" s="154">
        <f t="shared" si="49"/>
        <v>0</v>
      </c>
      <c r="BD13" s="154">
        <f t="shared" si="50"/>
        <v>0</v>
      </c>
    </row>
    <row r="14" ht="19.5" customHeight="1">
      <c r="A14" s="153"/>
      <c r="B14" s="158">
        <v>5.0</v>
      </c>
      <c r="C14" s="155" t="s">
        <v>110</v>
      </c>
      <c r="D14" s="156" t="s">
        <v>30</v>
      </c>
      <c r="E14" s="156" t="s">
        <v>30</v>
      </c>
      <c r="F14" s="159">
        <f t="array" ref="F14">COUNTIF(INDIRECT("'"&amp;D14&amp;"'!A:A"),C14&amp;"*")*3</f>
        <v>150</v>
      </c>
      <c r="G14" s="154">
        <f t="shared" si="1"/>
        <v>144</v>
      </c>
      <c r="H14" s="154">
        <f t="shared" si="2"/>
        <v>144</v>
      </c>
      <c r="I14" s="154">
        <f t="shared" si="3"/>
        <v>0</v>
      </c>
      <c r="J14" s="154">
        <f t="shared" si="4"/>
        <v>0</v>
      </c>
      <c r="K14" s="154">
        <f t="shared" si="5"/>
        <v>6</v>
      </c>
      <c r="L14" s="154">
        <f t="shared" si="6"/>
        <v>0</v>
      </c>
      <c r="M14" s="154">
        <f t="shared" si="7"/>
        <v>0</v>
      </c>
      <c r="N14" s="154">
        <f t="shared" si="8"/>
        <v>0</v>
      </c>
      <c r="O14" s="154">
        <f t="shared" si="9"/>
        <v>0</v>
      </c>
      <c r="P14" s="154">
        <f t="shared" si="10"/>
        <v>0</v>
      </c>
      <c r="Q14" s="154">
        <f t="shared" si="11"/>
        <v>0</v>
      </c>
      <c r="R14" s="154">
        <f t="shared" si="12"/>
        <v>0</v>
      </c>
      <c r="S14" s="154">
        <f t="shared" si="13"/>
        <v>0</v>
      </c>
      <c r="T14" s="154">
        <f t="shared" si="14"/>
        <v>0</v>
      </c>
      <c r="U14" s="154">
        <f t="shared" si="15"/>
        <v>0</v>
      </c>
      <c r="V14" s="154">
        <f t="shared" si="16"/>
        <v>0</v>
      </c>
      <c r="W14" s="154">
        <f t="shared" si="17"/>
        <v>0</v>
      </c>
      <c r="X14" s="154">
        <f t="shared" si="18"/>
        <v>0</v>
      </c>
      <c r="Y14" s="154">
        <f t="shared" si="19"/>
        <v>0</v>
      </c>
      <c r="Z14" s="154">
        <f t="shared" si="20"/>
        <v>0</v>
      </c>
      <c r="AA14" s="154">
        <f t="shared" si="21"/>
        <v>0</v>
      </c>
      <c r="AB14" s="154">
        <f t="shared" si="22"/>
        <v>0</v>
      </c>
      <c r="AC14" s="154">
        <f t="shared" si="23"/>
        <v>0</v>
      </c>
      <c r="AD14" s="154">
        <f t="shared" si="24"/>
        <v>0</v>
      </c>
      <c r="AE14" s="154">
        <f t="shared" si="25"/>
        <v>0</v>
      </c>
      <c r="AF14" s="154">
        <f t="shared" si="26"/>
        <v>0</v>
      </c>
      <c r="AG14" s="154">
        <f t="shared" si="27"/>
        <v>0</v>
      </c>
      <c r="AH14" s="154">
        <f t="shared" si="28"/>
        <v>0</v>
      </c>
      <c r="AI14" s="154">
        <f t="shared" si="29"/>
        <v>0</v>
      </c>
      <c r="AJ14" s="154">
        <f t="shared" si="30"/>
        <v>0</v>
      </c>
      <c r="AK14" s="154">
        <f t="shared" si="31"/>
        <v>0</v>
      </c>
      <c r="AL14" s="154">
        <f t="shared" si="32"/>
        <v>0</v>
      </c>
      <c r="AM14" s="154">
        <f t="shared" si="33"/>
        <v>0</v>
      </c>
      <c r="AN14" s="154">
        <f t="shared" si="34"/>
        <v>0</v>
      </c>
      <c r="AO14" s="154">
        <f t="shared" si="35"/>
        <v>0</v>
      </c>
      <c r="AP14" s="154">
        <f t="shared" si="36"/>
        <v>0</v>
      </c>
      <c r="AQ14" s="154">
        <f t="shared" si="37"/>
        <v>0</v>
      </c>
      <c r="AR14" s="154">
        <f t="shared" si="38"/>
        <v>0</v>
      </c>
      <c r="AS14" s="154">
        <f t="shared" si="39"/>
        <v>0</v>
      </c>
      <c r="AT14" s="154">
        <f t="shared" si="40"/>
        <v>0</v>
      </c>
      <c r="AU14" s="154">
        <f t="shared" si="41"/>
        <v>0</v>
      </c>
      <c r="AV14" s="154">
        <f t="shared" si="42"/>
        <v>0</v>
      </c>
      <c r="AW14" s="154">
        <f t="shared" si="43"/>
        <v>0</v>
      </c>
      <c r="AX14" s="154">
        <f t="shared" si="44"/>
        <v>0</v>
      </c>
      <c r="AY14" s="154">
        <f t="shared" si="45"/>
        <v>0</v>
      </c>
      <c r="AZ14" s="154">
        <f t="shared" si="46"/>
        <v>0</v>
      </c>
      <c r="BA14" s="154">
        <f t="shared" si="47"/>
        <v>0</v>
      </c>
      <c r="BB14" s="154">
        <f t="shared" si="48"/>
        <v>0</v>
      </c>
      <c r="BC14" s="154">
        <f t="shared" si="49"/>
        <v>0</v>
      </c>
      <c r="BD14" s="154">
        <f t="shared" si="50"/>
        <v>0</v>
      </c>
    </row>
    <row r="15" ht="19.5" customHeight="1">
      <c r="A15" s="153"/>
      <c r="B15" s="158">
        <v>4.0</v>
      </c>
      <c r="C15" s="155" t="s">
        <v>111</v>
      </c>
      <c r="D15" s="156" t="s">
        <v>32</v>
      </c>
      <c r="E15" s="156" t="s">
        <v>32</v>
      </c>
      <c r="F15" s="159">
        <f t="array" ref="F15">COUNTIF(INDIRECT("'"&amp;D15&amp;"'!A:A"),C15&amp;"*")</f>
        <v>110</v>
      </c>
      <c r="G15" s="154">
        <f t="shared" si="1"/>
        <v>109</v>
      </c>
      <c r="H15" s="154">
        <f t="shared" si="2"/>
        <v>108</v>
      </c>
      <c r="I15" s="154">
        <f t="shared" si="3"/>
        <v>0</v>
      </c>
      <c r="J15" s="154">
        <f t="shared" si="4"/>
        <v>1</v>
      </c>
      <c r="K15" s="154">
        <f t="shared" si="5"/>
        <v>1</v>
      </c>
      <c r="L15" s="154">
        <f t="shared" si="6"/>
        <v>0</v>
      </c>
      <c r="M15" s="154">
        <f t="shared" si="7"/>
        <v>0</v>
      </c>
      <c r="N15" s="154">
        <f t="shared" si="8"/>
        <v>0</v>
      </c>
      <c r="O15" s="154">
        <f t="shared" si="9"/>
        <v>0</v>
      </c>
      <c r="P15" s="154">
        <f t="shared" si="10"/>
        <v>0</v>
      </c>
      <c r="Q15" s="154">
        <f t="shared" si="11"/>
        <v>0</v>
      </c>
      <c r="R15" s="154">
        <f t="shared" si="12"/>
        <v>0</v>
      </c>
      <c r="S15" s="154">
        <f t="shared" si="13"/>
        <v>0</v>
      </c>
      <c r="T15" s="154">
        <f t="shared" si="14"/>
        <v>0</v>
      </c>
      <c r="U15" s="154">
        <f t="shared" si="15"/>
        <v>0</v>
      </c>
      <c r="V15" s="154">
        <f t="shared" si="16"/>
        <v>0</v>
      </c>
      <c r="W15" s="154">
        <f t="shared" si="17"/>
        <v>0</v>
      </c>
      <c r="X15" s="154">
        <f t="shared" si="18"/>
        <v>0</v>
      </c>
      <c r="Y15" s="154">
        <f t="shared" si="19"/>
        <v>0</v>
      </c>
      <c r="Z15" s="154">
        <f t="shared" si="20"/>
        <v>0</v>
      </c>
      <c r="AA15" s="154">
        <f t="shared" si="21"/>
        <v>0</v>
      </c>
      <c r="AB15" s="154">
        <f t="shared" si="22"/>
        <v>0</v>
      </c>
      <c r="AC15" s="154">
        <f t="shared" si="23"/>
        <v>0</v>
      </c>
      <c r="AD15" s="154">
        <f t="shared" si="24"/>
        <v>0</v>
      </c>
      <c r="AE15" s="154">
        <f t="shared" si="25"/>
        <v>0</v>
      </c>
      <c r="AF15" s="154">
        <f t="shared" si="26"/>
        <v>0</v>
      </c>
      <c r="AG15" s="154">
        <f t="shared" si="27"/>
        <v>0</v>
      </c>
      <c r="AH15" s="154">
        <f t="shared" si="28"/>
        <v>0</v>
      </c>
      <c r="AI15" s="154">
        <f t="shared" si="29"/>
        <v>0</v>
      </c>
      <c r="AJ15" s="154">
        <f t="shared" si="30"/>
        <v>0</v>
      </c>
      <c r="AK15" s="154">
        <f t="shared" si="31"/>
        <v>0</v>
      </c>
      <c r="AL15" s="154">
        <f t="shared" si="32"/>
        <v>0</v>
      </c>
      <c r="AM15" s="154">
        <f t="shared" si="33"/>
        <v>0</v>
      </c>
      <c r="AN15" s="154">
        <f t="shared" si="34"/>
        <v>0</v>
      </c>
      <c r="AO15" s="154">
        <f t="shared" si="35"/>
        <v>0</v>
      </c>
      <c r="AP15" s="154">
        <f t="shared" si="36"/>
        <v>0</v>
      </c>
      <c r="AQ15" s="154">
        <f t="shared" si="37"/>
        <v>0</v>
      </c>
      <c r="AR15" s="154">
        <f t="shared" si="38"/>
        <v>0</v>
      </c>
      <c r="AS15" s="154">
        <f t="shared" si="39"/>
        <v>0</v>
      </c>
      <c r="AT15" s="154">
        <f t="shared" si="40"/>
        <v>0</v>
      </c>
      <c r="AU15" s="154">
        <f t="shared" si="41"/>
        <v>0</v>
      </c>
      <c r="AV15" s="154">
        <f t="shared" si="42"/>
        <v>0</v>
      </c>
      <c r="AW15" s="154">
        <f t="shared" si="43"/>
        <v>0</v>
      </c>
      <c r="AX15" s="154">
        <f t="shared" si="44"/>
        <v>0</v>
      </c>
      <c r="AY15" s="154">
        <f t="shared" si="45"/>
        <v>0</v>
      </c>
      <c r="AZ15" s="154">
        <f t="shared" si="46"/>
        <v>0</v>
      </c>
      <c r="BA15" s="154">
        <f t="shared" si="47"/>
        <v>0</v>
      </c>
      <c r="BB15" s="154">
        <f t="shared" si="48"/>
        <v>0</v>
      </c>
      <c r="BC15" s="154">
        <f t="shared" si="49"/>
        <v>0</v>
      </c>
      <c r="BD15" s="154">
        <f t="shared" si="50"/>
        <v>0</v>
      </c>
    </row>
    <row r="16">
      <c r="A16" s="153"/>
      <c r="B16" s="160" t="s">
        <v>112</v>
      </c>
      <c r="C16" s="161"/>
      <c r="D16" s="161"/>
      <c r="E16" s="162"/>
      <c r="F16" s="163">
        <f t="shared" ref="F16:G16" si="52">SUM(F10:F15)</f>
        <v>646</v>
      </c>
      <c r="G16" s="164">
        <f t="shared" si="52"/>
        <v>549</v>
      </c>
      <c r="H16" s="164">
        <f>SUM(H10:H14)</f>
        <v>439</v>
      </c>
      <c r="I16" s="164">
        <f t="shared" ref="I16:K16" si="53">SUM(I10:I15)</f>
        <v>0</v>
      </c>
      <c r="J16" s="164">
        <f t="shared" si="53"/>
        <v>2</v>
      </c>
      <c r="K16" s="164">
        <f t="shared" si="53"/>
        <v>97</v>
      </c>
      <c r="L16" s="164">
        <f t="shared" ref="L16:BD16" si="54">SUM(L10)</f>
        <v>0</v>
      </c>
      <c r="M16" s="164">
        <f t="shared" si="54"/>
        <v>0</v>
      </c>
      <c r="N16" s="164">
        <f t="shared" si="54"/>
        <v>0</v>
      </c>
      <c r="O16" s="164">
        <f t="shared" si="54"/>
        <v>0</v>
      </c>
      <c r="P16" s="164">
        <f t="shared" si="54"/>
        <v>0</v>
      </c>
      <c r="Q16" s="164">
        <f t="shared" si="54"/>
        <v>0</v>
      </c>
      <c r="R16" s="164">
        <f t="shared" si="54"/>
        <v>0</v>
      </c>
      <c r="S16" s="164">
        <f t="shared" si="54"/>
        <v>0</v>
      </c>
      <c r="T16" s="164">
        <f t="shared" si="54"/>
        <v>0</v>
      </c>
      <c r="U16" s="164">
        <f t="shared" si="54"/>
        <v>0</v>
      </c>
      <c r="V16" s="164">
        <f t="shared" si="54"/>
        <v>0</v>
      </c>
      <c r="W16" s="164">
        <f t="shared" si="54"/>
        <v>0</v>
      </c>
      <c r="X16" s="164">
        <f t="shared" si="54"/>
        <v>0</v>
      </c>
      <c r="Y16" s="164">
        <f t="shared" si="54"/>
        <v>0</v>
      </c>
      <c r="Z16" s="164">
        <f t="shared" si="54"/>
        <v>0</v>
      </c>
      <c r="AA16" s="164">
        <f t="shared" si="54"/>
        <v>0</v>
      </c>
      <c r="AB16" s="164">
        <f t="shared" si="54"/>
        <v>0</v>
      </c>
      <c r="AC16" s="164">
        <f t="shared" si="54"/>
        <v>0</v>
      </c>
      <c r="AD16" s="164">
        <f t="shared" si="54"/>
        <v>0</v>
      </c>
      <c r="AE16" s="164">
        <f t="shared" si="54"/>
        <v>0</v>
      </c>
      <c r="AF16" s="164">
        <f t="shared" si="54"/>
        <v>0</v>
      </c>
      <c r="AG16" s="164">
        <f t="shared" si="54"/>
        <v>0</v>
      </c>
      <c r="AH16" s="164">
        <f t="shared" si="54"/>
        <v>0</v>
      </c>
      <c r="AI16" s="164">
        <f t="shared" si="54"/>
        <v>0</v>
      </c>
      <c r="AJ16" s="164">
        <f t="shared" si="54"/>
        <v>0</v>
      </c>
      <c r="AK16" s="164">
        <f t="shared" si="54"/>
        <v>0</v>
      </c>
      <c r="AL16" s="164">
        <f t="shared" si="54"/>
        <v>0</v>
      </c>
      <c r="AM16" s="164">
        <f t="shared" si="54"/>
        <v>0</v>
      </c>
      <c r="AN16" s="164">
        <f t="shared" si="54"/>
        <v>0</v>
      </c>
      <c r="AO16" s="164">
        <f t="shared" si="54"/>
        <v>0</v>
      </c>
      <c r="AP16" s="164">
        <f t="shared" si="54"/>
        <v>0</v>
      </c>
      <c r="AQ16" s="164">
        <f t="shared" si="54"/>
        <v>0</v>
      </c>
      <c r="AR16" s="164">
        <f t="shared" si="54"/>
        <v>0</v>
      </c>
      <c r="AS16" s="164">
        <f t="shared" si="54"/>
        <v>0</v>
      </c>
      <c r="AT16" s="164">
        <f t="shared" si="54"/>
        <v>0</v>
      </c>
      <c r="AU16" s="164">
        <f t="shared" si="54"/>
        <v>0</v>
      </c>
      <c r="AV16" s="164">
        <f t="shared" si="54"/>
        <v>0</v>
      </c>
      <c r="AW16" s="164">
        <f t="shared" si="54"/>
        <v>0</v>
      </c>
      <c r="AX16" s="164">
        <f t="shared" si="54"/>
        <v>0</v>
      </c>
      <c r="AY16" s="164">
        <f t="shared" si="54"/>
        <v>0</v>
      </c>
      <c r="AZ16" s="164">
        <f t="shared" si="54"/>
        <v>0</v>
      </c>
      <c r="BA16" s="164">
        <f t="shared" si="54"/>
        <v>0</v>
      </c>
      <c r="BB16" s="164">
        <f t="shared" si="54"/>
        <v>0</v>
      </c>
      <c r="BC16" s="164">
        <f t="shared" si="54"/>
        <v>0</v>
      </c>
      <c r="BD16" s="164">
        <f t="shared" si="54"/>
        <v>0</v>
      </c>
    </row>
    <row r="17">
      <c r="A17" s="165"/>
      <c r="B17" s="166" t="s">
        <v>113</v>
      </c>
      <c r="C17" s="144"/>
      <c r="D17" s="144"/>
      <c r="E17" s="167"/>
      <c r="F17" s="168"/>
      <c r="G17" s="169">
        <f>IFERROR(G16/$F$16,0)</f>
        <v>0.8498452012</v>
      </c>
      <c r="H17" s="170">
        <f>IFERROR(H16/G$16,0)</f>
        <v>0.7996357013</v>
      </c>
      <c r="I17" s="170">
        <f>IFERROR(I16/G$16,0)</f>
        <v>0</v>
      </c>
      <c r="J17" s="170">
        <f>IFERROR(J16/G$16,0)</f>
        <v>0.00364298725</v>
      </c>
      <c r="K17" s="170">
        <f t="shared" ref="K17:L17" si="55">IFERROR(K16/$F$16,0)</f>
        <v>0.1501547988</v>
      </c>
      <c r="L17" s="169">
        <f t="shared" si="55"/>
        <v>0</v>
      </c>
      <c r="M17" s="170">
        <f>IFERROR(M16/L$16,0)</f>
        <v>0</v>
      </c>
      <c r="N17" s="170">
        <f>IFERROR(N16/L$16,0)</f>
        <v>0</v>
      </c>
      <c r="O17" s="170">
        <f>IFERROR(O16/L$16,0)</f>
        <v>0</v>
      </c>
      <c r="P17" s="170">
        <f t="shared" ref="P17:Q17" si="56">IFERROR(P16/$F$16,0)</f>
        <v>0</v>
      </c>
      <c r="Q17" s="169">
        <f t="shared" si="56"/>
        <v>0</v>
      </c>
      <c r="R17" s="170">
        <f>IFERROR(R16/Q$16,0)</f>
        <v>0</v>
      </c>
      <c r="S17" s="170">
        <f>IFERROR(S16/Q$16,0)</f>
        <v>0</v>
      </c>
      <c r="T17" s="170">
        <f>IFERROR(T16/Q$16,0)</f>
        <v>0</v>
      </c>
      <c r="U17" s="170">
        <f t="shared" ref="U17:V17" si="57">IFERROR(U16/$F$16,0)</f>
        <v>0</v>
      </c>
      <c r="V17" s="169">
        <f t="shared" si="57"/>
        <v>0</v>
      </c>
      <c r="W17" s="170">
        <f>IFERROR(W16/V$16,0)</f>
        <v>0</v>
      </c>
      <c r="X17" s="170">
        <f>IFERROR(X16/V$16,0)</f>
        <v>0</v>
      </c>
      <c r="Y17" s="170">
        <f>IFERROR(Y16/V$16,0)</f>
        <v>0</v>
      </c>
      <c r="Z17" s="170">
        <f t="shared" ref="Z17:AA17" si="58">IFERROR(Z16/$F$16,0)</f>
        <v>0</v>
      </c>
      <c r="AA17" s="169">
        <f t="shared" si="58"/>
        <v>0</v>
      </c>
      <c r="AB17" s="170">
        <f>IFERROR(AB16/AA$16,0)</f>
        <v>0</v>
      </c>
      <c r="AC17" s="170">
        <f>IFERROR(AC16/AA$16,0)</f>
        <v>0</v>
      </c>
      <c r="AD17" s="170">
        <f>IFERROR(AD16/AA$16,0)</f>
        <v>0</v>
      </c>
      <c r="AE17" s="170">
        <f t="shared" ref="AE17:AF17" si="59">IFERROR(AE16/$F$16,0)</f>
        <v>0</v>
      </c>
      <c r="AF17" s="169">
        <f t="shared" si="59"/>
        <v>0</v>
      </c>
      <c r="AG17" s="170">
        <f>IFERROR(AG16/AF$16,0)</f>
        <v>0</v>
      </c>
      <c r="AH17" s="170">
        <f>IFERROR(AH16/AF$16,0)</f>
        <v>0</v>
      </c>
      <c r="AI17" s="170">
        <f>IFERROR(AI16/AF$16,0)</f>
        <v>0</v>
      </c>
      <c r="AJ17" s="170">
        <f t="shared" ref="AJ17:AK17" si="60">IFERROR(AJ16/$F$16,0)</f>
        <v>0</v>
      </c>
      <c r="AK17" s="169">
        <f t="shared" si="60"/>
        <v>0</v>
      </c>
      <c r="AL17" s="170">
        <f>IFERROR(AL16/AK$16,0)</f>
        <v>0</v>
      </c>
      <c r="AM17" s="170">
        <f>IFERROR(AM16/AK$16,0)</f>
        <v>0</v>
      </c>
      <c r="AN17" s="170">
        <f>IFERROR(AN16/AK$16,0)</f>
        <v>0</v>
      </c>
      <c r="AO17" s="170">
        <f t="shared" ref="AO17:AP17" si="61">IFERROR(AO16/$F$16,0)</f>
        <v>0</v>
      </c>
      <c r="AP17" s="169">
        <f t="shared" si="61"/>
        <v>0</v>
      </c>
      <c r="AQ17" s="170">
        <f>IFERROR(AQ16/AP$16,0)</f>
        <v>0</v>
      </c>
      <c r="AR17" s="170">
        <f>IFERROR(AR16/AP$16,0)</f>
        <v>0</v>
      </c>
      <c r="AS17" s="170">
        <f>IFERROR(AS16/AP$16,0)</f>
        <v>0</v>
      </c>
      <c r="AT17" s="170">
        <f t="shared" ref="AT17:AU17" si="62">IFERROR(AT16/$F$16,0)</f>
        <v>0</v>
      </c>
      <c r="AU17" s="169">
        <f t="shared" si="62"/>
        <v>0</v>
      </c>
      <c r="AV17" s="170">
        <f>IFERROR(AV16/AU$16,0)</f>
        <v>0</v>
      </c>
      <c r="AW17" s="170">
        <f>IFERROR(AW16/AU$16,0)</f>
        <v>0</v>
      </c>
      <c r="AX17" s="170">
        <f>IFERROR(AX16/AU$16,0)</f>
        <v>0</v>
      </c>
      <c r="AY17" s="170">
        <f t="shared" ref="AY17:AZ17" si="63">IFERROR(AY16/$F$16,0)</f>
        <v>0</v>
      </c>
      <c r="AZ17" s="169">
        <f t="shared" si="63"/>
        <v>0</v>
      </c>
      <c r="BA17" s="170">
        <f>IFERROR(BA16/AZ$16,0)</f>
        <v>0</v>
      </c>
      <c r="BB17" s="170">
        <f>IFERROR(BB16/AZ$16,0)</f>
        <v>0</v>
      </c>
      <c r="BC17" s="170">
        <f>IFERROR(BC16/AZ$16,0)</f>
        <v>0</v>
      </c>
      <c r="BD17" s="170">
        <f>IFERROR(BD16/$F$16,0)</f>
        <v>0</v>
      </c>
    </row>
    <row r="18">
      <c r="A18" s="126"/>
      <c r="B18" s="126"/>
      <c r="C18" s="126"/>
      <c r="D18" s="126"/>
      <c r="E18" s="126"/>
      <c r="F18" s="13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row>
    <row r="19">
      <c r="A19" s="126"/>
      <c r="B19" s="126"/>
      <c r="C19" s="126"/>
      <c r="D19" s="126"/>
      <c r="E19" s="126"/>
      <c r="F19" s="136"/>
      <c r="G19" s="126"/>
      <c r="H19" s="171"/>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row>
    <row r="20">
      <c r="A20" s="126"/>
      <c r="B20" s="126"/>
      <c r="C20" s="126"/>
      <c r="D20" s="126"/>
      <c r="E20" s="126"/>
      <c r="F20" s="13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row>
    <row r="21">
      <c r="A21" s="126"/>
      <c r="B21" s="126"/>
      <c r="C21" s="126"/>
      <c r="D21" s="126"/>
      <c r="E21" s="126"/>
      <c r="F21" s="13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row>
    <row r="22">
      <c r="A22" s="126"/>
      <c r="B22" s="126"/>
      <c r="C22" s="126"/>
      <c r="D22" s="126"/>
      <c r="E22" s="126"/>
      <c r="F22" s="13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row>
    <row r="23">
      <c r="A23" s="126"/>
      <c r="B23" s="126"/>
      <c r="C23" s="126"/>
      <c r="D23" s="126"/>
      <c r="E23" s="126"/>
      <c r="F23" s="13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row>
    <row r="24">
      <c r="A24" s="126"/>
      <c r="B24" s="126"/>
      <c r="C24" s="126"/>
      <c r="D24" s="126"/>
      <c r="E24" s="126"/>
      <c r="F24" s="13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row>
    <row r="25">
      <c r="A25" s="126"/>
      <c r="B25" s="126"/>
      <c r="C25" s="126"/>
      <c r="D25" s="126"/>
      <c r="E25" s="126"/>
      <c r="F25" s="13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row>
    <row r="26">
      <c r="A26" s="126"/>
      <c r="B26" s="126"/>
      <c r="C26" s="126"/>
      <c r="D26" s="126"/>
      <c r="E26" s="126"/>
      <c r="F26" s="136"/>
      <c r="G26" s="126"/>
      <c r="H26" s="126"/>
      <c r="I26" s="171"/>
      <c r="J26" s="171"/>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row>
    <row r="27">
      <c r="A27" s="126"/>
      <c r="B27" s="126"/>
      <c r="C27" s="126"/>
      <c r="D27" s="126"/>
      <c r="E27" s="126"/>
      <c r="F27" s="13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row>
    <row r="28">
      <c r="A28" s="126"/>
      <c r="B28" s="126"/>
      <c r="C28" s="126"/>
      <c r="D28" s="126"/>
      <c r="E28" s="126"/>
      <c r="F28" s="13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row>
    <row r="29">
      <c r="A29" s="126"/>
      <c r="B29" s="126"/>
      <c r="C29" s="126"/>
      <c r="D29" s="126"/>
      <c r="E29" s="126"/>
      <c r="F29" s="13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row>
    <row r="30">
      <c r="A30" s="126"/>
      <c r="B30" s="126"/>
      <c r="C30" s="126"/>
      <c r="D30" s="126"/>
      <c r="E30" s="126"/>
      <c r="F30" s="13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row>
    <row r="31">
      <c r="A31" s="126"/>
      <c r="B31" s="126"/>
      <c r="C31" s="126"/>
      <c r="D31" s="126"/>
      <c r="E31" s="126"/>
      <c r="F31" s="13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row>
    <row r="32">
      <c r="A32" s="126"/>
      <c r="B32" s="126"/>
      <c r="C32" s="126"/>
      <c r="D32" s="126"/>
      <c r="E32" s="126"/>
      <c r="F32" s="13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row>
    <row r="33">
      <c r="A33" s="126"/>
      <c r="B33" s="126"/>
      <c r="C33" s="126"/>
      <c r="D33" s="126"/>
      <c r="E33" s="126"/>
      <c r="F33" s="13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row>
    <row r="34">
      <c r="A34" s="126"/>
      <c r="B34" s="126"/>
      <c r="C34" s="126"/>
      <c r="D34" s="126"/>
      <c r="E34" s="126"/>
      <c r="F34" s="13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row>
    <row r="35">
      <c r="A35" s="126"/>
      <c r="B35" s="126"/>
      <c r="C35" s="126"/>
      <c r="D35" s="126"/>
      <c r="E35" s="126"/>
      <c r="F35" s="13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row>
    <row r="36">
      <c r="A36" s="126"/>
      <c r="B36" s="126"/>
      <c r="C36" s="126"/>
      <c r="D36" s="126"/>
      <c r="E36" s="126"/>
      <c r="F36" s="13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row>
    <row r="37">
      <c r="A37" s="126"/>
      <c r="B37" s="126"/>
      <c r="C37" s="126"/>
      <c r="D37" s="126"/>
      <c r="E37" s="126"/>
      <c r="F37" s="13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row>
    <row r="38">
      <c r="A38" s="126"/>
      <c r="B38" s="126"/>
      <c r="C38" s="126"/>
      <c r="D38" s="126"/>
      <c r="E38" s="126"/>
      <c r="F38" s="13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row>
    <row r="39">
      <c r="A39" s="126"/>
      <c r="B39" s="126"/>
      <c r="C39" s="126"/>
      <c r="D39" s="126"/>
      <c r="E39" s="126"/>
      <c r="F39" s="13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row>
    <row r="40">
      <c r="A40" s="126"/>
      <c r="B40" s="126"/>
      <c r="C40" s="126"/>
      <c r="D40" s="126"/>
      <c r="E40" s="126"/>
      <c r="F40" s="13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row>
    <row r="41">
      <c r="A41" s="126"/>
      <c r="B41" s="126"/>
      <c r="C41" s="126"/>
      <c r="D41" s="126"/>
      <c r="E41" s="126"/>
      <c r="F41" s="13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row>
    <row r="42">
      <c r="A42" s="126"/>
      <c r="B42" s="126"/>
      <c r="C42" s="126"/>
      <c r="D42" s="126"/>
      <c r="E42" s="126"/>
      <c r="F42" s="13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row>
    <row r="43">
      <c r="A43" s="126"/>
      <c r="B43" s="126"/>
      <c r="C43" s="126"/>
      <c r="D43" s="126"/>
      <c r="E43" s="126"/>
      <c r="F43" s="13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row>
    <row r="44">
      <c r="A44" s="126"/>
      <c r="B44" s="126"/>
      <c r="C44" s="126"/>
      <c r="D44" s="126"/>
      <c r="E44" s="126"/>
      <c r="F44" s="13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row>
    <row r="45">
      <c r="A45" s="126"/>
      <c r="B45" s="126"/>
      <c r="C45" s="126"/>
      <c r="D45" s="126"/>
      <c r="E45" s="126"/>
      <c r="F45" s="13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row>
    <row r="46">
      <c r="A46" s="126"/>
      <c r="B46" s="126"/>
      <c r="C46" s="126"/>
      <c r="D46" s="126"/>
      <c r="E46" s="126"/>
      <c r="F46" s="13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row>
    <row r="47">
      <c r="A47" s="126"/>
      <c r="B47" s="126"/>
      <c r="C47" s="126"/>
      <c r="D47" s="126"/>
      <c r="E47" s="126"/>
      <c r="F47" s="13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row>
    <row r="48">
      <c r="A48" s="126"/>
      <c r="B48" s="126"/>
      <c r="C48" s="126"/>
      <c r="D48" s="126"/>
      <c r="E48" s="126"/>
      <c r="F48" s="13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row>
    <row r="49">
      <c r="A49" s="126"/>
      <c r="B49" s="126"/>
      <c r="C49" s="126"/>
      <c r="D49" s="126"/>
      <c r="E49" s="126"/>
      <c r="F49" s="13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row>
    <row r="50">
      <c r="A50" s="126"/>
      <c r="B50" s="126"/>
      <c r="C50" s="126"/>
      <c r="D50" s="126"/>
      <c r="E50" s="126"/>
      <c r="F50" s="13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row>
    <row r="51">
      <c r="A51" s="126"/>
      <c r="B51" s="126"/>
      <c r="C51" s="126"/>
      <c r="D51" s="126"/>
      <c r="E51" s="126"/>
      <c r="F51" s="13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row>
    <row r="52">
      <c r="A52" s="126"/>
      <c r="B52" s="126"/>
      <c r="C52" s="126"/>
      <c r="D52" s="126"/>
      <c r="E52" s="126"/>
      <c r="F52" s="13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row>
    <row r="53">
      <c r="A53" s="126"/>
      <c r="B53" s="126"/>
      <c r="C53" s="126"/>
      <c r="D53" s="126"/>
      <c r="E53" s="126"/>
      <c r="F53" s="13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row>
    <row r="54">
      <c r="A54" s="126"/>
      <c r="B54" s="126"/>
      <c r="C54" s="126"/>
      <c r="D54" s="126"/>
      <c r="E54" s="126"/>
      <c r="F54" s="13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row>
    <row r="55">
      <c r="A55" s="126"/>
      <c r="B55" s="126"/>
      <c r="C55" s="126"/>
      <c r="D55" s="126"/>
      <c r="E55" s="126"/>
      <c r="F55" s="13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row>
    <row r="56">
      <c r="A56" s="126"/>
      <c r="B56" s="126"/>
      <c r="C56" s="126"/>
      <c r="D56" s="126"/>
      <c r="E56" s="126"/>
      <c r="F56" s="136"/>
      <c r="G56" s="126"/>
      <c r="H56" s="126"/>
      <c r="I56" s="126"/>
      <c r="J56" s="126"/>
      <c r="K56" s="126"/>
      <c r="L56" s="126"/>
      <c r="M56" s="126"/>
      <c r="N56" s="126"/>
      <c r="O56" s="126"/>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row>
    <row r="57">
      <c r="A57" s="126"/>
      <c r="B57" s="126"/>
      <c r="C57" s="126"/>
      <c r="D57" s="126"/>
      <c r="E57" s="126"/>
      <c r="F57" s="13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row>
    <row r="58">
      <c r="A58" s="126"/>
      <c r="B58" s="126"/>
      <c r="C58" s="126"/>
      <c r="D58" s="126"/>
      <c r="E58" s="126"/>
      <c r="F58" s="13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row>
    <row r="59">
      <c r="A59" s="126"/>
      <c r="B59" s="126"/>
      <c r="C59" s="126"/>
      <c r="D59" s="126"/>
      <c r="E59" s="126"/>
      <c r="F59" s="13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row>
    <row r="60">
      <c r="A60" s="126"/>
      <c r="B60" s="126"/>
      <c r="C60" s="126"/>
      <c r="D60" s="126"/>
      <c r="E60" s="126"/>
      <c r="F60" s="13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row>
    <row r="61">
      <c r="A61" s="126"/>
      <c r="B61" s="126"/>
      <c r="C61" s="126"/>
      <c r="D61" s="126"/>
      <c r="E61" s="126"/>
      <c r="F61" s="13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row>
    <row r="62">
      <c r="A62" s="126"/>
      <c r="B62" s="126"/>
      <c r="C62" s="126"/>
      <c r="D62" s="126"/>
      <c r="E62" s="126"/>
      <c r="F62" s="13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row>
    <row r="63">
      <c r="A63" s="126"/>
      <c r="B63" s="126"/>
      <c r="C63" s="126"/>
      <c r="D63" s="126"/>
      <c r="E63" s="126"/>
      <c r="F63" s="13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row>
    <row r="64">
      <c r="A64" s="126"/>
      <c r="B64" s="126"/>
      <c r="C64" s="126"/>
      <c r="D64" s="126"/>
      <c r="E64" s="126"/>
      <c r="F64" s="13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row>
    <row r="65">
      <c r="A65" s="126"/>
      <c r="B65" s="126"/>
      <c r="C65" s="126"/>
      <c r="D65" s="126"/>
      <c r="E65" s="126"/>
      <c r="F65" s="13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row>
    <row r="66">
      <c r="A66" s="126"/>
      <c r="B66" s="126"/>
      <c r="C66" s="126"/>
      <c r="D66" s="126"/>
      <c r="E66" s="126"/>
      <c r="F66" s="13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row>
    <row r="67">
      <c r="A67" s="126"/>
      <c r="B67" s="126"/>
      <c r="C67" s="126"/>
      <c r="D67" s="126"/>
      <c r="E67" s="126"/>
      <c r="F67" s="13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row>
    <row r="68">
      <c r="A68" s="126"/>
      <c r="B68" s="126"/>
      <c r="C68" s="126"/>
      <c r="D68" s="126"/>
      <c r="E68" s="126"/>
      <c r="F68" s="13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row>
    <row r="69">
      <c r="A69" s="126"/>
      <c r="B69" s="126"/>
      <c r="C69" s="126"/>
      <c r="D69" s="126"/>
      <c r="E69" s="126"/>
      <c r="F69" s="136"/>
      <c r="G69" s="126"/>
      <c r="H69" s="126"/>
      <c r="I69" s="126"/>
      <c r="J69" s="126"/>
      <c r="K69" s="126"/>
      <c r="L69" s="126"/>
      <c r="M69" s="126"/>
      <c r="N69" s="126"/>
      <c r="O69" s="126"/>
      <c r="P69" s="126"/>
      <c r="Q69" s="126"/>
      <c r="R69" s="126"/>
      <c r="S69" s="126"/>
      <c r="T69" s="126"/>
      <c r="U69" s="126"/>
      <c r="V69" s="126"/>
      <c r="W69" s="126"/>
      <c r="X69" s="126"/>
      <c r="Y69" s="126"/>
      <c r="Z69" s="126"/>
      <c r="AA69" s="126"/>
      <c r="AB69" s="126"/>
      <c r="AC69" s="126"/>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row>
    <row r="70">
      <c r="A70" s="126"/>
      <c r="B70" s="126"/>
      <c r="C70" s="126"/>
      <c r="D70" s="126"/>
      <c r="E70" s="126"/>
      <c r="F70" s="136"/>
      <c r="G70" s="126"/>
      <c r="H70" s="126"/>
      <c r="I70" s="126"/>
      <c r="J70" s="126"/>
      <c r="K70" s="126"/>
      <c r="L70" s="126"/>
      <c r="M70" s="126"/>
      <c r="N70" s="126"/>
      <c r="O70" s="126"/>
      <c r="P70" s="126"/>
      <c r="Q70" s="126"/>
      <c r="R70" s="126"/>
      <c r="S70" s="126"/>
      <c r="T70" s="126"/>
      <c r="U70" s="126"/>
      <c r="V70" s="126"/>
      <c r="W70" s="126"/>
      <c r="X70" s="126"/>
      <c r="Y70" s="126"/>
      <c r="Z70" s="126"/>
      <c r="AA70" s="126"/>
      <c r="AB70" s="126"/>
      <c r="AC70" s="126"/>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row>
    <row r="71">
      <c r="A71" s="126"/>
      <c r="B71" s="126"/>
      <c r="C71" s="126"/>
      <c r="D71" s="126"/>
      <c r="E71" s="126"/>
      <c r="F71" s="13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row>
    <row r="72">
      <c r="A72" s="126"/>
      <c r="B72" s="126"/>
      <c r="C72" s="126"/>
      <c r="D72" s="126"/>
      <c r="E72" s="126"/>
      <c r="F72" s="136"/>
      <c r="G72" s="126"/>
      <c r="H72" s="126"/>
      <c r="I72" s="126"/>
      <c r="J72" s="126"/>
      <c r="K72" s="126"/>
      <c r="L72" s="126"/>
      <c r="M72" s="126"/>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row>
    <row r="73">
      <c r="A73" s="126"/>
      <c r="B73" s="126"/>
      <c r="C73" s="126"/>
      <c r="D73" s="126"/>
      <c r="E73" s="126"/>
      <c r="F73" s="13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row>
    <row r="74">
      <c r="A74" s="126"/>
      <c r="B74" s="126"/>
      <c r="C74" s="126"/>
      <c r="D74" s="126"/>
      <c r="E74" s="126"/>
      <c r="F74" s="13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row>
    <row r="75">
      <c r="A75" s="126"/>
      <c r="B75" s="126"/>
      <c r="C75" s="126"/>
      <c r="D75" s="126"/>
      <c r="E75" s="126"/>
      <c r="F75" s="13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row>
    <row r="76">
      <c r="A76" s="126"/>
      <c r="B76" s="126"/>
      <c r="C76" s="126"/>
      <c r="D76" s="126"/>
      <c r="E76" s="126"/>
      <c r="F76" s="13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row>
    <row r="77">
      <c r="A77" s="126"/>
      <c r="B77" s="126"/>
      <c r="C77" s="126"/>
      <c r="D77" s="126"/>
      <c r="E77" s="126"/>
      <c r="F77" s="13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6"/>
      <c r="BA77" s="126"/>
      <c r="BB77" s="126"/>
      <c r="BC77" s="126"/>
      <c r="BD77" s="126"/>
    </row>
    <row r="78">
      <c r="A78" s="126"/>
      <c r="B78" s="126"/>
      <c r="C78" s="126"/>
      <c r="D78" s="126"/>
      <c r="E78" s="126"/>
      <c r="F78" s="13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row>
    <row r="79">
      <c r="A79" s="126"/>
      <c r="B79" s="126"/>
      <c r="C79" s="126"/>
      <c r="D79" s="126"/>
      <c r="E79" s="126"/>
      <c r="F79" s="13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row>
    <row r="80">
      <c r="A80" s="126"/>
      <c r="B80" s="126"/>
      <c r="C80" s="126"/>
      <c r="D80" s="126"/>
      <c r="E80" s="126"/>
      <c r="F80" s="13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row>
    <row r="81">
      <c r="A81" s="126"/>
      <c r="B81" s="126"/>
      <c r="C81" s="126"/>
      <c r="D81" s="126"/>
      <c r="E81" s="126"/>
      <c r="F81" s="13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row>
    <row r="82">
      <c r="A82" s="126"/>
      <c r="B82" s="126"/>
      <c r="C82" s="126"/>
      <c r="D82" s="126"/>
      <c r="E82" s="126"/>
      <c r="F82" s="13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row>
    <row r="83">
      <c r="A83" s="126"/>
      <c r="B83" s="126"/>
      <c r="C83" s="126"/>
      <c r="D83" s="126"/>
      <c r="E83" s="126"/>
      <c r="F83" s="13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row>
    <row r="84">
      <c r="A84" s="126"/>
      <c r="B84" s="126"/>
      <c r="C84" s="126"/>
      <c r="D84" s="126"/>
      <c r="E84" s="126"/>
      <c r="F84" s="13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row>
    <row r="85">
      <c r="A85" s="126"/>
      <c r="B85" s="126"/>
      <c r="C85" s="126"/>
      <c r="D85" s="126"/>
      <c r="E85" s="126"/>
      <c r="F85" s="13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row>
    <row r="86">
      <c r="A86" s="126"/>
      <c r="B86" s="126"/>
      <c r="C86" s="126"/>
      <c r="D86" s="126"/>
      <c r="E86" s="126"/>
      <c r="F86" s="13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6"/>
      <c r="BA86" s="126"/>
      <c r="BB86" s="126"/>
      <c r="BC86" s="126"/>
      <c r="BD86" s="126"/>
    </row>
    <row r="87">
      <c r="A87" s="126"/>
      <c r="B87" s="126"/>
      <c r="C87" s="126"/>
      <c r="D87" s="126"/>
      <c r="E87" s="126"/>
      <c r="F87" s="13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row>
    <row r="88">
      <c r="A88" s="126"/>
      <c r="B88" s="126"/>
      <c r="C88" s="126"/>
      <c r="D88" s="126"/>
      <c r="E88" s="126"/>
      <c r="F88" s="13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row>
    <row r="89">
      <c r="A89" s="126"/>
      <c r="B89" s="126"/>
      <c r="C89" s="126"/>
      <c r="D89" s="126"/>
      <c r="E89" s="126"/>
      <c r="F89" s="13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row>
    <row r="90">
      <c r="A90" s="126"/>
      <c r="B90" s="126"/>
      <c r="C90" s="126"/>
      <c r="D90" s="126"/>
      <c r="E90" s="126"/>
      <c r="F90" s="13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c r="AE90" s="126"/>
      <c r="AF90" s="126"/>
      <c r="AG90" s="126"/>
      <c r="AH90" s="126"/>
      <c r="AI90" s="126"/>
      <c r="AJ90" s="126"/>
      <c r="AK90" s="126"/>
      <c r="AL90" s="126"/>
      <c r="AM90" s="126"/>
      <c r="AN90" s="126"/>
      <c r="AO90" s="126"/>
      <c r="AP90" s="126"/>
      <c r="AQ90" s="126"/>
      <c r="AR90" s="126"/>
      <c r="AS90" s="126"/>
      <c r="AT90" s="126"/>
      <c r="AU90" s="126"/>
      <c r="AV90" s="126"/>
      <c r="AW90" s="126"/>
      <c r="AX90" s="126"/>
      <c r="AY90" s="126"/>
      <c r="AZ90" s="126"/>
      <c r="BA90" s="126"/>
      <c r="BB90" s="126"/>
      <c r="BC90" s="126"/>
      <c r="BD90" s="126"/>
    </row>
    <row r="91">
      <c r="A91" s="126"/>
      <c r="B91" s="126"/>
      <c r="C91" s="126"/>
      <c r="D91" s="126"/>
      <c r="E91" s="126"/>
      <c r="F91" s="13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row>
    <row r="92">
      <c r="A92" s="126"/>
      <c r="B92" s="126"/>
      <c r="C92" s="126"/>
      <c r="D92" s="126"/>
      <c r="E92" s="126"/>
      <c r="F92" s="13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row>
    <row r="93">
      <c r="A93" s="126"/>
      <c r="B93" s="126"/>
      <c r="C93" s="126"/>
      <c r="D93" s="126"/>
      <c r="E93" s="126"/>
      <c r="F93" s="13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row>
    <row r="94">
      <c r="A94" s="126"/>
      <c r="B94" s="126"/>
      <c r="C94" s="126"/>
      <c r="D94" s="126"/>
      <c r="E94" s="126"/>
      <c r="F94" s="13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row>
    <row r="95">
      <c r="A95" s="126"/>
      <c r="B95" s="126"/>
      <c r="C95" s="126"/>
      <c r="D95" s="126"/>
      <c r="E95" s="126"/>
      <c r="F95" s="13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row>
    <row r="96">
      <c r="A96" s="126"/>
      <c r="B96" s="126"/>
      <c r="C96" s="126"/>
      <c r="D96" s="126"/>
      <c r="E96" s="126"/>
      <c r="F96" s="13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row>
    <row r="97">
      <c r="A97" s="126"/>
      <c r="B97" s="126"/>
      <c r="C97" s="126"/>
      <c r="D97" s="126"/>
      <c r="E97" s="126"/>
      <c r="F97" s="13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row>
    <row r="98">
      <c r="A98" s="126"/>
      <c r="B98" s="126"/>
      <c r="C98" s="126"/>
      <c r="D98" s="126"/>
      <c r="E98" s="126"/>
      <c r="F98" s="13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row>
    <row r="99">
      <c r="A99" s="126"/>
      <c r="B99" s="126"/>
      <c r="C99" s="126"/>
      <c r="D99" s="126"/>
      <c r="E99" s="126"/>
      <c r="F99" s="13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6"/>
      <c r="BA99" s="126"/>
      <c r="BB99" s="126"/>
      <c r="BC99" s="126"/>
      <c r="BD99" s="126"/>
    </row>
    <row r="100">
      <c r="A100" s="126"/>
      <c r="B100" s="126"/>
      <c r="C100" s="126"/>
      <c r="D100" s="126"/>
      <c r="E100" s="126"/>
      <c r="F100" s="13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row>
    <row r="101">
      <c r="A101" s="126"/>
      <c r="B101" s="126"/>
      <c r="C101" s="126"/>
      <c r="D101" s="126"/>
      <c r="E101" s="126"/>
      <c r="F101" s="13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row>
    <row r="102">
      <c r="A102" s="126"/>
      <c r="B102" s="126"/>
      <c r="C102" s="126"/>
      <c r="D102" s="126"/>
      <c r="E102" s="126"/>
      <c r="F102" s="13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row>
    <row r="103">
      <c r="A103" s="126"/>
      <c r="B103" s="126"/>
      <c r="C103" s="126"/>
      <c r="D103" s="126"/>
      <c r="E103" s="126"/>
      <c r="F103" s="13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row>
    <row r="104">
      <c r="A104" s="126"/>
      <c r="B104" s="126"/>
      <c r="C104" s="126"/>
      <c r="D104" s="126"/>
      <c r="E104" s="126"/>
      <c r="F104" s="13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row>
    <row r="105">
      <c r="A105" s="126"/>
      <c r="B105" s="126"/>
      <c r="C105" s="126"/>
      <c r="D105" s="126"/>
      <c r="E105" s="126"/>
      <c r="F105" s="13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row>
    <row r="106">
      <c r="A106" s="126"/>
      <c r="B106" s="126"/>
      <c r="C106" s="126"/>
      <c r="D106" s="126"/>
      <c r="E106" s="126"/>
      <c r="F106" s="13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6"/>
      <c r="BA106" s="126"/>
      <c r="BB106" s="126"/>
      <c r="BC106" s="126"/>
      <c r="BD106" s="126"/>
    </row>
    <row r="107">
      <c r="A107" s="126"/>
      <c r="B107" s="126"/>
      <c r="C107" s="126"/>
      <c r="D107" s="126"/>
      <c r="E107" s="126"/>
      <c r="F107" s="13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row>
    <row r="108">
      <c r="A108" s="126"/>
      <c r="B108" s="126"/>
      <c r="C108" s="126"/>
      <c r="D108" s="126"/>
      <c r="E108" s="126"/>
      <c r="F108" s="13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row>
    <row r="109">
      <c r="A109" s="126"/>
      <c r="B109" s="126"/>
      <c r="C109" s="126"/>
      <c r="D109" s="126"/>
      <c r="E109" s="126"/>
      <c r="F109" s="13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row>
    <row r="110">
      <c r="A110" s="126"/>
      <c r="B110" s="126"/>
      <c r="C110" s="126"/>
      <c r="D110" s="126"/>
      <c r="E110" s="126"/>
      <c r="F110" s="13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row>
    <row r="111">
      <c r="A111" s="126"/>
      <c r="B111" s="126"/>
      <c r="C111" s="126"/>
      <c r="D111" s="126"/>
      <c r="E111" s="126"/>
      <c r="F111" s="13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row>
    <row r="112">
      <c r="A112" s="126"/>
      <c r="B112" s="126"/>
      <c r="C112" s="126"/>
      <c r="D112" s="126"/>
      <c r="E112" s="126"/>
      <c r="F112" s="13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row>
    <row r="113">
      <c r="A113" s="126"/>
      <c r="B113" s="126"/>
      <c r="C113" s="126"/>
      <c r="D113" s="126"/>
      <c r="E113" s="126"/>
      <c r="F113" s="13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c r="AO113" s="126"/>
      <c r="AP113" s="126"/>
      <c r="AQ113" s="126"/>
      <c r="AR113" s="126"/>
      <c r="AS113" s="126"/>
      <c r="AT113" s="126"/>
      <c r="AU113" s="126"/>
      <c r="AV113" s="126"/>
      <c r="AW113" s="126"/>
      <c r="AX113" s="126"/>
      <c r="AY113" s="126"/>
      <c r="AZ113" s="126"/>
      <c r="BA113" s="126"/>
      <c r="BB113" s="126"/>
      <c r="BC113" s="126"/>
      <c r="BD113" s="126"/>
    </row>
    <row r="114">
      <c r="A114" s="126"/>
      <c r="B114" s="126"/>
      <c r="C114" s="126"/>
      <c r="D114" s="126"/>
      <c r="E114" s="126"/>
      <c r="F114" s="13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row>
    <row r="115">
      <c r="A115" s="126"/>
      <c r="B115" s="126"/>
      <c r="C115" s="126"/>
      <c r="D115" s="126"/>
      <c r="E115" s="126"/>
      <c r="F115" s="13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row>
    <row r="116">
      <c r="A116" s="126"/>
      <c r="B116" s="126"/>
      <c r="C116" s="126"/>
      <c r="D116" s="126"/>
      <c r="E116" s="126"/>
      <c r="F116" s="13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row>
    <row r="117">
      <c r="A117" s="126"/>
      <c r="B117" s="126"/>
      <c r="C117" s="126"/>
      <c r="D117" s="126"/>
      <c r="E117" s="126"/>
      <c r="F117" s="13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row>
    <row r="118">
      <c r="A118" s="126"/>
      <c r="B118" s="126"/>
      <c r="C118" s="126"/>
      <c r="D118" s="126"/>
      <c r="E118" s="126"/>
      <c r="F118" s="13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row>
    <row r="119">
      <c r="A119" s="126"/>
      <c r="B119" s="126"/>
      <c r="C119" s="126"/>
      <c r="D119" s="126"/>
      <c r="E119" s="126"/>
      <c r="F119" s="13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row>
    <row r="120">
      <c r="A120" s="126"/>
      <c r="B120" s="126"/>
      <c r="C120" s="126"/>
      <c r="D120" s="126"/>
      <c r="E120" s="126"/>
      <c r="F120" s="13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row>
    <row r="121">
      <c r="A121" s="126"/>
      <c r="B121" s="126"/>
      <c r="C121" s="126"/>
      <c r="D121" s="126"/>
      <c r="E121" s="126"/>
      <c r="F121" s="13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row>
    <row r="122">
      <c r="A122" s="126"/>
      <c r="B122" s="126"/>
      <c r="C122" s="126"/>
      <c r="D122" s="126"/>
      <c r="E122" s="126"/>
      <c r="F122" s="13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row>
    <row r="123">
      <c r="A123" s="126"/>
      <c r="B123" s="126"/>
      <c r="C123" s="126"/>
      <c r="D123" s="126"/>
      <c r="E123" s="126"/>
      <c r="F123" s="13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row>
    <row r="124">
      <c r="A124" s="126"/>
      <c r="B124" s="126"/>
      <c r="C124" s="126"/>
      <c r="D124" s="126"/>
      <c r="E124" s="126"/>
      <c r="F124" s="13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row>
    <row r="125">
      <c r="A125" s="126"/>
      <c r="B125" s="126"/>
      <c r="C125" s="126"/>
      <c r="D125" s="126"/>
      <c r="E125" s="126"/>
      <c r="F125" s="13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row>
    <row r="126">
      <c r="A126" s="126"/>
      <c r="B126" s="126"/>
      <c r="C126" s="126"/>
      <c r="D126" s="126"/>
      <c r="E126" s="126"/>
      <c r="F126" s="13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row>
    <row r="127">
      <c r="A127" s="126"/>
      <c r="B127" s="126"/>
      <c r="C127" s="126"/>
      <c r="D127" s="126"/>
      <c r="E127" s="126"/>
      <c r="F127" s="13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row>
    <row r="128">
      <c r="A128" s="126"/>
      <c r="B128" s="126"/>
      <c r="C128" s="126"/>
      <c r="D128" s="126"/>
      <c r="E128" s="126"/>
      <c r="F128" s="13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row>
    <row r="129">
      <c r="A129" s="126"/>
      <c r="B129" s="126"/>
      <c r="C129" s="126"/>
      <c r="D129" s="126"/>
      <c r="E129" s="126"/>
      <c r="F129" s="13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row>
    <row r="130">
      <c r="A130" s="126"/>
      <c r="B130" s="126"/>
      <c r="C130" s="126"/>
      <c r="D130" s="126"/>
      <c r="E130" s="126"/>
      <c r="F130" s="13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row>
    <row r="131">
      <c r="A131" s="126"/>
      <c r="B131" s="126"/>
      <c r="C131" s="126"/>
      <c r="D131" s="126"/>
      <c r="E131" s="126"/>
      <c r="F131" s="13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row>
    <row r="132">
      <c r="A132" s="126"/>
      <c r="B132" s="126"/>
      <c r="C132" s="126"/>
      <c r="D132" s="126"/>
      <c r="E132" s="126"/>
      <c r="F132" s="13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row>
    <row r="133">
      <c r="A133" s="126"/>
      <c r="B133" s="126"/>
      <c r="C133" s="126"/>
      <c r="D133" s="126"/>
      <c r="E133" s="126"/>
      <c r="F133" s="13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row>
    <row r="134">
      <c r="A134" s="126"/>
      <c r="B134" s="126"/>
      <c r="C134" s="126"/>
      <c r="D134" s="126"/>
      <c r="E134" s="126"/>
      <c r="F134" s="13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row>
    <row r="135">
      <c r="A135" s="126"/>
      <c r="B135" s="126"/>
      <c r="C135" s="126"/>
      <c r="D135" s="126"/>
      <c r="E135" s="126"/>
      <c r="F135" s="13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row>
    <row r="136">
      <c r="A136" s="126"/>
      <c r="B136" s="126"/>
      <c r="C136" s="126"/>
      <c r="D136" s="126"/>
      <c r="E136" s="126"/>
      <c r="F136" s="13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row>
    <row r="137">
      <c r="A137" s="126"/>
      <c r="B137" s="126"/>
      <c r="C137" s="126"/>
      <c r="D137" s="126"/>
      <c r="E137" s="126"/>
      <c r="F137" s="13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row>
    <row r="138">
      <c r="A138" s="126"/>
      <c r="B138" s="126"/>
      <c r="C138" s="126"/>
      <c r="D138" s="126"/>
      <c r="E138" s="126"/>
      <c r="F138" s="13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row>
    <row r="139">
      <c r="A139" s="126"/>
      <c r="B139" s="126"/>
      <c r="C139" s="126"/>
      <c r="D139" s="126"/>
      <c r="E139" s="126"/>
      <c r="F139" s="13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c r="AT139" s="126"/>
      <c r="AU139" s="126"/>
      <c r="AV139" s="126"/>
      <c r="AW139" s="126"/>
      <c r="AX139" s="126"/>
      <c r="AY139" s="126"/>
      <c r="AZ139" s="126"/>
      <c r="BA139" s="126"/>
      <c r="BB139" s="126"/>
      <c r="BC139" s="126"/>
      <c r="BD139" s="126"/>
    </row>
    <row r="140">
      <c r="A140" s="126"/>
      <c r="B140" s="126"/>
      <c r="C140" s="126"/>
      <c r="D140" s="126"/>
      <c r="E140" s="126"/>
      <c r="F140" s="13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row>
    <row r="141">
      <c r="A141" s="126"/>
      <c r="B141" s="126"/>
      <c r="C141" s="126"/>
      <c r="D141" s="126"/>
      <c r="E141" s="126"/>
      <c r="F141" s="13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row>
    <row r="142">
      <c r="A142" s="126"/>
      <c r="B142" s="126"/>
      <c r="C142" s="126"/>
      <c r="D142" s="126"/>
      <c r="E142" s="126"/>
      <c r="F142" s="13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row>
    <row r="143">
      <c r="A143" s="126"/>
      <c r="B143" s="126"/>
      <c r="C143" s="126"/>
      <c r="D143" s="126"/>
      <c r="E143" s="126"/>
      <c r="F143" s="13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row>
    <row r="144">
      <c r="A144" s="126"/>
      <c r="B144" s="126"/>
      <c r="C144" s="126"/>
      <c r="D144" s="126"/>
      <c r="E144" s="126"/>
      <c r="F144" s="13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row>
    <row r="145">
      <c r="A145" s="126"/>
      <c r="B145" s="126"/>
      <c r="C145" s="126"/>
      <c r="D145" s="126"/>
      <c r="E145" s="126"/>
      <c r="F145" s="13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row>
    <row r="146">
      <c r="A146" s="126"/>
      <c r="B146" s="126"/>
      <c r="C146" s="126"/>
      <c r="D146" s="126"/>
      <c r="E146" s="126"/>
      <c r="F146" s="13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6"/>
      <c r="AG146" s="126"/>
      <c r="AH146" s="126"/>
      <c r="AI146" s="126"/>
      <c r="AJ146" s="126"/>
      <c r="AK146" s="126"/>
      <c r="AL146" s="126"/>
      <c r="AM146" s="126"/>
      <c r="AN146" s="126"/>
      <c r="AO146" s="126"/>
      <c r="AP146" s="126"/>
      <c r="AQ146" s="126"/>
      <c r="AR146" s="126"/>
      <c r="AS146" s="126"/>
      <c r="AT146" s="126"/>
      <c r="AU146" s="126"/>
      <c r="AV146" s="126"/>
      <c r="AW146" s="126"/>
      <c r="AX146" s="126"/>
      <c r="AY146" s="126"/>
      <c r="AZ146" s="126"/>
      <c r="BA146" s="126"/>
      <c r="BB146" s="126"/>
      <c r="BC146" s="126"/>
      <c r="BD146" s="126"/>
    </row>
    <row r="147">
      <c r="A147" s="126"/>
      <c r="B147" s="126"/>
      <c r="C147" s="126"/>
      <c r="D147" s="126"/>
      <c r="E147" s="126"/>
      <c r="F147" s="13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row>
    <row r="148">
      <c r="A148" s="126"/>
      <c r="B148" s="126"/>
      <c r="C148" s="126"/>
      <c r="D148" s="126"/>
      <c r="E148" s="126"/>
      <c r="F148" s="13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row>
    <row r="149">
      <c r="A149" s="126"/>
      <c r="B149" s="126"/>
      <c r="C149" s="126"/>
      <c r="D149" s="126"/>
      <c r="E149" s="126"/>
      <c r="F149" s="13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row>
    <row r="150">
      <c r="A150" s="126"/>
      <c r="B150" s="126"/>
      <c r="C150" s="126"/>
      <c r="D150" s="126"/>
      <c r="E150" s="126"/>
      <c r="F150" s="13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row>
    <row r="151">
      <c r="A151" s="126"/>
      <c r="B151" s="126"/>
      <c r="C151" s="126"/>
      <c r="D151" s="126"/>
      <c r="E151" s="126"/>
      <c r="F151" s="13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6"/>
      <c r="AG151" s="126"/>
      <c r="AH151" s="126"/>
      <c r="AI151" s="126"/>
      <c r="AJ151" s="126"/>
      <c r="AK151" s="126"/>
      <c r="AL151" s="126"/>
      <c r="AM151" s="126"/>
      <c r="AN151" s="126"/>
      <c r="AO151" s="126"/>
      <c r="AP151" s="126"/>
      <c r="AQ151" s="126"/>
      <c r="AR151" s="126"/>
      <c r="AS151" s="126"/>
      <c r="AT151" s="126"/>
      <c r="AU151" s="126"/>
      <c r="AV151" s="126"/>
      <c r="AW151" s="126"/>
      <c r="AX151" s="126"/>
      <c r="AY151" s="126"/>
      <c r="AZ151" s="126"/>
      <c r="BA151" s="126"/>
      <c r="BB151" s="126"/>
      <c r="BC151" s="126"/>
      <c r="BD151" s="126"/>
    </row>
    <row r="152">
      <c r="A152" s="126"/>
      <c r="B152" s="126"/>
      <c r="C152" s="126"/>
      <c r="D152" s="126"/>
      <c r="E152" s="126"/>
      <c r="F152" s="13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row>
    <row r="153">
      <c r="A153" s="126"/>
      <c r="B153" s="126"/>
      <c r="C153" s="126"/>
      <c r="D153" s="126"/>
      <c r="E153" s="126"/>
      <c r="F153" s="13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row>
    <row r="154">
      <c r="A154" s="126"/>
      <c r="B154" s="126"/>
      <c r="C154" s="126"/>
      <c r="D154" s="126"/>
      <c r="E154" s="126"/>
      <c r="F154" s="13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row>
    <row r="155">
      <c r="A155" s="126"/>
      <c r="B155" s="126"/>
      <c r="C155" s="126"/>
      <c r="D155" s="126"/>
      <c r="E155" s="126"/>
      <c r="F155" s="13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row>
    <row r="156">
      <c r="A156" s="126"/>
      <c r="B156" s="126"/>
      <c r="C156" s="126"/>
      <c r="D156" s="126"/>
      <c r="E156" s="126"/>
      <c r="F156" s="13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row>
    <row r="157">
      <c r="A157" s="126"/>
      <c r="B157" s="126"/>
      <c r="C157" s="126"/>
      <c r="D157" s="126"/>
      <c r="E157" s="126"/>
      <c r="F157" s="13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row>
    <row r="158">
      <c r="A158" s="126"/>
      <c r="B158" s="126"/>
      <c r="C158" s="126"/>
      <c r="D158" s="126"/>
      <c r="E158" s="126"/>
      <c r="F158" s="13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row>
    <row r="159">
      <c r="A159" s="126"/>
      <c r="B159" s="126"/>
      <c r="C159" s="126"/>
      <c r="D159" s="126"/>
      <c r="E159" s="126"/>
      <c r="F159" s="13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row>
    <row r="160">
      <c r="A160" s="126"/>
      <c r="B160" s="126"/>
      <c r="C160" s="126"/>
      <c r="D160" s="126"/>
      <c r="E160" s="126"/>
      <c r="F160" s="13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row>
    <row r="161">
      <c r="A161" s="126"/>
      <c r="B161" s="126"/>
      <c r="C161" s="126"/>
      <c r="D161" s="126"/>
      <c r="E161" s="126"/>
      <c r="F161" s="13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row>
    <row r="162">
      <c r="A162" s="126"/>
      <c r="B162" s="126"/>
      <c r="C162" s="126"/>
      <c r="D162" s="126"/>
      <c r="E162" s="126"/>
      <c r="F162" s="13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row>
    <row r="163">
      <c r="A163" s="126"/>
      <c r="B163" s="126"/>
      <c r="C163" s="126"/>
      <c r="D163" s="126"/>
      <c r="E163" s="126"/>
      <c r="F163" s="13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row>
    <row r="164">
      <c r="A164" s="126"/>
      <c r="B164" s="126"/>
      <c r="C164" s="126"/>
      <c r="D164" s="126"/>
      <c r="E164" s="126"/>
      <c r="F164" s="13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row>
    <row r="165">
      <c r="A165" s="126"/>
      <c r="B165" s="126"/>
      <c r="C165" s="126"/>
      <c r="D165" s="126"/>
      <c r="E165" s="126"/>
      <c r="F165" s="13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row>
    <row r="166">
      <c r="A166" s="126"/>
      <c r="B166" s="126"/>
      <c r="C166" s="126"/>
      <c r="D166" s="126"/>
      <c r="E166" s="126"/>
      <c r="F166" s="13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c r="AD166" s="126"/>
      <c r="AE166" s="126"/>
      <c r="AF166" s="126"/>
      <c r="AG166" s="126"/>
      <c r="AH166" s="126"/>
      <c r="AI166" s="126"/>
      <c r="AJ166" s="126"/>
      <c r="AK166" s="126"/>
      <c r="AL166" s="126"/>
      <c r="AM166" s="126"/>
      <c r="AN166" s="126"/>
      <c r="AO166" s="126"/>
      <c r="AP166" s="126"/>
      <c r="AQ166" s="126"/>
      <c r="AR166" s="126"/>
      <c r="AS166" s="126"/>
      <c r="AT166" s="126"/>
      <c r="AU166" s="126"/>
      <c r="AV166" s="126"/>
      <c r="AW166" s="126"/>
      <c r="AX166" s="126"/>
      <c r="AY166" s="126"/>
      <c r="AZ166" s="126"/>
      <c r="BA166" s="126"/>
      <c r="BB166" s="126"/>
      <c r="BC166" s="126"/>
      <c r="BD166" s="126"/>
    </row>
    <row r="167">
      <c r="A167" s="126"/>
      <c r="B167" s="126"/>
      <c r="C167" s="126"/>
      <c r="D167" s="126"/>
      <c r="E167" s="126"/>
      <c r="F167" s="13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row>
    <row r="168">
      <c r="A168" s="126"/>
      <c r="B168" s="126"/>
      <c r="C168" s="126"/>
      <c r="D168" s="126"/>
      <c r="E168" s="126"/>
      <c r="F168" s="13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row>
    <row r="169">
      <c r="A169" s="126"/>
      <c r="B169" s="126"/>
      <c r="C169" s="126"/>
      <c r="D169" s="126"/>
      <c r="E169" s="126"/>
      <c r="F169" s="13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row>
    <row r="170">
      <c r="A170" s="126"/>
      <c r="B170" s="126"/>
      <c r="C170" s="126"/>
      <c r="D170" s="126"/>
      <c r="E170" s="126"/>
      <c r="F170" s="13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row>
    <row r="171">
      <c r="A171" s="126"/>
      <c r="B171" s="126"/>
      <c r="C171" s="126"/>
      <c r="D171" s="126"/>
      <c r="E171" s="126"/>
      <c r="F171" s="13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row>
    <row r="172">
      <c r="A172" s="126"/>
      <c r="B172" s="126"/>
      <c r="C172" s="126"/>
      <c r="D172" s="126"/>
      <c r="E172" s="126"/>
      <c r="F172" s="13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row>
    <row r="173">
      <c r="A173" s="126"/>
      <c r="B173" s="126"/>
      <c r="C173" s="126"/>
      <c r="D173" s="126"/>
      <c r="E173" s="126"/>
      <c r="F173" s="13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row>
    <row r="174">
      <c r="A174" s="126"/>
      <c r="B174" s="126"/>
      <c r="C174" s="126"/>
      <c r="D174" s="126"/>
      <c r="E174" s="126"/>
      <c r="F174" s="13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row>
    <row r="175">
      <c r="A175" s="126"/>
      <c r="B175" s="126"/>
      <c r="C175" s="126"/>
      <c r="D175" s="126"/>
      <c r="E175" s="126"/>
      <c r="F175" s="13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row>
    <row r="176">
      <c r="A176" s="126"/>
      <c r="B176" s="126"/>
      <c r="C176" s="126"/>
      <c r="D176" s="126"/>
      <c r="E176" s="126"/>
      <c r="F176" s="13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c r="AD176" s="126"/>
      <c r="AE176" s="126"/>
      <c r="AF176" s="126"/>
      <c r="AG176" s="126"/>
      <c r="AH176" s="126"/>
      <c r="AI176" s="126"/>
      <c r="AJ176" s="126"/>
      <c r="AK176" s="126"/>
      <c r="AL176" s="126"/>
      <c r="AM176" s="126"/>
      <c r="AN176" s="126"/>
      <c r="AO176" s="126"/>
      <c r="AP176" s="126"/>
      <c r="AQ176" s="126"/>
      <c r="AR176" s="126"/>
      <c r="AS176" s="126"/>
      <c r="AT176" s="126"/>
      <c r="AU176" s="126"/>
      <c r="AV176" s="126"/>
      <c r="AW176" s="126"/>
      <c r="AX176" s="126"/>
      <c r="AY176" s="126"/>
      <c r="AZ176" s="126"/>
      <c r="BA176" s="126"/>
      <c r="BB176" s="126"/>
      <c r="BC176" s="126"/>
      <c r="BD176" s="126"/>
    </row>
    <row r="177">
      <c r="A177" s="126"/>
      <c r="B177" s="126"/>
      <c r="C177" s="126"/>
      <c r="D177" s="126"/>
      <c r="E177" s="126"/>
      <c r="F177" s="13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row>
    <row r="178">
      <c r="A178" s="126"/>
      <c r="B178" s="126"/>
      <c r="C178" s="126"/>
      <c r="D178" s="126"/>
      <c r="E178" s="126"/>
      <c r="F178" s="13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row>
    <row r="179">
      <c r="A179" s="126"/>
      <c r="B179" s="126"/>
      <c r="C179" s="126"/>
      <c r="D179" s="126"/>
      <c r="E179" s="126"/>
      <c r="F179" s="13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row>
    <row r="180">
      <c r="A180" s="126"/>
      <c r="B180" s="126"/>
      <c r="C180" s="126"/>
      <c r="D180" s="126"/>
      <c r="E180" s="126"/>
      <c r="F180" s="13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c r="AD180" s="126"/>
      <c r="AE180" s="126"/>
      <c r="AF180" s="126"/>
      <c r="AG180" s="126"/>
      <c r="AH180" s="126"/>
      <c r="AI180" s="126"/>
      <c r="AJ180" s="126"/>
      <c r="AK180" s="126"/>
      <c r="AL180" s="126"/>
      <c r="AM180" s="126"/>
      <c r="AN180" s="126"/>
      <c r="AO180" s="126"/>
      <c r="AP180" s="126"/>
      <c r="AQ180" s="126"/>
      <c r="AR180" s="126"/>
      <c r="AS180" s="126"/>
      <c r="AT180" s="126"/>
      <c r="AU180" s="126"/>
      <c r="AV180" s="126"/>
      <c r="AW180" s="126"/>
      <c r="AX180" s="126"/>
      <c r="AY180" s="126"/>
      <c r="AZ180" s="126"/>
      <c r="BA180" s="126"/>
      <c r="BB180" s="126"/>
      <c r="BC180" s="126"/>
      <c r="BD180" s="126"/>
    </row>
    <row r="181">
      <c r="A181" s="126"/>
      <c r="B181" s="126"/>
      <c r="C181" s="126"/>
      <c r="D181" s="126"/>
      <c r="E181" s="126"/>
      <c r="F181" s="13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row>
    <row r="182">
      <c r="A182" s="126"/>
      <c r="B182" s="126"/>
      <c r="C182" s="126"/>
      <c r="D182" s="126"/>
      <c r="E182" s="126"/>
      <c r="F182" s="13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c r="AD182" s="126"/>
      <c r="AE182" s="126"/>
      <c r="AF182" s="126"/>
      <c r="AG182" s="126"/>
      <c r="AH182" s="126"/>
      <c r="AI182" s="126"/>
      <c r="AJ182" s="126"/>
      <c r="AK182" s="126"/>
      <c r="AL182" s="126"/>
      <c r="AM182" s="126"/>
      <c r="AN182" s="126"/>
      <c r="AO182" s="126"/>
      <c r="AP182" s="126"/>
      <c r="AQ182" s="126"/>
      <c r="AR182" s="126"/>
      <c r="AS182" s="126"/>
      <c r="AT182" s="126"/>
      <c r="AU182" s="126"/>
      <c r="AV182" s="126"/>
      <c r="AW182" s="126"/>
      <c r="AX182" s="126"/>
      <c r="AY182" s="126"/>
      <c r="AZ182" s="126"/>
      <c r="BA182" s="126"/>
      <c r="BB182" s="126"/>
      <c r="BC182" s="126"/>
      <c r="BD182" s="126"/>
    </row>
    <row r="183">
      <c r="A183" s="126"/>
      <c r="B183" s="126"/>
      <c r="C183" s="126"/>
      <c r="D183" s="126"/>
      <c r="E183" s="126"/>
      <c r="F183" s="13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row>
    <row r="184">
      <c r="A184" s="126"/>
      <c r="B184" s="126"/>
      <c r="C184" s="126"/>
      <c r="D184" s="126"/>
      <c r="E184" s="126"/>
      <c r="F184" s="13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row>
    <row r="185">
      <c r="A185" s="126"/>
      <c r="B185" s="126"/>
      <c r="C185" s="126"/>
      <c r="D185" s="126"/>
      <c r="E185" s="126"/>
      <c r="F185" s="13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row>
    <row r="186">
      <c r="A186" s="126"/>
      <c r="B186" s="126"/>
      <c r="C186" s="126"/>
      <c r="D186" s="126"/>
      <c r="E186" s="126"/>
      <c r="F186" s="13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row>
    <row r="187">
      <c r="A187" s="126"/>
      <c r="B187" s="126"/>
      <c r="C187" s="126"/>
      <c r="D187" s="126"/>
      <c r="E187" s="126"/>
      <c r="F187" s="13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row>
    <row r="188">
      <c r="A188" s="126"/>
      <c r="B188" s="126"/>
      <c r="C188" s="126"/>
      <c r="D188" s="126"/>
      <c r="E188" s="126"/>
      <c r="F188" s="13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c r="AY188" s="126"/>
      <c r="AZ188" s="126"/>
      <c r="BA188" s="126"/>
      <c r="BB188" s="126"/>
      <c r="BC188" s="126"/>
      <c r="BD188" s="126"/>
    </row>
    <row r="189">
      <c r="A189" s="126"/>
      <c r="B189" s="126"/>
      <c r="C189" s="126"/>
      <c r="D189" s="126"/>
      <c r="E189" s="126"/>
      <c r="F189" s="13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c r="AD189" s="126"/>
      <c r="AE189" s="126"/>
      <c r="AF189" s="126"/>
      <c r="AG189" s="126"/>
      <c r="AH189" s="126"/>
      <c r="AI189" s="126"/>
      <c r="AJ189" s="126"/>
      <c r="AK189" s="126"/>
      <c r="AL189" s="126"/>
      <c r="AM189" s="126"/>
      <c r="AN189" s="126"/>
      <c r="AO189" s="126"/>
      <c r="AP189" s="126"/>
      <c r="AQ189" s="126"/>
      <c r="AR189" s="126"/>
      <c r="AS189" s="126"/>
      <c r="AT189" s="126"/>
      <c r="AU189" s="126"/>
      <c r="AV189" s="126"/>
      <c r="AW189" s="126"/>
      <c r="AX189" s="126"/>
      <c r="AY189" s="126"/>
      <c r="AZ189" s="126"/>
      <c r="BA189" s="126"/>
      <c r="BB189" s="126"/>
      <c r="BC189" s="126"/>
      <c r="BD189" s="126"/>
    </row>
    <row r="190">
      <c r="A190" s="126"/>
      <c r="B190" s="126"/>
      <c r="C190" s="126"/>
      <c r="D190" s="126"/>
      <c r="E190" s="126"/>
      <c r="F190" s="13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row>
    <row r="191">
      <c r="A191" s="126"/>
      <c r="B191" s="126"/>
      <c r="C191" s="126"/>
      <c r="D191" s="126"/>
      <c r="E191" s="126"/>
      <c r="F191" s="13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row>
    <row r="192">
      <c r="A192" s="126"/>
      <c r="B192" s="126"/>
      <c r="C192" s="126"/>
      <c r="D192" s="126"/>
      <c r="E192" s="126"/>
      <c r="F192" s="13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row>
    <row r="193">
      <c r="A193" s="126"/>
      <c r="B193" s="126"/>
      <c r="C193" s="126"/>
      <c r="D193" s="126"/>
      <c r="E193" s="126"/>
      <c r="F193" s="13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row>
    <row r="194">
      <c r="A194" s="126"/>
      <c r="B194" s="126"/>
      <c r="C194" s="126"/>
      <c r="D194" s="126"/>
      <c r="E194" s="126"/>
      <c r="F194" s="13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row>
    <row r="195">
      <c r="A195" s="126"/>
      <c r="B195" s="126"/>
      <c r="C195" s="126"/>
      <c r="D195" s="126"/>
      <c r="E195" s="126"/>
      <c r="F195" s="13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row>
    <row r="196">
      <c r="A196" s="126"/>
      <c r="B196" s="126"/>
      <c r="C196" s="126"/>
      <c r="D196" s="126"/>
      <c r="E196" s="126"/>
      <c r="F196" s="13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c r="AD196" s="126"/>
      <c r="AE196" s="126"/>
      <c r="AF196" s="126"/>
      <c r="AG196" s="126"/>
      <c r="AH196" s="126"/>
      <c r="AI196" s="126"/>
      <c r="AJ196" s="126"/>
      <c r="AK196" s="126"/>
      <c r="AL196" s="126"/>
      <c r="AM196" s="126"/>
      <c r="AN196" s="126"/>
      <c r="AO196" s="126"/>
      <c r="AP196" s="126"/>
      <c r="AQ196" s="126"/>
      <c r="AR196" s="126"/>
      <c r="AS196" s="126"/>
      <c r="AT196" s="126"/>
      <c r="AU196" s="126"/>
      <c r="AV196" s="126"/>
      <c r="AW196" s="126"/>
      <c r="AX196" s="126"/>
      <c r="AY196" s="126"/>
      <c r="AZ196" s="126"/>
      <c r="BA196" s="126"/>
      <c r="BB196" s="126"/>
      <c r="BC196" s="126"/>
      <c r="BD196" s="126"/>
    </row>
    <row r="197">
      <c r="A197" s="126"/>
      <c r="B197" s="126"/>
      <c r="C197" s="126"/>
      <c r="D197" s="126"/>
      <c r="E197" s="126"/>
      <c r="F197" s="13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row>
    <row r="198">
      <c r="A198" s="126"/>
      <c r="B198" s="126"/>
      <c r="C198" s="126"/>
      <c r="D198" s="126"/>
      <c r="E198" s="126"/>
      <c r="F198" s="13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row>
    <row r="199">
      <c r="A199" s="126"/>
      <c r="B199" s="126"/>
      <c r="C199" s="126"/>
      <c r="D199" s="126"/>
      <c r="E199" s="126"/>
      <c r="F199" s="13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row>
    <row r="200">
      <c r="A200" s="126"/>
      <c r="B200" s="126"/>
      <c r="C200" s="126"/>
      <c r="D200" s="126"/>
      <c r="E200" s="126"/>
      <c r="F200" s="13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row>
    <row r="201">
      <c r="A201" s="126"/>
      <c r="B201" s="126"/>
      <c r="C201" s="126"/>
      <c r="D201" s="126"/>
      <c r="E201" s="126"/>
      <c r="F201" s="13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row>
    <row r="202">
      <c r="A202" s="126"/>
      <c r="B202" s="126"/>
      <c r="C202" s="126"/>
      <c r="D202" s="126"/>
      <c r="E202" s="126"/>
      <c r="F202" s="13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row>
    <row r="203">
      <c r="A203" s="126"/>
      <c r="B203" s="126"/>
      <c r="C203" s="126"/>
      <c r="D203" s="126"/>
      <c r="E203" s="126"/>
      <c r="F203" s="13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row>
    <row r="204">
      <c r="A204" s="126"/>
      <c r="B204" s="126"/>
      <c r="C204" s="126"/>
      <c r="D204" s="126"/>
      <c r="E204" s="126"/>
      <c r="F204" s="13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row>
    <row r="205">
      <c r="A205" s="126"/>
      <c r="B205" s="126"/>
      <c r="C205" s="126"/>
      <c r="D205" s="126"/>
      <c r="E205" s="126"/>
      <c r="F205" s="13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row>
    <row r="206">
      <c r="A206" s="126"/>
      <c r="B206" s="126"/>
      <c r="C206" s="126"/>
      <c r="D206" s="126"/>
      <c r="E206" s="126"/>
      <c r="F206" s="13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row>
    <row r="207">
      <c r="A207" s="126"/>
      <c r="B207" s="126"/>
      <c r="C207" s="126"/>
      <c r="D207" s="126"/>
      <c r="E207" s="126"/>
      <c r="F207" s="13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row>
    <row r="208">
      <c r="A208" s="126"/>
      <c r="B208" s="126"/>
      <c r="C208" s="126"/>
      <c r="D208" s="126"/>
      <c r="E208" s="126"/>
      <c r="F208" s="13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row>
    <row r="209">
      <c r="A209" s="126"/>
      <c r="B209" s="126"/>
      <c r="C209" s="126"/>
      <c r="D209" s="126"/>
      <c r="E209" s="126"/>
      <c r="F209" s="13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row>
    <row r="210">
      <c r="A210" s="126"/>
      <c r="B210" s="126"/>
      <c r="C210" s="126"/>
      <c r="D210" s="126"/>
      <c r="E210" s="126"/>
      <c r="F210" s="13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row>
    <row r="211">
      <c r="A211" s="126"/>
      <c r="B211" s="126"/>
      <c r="C211" s="126"/>
      <c r="D211" s="126"/>
      <c r="E211" s="126"/>
      <c r="F211" s="13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row>
    <row r="212">
      <c r="A212" s="126"/>
      <c r="B212" s="126"/>
      <c r="C212" s="126"/>
      <c r="D212" s="126"/>
      <c r="E212" s="126"/>
      <c r="F212" s="13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c r="AD212" s="126"/>
      <c r="AE212" s="126"/>
      <c r="AF212" s="126"/>
      <c r="AG212" s="126"/>
      <c r="AH212" s="126"/>
      <c r="AI212" s="126"/>
      <c r="AJ212" s="126"/>
      <c r="AK212" s="126"/>
      <c r="AL212" s="126"/>
      <c r="AM212" s="126"/>
      <c r="AN212" s="126"/>
      <c r="AO212" s="126"/>
      <c r="AP212" s="126"/>
      <c r="AQ212" s="126"/>
      <c r="AR212" s="126"/>
      <c r="AS212" s="126"/>
      <c r="AT212" s="126"/>
      <c r="AU212" s="126"/>
      <c r="AV212" s="126"/>
      <c r="AW212" s="126"/>
      <c r="AX212" s="126"/>
      <c r="AY212" s="126"/>
      <c r="AZ212" s="126"/>
      <c r="BA212" s="126"/>
      <c r="BB212" s="126"/>
      <c r="BC212" s="126"/>
      <c r="BD212" s="126"/>
    </row>
    <row r="213">
      <c r="A213" s="126"/>
      <c r="B213" s="126"/>
      <c r="C213" s="126"/>
      <c r="D213" s="126"/>
      <c r="E213" s="126"/>
      <c r="F213" s="13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c r="AD213" s="126"/>
      <c r="AE213" s="126"/>
      <c r="AF213" s="126"/>
      <c r="AG213" s="126"/>
      <c r="AH213" s="126"/>
      <c r="AI213" s="126"/>
      <c r="AJ213" s="126"/>
      <c r="AK213" s="126"/>
      <c r="AL213" s="126"/>
      <c r="AM213" s="126"/>
      <c r="AN213" s="126"/>
      <c r="AO213" s="126"/>
      <c r="AP213" s="126"/>
      <c r="AQ213" s="126"/>
      <c r="AR213" s="126"/>
      <c r="AS213" s="126"/>
      <c r="AT213" s="126"/>
      <c r="AU213" s="126"/>
      <c r="AV213" s="126"/>
      <c r="AW213" s="126"/>
      <c r="AX213" s="126"/>
      <c r="AY213" s="126"/>
      <c r="AZ213" s="126"/>
      <c r="BA213" s="126"/>
      <c r="BB213" s="126"/>
      <c r="BC213" s="126"/>
      <c r="BD213" s="126"/>
    </row>
    <row r="214">
      <c r="A214" s="126"/>
      <c r="B214" s="126"/>
      <c r="C214" s="126"/>
      <c r="D214" s="126"/>
      <c r="E214" s="126"/>
      <c r="F214" s="13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c r="AD214" s="126"/>
      <c r="AE214" s="126"/>
      <c r="AF214" s="126"/>
      <c r="AG214" s="126"/>
      <c r="AH214" s="126"/>
      <c r="AI214" s="126"/>
      <c r="AJ214" s="126"/>
      <c r="AK214" s="126"/>
      <c r="AL214" s="126"/>
      <c r="AM214" s="126"/>
      <c r="AN214" s="126"/>
      <c r="AO214" s="126"/>
      <c r="AP214" s="126"/>
      <c r="AQ214" s="126"/>
      <c r="AR214" s="126"/>
      <c r="AS214" s="126"/>
      <c r="AT214" s="126"/>
      <c r="AU214" s="126"/>
      <c r="AV214" s="126"/>
      <c r="AW214" s="126"/>
      <c r="AX214" s="126"/>
      <c r="AY214" s="126"/>
      <c r="AZ214" s="126"/>
      <c r="BA214" s="126"/>
      <c r="BB214" s="126"/>
      <c r="BC214" s="126"/>
      <c r="BD214" s="126"/>
    </row>
    <row r="215">
      <c r="A215" s="126"/>
      <c r="B215" s="126"/>
      <c r="C215" s="126"/>
      <c r="D215" s="126"/>
      <c r="E215" s="126"/>
      <c r="F215" s="13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c r="AD215" s="126"/>
      <c r="AE215" s="126"/>
      <c r="AF215" s="126"/>
      <c r="AG215" s="126"/>
      <c r="AH215" s="126"/>
      <c r="AI215" s="126"/>
      <c r="AJ215" s="126"/>
      <c r="AK215" s="126"/>
      <c r="AL215" s="126"/>
      <c r="AM215" s="126"/>
      <c r="AN215" s="126"/>
      <c r="AO215" s="126"/>
      <c r="AP215" s="126"/>
      <c r="AQ215" s="126"/>
      <c r="AR215" s="126"/>
      <c r="AS215" s="126"/>
      <c r="AT215" s="126"/>
      <c r="AU215" s="126"/>
      <c r="AV215" s="126"/>
      <c r="AW215" s="126"/>
      <c r="AX215" s="126"/>
      <c r="AY215" s="126"/>
      <c r="AZ215" s="126"/>
      <c r="BA215" s="126"/>
      <c r="BB215" s="126"/>
      <c r="BC215" s="126"/>
      <c r="BD215" s="126"/>
    </row>
    <row r="216">
      <c r="A216" s="126"/>
      <c r="B216" s="126"/>
      <c r="C216" s="126"/>
      <c r="D216" s="126"/>
      <c r="E216" s="126"/>
      <c r="F216" s="13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c r="AD216" s="126"/>
      <c r="AE216" s="126"/>
      <c r="AF216" s="126"/>
      <c r="AG216" s="126"/>
      <c r="AH216" s="126"/>
      <c r="AI216" s="126"/>
      <c r="AJ216" s="126"/>
      <c r="AK216" s="126"/>
      <c r="AL216" s="126"/>
      <c r="AM216" s="126"/>
      <c r="AN216" s="126"/>
      <c r="AO216" s="126"/>
      <c r="AP216" s="126"/>
      <c r="AQ216" s="126"/>
      <c r="AR216" s="126"/>
      <c r="AS216" s="126"/>
      <c r="AT216" s="126"/>
      <c r="AU216" s="126"/>
      <c r="AV216" s="126"/>
      <c r="AW216" s="126"/>
      <c r="AX216" s="126"/>
      <c r="AY216" s="126"/>
      <c r="AZ216" s="126"/>
      <c r="BA216" s="126"/>
      <c r="BB216" s="126"/>
      <c r="BC216" s="126"/>
      <c r="BD216" s="126"/>
    </row>
    <row r="217">
      <c r="A217" s="126"/>
      <c r="B217" s="126"/>
      <c r="C217" s="126"/>
      <c r="D217" s="126"/>
      <c r="E217" s="126"/>
      <c r="F217" s="13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c r="AD217" s="126"/>
      <c r="AE217" s="126"/>
      <c r="AF217" s="126"/>
      <c r="AG217" s="126"/>
      <c r="AH217" s="126"/>
      <c r="AI217" s="126"/>
      <c r="AJ217" s="126"/>
      <c r="AK217" s="126"/>
      <c r="AL217" s="126"/>
      <c r="AM217" s="126"/>
      <c r="AN217" s="126"/>
      <c r="AO217" s="126"/>
      <c r="AP217" s="126"/>
      <c r="AQ217" s="126"/>
      <c r="AR217" s="126"/>
      <c r="AS217" s="126"/>
      <c r="AT217" s="126"/>
      <c r="AU217" s="126"/>
      <c r="AV217" s="126"/>
      <c r="AW217" s="126"/>
      <c r="AX217" s="126"/>
      <c r="AY217" s="126"/>
      <c r="AZ217" s="126"/>
      <c r="BA217" s="126"/>
      <c r="BB217" s="126"/>
      <c r="BC217" s="126"/>
      <c r="BD217" s="126"/>
    </row>
    <row r="218">
      <c r="A218" s="126"/>
      <c r="B218" s="126"/>
      <c r="C218" s="126"/>
      <c r="D218" s="126"/>
      <c r="E218" s="126"/>
      <c r="F218" s="13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row>
    <row r="219">
      <c r="A219" s="126"/>
      <c r="B219" s="126"/>
      <c r="C219" s="126"/>
      <c r="D219" s="126"/>
      <c r="E219" s="126"/>
      <c r="F219" s="13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26"/>
      <c r="AT219" s="126"/>
      <c r="AU219" s="126"/>
      <c r="AV219" s="126"/>
      <c r="AW219" s="126"/>
      <c r="AX219" s="126"/>
      <c r="AY219" s="126"/>
      <c r="AZ219" s="126"/>
      <c r="BA219" s="126"/>
      <c r="BB219" s="126"/>
      <c r="BC219" s="126"/>
      <c r="BD219" s="126"/>
    </row>
    <row r="220">
      <c r="A220" s="126"/>
      <c r="B220" s="126"/>
      <c r="C220" s="126"/>
      <c r="D220" s="126"/>
      <c r="E220" s="126"/>
      <c r="F220" s="13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c r="AD220" s="126"/>
      <c r="AE220" s="126"/>
      <c r="AF220" s="126"/>
      <c r="AG220" s="126"/>
      <c r="AH220" s="126"/>
      <c r="AI220" s="126"/>
      <c r="AJ220" s="126"/>
      <c r="AK220" s="126"/>
      <c r="AL220" s="126"/>
      <c r="AM220" s="126"/>
      <c r="AN220" s="126"/>
      <c r="AO220" s="126"/>
      <c r="AP220" s="126"/>
      <c r="AQ220" s="126"/>
      <c r="AR220" s="126"/>
      <c r="AS220" s="126"/>
      <c r="AT220" s="126"/>
      <c r="AU220" s="126"/>
      <c r="AV220" s="126"/>
      <c r="AW220" s="126"/>
      <c r="AX220" s="126"/>
      <c r="AY220" s="126"/>
      <c r="AZ220" s="126"/>
      <c r="BA220" s="126"/>
      <c r="BB220" s="126"/>
      <c r="BC220" s="126"/>
      <c r="BD220" s="126"/>
    </row>
    <row r="221">
      <c r="A221" s="126"/>
      <c r="B221" s="126"/>
      <c r="C221" s="126"/>
      <c r="D221" s="126"/>
      <c r="E221" s="126"/>
      <c r="F221" s="13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c r="AD221" s="126"/>
      <c r="AE221" s="126"/>
      <c r="AF221" s="126"/>
      <c r="AG221" s="126"/>
      <c r="AH221" s="126"/>
      <c r="AI221" s="126"/>
      <c r="AJ221" s="126"/>
      <c r="AK221" s="126"/>
      <c r="AL221" s="126"/>
      <c r="AM221" s="126"/>
      <c r="AN221" s="126"/>
      <c r="AO221" s="126"/>
      <c r="AP221" s="126"/>
      <c r="AQ221" s="126"/>
      <c r="AR221" s="126"/>
      <c r="AS221" s="126"/>
      <c r="AT221" s="126"/>
      <c r="AU221" s="126"/>
      <c r="AV221" s="126"/>
      <c r="AW221" s="126"/>
      <c r="AX221" s="126"/>
      <c r="AY221" s="126"/>
      <c r="AZ221" s="126"/>
      <c r="BA221" s="126"/>
      <c r="BB221" s="126"/>
      <c r="BC221" s="126"/>
      <c r="BD221" s="126"/>
    </row>
    <row r="222">
      <c r="A222" s="126"/>
      <c r="B222" s="126"/>
      <c r="C222" s="126"/>
      <c r="D222" s="126"/>
      <c r="E222" s="126"/>
      <c r="F222" s="13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c r="AD222" s="126"/>
      <c r="AE222" s="126"/>
      <c r="AF222" s="126"/>
      <c r="AG222" s="126"/>
      <c r="AH222" s="126"/>
      <c r="AI222" s="126"/>
      <c r="AJ222" s="126"/>
      <c r="AK222" s="126"/>
      <c r="AL222" s="126"/>
      <c r="AM222" s="126"/>
      <c r="AN222" s="126"/>
      <c r="AO222" s="126"/>
      <c r="AP222" s="126"/>
      <c r="AQ222" s="126"/>
      <c r="AR222" s="126"/>
      <c r="AS222" s="126"/>
      <c r="AT222" s="126"/>
      <c r="AU222" s="126"/>
      <c r="AV222" s="126"/>
      <c r="AW222" s="126"/>
      <c r="AX222" s="126"/>
      <c r="AY222" s="126"/>
      <c r="AZ222" s="126"/>
      <c r="BA222" s="126"/>
      <c r="BB222" s="126"/>
      <c r="BC222" s="126"/>
      <c r="BD222" s="126"/>
    </row>
    <row r="223">
      <c r="A223" s="126"/>
      <c r="B223" s="126"/>
      <c r="C223" s="126"/>
      <c r="D223" s="126"/>
      <c r="E223" s="126"/>
      <c r="F223" s="13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c r="AD223" s="126"/>
      <c r="AE223" s="126"/>
      <c r="AF223" s="126"/>
      <c r="AG223" s="126"/>
      <c r="AH223" s="126"/>
      <c r="AI223" s="126"/>
      <c r="AJ223" s="126"/>
      <c r="AK223" s="126"/>
      <c r="AL223" s="126"/>
      <c r="AM223" s="126"/>
      <c r="AN223" s="126"/>
      <c r="AO223" s="126"/>
      <c r="AP223" s="126"/>
      <c r="AQ223" s="126"/>
      <c r="AR223" s="126"/>
      <c r="AS223" s="126"/>
      <c r="AT223" s="126"/>
      <c r="AU223" s="126"/>
      <c r="AV223" s="126"/>
      <c r="AW223" s="126"/>
      <c r="AX223" s="126"/>
      <c r="AY223" s="126"/>
      <c r="AZ223" s="126"/>
      <c r="BA223" s="126"/>
      <c r="BB223" s="126"/>
      <c r="BC223" s="126"/>
      <c r="BD223" s="126"/>
    </row>
    <row r="224">
      <c r="A224" s="126"/>
      <c r="B224" s="126"/>
      <c r="C224" s="126"/>
      <c r="D224" s="126"/>
      <c r="E224" s="126"/>
      <c r="F224" s="13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row>
    <row r="225">
      <c r="A225" s="126"/>
      <c r="B225" s="126"/>
      <c r="C225" s="126"/>
      <c r="D225" s="126"/>
      <c r="E225" s="126"/>
      <c r="F225" s="13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c r="AD225" s="126"/>
      <c r="AE225" s="126"/>
      <c r="AF225" s="126"/>
      <c r="AG225" s="126"/>
      <c r="AH225" s="126"/>
      <c r="AI225" s="126"/>
      <c r="AJ225" s="126"/>
      <c r="AK225" s="126"/>
      <c r="AL225" s="126"/>
      <c r="AM225" s="126"/>
      <c r="AN225" s="126"/>
      <c r="AO225" s="126"/>
      <c r="AP225" s="126"/>
      <c r="AQ225" s="126"/>
      <c r="AR225" s="126"/>
      <c r="AS225" s="126"/>
      <c r="AT225" s="126"/>
      <c r="AU225" s="126"/>
      <c r="AV225" s="126"/>
      <c r="AW225" s="126"/>
      <c r="AX225" s="126"/>
      <c r="AY225" s="126"/>
      <c r="AZ225" s="126"/>
      <c r="BA225" s="126"/>
      <c r="BB225" s="126"/>
      <c r="BC225" s="126"/>
      <c r="BD225" s="126"/>
    </row>
    <row r="226">
      <c r="A226" s="126"/>
      <c r="B226" s="126"/>
      <c r="C226" s="126"/>
      <c r="D226" s="126"/>
      <c r="E226" s="126"/>
      <c r="F226" s="13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c r="AD226" s="126"/>
      <c r="AE226" s="126"/>
      <c r="AF226" s="126"/>
      <c r="AG226" s="126"/>
      <c r="AH226" s="126"/>
      <c r="AI226" s="126"/>
      <c r="AJ226" s="126"/>
      <c r="AK226" s="126"/>
      <c r="AL226" s="126"/>
      <c r="AM226" s="126"/>
      <c r="AN226" s="126"/>
      <c r="AO226" s="126"/>
      <c r="AP226" s="126"/>
      <c r="AQ226" s="126"/>
      <c r="AR226" s="126"/>
      <c r="AS226" s="126"/>
      <c r="AT226" s="126"/>
      <c r="AU226" s="126"/>
      <c r="AV226" s="126"/>
      <c r="AW226" s="126"/>
      <c r="AX226" s="126"/>
      <c r="AY226" s="126"/>
      <c r="AZ226" s="126"/>
      <c r="BA226" s="126"/>
      <c r="BB226" s="126"/>
      <c r="BC226" s="126"/>
      <c r="BD226" s="126"/>
    </row>
    <row r="227">
      <c r="A227" s="126"/>
      <c r="B227" s="126"/>
      <c r="C227" s="126"/>
      <c r="D227" s="126"/>
      <c r="E227" s="126"/>
      <c r="F227" s="13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c r="AD227" s="126"/>
      <c r="AE227" s="126"/>
      <c r="AF227" s="126"/>
      <c r="AG227" s="126"/>
      <c r="AH227" s="126"/>
      <c r="AI227" s="126"/>
      <c r="AJ227" s="126"/>
      <c r="AK227" s="126"/>
      <c r="AL227" s="126"/>
      <c r="AM227" s="126"/>
      <c r="AN227" s="126"/>
      <c r="AO227" s="126"/>
      <c r="AP227" s="126"/>
      <c r="AQ227" s="126"/>
      <c r="AR227" s="126"/>
      <c r="AS227" s="126"/>
      <c r="AT227" s="126"/>
      <c r="AU227" s="126"/>
      <c r="AV227" s="126"/>
      <c r="AW227" s="126"/>
      <c r="AX227" s="126"/>
      <c r="AY227" s="126"/>
      <c r="AZ227" s="126"/>
      <c r="BA227" s="126"/>
      <c r="BB227" s="126"/>
      <c r="BC227" s="126"/>
      <c r="BD227" s="126"/>
    </row>
    <row r="228">
      <c r="A228" s="126"/>
      <c r="B228" s="126"/>
      <c r="C228" s="126"/>
      <c r="D228" s="126"/>
      <c r="E228" s="126"/>
      <c r="F228" s="13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c r="AD228" s="126"/>
      <c r="AE228" s="126"/>
      <c r="AF228" s="126"/>
      <c r="AG228" s="126"/>
      <c r="AH228" s="126"/>
      <c r="AI228" s="126"/>
      <c r="AJ228" s="126"/>
      <c r="AK228" s="126"/>
      <c r="AL228" s="126"/>
      <c r="AM228" s="126"/>
      <c r="AN228" s="126"/>
      <c r="AO228" s="126"/>
      <c r="AP228" s="126"/>
      <c r="AQ228" s="126"/>
      <c r="AR228" s="126"/>
      <c r="AS228" s="126"/>
      <c r="AT228" s="126"/>
      <c r="AU228" s="126"/>
      <c r="AV228" s="126"/>
      <c r="AW228" s="126"/>
      <c r="AX228" s="126"/>
      <c r="AY228" s="126"/>
      <c r="AZ228" s="126"/>
      <c r="BA228" s="126"/>
      <c r="BB228" s="126"/>
      <c r="BC228" s="126"/>
      <c r="BD228" s="126"/>
    </row>
    <row r="229">
      <c r="A229" s="126"/>
      <c r="B229" s="126"/>
      <c r="C229" s="126"/>
      <c r="D229" s="126"/>
      <c r="E229" s="126"/>
      <c r="F229" s="13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c r="AD229" s="126"/>
      <c r="AE229" s="126"/>
      <c r="AF229" s="126"/>
      <c r="AG229" s="126"/>
      <c r="AH229" s="126"/>
      <c r="AI229" s="126"/>
      <c r="AJ229" s="126"/>
      <c r="AK229" s="126"/>
      <c r="AL229" s="126"/>
      <c r="AM229" s="126"/>
      <c r="AN229" s="126"/>
      <c r="AO229" s="126"/>
      <c r="AP229" s="126"/>
      <c r="AQ229" s="126"/>
      <c r="AR229" s="126"/>
      <c r="AS229" s="126"/>
      <c r="AT229" s="126"/>
      <c r="AU229" s="126"/>
      <c r="AV229" s="126"/>
      <c r="AW229" s="126"/>
      <c r="AX229" s="126"/>
      <c r="AY229" s="126"/>
      <c r="AZ229" s="126"/>
      <c r="BA229" s="126"/>
      <c r="BB229" s="126"/>
      <c r="BC229" s="126"/>
      <c r="BD229" s="126"/>
    </row>
    <row r="230">
      <c r="A230" s="126"/>
      <c r="B230" s="126"/>
      <c r="C230" s="126"/>
      <c r="D230" s="126"/>
      <c r="E230" s="126"/>
      <c r="F230" s="13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row>
    <row r="231">
      <c r="A231" s="126"/>
      <c r="B231" s="126"/>
      <c r="C231" s="126"/>
      <c r="D231" s="126"/>
      <c r="E231" s="126"/>
      <c r="F231" s="13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c r="AD231" s="126"/>
      <c r="AE231" s="126"/>
      <c r="AF231" s="126"/>
      <c r="AG231" s="126"/>
      <c r="AH231" s="126"/>
      <c r="AI231" s="126"/>
      <c r="AJ231" s="126"/>
      <c r="AK231" s="126"/>
      <c r="AL231" s="126"/>
      <c r="AM231" s="126"/>
      <c r="AN231" s="126"/>
      <c r="AO231" s="126"/>
      <c r="AP231" s="126"/>
      <c r="AQ231" s="126"/>
      <c r="AR231" s="126"/>
      <c r="AS231" s="126"/>
      <c r="AT231" s="126"/>
      <c r="AU231" s="126"/>
      <c r="AV231" s="126"/>
      <c r="AW231" s="126"/>
      <c r="AX231" s="126"/>
      <c r="AY231" s="126"/>
      <c r="AZ231" s="126"/>
      <c r="BA231" s="126"/>
      <c r="BB231" s="126"/>
      <c r="BC231" s="126"/>
      <c r="BD231" s="126"/>
    </row>
    <row r="232">
      <c r="A232" s="126"/>
      <c r="B232" s="126"/>
      <c r="C232" s="126"/>
      <c r="D232" s="126"/>
      <c r="E232" s="126"/>
      <c r="F232" s="13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c r="AD232" s="126"/>
      <c r="AE232" s="126"/>
      <c r="AF232" s="126"/>
      <c r="AG232" s="126"/>
      <c r="AH232" s="126"/>
      <c r="AI232" s="126"/>
      <c r="AJ232" s="126"/>
      <c r="AK232" s="126"/>
      <c r="AL232" s="126"/>
      <c r="AM232" s="126"/>
      <c r="AN232" s="126"/>
      <c r="AO232" s="126"/>
      <c r="AP232" s="126"/>
      <c r="AQ232" s="126"/>
      <c r="AR232" s="126"/>
      <c r="AS232" s="126"/>
      <c r="AT232" s="126"/>
      <c r="AU232" s="126"/>
      <c r="AV232" s="126"/>
      <c r="AW232" s="126"/>
      <c r="AX232" s="126"/>
      <c r="AY232" s="126"/>
      <c r="AZ232" s="126"/>
      <c r="BA232" s="126"/>
      <c r="BB232" s="126"/>
      <c r="BC232" s="126"/>
      <c r="BD232" s="126"/>
    </row>
    <row r="233">
      <c r="A233" s="126"/>
      <c r="B233" s="126"/>
      <c r="C233" s="126"/>
      <c r="D233" s="126"/>
      <c r="E233" s="126"/>
      <c r="F233" s="13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c r="AH233" s="126"/>
      <c r="AI233" s="126"/>
      <c r="AJ233" s="126"/>
      <c r="AK233" s="126"/>
      <c r="AL233" s="126"/>
      <c r="AM233" s="126"/>
      <c r="AN233" s="126"/>
      <c r="AO233" s="126"/>
      <c r="AP233" s="126"/>
      <c r="AQ233" s="126"/>
      <c r="AR233" s="126"/>
      <c r="AS233" s="126"/>
      <c r="AT233" s="126"/>
      <c r="AU233" s="126"/>
      <c r="AV233" s="126"/>
      <c r="AW233" s="126"/>
      <c r="AX233" s="126"/>
      <c r="AY233" s="126"/>
      <c r="AZ233" s="126"/>
      <c r="BA233" s="126"/>
      <c r="BB233" s="126"/>
      <c r="BC233" s="126"/>
      <c r="BD233" s="126"/>
    </row>
    <row r="234">
      <c r="A234" s="126"/>
      <c r="B234" s="126"/>
      <c r="C234" s="126"/>
      <c r="D234" s="126"/>
      <c r="E234" s="126"/>
      <c r="F234" s="13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c r="AD234" s="126"/>
      <c r="AE234" s="126"/>
      <c r="AF234" s="126"/>
      <c r="AG234" s="126"/>
      <c r="AH234" s="126"/>
      <c r="AI234" s="126"/>
      <c r="AJ234" s="126"/>
      <c r="AK234" s="126"/>
      <c r="AL234" s="126"/>
      <c r="AM234" s="126"/>
      <c r="AN234" s="126"/>
      <c r="AO234" s="126"/>
      <c r="AP234" s="126"/>
      <c r="AQ234" s="126"/>
      <c r="AR234" s="126"/>
      <c r="AS234" s="126"/>
      <c r="AT234" s="126"/>
      <c r="AU234" s="126"/>
      <c r="AV234" s="126"/>
      <c r="AW234" s="126"/>
      <c r="AX234" s="126"/>
      <c r="AY234" s="126"/>
      <c r="AZ234" s="126"/>
      <c r="BA234" s="126"/>
      <c r="BB234" s="126"/>
      <c r="BC234" s="126"/>
      <c r="BD234" s="126"/>
    </row>
    <row r="235">
      <c r="A235" s="126"/>
      <c r="B235" s="126"/>
      <c r="C235" s="126"/>
      <c r="D235" s="126"/>
      <c r="E235" s="126"/>
      <c r="F235" s="13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c r="AD235" s="126"/>
      <c r="AE235" s="126"/>
      <c r="AF235" s="126"/>
      <c r="AG235" s="126"/>
      <c r="AH235" s="126"/>
      <c r="AI235" s="126"/>
      <c r="AJ235" s="126"/>
      <c r="AK235" s="126"/>
      <c r="AL235" s="126"/>
      <c r="AM235" s="126"/>
      <c r="AN235" s="126"/>
      <c r="AO235" s="126"/>
      <c r="AP235" s="126"/>
      <c r="AQ235" s="126"/>
      <c r="AR235" s="126"/>
      <c r="AS235" s="126"/>
      <c r="AT235" s="126"/>
      <c r="AU235" s="126"/>
      <c r="AV235" s="126"/>
      <c r="AW235" s="126"/>
      <c r="AX235" s="126"/>
      <c r="AY235" s="126"/>
      <c r="AZ235" s="126"/>
      <c r="BA235" s="126"/>
      <c r="BB235" s="126"/>
      <c r="BC235" s="126"/>
      <c r="BD235" s="126"/>
    </row>
    <row r="236">
      <c r="A236" s="126"/>
      <c r="B236" s="126"/>
      <c r="C236" s="126"/>
      <c r="D236" s="126"/>
      <c r="E236" s="126"/>
      <c r="F236" s="13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c r="BC236" s="126"/>
      <c r="BD236" s="126"/>
    </row>
    <row r="237">
      <c r="A237" s="126"/>
      <c r="B237" s="126"/>
      <c r="C237" s="126"/>
      <c r="D237" s="126"/>
      <c r="E237" s="126"/>
      <c r="F237" s="13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c r="AD237" s="126"/>
      <c r="AE237" s="126"/>
      <c r="AF237" s="126"/>
      <c r="AG237" s="126"/>
      <c r="AH237" s="126"/>
      <c r="AI237" s="126"/>
      <c r="AJ237" s="126"/>
      <c r="AK237" s="126"/>
      <c r="AL237" s="126"/>
      <c r="AM237" s="126"/>
      <c r="AN237" s="126"/>
      <c r="AO237" s="126"/>
      <c r="AP237" s="126"/>
      <c r="AQ237" s="126"/>
      <c r="AR237" s="126"/>
      <c r="AS237" s="126"/>
      <c r="AT237" s="126"/>
      <c r="AU237" s="126"/>
      <c r="AV237" s="126"/>
      <c r="AW237" s="126"/>
      <c r="AX237" s="126"/>
      <c r="AY237" s="126"/>
      <c r="AZ237" s="126"/>
      <c r="BA237" s="126"/>
      <c r="BB237" s="126"/>
      <c r="BC237" s="126"/>
      <c r="BD237" s="126"/>
    </row>
    <row r="238">
      <c r="A238" s="126"/>
      <c r="B238" s="126"/>
      <c r="C238" s="126"/>
      <c r="D238" s="126"/>
      <c r="E238" s="126"/>
      <c r="F238" s="13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c r="AD238" s="126"/>
      <c r="AE238" s="126"/>
      <c r="AF238" s="126"/>
      <c r="AG238" s="126"/>
      <c r="AH238" s="126"/>
      <c r="AI238" s="126"/>
      <c r="AJ238" s="126"/>
      <c r="AK238" s="126"/>
      <c r="AL238" s="126"/>
      <c r="AM238" s="126"/>
      <c r="AN238" s="126"/>
      <c r="AO238" s="126"/>
      <c r="AP238" s="126"/>
      <c r="AQ238" s="126"/>
      <c r="AR238" s="126"/>
      <c r="AS238" s="126"/>
      <c r="AT238" s="126"/>
      <c r="AU238" s="126"/>
      <c r="AV238" s="126"/>
      <c r="AW238" s="126"/>
      <c r="AX238" s="126"/>
      <c r="AY238" s="126"/>
      <c r="AZ238" s="126"/>
      <c r="BA238" s="126"/>
      <c r="BB238" s="126"/>
      <c r="BC238" s="126"/>
      <c r="BD238" s="126"/>
    </row>
    <row r="239">
      <c r="A239" s="126"/>
      <c r="B239" s="126"/>
      <c r="C239" s="126"/>
      <c r="D239" s="126"/>
      <c r="E239" s="126"/>
      <c r="F239" s="13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c r="AD239" s="126"/>
      <c r="AE239" s="126"/>
      <c r="AF239" s="126"/>
      <c r="AG239" s="126"/>
      <c r="AH239" s="126"/>
      <c r="AI239" s="126"/>
      <c r="AJ239" s="126"/>
      <c r="AK239" s="126"/>
      <c r="AL239" s="126"/>
      <c r="AM239" s="126"/>
      <c r="AN239" s="126"/>
      <c r="AO239" s="126"/>
      <c r="AP239" s="126"/>
      <c r="AQ239" s="126"/>
      <c r="AR239" s="126"/>
      <c r="AS239" s="126"/>
      <c r="AT239" s="126"/>
      <c r="AU239" s="126"/>
      <c r="AV239" s="126"/>
      <c r="AW239" s="126"/>
      <c r="AX239" s="126"/>
      <c r="AY239" s="126"/>
      <c r="AZ239" s="126"/>
      <c r="BA239" s="126"/>
      <c r="BB239" s="126"/>
      <c r="BC239" s="126"/>
      <c r="BD239" s="126"/>
    </row>
    <row r="240">
      <c r="A240" s="126"/>
      <c r="B240" s="126"/>
      <c r="C240" s="126"/>
      <c r="D240" s="126"/>
      <c r="E240" s="126"/>
      <c r="F240" s="13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c r="AD240" s="126"/>
      <c r="AE240" s="126"/>
      <c r="AF240" s="126"/>
      <c r="AG240" s="126"/>
      <c r="AH240" s="126"/>
      <c r="AI240" s="126"/>
      <c r="AJ240" s="126"/>
      <c r="AK240" s="126"/>
      <c r="AL240" s="126"/>
      <c r="AM240" s="126"/>
      <c r="AN240" s="126"/>
      <c r="AO240" s="126"/>
      <c r="AP240" s="126"/>
      <c r="AQ240" s="126"/>
      <c r="AR240" s="126"/>
      <c r="AS240" s="126"/>
      <c r="AT240" s="126"/>
      <c r="AU240" s="126"/>
      <c r="AV240" s="126"/>
      <c r="AW240" s="126"/>
      <c r="AX240" s="126"/>
      <c r="AY240" s="126"/>
      <c r="AZ240" s="126"/>
      <c r="BA240" s="126"/>
      <c r="BB240" s="126"/>
      <c r="BC240" s="126"/>
      <c r="BD240" s="126"/>
    </row>
    <row r="241">
      <c r="A241" s="126"/>
      <c r="B241" s="126"/>
      <c r="C241" s="126"/>
      <c r="D241" s="126"/>
      <c r="E241" s="126"/>
      <c r="F241" s="13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c r="AD241" s="126"/>
      <c r="AE241" s="126"/>
      <c r="AF241" s="126"/>
      <c r="AG241" s="126"/>
      <c r="AH241" s="126"/>
      <c r="AI241" s="126"/>
      <c r="AJ241" s="126"/>
      <c r="AK241" s="126"/>
      <c r="AL241" s="126"/>
      <c r="AM241" s="126"/>
      <c r="AN241" s="126"/>
      <c r="AO241" s="126"/>
      <c r="AP241" s="126"/>
      <c r="AQ241" s="126"/>
      <c r="AR241" s="126"/>
      <c r="AS241" s="126"/>
      <c r="AT241" s="126"/>
      <c r="AU241" s="126"/>
      <c r="AV241" s="126"/>
      <c r="AW241" s="126"/>
      <c r="AX241" s="126"/>
      <c r="AY241" s="126"/>
      <c r="AZ241" s="126"/>
      <c r="BA241" s="126"/>
      <c r="BB241" s="126"/>
      <c r="BC241" s="126"/>
      <c r="BD241" s="126"/>
    </row>
    <row r="242">
      <c r="A242" s="126"/>
      <c r="B242" s="126"/>
      <c r="C242" s="126"/>
      <c r="D242" s="126"/>
      <c r="E242" s="126"/>
      <c r="F242" s="13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c r="BC242" s="126"/>
      <c r="BD242" s="126"/>
    </row>
    <row r="243">
      <c r="A243" s="126"/>
      <c r="B243" s="126"/>
      <c r="C243" s="126"/>
      <c r="D243" s="126"/>
      <c r="E243" s="126"/>
      <c r="F243" s="13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c r="AD243" s="126"/>
      <c r="AE243" s="126"/>
      <c r="AF243" s="126"/>
      <c r="AG243" s="126"/>
      <c r="AH243" s="126"/>
      <c r="AI243" s="126"/>
      <c r="AJ243" s="126"/>
      <c r="AK243" s="126"/>
      <c r="AL243" s="126"/>
      <c r="AM243" s="126"/>
      <c r="AN243" s="126"/>
      <c r="AO243" s="126"/>
      <c r="AP243" s="126"/>
      <c r="AQ243" s="126"/>
      <c r="AR243" s="126"/>
      <c r="AS243" s="126"/>
      <c r="AT243" s="126"/>
      <c r="AU243" s="126"/>
      <c r="AV243" s="126"/>
      <c r="AW243" s="126"/>
      <c r="AX243" s="126"/>
      <c r="AY243" s="126"/>
      <c r="AZ243" s="126"/>
      <c r="BA243" s="126"/>
      <c r="BB243" s="126"/>
      <c r="BC243" s="126"/>
      <c r="BD243" s="126"/>
    </row>
    <row r="244">
      <c r="A244" s="126"/>
      <c r="B244" s="126"/>
      <c r="C244" s="126"/>
      <c r="D244" s="126"/>
      <c r="E244" s="126"/>
      <c r="F244" s="13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c r="AD244" s="126"/>
      <c r="AE244" s="126"/>
      <c r="AF244" s="126"/>
      <c r="AG244" s="126"/>
      <c r="AH244" s="126"/>
      <c r="AI244" s="126"/>
      <c r="AJ244" s="126"/>
      <c r="AK244" s="126"/>
      <c r="AL244" s="126"/>
      <c r="AM244" s="126"/>
      <c r="AN244" s="126"/>
      <c r="AO244" s="126"/>
      <c r="AP244" s="126"/>
      <c r="AQ244" s="126"/>
      <c r="AR244" s="126"/>
      <c r="AS244" s="126"/>
      <c r="AT244" s="126"/>
      <c r="AU244" s="126"/>
      <c r="AV244" s="126"/>
      <c r="AW244" s="126"/>
      <c r="AX244" s="126"/>
      <c r="AY244" s="126"/>
      <c r="AZ244" s="126"/>
      <c r="BA244" s="126"/>
      <c r="BB244" s="126"/>
      <c r="BC244" s="126"/>
      <c r="BD244" s="126"/>
    </row>
    <row r="245">
      <c r="A245" s="126"/>
      <c r="B245" s="126"/>
      <c r="C245" s="126"/>
      <c r="D245" s="126"/>
      <c r="E245" s="126"/>
      <c r="F245" s="13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c r="AD245" s="126"/>
      <c r="AE245" s="126"/>
      <c r="AF245" s="126"/>
      <c r="AG245" s="126"/>
      <c r="AH245" s="126"/>
      <c r="AI245" s="126"/>
      <c r="AJ245" s="126"/>
      <c r="AK245" s="126"/>
      <c r="AL245" s="126"/>
      <c r="AM245" s="126"/>
      <c r="AN245" s="126"/>
      <c r="AO245" s="126"/>
      <c r="AP245" s="126"/>
      <c r="AQ245" s="126"/>
      <c r="AR245" s="126"/>
      <c r="AS245" s="126"/>
      <c r="AT245" s="126"/>
      <c r="AU245" s="126"/>
      <c r="AV245" s="126"/>
      <c r="AW245" s="126"/>
      <c r="AX245" s="126"/>
      <c r="AY245" s="126"/>
      <c r="AZ245" s="126"/>
      <c r="BA245" s="126"/>
      <c r="BB245" s="126"/>
      <c r="BC245" s="126"/>
      <c r="BD245" s="126"/>
    </row>
    <row r="246">
      <c r="A246" s="126"/>
      <c r="B246" s="126"/>
      <c r="C246" s="126"/>
      <c r="D246" s="126"/>
      <c r="E246" s="126"/>
      <c r="F246" s="13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c r="AD246" s="126"/>
      <c r="AE246" s="126"/>
      <c r="AF246" s="126"/>
      <c r="AG246" s="126"/>
      <c r="AH246" s="126"/>
      <c r="AI246" s="126"/>
      <c r="AJ246" s="126"/>
      <c r="AK246" s="126"/>
      <c r="AL246" s="126"/>
      <c r="AM246" s="126"/>
      <c r="AN246" s="126"/>
      <c r="AO246" s="126"/>
      <c r="AP246" s="126"/>
      <c r="AQ246" s="126"/>
      <c r="AR246" s="126"/>
      <c r="AS246" s="126"/>
      <c r="AT246" s="126"/>
      <c r="AU246" s="126"/>
      <c r="AV246" s="126"/>
      <c r="AW246" s="126"/>
      <c r="AX246" s="126"/>
      <c r="AY246" s="126"/>
      <c r="AZ246" s="126"/>
      <c r="BA246" s="126"/>
      <c r="BB246" s="126"/>
      <c r="BC246" s="126"/>
      <c r="BD246" s="126"/>
    </row>
    <row r="247">
      <c r="A247" s="126"/>
      <c r="B247" s="126"/>
      <c r="C247" s="126"/>
      <c r="D247" s="126"/>
      <c r="E247" s="126"/>
      <c r="F247" s="13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c r="AD247" s="126"/>
      <c r="AE247" s="126"/>
      <c r="AF247" s="126"/>
      <c r="AG247" s="126"/>
      <c r="AH247" s="126"/>
      <c r="AI247" s="126"/>
      <c r="AJ247" s="126"/>
      <c r="AK247" s="126"/>
      <c r="AL247" s="126"/>
      <c r="AM247" s="126"/>
      <c r="AN247" s="126"/>
      <c r="AO247" s="126"/>
      <c r="AP247" s="126"/>
      <c r="AQ247" s="126"/>
      <c r="AR247" s="126"/>
      <c r="AS247" s="126"/>
      <c r="AT247" s="126"/>
      <c r="AU247" s="126"/>
      <c r="AV247" s="126"/>
      <c r="AW247" s="126"/>
      <c r="AX247" s="126"/>
      <c r="AY247" s="126"/>
      <c r="AZ247" s="126"/>
      <c r="BA247" s="126"/>
      <c r="BB247" s="126"/>
      <c r="BC247" s="126"/>
      <c r="BD247" s="126"/>
    </row>
    <row r="248">
      <c r="A248" s="126"/>
      <c r="B248" s="126"/>
      <c r="C248" s="126"/>
      <c r="D248" s="126"/>
      <c r="E248" s="126"/>
      <c r="F248" s="13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c r="BC248" s="126"/>
      <c r="BD248" s="126"/>
    </row>
    <row r="249">
      <c r="A249" s="126"/>
      <c r="B249" s="126"/>
      <c r="C249" s="126"/>
      <c r="D249" s="126"/>
      <c r="E249" s="126"/>
      <c r="F249" s="13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c r="AD249" s="126"/>
      <c r="AE249" s="126"/>
      <c r="AF249" s="126"/>
      <c r="AG249" s="126"/>
      <c r="AH249" s="126"/>
      <c r="AI249" s="126"/>
      <c r="AJ249" s="126"/>
      <c r="AK249" s="126"/>
      <c r="AL249" s="126"/>
      <c r="AM249" s="126"/>
      <c r="AN249" s="126"/>
      <c r="AO249" s="126"/>
      <c r="AP249" s="126"/>
      <c r="AQ249" s="126"/>
      <c r="AR249" s="126"/>
      <c r="AS249" s="126"/>
      <c r="AT249" s="126"/>
      <c r="AU249" s="126"/>
      <c r="AV249" s="126"/>
      <c r="AW249" s="126"/>
      <c r="AX249" s="126"/>
      <c r="AY249" s="126"/>
      <c r="AZ249" s="126"/>
      <c r="BA249" s="126"/>
      <c r="BB249" s="126"/>
      <c r="BC249" s="126"/>
      <c r="BD249" s="126"/>
    </row>
    <row r="250">
      <c r="A250" s="126"/>
      <c r="B250" s="126"/>
      <c r="C250" s="126"/>
      <c r="D250" s="126"/>
      <c r="E250" s="126"/>
      <c r="F250" s="13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c r="AD250" s="126"/>
      <c r="AE250" s="126"/>
      <c r="AF250" s="126"/>
      <c r="AG250" s="126"/>
      <c r="AH250" s="126"/>
      <c r="AI250" s="126"/>
      <c r="AJ250" s="126"/>
      <c r="AK250" s="126"/>
      <c r="AL250" s="126"/>
      <c r="AM250" s="126"/>
      <c r="AN250" s="126"/>
      <c r="AO250" s="126"/>
      <c r="AP250" s="126"/>
      <c r="AQ250" s="126"/>
      <c r="AR250" s="126"/>
      <c r="AS250" s="126"/>
      <c r="AT250" s="126"/>
      <c r="AU250" s="126"/>
      <c r="AV250" s="126"/>
      <c r="AW250" s="126"/>
      <c r="AX250" s="126"/>
      <c r="AY250" s="126"/>
      <c r="AZ250" s="126"/>
      <c r="BA250" s="126"/>
      <c r="BB250" s="126"/>
      <c r="BC250" s="126"/>
      <c r="BD250" s="126"/>
    </row>
    <row r="251">
      <c r="A251" s="126"/>
      <c r="B251" s="126"/>
      <c r="C251" s="126"/>
      <c r="D251" s="126"/>
      <c r="E251" s="126"/>
      <c r="F251" s="13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c r="AD251" s="126"/>
      <c r="AE251" s="126"/>
      <c r="AF251" s="126"/>
      <c r="AG251" s="126"/>
      <c r="AH251" s="126"/>
      <c r="AI251" s="126"/>
      <c r="AJ251" s="126"/>
      <c r="AK251" s="126"/>
      <c r="AL251" s="126"/>
      <c r="AM251" s="126"/>
      <c r="AN251" s="126"/>
      <c r="AO251" s="126"/>
      <c r="AP251" s="126"/>
      <c r="AQ251" s="126"/>
      <c r="AR251" s="126"/>
      <c r="AS251" s="126"/>
      <c r="AT251" s="126"/>
      <c r="AU251" s="126"/>
      <c r="AV251" s="126"/>
      <c r="AW251" s="126"/>
      <c r="AX251" s="126"/>
      <c r="AY251" s="126"/>
      <c r="AZ251" s="126"/>
      <c r="BA251" s="126"/>
      <c r="BB251" s="126"/>
      <c r="BC251" s="126"/>
      <c r="BD251" s="126"/>
    </row>
    <row r="252">
      <c r="A252" s="126"/>
      <c r="B252" s="126"/>
      <c r="C252" s="126"/>
      <c r="D252" s="126"/>
      <c r="E252" s="126"/>
      <c r="F252" s="13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c r="AD252" s="126"/>
      <c r="AE252" s="126"/>
      <c r="AF252" s="126"/>
      <c r="AG252" s="126"/>
      <c r="AH252" s="126"/>
      <c r="AI252" s="126"/>
      <c r="AJ252" s="126"/>
      <c r="AK252" s="126"/>
      <c r="AL252" s="126"/>
      <c r="AM252" s="126"/>
      <c r="AN252" s="126"/>
      <c r="AO252" s="126"/>
      <c r="AP252" s="126"/>
      <c r="AQ252" s="126"/>
      <c r="AR252" s="126"/>
      <c r="AS252" s="126"/>
      <c r="AT252" s="126"/>
      <c r="AU252" s="126"/>
      <c r="AV252" s="126"/>
      <c r="AW252" s="126"/>
      <c r="AX252" s="126"/>
      <c r="AY252" s="126"/>
      <c r="AZ252" s="126"/>
      <c r="BA252" s="126"/>
      <c r="BB252" s="126"/>
      <c r="BC252" s="126"/>
      <c r="BD252" s="126"/>
    </row>
    <row r="253">
      <c r="A253" s="126"/>
      <c r="B253" s="126"/>
      <c r="C253" s="126"/>
      <c r="D253" s="126"/>
      <c r="E253" s="126"/>
      <c r="F253" s="13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c r="AD253" s="126"/>
      <c r="AE253" s="126"/>
      <c r="AF253" s="126"/>
      <c r="AG253" s="126"/>
      <c r="AH253" s="126"/>
      <c r="AI253" s="126"/>
      <c r="AJ253" s="126"/>
      <c r="AK253" s="126"/>
      <c r="AL253" s="126"/>
      <c r="AM253" s="126"/>
      <c r="AN253" s="126"/>
      <c r="AO253" s="126"/>
      <c r="AP253" s="126"/>
      <c r="AQ253" s="126"/>
      <c r="AR253" s="126"/>
      <c r="AS253" s="126"/>
      <c r="AT253" s="126"/>
      <c r="AU253" s="126"/>
      <c r="AV253" s="126"/>
      <c r="AW253" s="126"/>
      <c r="AX253" s="126"/>
      <c r="AY253" s="126"/>
      <c r="AZ253" s="126"/>
      <c r="BA253" s="126"/>
      <c r="BB253" s="126"/>
      <c r="BC253" s="126"/>
      <c r="BD253" s="126"/>
    </row>
    <row r="254">
      <c r="A254" s="126"/>
      <c r="B254" s="126"/>
      <c r="C254" s="126"/>
      <c r="D254" s="126"/>
      <c r="E254" s="126"/>
      <c r="F254" s="13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c r="BC254" s="126"/>
      <c r="BD254" s="126"/>
    </row>
    <row r="255">
      <c r="A255" s="126"/>
      <c r="B255" s="126"/>
      <c r="C255" s="126"/>
      <c r="D255" s="126"/>
      <c r="E255" s="126"/>
      <c r="F255" s="13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c r="AD255" s="126"/>
      <c r="AE255" s="126"/>
      <c r="AF255" s="126"/>
      <c r="AG255" s="126"/>
      <c r="AH255" s="126"/>
      <c r="AI255" s="126"/>
      <c r="AJ255" s="126"/>
      <c r="AK255" s="126"/>
      <c r="AL255" s="126"/>
      <c r="AM255" s="126"/>
      <c r="AN255" s="126"/>
      <c r="AO255" s="126"/>
      <c r="AP255" s="126"/>
      <c r="AQ255" s="126"/>
      <c r="AR255" s="126"/>
      <c r="AS255" s="126"/>
      <c r="AT255" s="126"/>
      <c r="AU255" s="126"/>
      <c r="AV255" s="126"/>
      <c r="AW255" s="126"/>
      <c r="AX255" s="126"/>
      <c r="AY255" s="126"/>
      <c r="AZ255" s="126"/>
      <c r="BA255" s="126"/>
      <c r="BB255" s="126"/>
      <c r="BC255" s="126"/>
      <c r="BD255" s="126"/>
    </row>
    <row r="256">
      <c r="A256" s="126"/>
      <c r="B256" s="126"/>
      <c r="C256" s="126"/>
      <c r="D256" s="126"/>
      <c r="E256" s="126"/>
      <c r="F256" s="13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c r="AD256" s="126"/>
      <c r="AE256" s="126"/>
      <c r="AF256" s="126"/>
      <c r="AG256" s="126"/>
      <c r="AH256" s="126"/>
      <c r="AI256" s="126"/>
      <c r="AJ256" s="126"/>
      <c r="AK256" s="126"/>
      <c r="AL256" s="126"/>
      <c r="AM256" s="126"/>
      <c r="AN256" s="126"/>
      <c r="AO256" s="126"/>
      <c r="AP256" s="126"/>
      <c r="AQ256" s="126"/>
      <c r="AR256" s="126"/>
      <c r="AS256" s="126"/>
      <c r="AT256" s="126"/>
      <c r="AU256" s="126"/>
      <c r="AV256" s="126"/>
      <c r="AW256" s="126"/>
      <c r="AX256" s="126"/>
      <c r="AY256" s="126"/>
      <c r="AZ256" s="126"/>
      <c r="BA256" s="126"/>
      <c r="BB256" s="126"/>
      <c r="BC256" s="126"/>
      <c r="BD256" s="126"/>
    </row>
    <row r="257">
      <c r="A257" s="126"/>
      <c r="B257" s="126"/>
      <c r="C257" s="126"/>
      <c r="D257" s="126"/>
      <c r="E257" s="126"/>
      <c r="F257" s="13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c r="AD257" s="126"/>
      <c r="AE257" s="126"/>
      <c r="AF257" s="126"/>
      <c r="AG257" s="126"/>
      <c r="AH257" s="126"/>
      <c r="AI257" s="126"/>
      <c r="AJ257" s="126"/>
      <c r="AK257" s="126"/>
      <c r="AL257" s="126"/>
      <c r="AM257" s="126"/>
      <c r="AN257" s="126"/>
      <c r="AO257" s="126"/>
      <c r="AP257" s="126"/>
      <c r="AQ257" s="126"/>
      <c r="AR257" s="126"/>
      <c r="AS257" s="126"/>
      <c r="AT257" s="126"/>
      <c r="AU257" s="126"/>
      <c r="AV257" s="126"/>
      <c r="AW257" s="126"/>
      <c r="AX257" s="126"/>
      <c r="AY257" s="126"/>
      <c r="AZ257" s="126"/>
      <c r="BA257" s="126"/>
      <c r="BB257" s="126"/>
      <c r="BC257" s="126"/>
      <c r="BD257" s="126"/>
    </row>
    <row r="258">
      <c r="A258" s="126"/>
      <c r="B258" s="126"/>
      <c r="C258" s="126"/>
      <c r="D258" s="126"/>
      <c r="E258" s="126"/>
      <c r="F258" s="13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c r="AD258" s="126"/>
      <c r="AE258" s="126"/>
      <c r="AF258" s="126"/>
      <c r="AG258" s="126"/>
      <c r="AH258" s="126"/>
      <c r="AI258" s="126"/>
      <c r="AJ258" s="126"/>
      <c r="AK258" s="126"/>
      <c r="AL258" s="126"/>
      <c r="AM258" s="126"/>
      <c r="AN258" s="126"/>
      <c r="AO258" s="126"/>
      <c r="AP258" s="126"/>
      <c r="AQ258" s="126"/>
      <c r="AR258" s="126"/>
      <c r="AS258" s="126"/>
      <c r="AT258" s="126"/>
      <c r="AU258" s="126"/>
      <c r="AV258" s="126"/>
      <c r="AW258" s="126"/>
      <c r="AX258" s="126"/>
      <c r="AY258" s="126"/>
      <c r="AZ258" s="126"/>
      <c r="BA258" s="126"/>
      <c r="BB258" s="126"/>
      <c r="BC258" s="126"/>
      <c r="BD258" s="126"/>
    </row>
    <row r="259">
      <c r="A259" s="126"/>
      <c r="B259" s="126"/>
      <c r="C259" s="126"/>
      <c r="D259" s="126"/>
      <c r="E259" s="126"/>
      <c r="F259" s="13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c r="AD259" s="126"/>
      <c r="AE259" s="126"/>
      <c r="AF259" s="126"/>
      <c r="AG259" s="126"/>
      <c r="AH259" s="126"/>
      <c r="AI259" s="126"/>
      <c r="AJ259" s="126"/>
      <c r="AK259" s="126"/>
      <c r="AL259" s="126"/>
      <c r="AM259" s="126"/>
      <c r="AN259" s="126"/>
      <c r="AO259" s="126"/>
      <c r="AP259" s="126"/>
      <c r="AQ259" s="126"/>
      <c r="AR259" s="126"/>
      <c r="AS259" s="126"/>
      <c r="AT259" s="126"/>
      <c r="AU259" s="126"/>
      <c r="AV259" s="126"/>
      <c r="AW259" s="126"/>
      <c r="AX259" s="126"/>
      <c r="AY259" s="126"/>
      <c r="AZ259" s="126"/>
      <c r="BA259" s="126"/>
      <c r="BB259" s="126"/>
      <c r="BC259" s="126"/>
      <c r="BD259" s="126"/>
    </row>
    <row r="260">
      <c r="A260" s="126"/>
      <c r="B260" s="126"/>
      <c r="C260" s="126"/>
      <c r="D260" s="126"/>
      <c r="E260" s="126"/>
      <c r="F260" s="13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c r="AD260" s="126"/>
      <c r="AE260" s="126"/>
      <c r="AF260" s="126"/>
      <c r="AG260" s="126"/>
      <c r="AH260" s="126"/>
      <c r="AI260" s="126"/>
      <c r="AJ260" s="126"/>
      <c r="AK260" s="126"/>
      <c r="AL260" s="126"/>
      <c r="AM260" s="126"/>
      <c r="AN260" s="126"/>
      <c r="AO260" s="126"/>
      <c r="AP260" s="126"/>
      <c r="AQ260" s="126"/>
      <c r="AR260" s="126"/>
      <c r="AS260" s="126"/>
      <c r="AT260" s="126"/>
      <c r="AU260" s="126"/>
      <c r="AV260" s="126"/>
      <c r="AW260" s="126"/>
      <c r="AX260" s="126"/>
      <c r="AY260" s="126"/>
      <c r="AZ260" s="126"/>
      <c r="BA260" s="126"/>
      <c r="BB260" s="126"/>
      <c r="BC260" s="126"/>
      <c r="BD260" s="126"/>
    </row>
    <row r="261">
      <c r="A261" s="126"/>
      <c r="B261" s="126"/>
      <c r="C261" s="126"/>
      <c r="D261" s="126"/>
      <c r="E261" s="126"/>
      <c r="F261" s="13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c r="BC261" s="126"/>
      <c r="BD261" s="126"/>
    </row>
    <row r="262">
      <c r="A262" s="126"/>
      <c r="B262" s="126"/>
      <c r="C262" s="126"/>
      <c r="D262" s="126"/>
      <c r="E262" s="126"/>
      <c r="F262" s="13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c r="AD262" s="126"/>
      <c r="AE262" s="126"/>
      <c r="AF262" s="126"/>
      <c r="AG262" s="126"/>
      <c r="AH262" s="126"/>
      <c r="AI262" s="126"/>
      <c r="AJ262" s="126"/>
      <c r="AK262" s="126"/>
      <c r="AL262" s="126"/>
      <c r="AM262" s="126"/>
      <c r="AN262" s="126"/>
      <c r="AO262" s="126"/>
      <c r="AP262" s="126"/>
      <c r="AQ262" s="126"/>
      <c r="AR262" s="126"/>
      <c r="AS262" s="126"/>
      <c r="AT262" s="126"/>
      <c r="AU262" s="126"/>
      <c r="AV262" s="126"/>
      <c r="AW262" s="126"/>
      <c r="AX262" s="126"/>
      <c r="AY262" s="126"/>
      <c r="AZ262" s="126"/>
      <c r="BA262" s="126"/>
      <c r="BB262" s="126"/>
      <c r="BC262" s="126"/>
      <c r="BD262" s="126"/>
    </row>
    <row r="263">
      <c r="A263" s="126"/>
      <c r="B263" s="126"/>
      <c r="C263" s="126"/>
      <c r="D263" s="126"/>
      <c r="E263" s="126"/>
      <c r="F263" s="13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c r="AD263" s="126"/>
      <c r="AE263" s="126"/>
      <c r="AF263" s="126"/>
      <c r="AG263" s="126"/>
      <c r="AH263" s="126"/>
      <c r="AI263" s="126"/>
      <c r="AJ263" s="126"/>
      <c r="AK263" s="126"/>
      <c r="AL263" s="126"/>
      <c r="AM263" s="126"/>
      <c r="AN263" s="126"/>
      <c r="AO263" s="126"/>
      <c r="AP263" s="126"/>
      <c r="AQ263" s="126"/>
      <c r="AR263" s="126"/>
      <c r="AS263" s="126"/>
      <c r="AT263" s="126"/>
      <c r="AU263" s="126"/>
      <c r="AV263" s="126"/>
      <c r="AW263" s="126"/>
      <c r="AX263" s="126"/>
      <c r="AY263" s="126"/>
      <c r="AZ263" s="126"/>
      <c r="BA263" s="126"/>
      <c r="BB263" s="126"/>
      <c r="BC263" s="126"/>
      <c r="BD263" s="126"/>
    </row>
    <row r="264">
      <c r="A264" s="126"/>
      <c r="B264" s="126"/>
      <c r="C264" s="126"/>
      <c r="D264" s="126"/>
      <c r="E264" s="126"/>
      <c r="F264" s="13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c r="AD264" s="126"/>
      <c r="AE264" s="126"/>
      <c r="AF264" s="126"/>
      <c r="AG264" s="126"/>
      <c r="AH264" s="126"/>
      <c r="AI264" s="126"/>
      <c r="AJ264" s="126"/>
      <c r="AK264" s="126"/>
      <c r="AL264" s="126"/>
      <c r="AM264" s="126"/>
      <c r="AN264" s="126"/>
      <c r="AO264" s="126"/>
      <c r="AP264" s="126"/>
      <c r="AQ264" s="126"/>
      <c r="AR264" s="126"/>
      <c r="AS264" s="126"/>
      <c r="AT264" s="126"/>
      <c r="AU264" s="126"/>
      <c r="AV264" s="126"/>
      <c r="AW264" s="126"/>
      <c r="AX264" s="126"/>
      <c r="AY264" s="126"/>
      <c r="AZ264" s="126"/>
      <c r="BA264" s="126"/>
      <c r="BB264" s="126"/>
      <c r="BC264" s="126"/>
      <c r="BD264" s="126"/>
    </row>
    <row r="265">
      <c r="A265" s="126"/>
      <c r="B265" s="126"/>
      <c r="C265" s="126"/>
      <c r="D265" s="126"/>
      <c r="E265" s="126"/>
      <c r="F265" s="13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c r="AD265" s="126"/>
      <c r="AE265" s="126"/>
      <c r="AF265" s="126"/>
      <c r="AG265" s="126"/>
      <c r="AH265" s="126"/>
      <c r="AI265" s="126"/>
      <c r="AJ265" s="126"/>
      <c r="AK265" s="126"/>
      <c r="AL265" s="126"/>
      <c r="AM265" s="126"/>
      <c r="AN265" s="126"/>
      <c r="AO265" s="126"/>
      <c r="AP265" s="126"/>
      <c r="AQ265" s="126"/>
      <c r="AR265" s="126"/>
      <c r="AS265" s="126"/>
      <c r="AT265" s="126"/>
      <c r="AU265" s="126"/>
      <c r="AV265" s="126"/>
      <c r="AW265" s="126"/>
      <c r="AX265" s="126"/>
      <c r="AY265" s="126"/>
      <c r="AZ265" s="126"/>
      <c r="BA265" s="126"/>
      <c r="BB265" s="126"/>
      <c r="BC265" s="126"/>
      <c r="BD265" s="126"/>
    </row>
    <row r="266">
      <c r="A266" s="126"/>
      <c r="B266" s="126"/>
      <c r="C266" s="126"/>
      <c r="D266" s="126"/>
      <c r="E266" s="126"/>
      <c r="F266" s="13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c r="AD266" s="126"/>
      <c r="AE266" s="126"/>
      <c r="AF266" s="126"/>
      <c r="AG266" s="126"/>
      <c r="AH266" s="126"/>
      <c r="AI266" s="126"/>
      <c r="AJ266" s="126"/>
      <c r="AK266" s="126"/>
      <c r="AL266" s="126"/>
      <c r="AM266" s="126"/>
      <c r="AN266" s="126"/>
      <c r="AO266" s="126"/>
      <c r="AP266" s="126"/>
      <c r="AQ266" s="126"/>
      <c r="AR266" s="126"/>
      <c r="AS266" s="126"/>
      <c r="AT266" s="126"/>
      <c r="AU266" s="126"/>
      <c r="AV266" s="126"/>
      <c r="AW266" s="126"/>
      <c r="AX266" s="126"/>
      <c r="AY266" s="126"/>
      <c r="AZ266" s="126"/>
      <c r="BA266" s="126"/>
      <c r="BB266" s="126"/>
      <c r="BC266" s="126"/>
      <c r="BD266" s="126"/>
    </row>
    <row r="267">
      <c r="A267" s="126"/>
      <c r="B267" s="126"/>
      <c r="C267" s="126"/>
      <c r="D267" s="126"/>
      <c r="E267" s="126"/>
      <c r="F267" s="13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c r="BC267" s="126"/>
      <c r="BD267" s="126"/>
    </row>
    <row r="268">
      <c r="A268" s="126"/>
      <c r="B268" s="126"/>
      <c r="C268" s="126"/>
      <c r="D268" s="126"/>
      <c r="E268" s="126"/>
      <c r="F268" s="13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c r="AD268" s="126"/>
      <c r="AE268" s="126"/>
      <c r="AF268" s="126"/>
      <c r="AG268" s="126"/>
      <c r="AH268" s="126"/>
      <c r="AI268" s="126"/>
      <c r="AJ268" s="126"/>
      <c r="AK268" s="126"/>
      <c r="AL268" s="126"/>
      <c r="AM268" s="126"/>
      <c r="AN268" s="126"/>
      <c r="AO268" s="126"/>
      <c r="AP268" s="126"/>
      <c r="AQ268" s="126"/>
      <c r="AR268" s="126"/>
      <c r="AS268" s="126"/>
      <c r="AT268" s="126"/>
      <c r="AU268" s="126"/>
      <c r="AV268" s="126"/>
      <c r="AW268" s="126"/>
      <c r="AX268" s="126"/>
      <c r="AY268" s="126"/>
      <c r="AZ268" s="126"/>
      <c r="BA268" s="126"/>
      <c r="BB268" s="126"/>
      <c r="BC268" s="126"/>
      <c r="BD268" s="126"/>
    </row>
    <row r="269">
      <c r="A269" s="126"/>
      <c r="B269" s="126"/>
      <c r="C269" s="126"/>
      <c r="D269" s="126"/>
      <c r="E269" s="126"/>
      <c r="F269" s="13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c r="AD269" s="126"/>
      <c r="AE269" s="126"/>
      <c r="AF269" s="126"/>
      <c r="AG269" s="126"/>
      <c r="AH269" s="126"/>
      <c r="AI269" s="126"/>
      <c r="AJ269" s="126"/>
      <c r="AK269" s="126"/>
      <c r="AL269" s="126"/>
      <c r="AM269" s="126"/>
      <c r="AN269" s="126"/>
      <c r="AO269" s="126"/>
      <c r="AP269" s="126"/>
      <c r="AQ269" s="126"/>
      <c r="AR269" s="126"/>
      <c r="AS269" s="126"/>
      <c r="AT269" s="126"/>
      <c r="AU269" s="126"/>
      <c r="AV269" s="126"/>
      <c r="AW269" s="126"/>
      <c r="AX269" s="126"/>
      <c r="AY269" s="126"/>
      <c r="AZ269" s="126"/>
      <c r="BA269" s="126"/>
      <c r="BB269" s="126"/>
      <c r="BC269" s="126"/>
      <c r="BD269" s="126"/>
    </row>
    <row r="270">
      <c r="A270" s="126"/>
      <c r="B270" s="126"/>
      <c r="C270" s="126"/>
      <c r="D270" s="126"/>
      <c r="E270" s="126"/>
      <c r="F270" s="13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c r="AD270" s="126"/>
      <c r="AE270" s="126"/>
      <c r="AF270" s="126"/>
      <c r="AG270" s="126"/>
      <c r="AH270" s="126"/>
      <c r="AI270" s="126"/>
      <c r="AJ270" s="126"/>
      <c r="AK270" s="126"/>
      <c r="AL270" s="126"/>
      <c r="AM270" s="126"/>
      <c r="AN270" s="126"/>
      <c r="AO270" s="126"/>
      <c r="AP270" s="126"/>
      <c r="AQ270" s="126"/>
      <c r="AR270" s="126"/>
      <c r="AS270" s="126"/>
      <c r="AT270" s="126"/>
      <c r="AU270" s="126"/>
      <c r="AV270" s="126"/>
      <c r="AW270" s="126"/>
      <c r="AX270" s="126"/>
      <c r="AY270" s="126"/>
      <c r="AZ270" s="126"/>
      <c r="BA270" s="126"/>
      <c r="BB270" s="126"/>
      <c r="BC270" s="126"/>
      <c r="BD270" s="126"/>
    </row>
    <row r="271">
      <c r="A271" s="126"/>
      <c r="B271" s="126"/>
      <c r="C271" s="126"/>
      <c r="D271" s="126"/>
      <c r="E271" s="126"/>
      <c r="F271" s="13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c r="AD271" s="126"/>
      <c r="AE271" s="126"/>
      <c r="AF271" s="126"/>
      <c r="AG271" s="126"/>
      <c r="AH271" s="126"/>
      <c r="AI271" s="126"/>
      <c r="AJ271" s="126"/>
      <c r="AK271" s="126"/>
      <c r="AL271" s="126"/>
      <c r="AM271" s="126"/>
      <c r="AN271" s="126"/>
      <c r="AO271" s="126"/>
      <c r="AP271" s="126"/>
      <c r="AQ271" s="126"/>
      <c r="AR271" s="126"/>
      <c r="AS271" s="126"/>
      <c r="AT271" s="126"/>
      <c r="AU271" s="126"/>
      <c r="AV271" s="126"/>
      <c r="AW271" s="126"/>
      <c r="AX271" s="126"/>
      <c r="AY271" s="126"/>
      <c r="AZ271" s="126"/>
      <c r="BA271" s="126"/>
      <c r="BB271" s="126"/>
      <c r="BC271" s="126"/>
      <c r="BD271" s="126"/>
    </row>
    <row r="272">
      <c r="A272" s="126"/>
      <c r="B272" s="126"/>
      <c r="C272" s="126"/>
      <c r="D272" s="126"/>
      <c r="E272" s="126"/>
      <c r="F272" s="13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c r="AD272" s="126"/>
      <c r="AE272" s="126"/>
      <c r="AF272" s="126"/>
      <c r="AG272" s="126"/>
      <c r="AH272" s="126"/>
      <c r="AI272" s="126"/>
      <c r="AJ272" s="126"/>
      <c r="AK272" s="126"/>
      <c r="AL272" s="126"/>
      <c r="AM272" s="126"/>
      <c r="AN272" s="126"/>
      <c r="AO272" s="126"/>
      <c r="AP272" s="126"/>
      <c r="AQ272" s="126"/>
      <c r="AR272" s="126"/>
      <c r="AS272" s="126"/>
      <c r="AT272" s="126"/>
      <c r="AU272" s="126"/>
      <c r="AV272" s="126"/>
      <c r="AW272" s="126"/>
      <c r="AX272" s="126"/>
      <c r="AY272" s="126"/>
      <c r="AZ272" s="126"/>
      <c r="BA272" s="126"/>
      <c r="BB272" s="126"/>
      <c r="BC272" s="126"/>
      <c r="BD272" s="126"/>
    </row>
    <row r="273">
      <c r="A273" s="126"/>
      <c r="B273" s="126"/>
      <c r="C273" s="126"/>
      <c r="D273" s="126"/>
      <c r="E273" s="126"/>
      <c r="F273" s="13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c r="AD273" s="126"/>
      <c r="AE273" s="126"/>
      <c r="AF273" s="126"/>
      <c r="AG273" s="126"/>
      <c r="AH273" s="126"/>
      <c r="AI273" s="126"/>
      <c r="AJ273" s="126"/>
      <c r="AK273" s="126"/>
      <c r="AL273" s="126"/>
      <c r="AM273" s="126"/>
      <c r="AN273" s="126"/>
      <c r="AO273" s="126"/>
      <c r="AP273" s="126"/>
      <c r="AQ273" s="126"/>
      <c r="AR273" s="126"/>
      <c r="AS273" s="126"/>
      <c r="AT273" s="126"/>
      <c r="AU273" s="126"/>
      <c r="AV273" s="126"/>
      <c r="AW273" s="126"/>
      <c r="AX273" s="126"/>
      <c r="AY273" s="126"/>
      <c r="AZ273" s="126"/>
      <c r="BA273" s="126"/>
      <c r="BB273" s="126"/>
      <c r="BC273" s="126"/>
      <c r="BD273" s="126"/>
    </row>
    <row r="274">
      <c r="A274" s="126"/>
      <c r="B274" s="126"/>
      <c r="C274" s="126"/>
      <c r="D274" s="126"/>
      <c r="E274" s="126"/>
      <c r="F274" s="13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row>
    <row r="275">
      <c r="A275" s="126"/>
      <c r="B275" s="126"/>
      <c r="C275" s="126"/>
      <c r="D275" s="126"/>
      <c r="E275" s="126"/>
      <c r="F275" s="13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c r="AD275" s="126"/>
      <c r="AE275" s="126"/>
      <c r="AF275" s="126"/>
      <c r="AG275" s="126"/>
      <c r="AH275" s="126"/>
      <c r="AI275" s="126"/>
      <c r="AJ275" s="126"/>
      <c r="AK275" s="126"/>
      <c r="AL275" s="126"/>
      <c r="AM275" s="126"/>
      <c r="AN275" s="126"/>
      <c r="AO275" s="126"/>
      <c r="AP275" s="126"/>
      <c r="AQ275" s="126"/>
      <c r="AR275" s="126"/>
      <c r="AS275" s="126"/>
      <c r="AT275" s="126"/>
      <c r="AU275" s="126"/>
      <c r="AV275" s="126"/>
      <c r="AW275" s="126"/>
      <c r="AX275" s="126"/>
      <c r="AY275" s="126"/>
      <c r="AZ275" s="126"/>
      <c r="BA275" s="126"/>
      <c r="BB275" s="126"/>
      <c r="BC275" s="126"/>
      <c r="BD275" s="126"/>
    </row>
    <row r="276">
      <c r="A276" s="126"/>
      <c r="B276" s="126"/>
      <c r="C276" s="126"/>
      <c r="D276" s="126"/>
      <c r="E276" s="126"/>
      <c r="F276" s="13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c r="AD276" s="126"/>
      <c r="AE276" s="126"/>
      <c r="AF276" s="126"/>
      <c r="AG276" s="126"/>
      <c r="AH276" s="126"/>
      <c r="AI276" s="126"/>
      <c r="AJ276" s="126"/>
      <c r="AK276" s="126"/>
      <c r="AL276" s="126"/>
      <c r="AM276" s="126"/>
      <c r="AN276" s="126"/>
      <c r="AO276" s="126"/>
      <c r="AP276" s="126"/>
      <c r="AQ276" s="126"/>
      <c r="AR276" s="126"/>
      <c r="AS276" s="126"/>
      <c r="AT276" s="126"/>
      <c r="AU276" s="126"/>
      <c r="AV276" s="126"/>
      <c r="AW276" s="126"/>
      <c r="AX276" s="126"/>
      <c r="AY276" s="126"/>
      <c r="AZ276" s="126"/>
      <c r="BA276" s="126"/>
      <c r="BB276" s="126"/>
      <c r="BC276" s="126"/>
      <c r="BD276" s="126"/>
    </row>
    <row r="277">
      <c r="A277" s="126"/>
      <c r="B277" s="126"/>
      <c r="C277" s="126"/>
      <c r="D277" s="126"/>
      <c r="E277" s="126"/>
      <c r="F277" s="13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c r="AD277" s="126"/>
      <c r="AE277" s="126"/>
      <c r="AF277" s="126"/>
      <c r="AG277" s="126"/>
      <c r="AH277" s="126"/>
      <c r="AI277" s="126"/>
      <c r="AJ277" s="126"/>
      <c r="AK277" s="126"/>
      <c r="AL277" s="126"/>
      <c r="AM277" s="126"/>
      <c r="AN277" s="126"/>
      <c r="AO277" s="126"/>
      <c r="AP277" s="126"/>
      <c r="AQ277" s="126"/>
      <c r="AR277" s="126"/>
      <c r="AS277" s="126"/>
      <c r="AT277" s="126"/>
      <c r="AU277" s="126"/>
      <c r="AV277" s="126"/>
      <c r="AW277" s="126"/>
      <c r="AX277" s="126"/>
      <c r="AY277" s="126"/>
      <c r="AZ277" s="126"/>
      <c r="BA277" s="126"/>
      <c r="BB277" s="126"/>
      <c r="BC277" s="126"/>
      <c r="BD277" s="126"/>
    </row>
    <row r="278">
      <c r="A278" s="126"/>
      <c r="B278" s="126"/>
      <c r="C278" s="126"/>
      <c r="D278" s="126"/>
      <c r="E278" s="126"/>
      <c r="F278" s="13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c r="AD278" s="126"/>
      <c r="AE278" s="126"/>
      <c r="AF278" s="126"/>
      <c r="AG278" s="126"/>
      <c r="AH278" s="126"/>
      <c r="AI278" s="126"/>
      <c r="AJ278" s="126"/>
      <c r="AK278" s="126"/>
      <c r="AL278" s="126"/>
      <c r="AM278" s="126"/>
      <c r="AN278" s="126"/>
      <c r="AO278" s="126"/>
      <c r="AP278" s="126"/>
      <c r="AQ278" s="126"/>
      <c r="AR278" s="126"/>
      <c r="AS278" s="126"/>
      <c r="AT278" s="126"/>
      <c r="AU278" s="126"/>
      <c r="AV278" s="126"/>
      <c r="AW278" s="126"/>
      <c r="AX278" s="126"/>
      <c r="AY278" s="126"/>
      <c r="AZ278" s="126"/>
      <c r="BA278" s="126"/>
      <c r="BB278" s="126"/>
      <c r="BC278" s="126"/>
      <c r="BD278" s="126"/>
    </row>
    <row r="279">
      <c r="A279" s="126"/>
      <c r="B279" s="126"/>
      <c r="C279" s="126"/>
      <c r="D279" s="126"/>
      <c r="E279" s="126"/>
      <c r="F279" s="13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c r="AD279" s="126"/>
      <c r="AE279" s="126"/>
      <c r="AF279" s="126"/>
      <c r="AG279" s="126"/>
      <c r="AH279" s="126"/>
      <c r="AI279" s="126"/>
      <c r="AJ279" s="126"/>
      <c r="AK279" s="126"/>
      <c r="AL279" s="126"/>
      <c r="AM279" s="126"/>
      <c r="AN279" s="126"/>
      <c r="AO279" s="126"/>
      <c r="AP279" s="126"/>
      <c r="AQ279" s="126"/>
      <c r="AR279" s="126"/>
      <c r="AS279" s="126"/>
      <c r="AT279" s="126"/>
      <c r="AU279" s="126"/>
      <c r="AV279" s="126"/>
      <c r="AW279" s="126"/>
      <c r="AX279" s="126"/>
      <c r="AY279" s="126"/>
      <c r="AZ279" s="126"/>
      <c r="BA279" s="126"/>
      <c r="BB279" s="126"/>
      <c r="BC279" s="126"/>
      <c r="BD279" s="126"/>
    </row>
    <row r="280">
      <c r="A280" s="126"/>
      <c r="B280" s="126"/>
      <c r="C280" s="126"/>
      <c r="D280" s="126"/>
      <c r="E280" s="126"/>
      <c r="F280" s="13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c r="BC280" s="126"/>
      <c r="BD280" s="126"/>
    </row>
    <row r="281">
      <c r="A281" s="126"/>
      <c r="B281" s="126"/>
      <c r="C281" s="126"/>
      <c r="D281" s="126"/>
      <c r="E281" s="126"/>
      <c r="F281" s="13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c r="AD281" s="126"/>
      <c r="AE281" s="126"/>
      <c r="AF281" s="126"/>
      <c r="AG281" s="126"/>
      <c r="AH281" s="126"/>
      <c r="AI281" s="126"/>
      <c r="AJ281" s="126"/>
      <c r="AK281" s="126"/>
      <c r="AL281" s="126"/>
      <c r="AM281" s="126"/>
      <c r="AN281" s="126"/>
      <c r="AO281" s="126"/>
      <c r="AP281" s="126"/>
      <c r="AQ281" s="126"/>
      <c r="AR281" s="126"/>
      <c r="AS281" s="126"/>
      <c r="AT281" s="126"/>
      <c r="AU281" s="126"/>
      <c r="AV281" s="126"/>
      <c r="AW281" s="126"/>
      <c r="AX281" s="126"/>
      <c r="AY281" s="126"/>
      <c r="AZ281" s="126"/>
      <c r="BA281" s="126"/>
      <c r="BB281" s="126"/>
      <c r="BC281" s="126"/>
      <c r="BD281" s="126"/>
    </row>
    <row r="282">
      <c r="A282" s="126"/>
      <c r="B282" s="126"/>
      <c r="C282" s="126"/>
      <c r="D282" s="126"/>
      <c r="E282" s="126"/>
      <c r="F282" s="13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c r="AD282" s="126"/>
      <c r="AE282" s="126"/>
      <c r="AF282" s="126"/>
      <c r="AG282" s="126"/>
      <c r="AH282" s="126"/>
      <c r="AI282" s="126"/>
      <c r="AJ282" s="126"/>
      <c r="AK282" s="126"/>
      <c r="AL282" s="126"/>
      <c r="AM282" s="126"/>
      <c r="AN282" s="126"/>
      <c r="AO282" s="126"/>
      <c r="AP282" s="126"/>
      <c r="AQ282" s="126"/>
      <c r="AR282" s="126"/>
      <c r="AS282" s="126"/>
      <c r="AT282" s="126"/>
      <c r="AU282" s="126"/>
      <c r="AV282" s="126"/>
      <c r="AW282" s="126"/>
      <c r="AX282" s="126"/>
      <c r="AY282" s="126"/>
      <c r="AZ282" s="126"/>
      <c r="BA282" s="126"/>
      <c r="BB282" s="126"/>
      <c r="BC282" s="126"/>
      <c r="BD282" s="126"/>
    </row>
    <row r="283">
      <c r="A283" s="126"/>
      <c r="B283" s="126"/>
      <c r="C283" s="126"/>
      <c r="D283" s="126"/>
      <c r="E283" s="126"/>
      <c r="F283" s="13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c r="AD283" s="126"/>
      <c r="AE283" s="126"/>
      <c r="AF283" s="126"/>
      <c r="AG283" s="126"/>
      <c r="AH283" s="126"/>
      <c r="AI283" s="126"/>
      <c r="AJ283" s="126"/>
      <c r="AK283" s="126"/>
      <c r="AL283" s="126"/>
      <c r="AM283" s="126"/>
      <c r="AN283" s="126"/>
      <c r="AO283" s="126"/>
      <c r="AP283" s="126"/>
      <c r="AQ283" s="126"/>
      <c r="AR283" s="126"/>
      <c r="AS283" s="126"/>
      <c r="AT283" s="126"/>
      <c r="AU283" s="126"/>
      <c r="AV283" s="126"/>
      <c r="AW283" s="126"/>
      <c r="AX283" s="126"/>
      <c r="AY283" s="126"/>
      <c r="AZ283" s="126"/>
      <c r="BA283" s="126"/>
      <c r="BB283" s="126"/>
      <c r="BC283" s="126"/>
      <c r="BD283" s="126"/>
    </row>
    <row r="284">
      <c r="A284" s="126"/>
      <c r="B284" s="126"/>
      <c r="C284" s="126"/>
      <c r="D284" s="126"/>
      <c r="E284" s="126"/>
      <c r="F284" s="13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c r="AD284" s="126"/>
      <c r="AE284" s="126"/>
      <c r="AF284" s="126"/>
      <c r="AG284" s="126"/>
      <c r="AH284" s="126"/>
      <c r="AI284" s="126"/>
      <c r="AJ284" s="126"/>
      <c r="AK284" s="126"/>
      <c r="AL284" s="126"/>
      <c r="AM284" s="126"/>
      <c r="AN284" s="126"/>
      <c r="AO284" s="126"/>
      <c r="AP284" s="126"/>
      <c r="AQ284" s="126"/>
      <c r="AR284" s="126"/>
      <c r="AS284" s="126"/>
      <c r="AT284" s="126"/>
      <c r="AU284" s="126"/>
      <c r="AV284" s="126"/>
      <c r="AW284" s="126"/>
      <c r="AX284" s="126"/>
      <c r="AY284" s="126"/>
      <c r="AZ284" s="126"/>
      <c r="BA284" s="126"/>
      <c r="BB284" s="126"/>
      <c r="BC284" s="126"/>
      <c r="BD284" s="126"/>
    </row>
    <row r="285">
      <c r="A285" s="126"/>
      <c r="B285" s="126"/>
      <c r="C285" s="126"/>
      <c r="D285" s="126"/>
      <c r="E285" s="126"/>
      <c r="F285" s="13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c r="AD285" s="126"/>
      <c r="AE285" s="126"/>
      <c r="AF285" s="126"/>
      <c r="AG285" s="126"/>
      <c r="AH285" s="126"/>
      <c r="AI285" s="126"/>
      <c r="AJ285" s="126"/>
      <c r="AK285" s="126"/>
      <c r="AL285" s="126"/>
      <c r="AM285" s="126"/>
      <c r="AN285" s="126"/>
      <c r="AO285" s="126"/>
      <c r="AP285" s="126"/>
      <c r="AQ285" s="126"/>
      <c r="AR285" s="126"/>
      <c r="AS285" s="126"/>
      <c r="AT285" s="126"/>
      <c r="AU285" s="126"/>
      <c r="AV285" s="126"/>
      <c r="AW285" s="126"/>
      <c r="AX285" s="126"/>
      <c r="AY285" s="126"/>
      <c r="AZ285" s="126"/>
      <c r="BA285" s="126"/>
      <c r="BB285" s="126"/>
      <c r="BC285" s="126"/>
      <c r="BD285" s="126"/>
    </row>
    <row r="286">
      <c r="A286" s="126"/>
      <c r="B286" s="126"/>
      <c r="C286" s="126"/>
      <c r="D286" s="126"/>
      <c r="E286" s="126"/>
      <c r="F286" s="13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c r="AD286" s="126"/>
      <c r="AE286" s="126"/>
      <c r="AF286" s="126"/>
      <c r="AG286" s="126"/>
      <c r="AH286" s="126"/>
      <c r="AI286" s="126"/>
      <c r="AJ286" s="126"/>
      <c r="AK286" s="126"/>
      <c r="AL286" s="126"/>
      <c r="AM286" s="126"/>
      <c r="AN286" s="126"/>
      <c r="AO286" s="126"/>
      <c r="AP286" s="126"/>
      <c r="AQ286" s="126"/>
      <c r="AR286" s="126"/>
      <c r="AS286" s="126"/>
      <c r="AT286" s="126"/>
      <c r="AU286" s="126"/>
      <c r="AV286" s="126"/>
      <c r="AW286" s="126"/>
      <c r="AX286" s="126"/>
      <c r="AY286" s="126"/>
      <c r="AZ286" s="126"/>
      <c r="BA286" s="126"/>
      <c r="BB286" s="126"/>
      <c r="BC286" s="126"/>
      <c r="BD286" s="126"/>
    </row>
    <row r="287">
      <c r="A287" s="126"/>
      <c r="B287" s="126"/>
      <c r="C287" s="126"/>
      <c r="D287" s="126"/>
      <c r="E287" s="126"/>
      <c r="F287" s="13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c r="BC287" s="126"/>
      <c r="BD287" s="126"/>
    </row>
    <row r="288">
      <c r="A288" s="126"/>
      <c r="B288" s="126"/>
      <c r="C288" s="126"/>
      <c r="D288" s="126"/>
      <c r="E288" s="126"/>
      <c r="F288" s="13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c r="AD288" s="126"/>
      <c r="AE288" s="126"/>
      <c r="AF288" s="126"/>
      <c r="AG288" s="126"/>
      <c r="AH288" s="126"/>
      <c r="AI288" s="126"/>
      <c r="AJ288" s="126"/>
      <c r="AK288" s="126"/>
      <c r="AL288" s="126"/>
      <c r="AM288" s="126"/>
      <c r="AN288" s="126"/>
      <c r="AO288" s="126"/>
      <c r="AP288" s="126"/>
      <c r="AQ288" s="126"/>
      <c r="AR288" s="126"/>
      <c r="AS288" s="126"/>
      <c r="AT288" s="126"/>
      <c r="AU288" s="126"/>
      <c r="AV288" s="126"/>
      <c r="AW288" s="126"/>
      <c r="AX288" s="126"/>
      <c r="AY288" s="126"/>
      <c r="AZ288" s="126"/>
      <c r="BA288" s="126"/>
      <c r="BB288" s="126"/>
      <c r="BC288" s="126"/>
      <c r="BD288" s="126"/>
    </row>
    <row r="289">
      <c r="A289" s="126"/>
      <c r="B289" s="126"/>
      <c r="C289" s="126"/>
      <c r="D289" s="126"/>
      <c r="E289" s="126"/>
      <c r="F289" s="13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c r="AD289" s="126"/>
      <c r="AE289" s="126"/>
      <c r="AF289" s="126"/>
      <c r="AG289" s="126"/>
      <c r="AH289" s="126"/>
      <c r="AI289" s="126"/>
      <c r="AJ289" s="126"/>
      <c r="AK289" s="126"/>
      <c r="AL289" s="126"/>
      <c r="AM289" s="126"/>
      <c r="AN289" s="126"/>
      <c r="AO289" s="126"/>
      <c r="AP289" s="126"/>
      <c r="AQ289" s="126"/>
      <c r="AR289" s="126"/>
      <c r="AS289" s="126"/>
      <c r="AT289" s="126"/>
      <c r="AU289" s="126"/>
      <c r="AV289" s="126"/>
      <c r="AW289" s="126"/>
      <c r="AX289" s="126"/>
      <c r="AY289" s="126"/>
      <c r="AZ289" s="126"/>
      <c r="BA289" s="126"/>
      <c r="BB289" s="126"/>
      <c r="BC289" s="126"/>
      <c r="BD289" s="126"/>
    </row>
    <row r="290">
      <c r="A290" s="126"/>
      <c r="B290" s="126"/>
      <c r="C290" s="126"/>
      <c r="D290" s="126"/>
      <c r="E290" s="126"/>
      <c r="F290" s="13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c r="AD290" s="126"/>
      <c r="AE290" s="126"/>
      <c r="AF290" s="126"/>
      <c r="AG290" s="126"/>
      <c r="AH290" s="126"/>
      <c r="AI290" s="126"/>
      <c r="AJ290" s="126"/>
      <c r="AK290" s="126"/>
      <c r="AL290" s="126"/>
      <c r="AM290" s="126"/>
      <c r="AN290" s="126"/>
      <c r="AO290" s="126"/>
      <c r="AP290" s="126"/>
      <c r="AQ290" s="126"/>
      <c r="AR290" s="126"/>
      <c r="AS290" s="126"/>
      <c r="AT290" s="126"/>
      <c r="AU290" s="126"/>
      <c r="AV290" s="126"/>
      <c r="AW290" s="126"/>
      <c r="AX290" s="126"/>
      <c r="AY290" s="126"/>
      <c r="AZ290" s="126"/>
      <c r="BA290" s="126"/>
      <c r="BB290" s="126"/>
      <c r="BC290" s="126"/>
      <c r="BD290" s="126"/>
    </row>
    <row r="291">
      <c r="A291" s="126"/>
      <c r="B291" s="126"/>
      <c r="C291" s="126"/>
      <c r="D291" s="126"/>
      <c r="E291" s="126"/>
      <c r="F291" s="13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c r="AD291" s="126"/>
      <c r="AE291" s="126"/>
      <c r="AF291" s="126"/>
      <c r="AG291" s="126"/>
      <c r="AH291" s="126"/>
      <c r="AI291" s="126"/>
      <c r="AJ291" s="126"/>
      <c r="AK291" s="126"/>
      <c r="AL291" s="126"/>
      <c r="AM291" s="126"/>
      <c r="AN291" s="126"/>
      <c r="AO291" s="126"/>
      <c r="AP291" s="126"/>
      <c r="AQ291" s="126"/>
      <c r="AR291" s="126"/>
      <c r="AS291" s="126"/>
      <c r="AT291" s="126"/>
      <c r="AU291" s="126"/>
      <c r="AV291" s="126"/>
      <c r="AW291" s="126"/>
      <c r="AX291" s="126"/>
      <c r="AY291" s="126"/>
      <c r="AZ291" s="126"/>
      <c r="BA291" s="126"/>
      <c r="BB291" s="126"/>
      <c r="BC291" s="126"/>
      <c r="BD291" s="126"/>
    </row>
    <row r="292">
      <c r="A292" s="126"/>
      <c r="B292" s="126"/>
      <c r="C292" s="126"/>
      <c r="D292" s="126"/>
      <c r="E292" s="126"/>
      <c r="F292" s="13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c r="AD292" s="126"/>
      <c r="AE292" s="126"/>
      <c r="AF292" s="126"/>
      <c r="AG292" s="126"/>
      <c r="AH292" s="126"/>
      <c r="AI292" s="126"/>
      <c r="AJ292" s="126"/>
      <c r="AK292" s="126"/>
      <c r="AL292" s="126"/>
      <c r="AM292" s="126"/>
      <c r="AN292" s="126"/>
      <c r="AO292" s="126"/>
      <c r="AP292" s="126"/>
      <c r="AQ292" s="126"/>
      <c r="AR292" s="126"/>
      <c r="AS292" s="126"/>
      <c r="AT292" s="126"/>
      <c r="AU292" s="126"/>
      <c r="AV292" s="126"/>
      <c r="AW292" s="126"/>
      <c r="AX292" s="126"/>
      <c r="AY292" s="126"/>
      <c r="AZ292" s="126"/>
      <c r="BA292" s="126"/>
      <c r="BB292" s="126"/>
      <c r="BC292" s="126"/>
      <c r="BD292" s="126"/>
    </row>
    <row r="293">
      <c r="A293" s="126"/>
      <c r="B293" s="126"/>
      <c r="C293" s="126"/>
      <c r="D293" s="126"/>
      <c r="E293" s="126"/>
      <c r="F293" s="13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row>
    <row r="294">
      <c r="A294" s="126"/>
      <c r="B294" s="126"/>
      <c r="C294" s="126"/>
      <c r="D294" s="126"/>
      <c r="E294" s="126"/>
      <c r="F294" s="13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c r="AD294" s="126"/>
      <c r="AE294" s="126"/>
      <c r="AF294" s="126"/>
      <c r="AG294" s="126"/>
      <c r="AH294" s="126"/>
      <c r="AI294" s="126"/>
      <c r="AJ294" s="126"/>
      <c r="AK294" s="126"/>
      <c r="AL294" s="126"/>
      <c r="AM294" s="126"/>
      <c r="AN294" s="126"/>
      <c r="AO294" s="126"/>
      <c r="AP294" s="126"/>
      <c r="AQ294" s="126"/>
      <c r="AR294" s="126"/>
      <c r="AS294" s="126"/>
      <c r="AT294" s="126"/>
      <c r="AU294" s="126"/>
      <c r="AV294" s="126"/>
      <c r="AW294" s="126"/>
      <c r="AX294" s="126"/>
      <c r="AY294" s="126"/>
      <c r="AZ294" s="126"/>
      <c r="BA294" s="126"/>
      <c r="BB294" s="126"/>
      <c r="BC294" s="126"/>
      <c r="BD294" s="126"/>
    </row>
    <row r="295">
      <c r="A295" s="126"/>
      <c r="B295" s="126"/>
      <c r="C295" s="126"/>
      <c r="D295" s="126"/>
      <c r="E295" s="126"/>
      <c r="F295" s="13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c r="AD295" s="126"/>
      <c r="AE295" s="126"/>
      <c r="AF295" s="126"/>
      <c r="AG295" s="126"/>
      <c r="AH295" s="126"/>
      <c r="AI295" s="126"/>
      <c r="AJ295" s="126"/>
      <c r="AK295" s="126"/>
      <c r="AL295" s="126"/>
      <c r="AM295" s="126"/>
      <c r="AN295" s="126"/>
      <c r="AO295" s="126"/>
      <c r="AP295" s="126"/>
      <c r="AQ295" s="126"/>
      <c r="AR295" s="126"/>
      <c r="AS295" s="126"/>
      <c r="AT295" s="126"/>
      <c r="AU295" s="126"/>
      <c r="AV295" s="126"/>
      <c r="AW295" s="126"/>
      <c r="AX295" s="126"/>
      <c r="AY295" s="126"/>
      <c r="AZ295" s="126"/>
      <c r="BA295" s="126"/>
      <c r="BB295" s="126"/>
      <c r="BC295" s="126"/>
      <c r="BD295" s="126"/>
    </row>
    <row r="296">
      <c r="A296" s="126"/>
      <c r="B296" s="126"/>
      <c r="C296" s="126"/>
      <c r="D296" s="126"/>
      <c r="E296" s="126"/>
      <c r="F296" s="13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c r="AD296" s="126"/>
      <c r="AE296" s="126"/>
      <c r="AF296" s="126"/>
      <c r="AG296" s="126"/>
      <c r="AH296" s="126"/>
      <c r="AI296" s="126"/>
      <c r="AJ296" s="126"/>
      <c r="AK296" s="126"/>
      <c r="AL296" s="126"/>
      <c r="AM296" s="126"/>
      <c r="AN296" s="126"/>
      <c r="AO296" s="126"/>
      <c r="AP296" s="126"/>
      <c r="AQ296" s="126"/>
      <c r="AR296" s="126"/>
      <c r="AS296" s="126"/>
      <c r="AT296" s="126"/>
      <c r="AU296" s="126"/>
      <c r="AV296" s="126"/>
      <c r="AW296" s="126"/>
      <c r="AX296" s="126"/>
      <c r="AY296" s="126"/>
      <c r="AZ296" s="126"/>
      <c r="BA296" s="126"/>
      <c r="BB296" s="126"/>
      <c r="BC296" s="126"/>
      <c r="BD296" s="126"/>
    </row>
    <row r="297">
      <c r="A297" s="126"/>
      <c r="B297" s="126"/>
      <c r="C297" s="126"/>
      <c r="D297" s="126"/>
      <c r="E297" s="126"/>
      <c r="F297" s="13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c r="AD297" s="126"/>
      <c r="AE297" s="126"/>
      <c r="AF297" s="126"/>
      <c r="AG297" s="126"/>
      <c r="AH297" s="126"/>
      <c r="AI297" s="126"/>
      <c r="AJ297" s="126"/>
      <c r="AK297" s="126"/>
      <c r="AL297" s="126"/>
      <c r="AM297" s="126"/>
      <c r="AN297" s="126"/>
      <c r="AO297" s="126"/>
      <c r="AP297" s="126"/>
      <c r="AQ297" s="126"/>
      <c r="AR297" s="126"/>
      <c r="AS297" s="126"/>
      <c r="AT297" s="126"/>
      <c r="AU297" s="126"/>
      <c r="AV297" s="126"/>
      <c r="AW297" s="126"/>
      <c r="AX297" s="126"/>
      <c r="AY297" s="126"/>
      <c r="AZ297" s="126"/>
      <c r="BA297" s="126"/>
      <c r="BB297" s="126"/>
      <c r="BC297" s="126"/>
      <c r="BD297" s="126"/>
    </row>
    <row r="298">
      <c r="A298" s="126"/>
      <c r="B298" s="126"/>
      <c r="C298" s="126"/>
      <c r="D298" s="126"/>
      <c r="E298" s="126"/>
      <c r="F298" s="13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c r="AD298" s="126"/>
      <c r="AE298" s="126"/>
      <c r="AF298" s="126"/>
      <c r="AG298" s="126"/>
      <c r="AH298" s="126"/>
      <c r="AI298" s="126"/>
      <c r="AJ298" s="126"/>
      <c r="AK298" s="126"/>
      <c r="AL298" s="126"/>
      <c r="AM298" s="126"/>
      <c r="AN298" s="126"/>
      <c r="AO298" s="126"/>
      <c r="AP298" s="126"/>
      <c r="AQ298" s="126"/>
      <c r="AR298" s="126"/>
      <c r="AS298" s="126"/>
      <c r="AT298" s="126"/>
      <c r="AU298" s="126"/>
      <c r="AV298" s="126"/>
      <c r="AW298" s="126"/>
      <c r="AX298" s="126"/>
      <c r="AY298" s="126"/>
      <c r="AZ298" s="126"/>
      <c r="BA298" s="126"/>
      <c r="BB298" s="126"/>
      <c r="BC298" s="126"/>
      <c r="BD298" s="126"/>
    </row>
    <row r="299">
      <c r="A299" s="126"/>
      <c r="B299" s="126"/>
      <c r="C299" s="126"/>
      <c r="D299" s="126"/>
      <c r="E299" s="126"/>
      <c r="F299" s="13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c r="BC299" s="126"/>
      <c r="BD299" s="126"/>
    </row>
    <row r="300">
      <c r="A300" s="126"/>
      <c r="B300" s="126"/>
      <c r="C300" s="126"/>
      <c r="D300" s="126"/>
      <c r="E300" s="126"/>
      <c r="F300" s="13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c r="AD300" s="126"/>
      <c r="AE300" s="126"/>
      <c r="AF300" s="126"/>
      <c r="AG300" s="126"/>
      <c r="AH300" s="126"/>
      <c r="AI300" s="126"/>
      <c r="AJ300" s="126"/>
      <c r="AK300" s="126"/>
      <c r="AL300" s="126"/>
      <c r="AM300" s="126"/>
      <c r="AN300" s="126"/>
      <c r="AO300" s="126"/>
      <c r="AP300" s="126"/>
      <c r="AQ300" s="126"/>
      <c r="AR300" s="126"/>
      <c r="AS300" s="126"/>
      <c r="AT300" s="126"/>
      <c r="AU300" s="126"/>
      <c r="AV300" s="126"/>
      <c r="AW300" s="126"/>
      <c r="AX300" s="126"/>
      <c r="AY300" s="126"/>
      <c r="AZ300" s="126"/>
      <c r="BA300" s="126"/>
      <c r="BB300" s="126"/>
      <c r="BC300" s="126"/>
      <c r="BD300" s="126"/>
    </row>
    <row r="301">
      <c r="A301" s="126"/>
      <c r="B301" s="126"/>
      <c r="C301" s="126"/>
      <c r="D301" s="126"/>
      <c r="E301" s="126"/>
      <c r="F301" s="13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c r="AD301" s="126"/>
      <c r="AE301" s="126"/>
      <c r="AF301" s="126"/>
      <c r="AG301" s="126"/>
      <c r="AH301" s="126"/>
      <c r="AI301" s="126"/>
      <c r="AJ301" s="126"/>
      <c r="AK301" s="126"/>
      <c r="AL301" s="126"/>
      <c r="AM301" s="126"/>
      <c r="AN301" s="126"/>
      <c r="AO301" s="126"/>
      <c r="AP301" s="126"/>
      <c r="AQ301" s="126"/>
      <c r="AR301" s="126"/>
      <c r="AS301" s="126"/>
      <c r="AT301" s="126"/>
      <c r="AU301" s="126"/>
      <c r="AV301" s="126"/>
      <c r="AW301" s="126"/>
      <c r="AX301" s="126"/>
      <c r="AY301" s="126"/>
      <c r="AZ301" s="126"/>
      <c r="BA301" s="126"/>
      <c r="BB301" s="126"/>
      <c r="BC301" s="126"/>
      <c r="BD301" s="126"/>
    </row>
    <row r="302">
      <c r="A302" s="126"/>
      <c r="B302" s="126"/>
      <c r="C302" s="126"/>
      <c r="D302" s="126"/>
      <c r="E302" s="126"/>
      <c r="F302" s="13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c r="AD302" s="126"/>
      <c r="AE302" s="126"/>
      <c r="AF302" s="126"/>
      <c r="AG302" s="126"/>
      <c r="AH302" s="126"/>
      <c r="AI302" s="126"/>
      <c r="AJ302" s="126"/>
      <c r="AK302" s="126"/>
      <c r="AL302" s="126"/>
      <c r="AM302" s="126"/>
      <c r="AN302" s="126"/>
      <c r="AO302" s="126"/>
      <c r="AP302" s="126"/>
      <c r="AQ302" s="126"/>
      <c r="AR302" s="126"/>
      <c r="AS302" s="126"/>
      <c r="AT302" s="126"/>
      <c r="AU302" s="126"/>
      <c r="AV302" s="126"/>
      <c r="AW302" s="126"/>
      <c r="AX302" s="126"/>
      <c r="AY302" s="126"/>
      <c r="AZ302" s="126"/>
      <c r="BA302" s="126"/>
      <c r="BB302" s="126"/>
      <c r="BC302" s="126"/>
      <c r="BD302" s="126"/>
    </row>
    <row r="303">
      <c r="A303" s="126"/>
      <c r="B303" s="126"/>
      <c r="C303" s="126"/>
      <c r="D303" s="126"/>
      <c r="E303" s="126"/>
      <c r="F303" s="13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c r="AD303" s="126"/>
      <c r="AE303" s="126"/>
      <c r="AF303" s="126"/>
      <c r="AG303" s="126"/>
      <c r="AH303" s="126"/>
      <c r="AI303" s="126"/>
      <c r="AJ303" s="126"/>
      <c r="AK303" s="126"/>
      <c r="AL303" s="126"/>
      <c r="AM303" s="126"/>
      <c r="AN303" s="126"/>
      <c r="AO303" s="126"/>
      <c r="AP303" s="126"/>
      <c r="AQ303" s="126"/>
      <c r="AR303" s="126"/>
      <c r="AS303" s="126"/>
      <c r="AT303" s="126"/>
      <c r="AU303" s="126"/>
      <c r="AV303" s="126"/>
      <c r="AW303" s="126"/>
      <c r="AX303" s="126"/>
      <c r="AY303" s="126"/>
      <c r="AZ303" s="126"/>
      <c r="BA303" s="126"/>
      <c r="BB303" s="126"/>
      <c r="BC303" s="126"/>
      <c r="BD303" s="126"/>
    </row>
    <row r="304">
      <c r="A304" s="126"/>
      <c r="B304" s="126"/>
      <c r="C304" s="126"/>
      <c r="D304" s="126"/>
      <c r="E304" s="126"/>
      <c r="F304" s="13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c r="AD304" s="126"/>
      <c r="AE304" s="126"/>
      <c r="AF304" s="126"/>
      <c r="AG304" s="126"/>
      <c r="AH304" s="126"/>
      <c r="AI304" s="126"/>
      <c r="AJ304" s="126"/>
      <c r="AK304" s="126"/>
      <c r="AL304" s="126"/>
      <c r="AM304" s="126"/>
      <c r="AN304" s="126"/>
      <c r="AO304" s="126"/>
      <c r="AP304" s="126"/>
      <c r="AQ304" s="126"/>
      <c r="AR304" s="126"/>
      <c r="AS304" s="126"/>
      <c r="AT304" s="126"/>
      <c r="AU304" s="126"/>
      <c r="AV304" s="126"/>
      <c r="AW304" s="126"/>
      <c r="AX304" s="126"/>
      <c r="AY304" s="126"/>
      <c r="AZ304" s="126"/>
      <c r="BA304" s="126"/>
      <c r="BB304" s="126"/>
      <c r="BC304" s="126"/>
      <c r="BD304" s="126"/>
    </row>
    <row r="305">
      <c r="A305" s="126"/>
      <c r="B305" s="126"/>
      <c r="C305" s="126"/>
      <c r="D305" s="126"/>
      <c r="E305" s="126"/>
      <c r="F305" s="13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c r="BC305" s="126"/>
      <c r="BD305" s="126"/>
    </row>
    <row r="306">
      <c r="A306" s="126"/>
      <c r="B306" s="126"/>
      <c r="C306" s="126"/>
      <c r="D306" s="126"/>
      <c r="E306" s="126"/>
      <c r="F306" s="13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c r="AD306" s="126"/>
      <c r="AE306" s="126"/>
      <c r="AF306" s="126"/>
      <c r="AG306" s="126"/>
      <c r="AH306" s="126"/>
      <c r="AI306" s="126"/>
      <c r="AJ306" s="126"/>
      <c r="AK306" s="126"/>
      <c r="AL306" s="126"/>
      <c r="AM306" s="126"/>
      <c r="AN306" s="126"/>
      <c r="AO306" s="126"/>
      <c r="AP306" s="126"/>
      <c r="AQ306" s="126"/>
      <c r="AR306" s="126"/>
      <c r="AS306" s="126"/>
      <c r="AT306" s="126"/>
      <c r="AU306" s="126"/>
      <c r="AV306" s="126"/>
      <c r="AW306" s="126"/>
      <c r="AX306" s="126"/>
      <c r="AY306" s="126"/>
      <c r="AZ306" s="126"/>
      <c r="BA306" s="126"/>
      <c r="BB306" s="126"/>
      <c r="BC306" s="126"/>
      <c r="BD306" s="126"/>
    </row>
    <row r="307">
      <c r="A307" s="126"/>
      <c r="B307" s="126"/>
      <c r="C307" s="126"/>
      <c r="D307" s="126"/>
      <c r="E307" s="126"/>
      <c r="F307" s="13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c r="AD307" s="126"/>
      <c r="AE307" s="126"/>
      <c r="AF307" s="126"/>
      <c r="AG307" s="126"/>
      <c r="AH307" s="126"/>
      <c r="AI307" s="126"/>
      <c r="AJ307" s="126"/>
      <c r="AK307" s="126"/>
      <c r="AL307" s="126"/>
      <c r="AM307" s="126"/>
      <c r="AN307" s="126"/>
      <c r="AO307" s="126"/>
      <c r="AP307" s="126"/>
      <c r="AQ307" s="126"/>
      <c r="AR307" s="126"/>
      <c r="AS307" s="126"/>
      <c r="AT307" s="126"/>
      <c r="AU307" s="126"/>
      <c r="AV307" s="126"/>
      <c r="AW307" s="126"/>
      <c r="AX307" s="126"/>
      <c r="AY307" s="126"/>
      <c r="AZ307" s="126"/>
      <c r="BA307" s="126"/>
      <c r="BB307" s="126"/>
      <c r="BC307" s="126"/>
      <c r="BD307" s="126"/>
    </row>
    <row r="308">
      <c r="A308" s="126"/>
      <c r="B308" s="126"/>
      <c r="C308" s="126"/>
      <c r="D308" s="126"/>
      <c r="E308" s="126"/>
      <c r="F308" s="13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c r="AD308" s="126"/>
      <c r="AE308" s="126"/>
      <c r="AF308" s="126"/>
      <c r="AG308" s="126"/>
      <c r="AH308" s="126"/>
      <c r="AI308" s="126"/>
      <c r="AJ308" s="126"/>
      <c r="AK308" s="126"/>
      <c r="AL308" s="126"/>
      <c r="AM308" s="126"/>
      <c r="AN308" s="126"/>
      <c r="AO308" s="126"/>
      <c r="AP308" s="126"/>
      <c r="AQ308" s="126"/>
      <c r="AR308" s="126"/>
      <c r="AS308" s="126"/>
      <c r="AT308" s="126"/>
      <c r="AU308" s="126"/>
      <c r="AV308" s="126"/>
      <c r="AW308" s="126"/>
      <c r="AX308" s="126"/>
      <c r="AY308" s="126"/>
      <c r="AZ308" s="126"/>
      <c r="BA308" s="126"/>
      <c r="BB308" s="126"/>
      <c r="BC308" s="126"/>
      <c r="BD308" s="126"/>
    </row>
    <row r="309">
      <c r="A309" s="126"/>
      <c r="B309" s="126"/>
      <c r="C309" s="126"/>
      <c r="D309" s="126"/>
      <c r="E309" s="126"/>
      <c r="F309" s="13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c r="AD309" s="126"/>
      <c r="AE309" s="126"/>
      <c r="AF309" s="126"/>
      <c r="AG309" s="126"/>
      <c r="AH309" s="126"/>
      <c r="AI309" s="126"/>
      <c r="AJ309" s="126"/>
      <c r="AK309" s="126"/>
      <c r="AL309" s="126"/>
      <c r="AM309" s="126"/>
      <c r="AN309" s="126"/>
      <c r="AO309" s="126"/>
      <c r="AP309" s="126"/>
      <c r="AQ309" s="126"/>
      <c r="AR309" s="126"/>
      <c r="AS309" s="126"/>
      <c r="AT309" s="126"/>
      <c r="AU309" s="126"/>
      <c r="AV309" s="126"/>
      <c r="AW309" s="126"/>
      <c r="AX309" s="126"/>
      <c r="AY309" s="126"/>
      <c r="AZ309" s="126"/>
      <c r="BA309" s="126"/>
      <c r="BB309" s="126"/>
      <c r="BC309" s="126"/>
      <c r="BD309" s="126"/>
    </row>
    <row r="310">
      <c r="A310" s="126"/>
      <c r="B310" s="126"/>
      <c r="C310" s="126"/>
      <c r="D310" s="126"/>
      <c r="E310" s="126"/>
      <c r="F310" s="13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c r="AD310" s="126"/>
      <c r="AE310" s="126"/>
      <c r="AF310" s="126"/>
      <c r="AG310" s="126"/>
      <c r="AH310" s="126"/>
      <c r="AI310" s="126"/>
      <c r="AJ310" s="126"/>
      <c r="AK310" s="126"/>
      <c r="AL310" s="126"/>
      <c r="AM310" s="126"/>
      <c r="AN310" s="126"/>
      <c r="AO310" s="126"/>
      <c r="AP310" s="126"/>
      <c r="AQ310" s="126"/>
      <c r="AR310" s="126"/>
      <c r="AS310" s="126"/>
      <c r="AT310" s="126"/>
      <c r="AU310" s="126"/>
      <c r="AV310" s="126"/>
      <c r="AW310" s="126"/>
      <c r="AX310" s="126"/>
      <c r="AY310" s="126"/>
      <c r="AZ310" s="126"/>
      <c r="BA310" s="126"/>
      <c r="BB310" s="126"/>
      <c r="BC310" s="126"/>
      <c r="BD310" s="126"/>
    </row>
    <row r="311">
      <c r="A311" s="126"/>
      <c r="B311" s="126"/>
      <c r="C311" s="126"/>
      <c r="D311" s="126"/>
      <c r="E311" s="126"/>
      <c r="F311" s="13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c r="BC311" s="126"/>
      <c r="BD311" s="126"/>
    </row>
    <row r="312">
      <c r="A312" s="126"/>
      <c r="B312" s="126"/>
      <c r="C312" s="126"/>
      <c r="D312" s="126"/>
      <c r="E312" s="126"/>
      <c r="F312" s="13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c r="AD312" s="126"/>
      <c r="AE312" s="126"/>
      <c r="AF312" s="126"/>
      <c r="AG312" s="126"/>
      <c r="AH312" s="126"/>
      <c r="AI312" s="126"/>
      <c r="AJ312" s="126"/>
      <c r="AK312" s="126"/>
      <c r="AL312" s="126"/>
      <c r="AM312" s="126"/>
      <c r="AN312" s="126"/>
      <c r="AO312" s="126"/>
      <c r="AP312" s="126"/>
      <c r="AQ312" s="126"/>
      <c r="AR312" s="126"/>
      <c r="AS312" s="126"/>
      <c r="AT312" s="126"/>
      <c r="AU312" s="126"/>
      <c r="AV312" s="126"/>
      <c r="AW312" s="126"/>
      <c r="AX312" s="126"/>
      <c r="AY312" s="126"/>
      <c r="AZ312" s="126"/>
      <c r="BA312" s="126"/>
      <c r="BB312" s="126"/>
      <c r="BC312" s="126"/>
      <c r="BD312" s="126"/>
    </row>
    <row r="313">
      <c r="A313" s="126"/>
      <c r="B313" s="126"/>
      <c r="C313" s="126"/>
      <c r="D313" s="126"/>
      <c r="E313" s="126"/>
      <c r="F313" s="13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c r="AD313" s="126"/>
      <c r="AE313" s="126"/>
      <c r="AF313" s="126"/>
      <c r="AG313" s="126"/>
      <c r="AH313" s="126"/>
      <c r="AI313" s="126"/>
      <c r="AJ313" s="126"/>
      <c r="AK313" s="126"/>
      <c r="AL313" s="126"/>
      <c r="AM313" s="126"/>
      <c r="AN313" s="126"/>
      <c r="AO313" s="126"/>
      <c r="AP313" s="126"/>
      <c r="AQ313" s="126"/>
      <c r="AR313" s="126"/>
      <c r="AS313" s="126"/>
      <c r="AT313" s="126"/>
      <c r="AU313" s="126"/>
      <c r="AV313" s="126"/>
      <c r="AW313" s="126"/>
      <c r="AX313" s="126"/>
      <c r="AY313" s="126"/>
      <c r="AZ313" s="126"/>
      <c r="BA313" s="126"/>
      <c r="BB313" s="126"/>
      <c r="BC313" s="126"/>
      <c r="BD313" s="126"/>
    </row>
    <row r="314">
      <c r="A314" s="126"/>
      <c r="B314" s="126"/>
      <c r="C314" s="126"/>
      <c r="D314" s="126"/>
      <c r="E314" s="126"/>
      <c r="F314" s="13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c r="AD314" s="126"/>
      <c r="AE314" s="126"/>
      <c r="AF314" s="126"/>
      <c r="AG314" s="126"/>
      <c r="AH314" s="126"/>
      <c r="AI314" s="126"/>
      <c r="AJ314" s="126"/>
      <c r="AK314" s="126"/>
      <c r="AL314" s="126"/>
      <c r="AM314" s="126"/>
      <c r="AN314" s="126"/>
      <c r="AO314" s="126"/>
      <c r="AP314" s="126"/>
      <c r="AQ314" s="126"/>
      <c r="AR314" s="126"/>
      <c r="AS314" s="126"/>
      <c r="AT314" s="126"/>
      <c r="AU314" s="126"/>
      <c r="AV314" s="126"/>
      <c r="AW314" s="126"/>
      <c r="AX314" s="126"/>
      <c r="AY314" s="126"/>
      <c r="AZ314" s="126"/>
      <c r="BA314" s="126"/>
      <c r="BB314" s="126"/>
      <c r="BC314" s="126"/>
      <c r="BD314" s="126"/>
    </row>
    <row r="315">
      <c r="A315" s="126"/>
      <c r="B315" s="126"/>
      <c r="C315" s="126"/>
      <c r="D315" s="126"/>
      <c r="E315" s="126"/>
      <c r="F315" s="13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c r="AD315" s="126"/>
      <c r="AE315" s="126"/>
      <c r="AF315" s="126"/>
      <c r="AG315" s="126"/>
      <c r="AH315" s="126"/>
      <c r="AI315" s="126"/>
      <c r="AJ315" s="126"/>
      <c r="AK315" s="126"/>
      <c r="AL315" s="126"/>
      <c r="AM315" s="126"/>
      <c r="AN315" s="126"/>
      <c r="AO315" s="126"/>
      <c r="AP315" s="126"/>
      <c r="AQ315" s="126"/>
      <c r="AR315" s="126"/>
      <c r="AS315" s="126"/>
      <c r="AT315" s="126"/>
      <c r="AU315" s="126"/>
      <c r="AV315" s="126"/>
      <c r="AW315" s="126"/>
      <c r="AX315" s="126"/>
      <c r="AY315" s="126"/>
      <c r="AZ315" s="126"/>
      <c r="BA315" s="126"/>
      <c r="BB315" s="126"/>
      <c r="BC315" s="126"/>
      <c r="BD315" s="126"/>
    </row>
    <row r="316">
      <c r="A316" s="126"/>
      <c r="B316" s="126"/>
      <c r="C316" s="126"/>
      <c r="D316" s="126"/>
      <c r="E316" s="126"/>
      <c r="F316" s="13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c r="AD316" s="126"/>
      <c r="AE316" s="126"/>
      <c r="AF316" s="126"/>
      <c r="AG316" s="126"/>
      <c r="AH316" s="126"/>
      <c r="AI316" s="126"/>
      <c r="AJ316" s="126"/>
      <c r="AK316" s="126"/>
      <c r="AL316" s="126"/>
      <c r="AM316" s="126"/>
      <c r="AN316" s="126"/>
      <c r="AO316" s="126"/>
      <c r="AP316" s="126"/>
      <c r="AQ316" s="126"/>
      <c r="AR316" s="126"/>
      <c r="AS316" s="126"/>
      <c r="AT316" s="126"/>
      <c r="AU316" s="126"/>
      <c r="AV316" s="126"/>
      <c r="AW316" s="126"/>
      <c r="AX316" s="126"/>
      <c r="AY316" s="126"/>
      <c r="AZ316" s="126"/>
      <c r="BA316" s="126"/>
      <c r="BB316" s="126"/>
      <c r="BC316" s="126"/>
      <c r="BD316" s="126"/>
    </row>
    <row r="317">
      <c r="A317" s="126"/>
      <c r="B317" s="126"/>
      <c r="C317" s="126"/>
      <c r="D317" s="126"/>
      <c r="E317" s="126"/>
      <c r="F317" s="13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row>
    <row r="318">
      <c r="A318" s="126"/>
      <c r="B318" s="126"/>
      <c r="C318" s="126"/>
      <c r="D318" s="126"/>
      <c r="E318" s="126"/>
      <c r="F318" s="13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c r="AD318" s="126"/>
      <c r="AE318" s="126"/>
      <c r="AF318" s="126"/>
      <c r="AG318" s="126"/>
      <c r="AH318" s="126"/>
      <c r="AI318" s="126"/>
      <c r="AJ318" s="126"/>
      <c r="AK318" s="126"/>
      <c r="AL318" s="126"/>
      <c r="AM318" s="126"/>
      <c r="AN318" s="126"/>
      <c r="AO318" s="126"/>
      <c r="AP318" s="126"/>
      <c r="AQ318" s="126"/>
      <c r="AR318" s="126"/>
      <c r="AS318" s="126"/>
      <c r="AT318" s="126"/>
      <c r="AU318" s="126"/>
      <c r="AV318" s="126"/>
      <c r="AW318" s="126"/>
      <c r="AX318" s="126"/>
      <c r="AY318" s="126"/>
      <c r="AZ318" s="126"/>
      <c r="BA318" s="126"/>
      <c r="BB318" s="126"/>
      <c r="BC318" s="126"/>
      <c r="BD318" s="126"/>
    </row>
    <row r="319">
      <c r="A319" s="126"/>
      <c r="B319" s="126"/>
      <c r="C319" s="126"/>
      <c r="D319" s="126"/>
      <c r="E319" s="126"/>
      <c r="F319" s="13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c r="AD319" s="126"/>
      <c r="AE319" s="126"/>
      <c r="AF319" s="126"/>
      <c r="AG319" s="126"/>
      <c r="AH319" s="126"/>
      <c r="AI319" s="126"/>
      <c r="AJ319" s="126"/>
      <c r="AK319" s="126"/>
      <c r="AL319" s="126"/>
      <c r="AM319" s="126"/>
      <c r="AN319" s="126"/>
      <c r="AO319" s="126"/>
      <c r="AP319" s="126"/>
      <c r="AQ319" s="126"/>
      <c r="AR319" s="126"/>
      <c r="AS319" s="126"/>
      <c r="AT319" s="126"/>
      <c r="AU319" s="126"/>
      <c r="AV319" s="126"/>
      <c r="AW319" s="126"/>
      <c r="AX319" s="126"/>
      <c r="AY319" s="126"/>
      <c r="AZ319" s="126"/>
      <c r="BA319" s="126"/>
      <c r="BB319" s="126"/>
      <c r="BC319" s="126"/>
      <c r="BD319" s="126"/>
    </row>
    <row r="320">
      <c r="A320" s="126"/>
      <c r="B320" s="126"/>
      <c r="C320" s="126"/>
      <c r="D320" s="126"/>
      <c r="E320" s="126"/>
      <c r="F320" s="13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c r="AD320" s="126"/>
      <c r="AE320" s="126"/>
      <c r="AF320" s="126"/>
      <c r="AG320" s="126"/>
      <c r="AH320" s="126"/>
      <c r="AI320" s="126"/>
      <c r="AJ320" s="126"/>
      <c r="AK320" s="126"/>
      <c r="AL320" s="126"/>
      <c r="AM320" s="126"/>
      <c r="AN320" s="126"/>
      <c r="AO320" s="126"/>
      <c r="AP320" s="126"/>
      <c r="AQ320" s="126"/>
      <c r="AR320" s="126"/>
      <c r="AS320" s="126"/>
      <c r="AT320" s="126"/>
      <c r="AU320" s="126"/>
      <c r="AV320" s="126"/>
      <c r="AW320" s="126"/>
      <c r="AX320" s="126"/>
      <c r="AY320" s="126"/>
      <c r="AZ320" s="126"/>
      <c r="BA320" s="126"/>
      <c r="BB320" s="126"/>
      <c r="BC320" s="126"/>
      <c r="BD320" s="126"/>
    </row>
    <row r="321">
      <c r="A321" s="126"/>
      <c r="B321" s="126"/>
      <c r="C321" s="126"/>
      <c r="D321" s="126"/>
      <c r="E321" s="126"/>
      <c r="F321" s="13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c r="AD321" s="126"/>
      <c r="AE321" s="126"/>
      <c r="AF321" s="126"/>
      <c r="AG321" s="126"/>
      <c r="AH321" s="126"/>
      <c r="AI321" s="126"/>
      <c r="AJ321" s="126"/>
      <c r="AK321" s="126"/>
      <c r="AL321" s="126"/>
      <c r="AM321" s="126"/>
      <c r="AN321" s="126"/>
      <c r="AO321" s="126"/>
      <c r="AP321" s="126"/>
      <c r="AQ321" s="126"/>
      <c r="AR321" s="126"/>
      <c r="AS321" s="126"/>
      <c r="AT321" s="126"/>
      <c r="AU321" s="126"/>
      <c r="AV321" s="126"/>
      <c r="AW321" s="126"/>
      <c r="AX321" s="126"/>
      <c r="AY321" s="126"/>
      <c r="AZ321" s="126"/>
      <c r="BA321" s="126"/>
      <c r="BB321" s="126"/>
      <c r="BC321" s="126"/>
      <c r="BD321" s="126"/>
    </row>
    <row r="322">
      <c r="A322" s="126"/>
      <c r="B322" s="126"/>
      <c r="C322" s="126"/>
      <c r="D322" s="126"/>
      <c r="E322" s="126"/>
      <c r="F322" s="13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c r="AD322" s="126"/>
      <c r="AE322" s="126"/>
      <c r="AF322" s="126"/>
      <c r="AG322" s="126"/>
      <c r="AH322" s="126"/>
      <c r="AI322" s="126"/>
      <c r="AJ322" s="126"/>
      <c r="AK322" s="126"/>
      <c r="AL322" s="126"/>
      <c r="AM322" s="126"/>
      <c r="AN322" s="126"/>
      <c r="AO322" s="126"/>
      <c r="AP322" s="126"/>
      <c r="AQ322" s="126"/>
      <c r="AR322" s="126"/>
      <c r="AS322" s="126"/>
      <c r="AT322" s="126"/>
      <c r="AU322" s="126"/>
      <c r="AV322" s="126"/>
      <c r="AW322" s="126"/>
      <c r="AX322" s="126"/>
      <c r="AY322" s="126"/>
      <c r="AZ322" s="126"/>
      <c r="BA322" s="126"/>
      <c r="BB322" s="126"/>
      <c r="BC322" s="126"/>
      <c r="BD322" s="126"/>
    </row>
    <row r="323">
      <c r="A323" s="126"/>
      <c r="B323" s="126"/>
      <c r="C323" s="126"/>
      <c r="D323" s="126"/>
      <c r="E323" s="126"/>
      <c r="F323" s="13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row>
    <row r="324">
      <c r="A324" s="126"/>
      <c r="B324" s="126"/>
      <c r="C324" s="126"/>
      <c r="D324" s="126"/>
      <c r="E324" s="126"/>
      <c r="F324" s="13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c r="AD324" s="126"/>
      <c r="AE324" s="126"/>
      <c r="AF324" s="126"/>
      <c r="AG324" s="126"/>
      <c r="AH324" s="126"/>
      <c r="AI324" s="126"/>
      <c r="AJ324" s="126"/>
      <c r="AK324" s="126"/>
      <c r="AL324" s="126"/>
      <c r="AM324" s="126"/>
      <c r="AN324" s="126"/>
      <c r="AO324" s="126"/>
      <c r="AP324" s="126"/>
      <c r="AQ324" s="126"/>
      <c r="AR324" s="126"/>
      <c r="AS324" s="126"/>
      <c r="AT324" s="126"/>
      <c r="AU324" s="126"/>
      <c r="AV324" s="126"/>
      <c r="AW324" s="126"/>
      <c r="AX324" s="126"/>
      <c r="AY324" s="126"/>
      <c r="AZ324" s="126"/>
      <c r="BA324" s="126"/>
      <c r="BB324" s="126"/>
      <c r="BC324" s="126"/>
      <c r="BD324" s="126"/>
    </row>
    <row r="325">
      <c r="A325" s="126"/>
      <c r="B325" s="126"/>
      <c r="C325" s="126"/>
      <c r="D325" s="126"/>
      <c r="E325" s="126"/>
      <c r="F325" s="13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c r="AD325" s="126"/>
      <c r="AE325" s="126"/>
      <c r="AF325" s="126"/>
      <c r="AG325" s="126"/>
      <c r="AH325" s="126"/>
      <c r="AI325" s="126"/>
      <c r="AJ325" s="126"/>
      <c r="AK325" s="126"/>
      <c r="AL325" s="126"/>
      <c r="AM325" s="126"/>
      <c r="AN325" s="126"/>
      <c r="AO325" s="126"/>
      <c r="AP325" s="126"/>
      <c r="AQ325" s="126"/>
      <c r="AR325" s="126"/>
      <c r="AS325" s="126"/>
      <c r="AT325" s="126"/>
      <c r="AU325" s="126"/>
      <c r="AV325" s="126"/>
      <c r="AW325" s="126"/>
      <c r="AX325" s="126"/>
      <c r="AY325" s="126"/>
      <c r="AZ325" s="126"/>
      <c r="BA325" s="126"/>
      <c r="BB325" s="126"/>
      <c r="BC325" s="126"/>
      <c r="BD325" s="126"/>
    </row>
    <row r="326">
      <c r="A326" s="126"/>
      <c r="B326" s="126"/>
      <c r="C326" s="126"/>
      <c r="D326" s="126"/>
      <c r="E326" s="126"/>
      <c r="F326" s="13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c r="AD326" s="126"/>
      <c r="AE326" s="126"/>
      <c r="AF326" s="126"/>
      <c r="AG326" s="126"/>
      <c r="AH326" s="126"/>
      <c r="AI326" s="126"/>
      <c r="AJ326" s="126"/>
      <c r="AK326" s="126"/>
      <c r="AL326" s="126"/>
      <c r="AM326" s="126"/>
      <c r="AN326" s="126"/>
      <c r="AO326" s="126"/>
      <c r="AP326" s="126"/>
      <c r="AQ326" s="126"/>
      <c r="AR326" s="126"/>
      <c r="AS326" s="126"/>
      <c r="AT326" s="126"/>
      <c r="AU326" s="126"/>
      <c r="AV326" s="126"/>
      <c r="AW326" s="126"/>
      <c r="AX326" s="126"/>
      <c r="AY326" s="126"/>
      <c r="AZ326" s="126"/>
      <c r="BA326" s="126"/>
      <c r="BB326" s="126"/>
      <c r="BC326" s="126"/>
      <c r="BD326" s="126"/>
    </row>
    <row r="327">
      <c r="A327" s="126"/>
      <c r="B327" s="126"/>
      <c r="C327" s="126"/>
      <c r="D327" s="126"/>
      <c r="E327" s="126"/>
      <c r="F327" s="13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c r="AD327" s="126"/>
      <c r="AE327" s="126"/>
      <c r="AF327" s="126"/>
      <c r="AG327" s="126"/>
      <c r="AH327" s="126"/>
      <c r="AI327" s="126"/>
      <c r="AJ327" s="126"/>
      <c r="AK327" s="126"/>
      <c r="AL327" s="126"/>
      <c r="AM327" s="126"/>
      <c r="AN327" s="126"/>
      <c r="AO327" s="126"/>
      <c r="AP327" s="126"/>
      <c r="AQ327" s="126"/>
      <c r="AR327" s="126"/>
      <c r="AS327" s="126"/>
      <c r="AT327" s="126"/>
      <c r="AU327" s="126"/>
      <c r="AV327" s="126"/>
      <c r="AW327" s="126"/>
      <c r="AX327" s="126"/>
      <c r="AY327" s="126"/>
      <c r="AZ327" s="126"/>
      <c r="BA327" s="126"/>
      <c r="BB327" s="126"/>
      <c r="BC327" s="126"/>
      <c r="BD327" s="126"/>
    </row>
    <row r="328">
      <c r="A328" s="126"/>
      <c r="B328" s="126"/>
      <c r="C328" s="126"/>
      <c r="D328" s="126"/>
      <c r="E328" s="126"/>
      <c r="F328" s="13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c r="AD328" s="126"/>
      <c r="AE328" s="126"/>
      <c r="AF328" s="126"/>
      <c r="AG328" s="126"/>
      <c r="AH328" s="126"/>
      <c r="AI328" s="126"/>
      <c r="AJ328" s="126"/>
      <c r="AK328" s="126"/>
      <c r="AL328" s="126"/>
      <c r="AM328" s="126"/>
      <c r="AN328" s="126"/>
      <c r="AO328" s="126"/>
      <c r="AP328" s="126"/>
      <c r="AQ328" s="126"/>
      <c r="AR328" s="126"/>
      <c r="AS328" s="126"/>
      <c r="AT328" s="126"/>
      <c r="AU328" s="126"/>
      <c r="AV328" s="126"/>
      <c r="AW328" s="126"/>
      <c r="AX328" s="126"/>
      <c r="AY328" s="126"/>
      <c r="AZ328" s="126"/>
      <c r="BA328" s="126"/>
      <c r="BB328" s="126"/>
      <c r="BC328" s="126"/>
      <c r="BD328" s="126"/>
    </row>
    <row r="329">
      <c r="A329" s="126"/>
      <c r="B329" s="126"/>
      <c r="C329" s="126"/>
      <c r="D329" s="126"/>
      <c r="E329" s="126"/>
      <c r="F329" s="13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c r="BC329" s="126"/>
      <c r="BD329" s="126"/>
    </row>
    <row r="330">
      <c r="A330" s="126"/>
      <c r="B330" s="126"/>
      <c r="C330" s="126"/>
      <c r="D330" s="126"/>
      <c r="E330" s="126"/>
      <c r="F330" s="13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c r="AD330" s="126"/>
      <c r="AE330" s="126"/>
      <c r="AF330" s="126"/>
      <c r="AG330" s="126"/>
      <c r="AH330" s="126"/>
      <c r="AI330" s="126"/>
      <c r="AJ330" s="126"/>
      <c r="AK330" s="126"/>
      <c r="AL330" s="126"/>
      <c r="AM330" s="126"/>
      <c r="AN330" s="126"/>
      <c r="AO330" s="126"/>
      <c r="AP330" s="126"/>
      <c r="AQ330" s="126"/>
      <c r="AR330" s="126"/>
      <c r="AS330" s="126"/>
      <c r="AT330" s="126"/>
      <c r="AU330" s="126"/>
      <c r="AV330" s="126"/>
      <c r="AW330" s="126"/>
      <c r="AX330" s="126"/>
      <c r="AY330" s="126"/>
      <c r="AZ330" s="126"/>
      <c r="BA330" s="126"/>
      <c r="BB330" s="126"/>
      <c r="BC330" s="126"/>
      <c r="BD330" s="126"/>
    </row>
    <row r="331">
      <c r="A331" s="126"/>
      <c r="B331" s="126"/>
      <c r="C331" s="126"/>
      <c r="D331" s="126"/>
      <c r="E331" s="126"/>
      <c r="F331" s="13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c r="AD331" s="126"/>
      <c r="AE331" s="126"/>
      <c r="AF331" s="126"/>
      <c r="AG331" s="126"/>
      <c r="AH331" s="126"/>
      <c r="AI331" s="126"/>
      <c r="AJ331" s="126"/>
      <c r="AK331" s="126"/>
      <c r="AL331" s="126"/>
      <c r="AM331" s="126"/>
      <c r="AN331" s="126"/>
      <c r="AO331" s="126"/>
      <c r="AP331" s="126"/>
      <c r="AQ331" s="126"/>
      <c r="AR331" s="126"/>
      <c r="AS331" s="126"/>
      <c r="AT331" s="126"/>
      <c r="AU331" s="126"/>
      <c r="AV331" s="126"/>
      <c r="AW331" s="126"/>
      <c r="AX331" s="126"/>
      <c r="AY331" s="126"/>
      <c r="AZ331" s="126"/>
      <c r="BA331" s="126"/>
      <c r="BB331" s="126"/>
      <c r="BC331" s="126"/>
      <c r="BD331" s="126"/>
    </row>
    <row r="332">
      <c r="A332" s="126"/>
      <c r="B332" s="126"/>
      <c r="C332" s="126"/>
      <c r="D332" s="126"/>
      <c r="E332" s="126"/>
      <c r="F332" s="13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c r="AD332" s="126"/>
      <c r="AE332" s="126"/>
      <c r="AF332" s="126"/>
      <c r="AG332" s="126"/>
      <c r="AH332" s="126"/>
      <c r="AI332" s="126"/>
      <c r="AJ332" s="126"/>
      <c r="AK332" s="126"/>
      <c r="AL332" s="126"/>
      <c r="AM332" s="126"/>
      <c r="AN332" s="126"/>
      <c r="AO332" s="126"/>
      <c r="AP332" s="126"/>
      <c r="AQ332" s="126"/>
      <c r="AR332" s="126"/>
      <c r="AS332" s="126"/>
      <c r="AT332" s="126"/>
      <c r="AU332" s="126"/>
      <c r="AV332" s="126"/>
      <c r="AW332" s="126"/>
      <c r="AX332" s="126"/>
      <c r="AY332" s="126"/>
      <c r="AZ332" s="126"/>
      <c r="BA332" s="126"/>
      <c r="BB332" s="126"/>
      <c r="BC332" s="126"/>
      <c r="BD332" s="126"/>
    </row>
    <row r="333">
      <c r="A333" s="126"/>
      <c r="B333" s="126"/>
      <c r="C333" s="126"/>
      <c r="D333" s="126"/>
      <c r="E333" s="126"/>
      <c r="F333" s="13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c r="AD333" s="126"/>
      <c r="AE333" s="126"/>
      <c r="AF333" s="126"/>
      <c r="AG333" s="126"/>
      <c r="AH333" s="126"/>
      <c r="AI333" s="126"/>
      <c r="AJ333" s="126"/>
      <c r="AK333" s="126"/>
      <c r="AL333" s="126"/>
      <c r="AM333" s="126"/>
      <c r="AN333" s="126"/>
      <c r="AO333" s="126"/>
      <c r="AP333" s="126"/>
      <c r="AQ333" s="126"/>
      <c r="AR333" s="126"/>
      <c r="AS333" s="126"/>
      <c r="AT333" s="126"/>
      <c r="AU333" s="126"/>
      <c r="AV333" s="126"/>
      <c r="AW333" s="126"/>
      <c r="AX333" s="126"/>
      <c r="AY333" s="126"/>
      <c r="AZ333" s="126"/>
      <c r="BA333" s="126"/>
      <c r="BB333" s="126"/>
      <c r="BC333" s="126"/>
      <c r="BD333" s="126"/>
    </row>
    <row r="334">
      <c r="A334" s="126"/>
      <c r="B334" s="126"/>
      <c r="C334" s="126"/>
      <c r="D334" s="126"/>
      <c r="E334" s="126"/>
      <c r="F334" s="13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6"/>
      <c r="BA334" s="126"/>
      <c r="BB334" s="126"/>
      <c r="BC334" s="126"/>
      <c r="BD334" s="126"/>
    </row>
    <row r="335">
      <c r="A335" s="126"/>
      <c r="B335" s="126"/>
      <c r="C335" s="126"/>
      <c r="D335" s="126"/>
      <c r="E335" s="126"/>
      <c r="F335" s="13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c r="BC335" s="126"/>
      <c r="BD335" s="126"/>
    </row>
    <row r="336">
      <c r="A336" s="126"/>
      <c r="B336" s="126"/>
      <c r="C336" s="126"/>
      <c r="D336" s="126"/>
      <c r="E336" s="126"/>
      <c r="F336" s="13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c r="AD336" s="126"/>
      <c r="AE336" s="126"/>
      <c r="AF336" s="126"/>
      <c r="AG336" s="126"/>
      <c r="AH336" s="126"/>
      <c r="AI336" s="126"/>
      <c r="AJ336" s="126"/>
      <c r="AK336" s="126"/>
      <c r="AL336" s="126"/>
      <c r="AM336" s="126"/>
      <c r="AN336" s="126"/>
      <c r="AO336" s="126"/>
      <c r="AP336" s="126"/>
      <c r="AQ336" s="126"/>
      <c r="AR336" s="126"/>
      <c r="AS336" s="126"/>
      <c r="AT336" s="126"/>
      <c r="AU336" s="126"/>
      <c r="AV336" s="126"/>
      <c r="AW336" s="126"/>
      <c r="AX336" s="126"/>
      <c r="AY336" s="126"/>
      <c r="AZ336" s="126"/>
      <c r="BA336" s="126"/>
      <c r="BB336" s="126"/>
      <c r="BC336" s="126"/>
      <c r="BD336" s="126"/>
    </row>
    <row r="337">
      <c r="A337" s="126"/>
      <c r="B337" s="126"/>
      <c r="C337" s="126"/>
      <c r="D337" s="126"/>
      <c r="E337" s="126"/>
      <c r="F337" s="13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c r="AD337" s="126"/>
      <c r="AE337" s="126"/>
      <c r="AF337" s="126"/>
      <c r="AG337" s="126"/>
      <c r="AH337" s="126"/>
      <c r="AI337" s="126"/>
      <c r="AJ337" s="126"/>
      <c r="AK337" s="126"/>
      <c r="AL337" s="126"/>
      <c r="AM337" s="126"/>
      <c r="AN337" s="126"/>
      <c r="AO337" s="126"/>
      <c r="AP337" s="126"/>
      <c r="AQ337" s="126"/>
      <c r="AR337" s="126"/>
      <c r="AS337" s="126"/>
      <c r="AT337" s="126"/>
      <c r="AU337" s="126"/>
      <c r="AV337" s="126"/>
      <c r="AW337" s="126"/>
      <c r="AX337" s="126"/>
      <c r="AY337" s="126"/>
      <c r="AZ337" s="126"/>
      <c r="BA337" s="126"/>
      <c r="BB337" s="126"/>
      <c r="BC337" s="126"/>
      <c r="BD337" s="126"/>
    </row>
    <row r="338">
      <c r="A338" s="126"/>
      <c r="B338" s="126"/>
      <c r="C338" s="126"/>
      <c r="D338" s="126"/>
      <c r="E338" s="126"/>
      <c r="F338" s="13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c r="AD338" s="126"/>
      <c r="AE338" s="126"/>
      <c r="AF338" s="126"/>
      <c r="AG338" s="126"/>
      <c r="AH338" s="126"/>
      <c r="AI338" s="126"/>
      <c r="AJ338" s="126"/>
      <c r="AK338" s="126"/>
      <c r="AL338" s="126"/>
      <c r="AM338" s="126"/>
      <c r="AN338" s="126"/>
      <c r="AO338" s="126"/>
      <c r="AP338" s="126"/>
      <c r="AQ338" s="126"/>
      <c r="AR338" s="126"/>
      <c r="AS338" s="126"/>
      <c r="AT338" s="126"/>
      <c r="AU338" s="126"/>
      <c r="AV338" s="126"/>
      <c r="AW338" s="126"/>
      <c r="AX338" s="126"/>
      <c r="AY338" s="126"/>
      <c r="AZ338" s="126"/>
      <c r="BA338" s="126"/>
      <c r="BB338" s="126"/>
      <c r="BC338" s="126"/>
      <c r="BD338" s="126"/>
    </row>
    <row r="339">
      <c r="A339" s="126"/>
      <c r="B339" s="126"/>
      <c r="C339" s="126"/>
      <c r="D339" s="126"/>
      <c r="E339" s="126"/>
      <c r="F339" s="13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c r="AD339" s="126"/>
      <c r="AE339" s="126"/>
      <c r="AF339" s="126"/>
      <c r="AG339" s="126"/>
      <c r="AH339" s="126"/>
      <c r="AI339" s="126"/>
      <c r="AJ339" s="126"/>
      <c r="AK339" s="126"/>
      <c r="AL339" s="126"/>
      <c r="AM339" s="126"/>
      <c r="AN339" s="126"/>
      <c r="AO339" s="126"/>
      <c r="AP339" s="126"/>
      <c r="AQ339" s="126"/>
      <c r="AR339" s="126"/>
      <c r="AS339" s="126"/>
      <c r="AT339" s="126"/>
      <c r="AU339" s="126"/>
      <c r="AV339" s="126"/>
      <c r="AW339" s="126"/>
      <c r="AX339" s="126"/>
      <c r="AY339" s="126"/>
      <c r="AZ339" s="126"/>
      <c r="BA339" s="126"/>
      <c r="BB339" s="126"/>
      <c r="BC339" s="126"/>
      <c r="BD339" s="126"/>
    </row>
    <row r="340">
      <c r="A340" s="126"/>
      <c r="B340" s="126"/>
      <c r="C340" s="126"/>
      <c r="D340" s="126"/>
      <c r="E340" s="126"/>
      <c r="F340" s="13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c r="AD340" s="126"/>
      <c r="AE340" s="126"/>
      <c r="AF340" s="126"/>
      <c r="AG340" s="126"/>
      <c r="AH340" s="126"/>
      <c r="AI340" s="126"/>
      <c r="AJ340" s="126"/>
      <c r="AK340" s="126"/>
      <c r="AL340" s="126"/>
      <c r="AM340" s="126"/>
      <c r="AN340" s="126"/>
      <c r="AO340" s="126"/>
      <c r="AP340" s="126"/>
      <c r="AQ340" s="126"/>
      <c r="AR340" s="126"/>
      <c r="AS340" s="126"/>
      <c r="AT340" s="126"/>
      <c r="AU340" s="126"/>
      <c r="AV340" s="126"/>
      <c r="AW340" s="126"/>
      <c r="AX340" s="126"/>
      <c r="AY340" s="126"/>
      <c r="AZ340" s="126"/>
      <c r="BA340" s="126"/>
      <c r="BB340" s="126"/>
      <c r="BC340" s="126"/>
      <c r="BD340" s="126"/>
    </row>
    <row r="341">
      <c r="A341" s="126"/>
      <c r="B341" s="126"/>
      <c r="C341" s="126"/>
      <c r="D341" s="126"/>
      <c r="E341" s="126"/>
      <c r="F341" s="13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c r="BC341" s="126"/>
      <c r="BD341" s="126"/>
    </row>
    <row r="342">
      <c r="A342" s="126"/>
      <c r="B342" s="126"/>
      <c r="C342" s="126"/>
      <c r="D342" s="126"/>
      <c r="E342" s="126"/>
      <c r="F342" s="13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c r="AD342" s="126"/>
      <c r="AE342" s="126"/>
      <c r="AF342" s="126"/>
      <c r="AG342" s="126"/>
      <c r="AH342" s="126"/>
      <c r="AI342" s="126"/>
      <c r="AJ342" s="126"/>
      <c r="AK342" s="126"/>
      <c r="AL342" s="126"/>
      <c r="AM342" s="126"/>
      <c r="AN342" s="126"/>
      <c r="AO342" s="126"/>
      <c r="AP342" s="126"/>
      <c r="AQ342" s="126"/>
      <c r="AR342" s="126"/>
      <c r="AS342" s="126"/>
      <c r="AT342" s="126"/>
      <c r="AU342" s="126"/>
      <c r="AV342" s="126"/>
      <c r="AW342" s="126"/>
      <c r="AX342" s="126"/>
      <c r="AY342" s="126"/>
      <c r="AZ342" s="126"/>
      <c r="BA342" s="126"/>
      <c r="BB342" s="126"/>
      <c r="BC342" s="126"/>
      <c r="BD342" s="126"/>
    </row>
    <row r="343">
      <c r="A343" s="126"/>
      <c r="B343" s="126"/>
      <c r="C343" s="126"/>
      <c r="D343" s="126"/>
      <c r="E343" s="126"/>
      <c r="F343" s="13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c r="AD343" s="126"/>
      <c r="AE343" s="126"/>
      <c r="AF343" s="126"/>
      <c r="AG343" s="126"/>
      <c r="AH343" s="126"/>
      <c r="AI343" s="126"/>
      <c r="AJ343" s="126"/>
      <c r="AK343" s="126"/>
      <c r="AL343" s="126"/>
      <c r="AM343" s="126"/>
      <c r="AN343" s="126"/>
      <c r="AO343" s="126"/>
      <c r="AP343" s="126"/>
      <c r="AQ343" s="126"/>
      <c r="AR343" s="126"/>
      <c r="AS343" s="126"/>
      <c r="AT343" s="126"/>
      <c r="AU343" s="126"/>
      <c r="AV343" s="126"/>
      <c r="AW343" s="126"/>
      <c r="AX343" s="126"/>
      <c r="AY343" s="126"/>
      <c r="AZ343" s="126"/>
      <c r="BA343" s="126"/>
      <c r="BB343" s="126"/>
      <c r="BC343" s="126"/>
      <c r="BD343" s="126"/>
    </row>
    <row r="344">
      <c r="A344" s="126"/>
      <c r="B344" s="126"/>
      <c r="C344" s="126"/>
      <c r="D344" s="126"/>
      <c r="E344" s="126"/>
      <c r="F344" s="13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c r="AD344" s="126"/>
      <c r="AE344" s="126"/>
      <c r="AF344" s="126"/>
      <c r="AG344" s="126"/>
      <c r="AH344" s="126"/>
      <c r="AI344" s="126"/>
      <c r="AJ344" s="126"/>
      <c r="AK344" s="126"/>
      <c r="AL344" s="126"/>
      <c r="AM344" s="126"/>
      <c r="AN344" s="126"/>
      <c r="AO344" s="126"/>
      <c r="AP344" s="126"/>
      <c r="AQ344" s="126"/>
      <c r="AR344" s="126"/>
      <c r="AS344" s="126"/>
      <c r="AT344" s="126"/>
      <c r="AU344" s="126"/>
      <c r="AV344" s="126"/>
      <c r="AW344" s="126"/>
      <c r="AX344" s="126"/>
      <c r="AY344" s="126"/>
      <c r="AZ344" s="126"/>
      <c r="BA344" s="126"/>
      <c r="BB344" s="126"/>
      <c r="BC344" s="126"/>
      <c r="BD344" s="126"/>
    </row>
    <row r="345">
      <c r="A345" s="126"/>
      <c r="B345" s="126"/>
      <c r="C345" s="126"/>
      <c r="D345" s="126"/>
      <c r="E345" s="126"/>
      <c r="F345" s="13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c r="AD345" s="126"/>
      <c r="AE345" s="126"/>
      <c r="AF345" s="126"/>
      <c r="AG345" s="126"/>
      <c r="AH345" s="126"/>
      <c r="AI345" s="126"/>
      <c r="AJ345" s="126"/>
      <c r="AK345" s="126"/>
      <c r="AL345" s="126"/>
      <c r="AM345" s="126"/>
      <c r="AN345" s="126"/>
      <c r="AO345" s="126"/>
      <c r="AP345" s="126"/>
      <c r="AQ345" s="126"/>
      <c r="AR345" s="126"/>
      <c r="AS345" s="126"/>
      <c r="AT345" s="126"/>
      <c r="AU345" s="126"/>
      <c r="AV345" s="126"/>
      <c r="AW345" s="126"/>
      <c r="AX345" s="126"/>
      <c r="AY345" s="126"/>
      <c r="AZ345" s="126"/>
      <c r="BA345" s="126"/>
      <c r="BB345" s="126"/>
      <c r="BC345" s="126"/>
      <c r="BD345" s="126"/>
    </row>
    <row r="346">
      <c r="A346" s="126"/>
      <c r="B346" s="126"/>
      <c r="C346" s="126"/>
      <c r="D346" s="126"/>
      <c r="E346" s="126"/>
      <c r="F346" s="13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c r="AD346" s="126"/>
      <c r="AE346" s="126"/>
      <c r="AF346" s="126"/>
      <c r="AG346" s="126"/>
      <c r="AH346" s="126"/>
      <c r="AI346" s="126"/>
      <c r="AJ346" s="126"/>
      <c r="AK346" s="126"/>
      <c r="AL346" s="126"/>
      <c r="AM346" s="126"/>
      <c r="AN346" s="126"/>
      <c r="AO346" s="126"/>
      <c r="AP346" s="126"/>
      <c r="AQ346" s="126"/>
      <c r="AR346" s="126"/>
      <c r="AS346" s="126"/>
      <c r="AT346" s="126"/>
      <c r="AU346" s="126"/>
      <c r="AV346" s="126"/>
      <c r="AW346" s="126"/>
      <c r="AX346" s="126"/>
      <c r="AY346" s="126"/>
      <c r="AZ346" s="126"/>
      <c r="BA346" s="126"/>
      <c r="BB346" s="126"/>
      <c r="BC346" s="126"/>
      <c r="BD346" s="126"/>
    </row>
    <row r="347">
      <c r="A347" s="126"/>
      <c r="B347" s="126"/>
      <c r="C347" s="126"/>
      <c r="D347" s="126"/>
      <c r="E347" s="126"/>
      <c r="F347" s="13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c r="AD347" s="126"/>
      <c r="AE347" s="126"/>
      <c r="AF347" s="126"/>
      <c r="AG347" s="126"/>
      <c r="AH347" s="126"/>
      <c r="AI347" s="126"/>
      <c r="AJ347" s="126"/>
      <c r="AK347" s="126"/>
      <c r="AL347" s="126"/>
      <c r="AM347" s="126"/>
      <c r="AN347" s="126"/>
      <c r="AO347" s="126"/>
      <c r="AP347" s="126"/>
      <c r="AQ347" s="126"/>
      <c r="AR347" s="126"/>
      <c r="AS347" s="126"/>
      <c r="AT347" s="126"/>
      <c r="AU347" s="126"/>
      <c r="AV347" s="126"/>
      <c r="AW347" s="126"/>
      <c r="AX347" s="126"/>
      <c r="AY347" s="126"/>
      <c r="AZ347" s="126"/>
      <c r="BA347" s="126"/>
      <c r="BB347" s="126"/>
      <c r="BC347" s="126"/>
      <c r="BD347" s="126"/>
    </row>
    <row r="348">
      <c r="A348" s="126"/>
      <c r="B348" s="126"/>
      <c r="C348" s="126"/>
      <c r="D348" s="126"/>
      <c r="E348" s="126"/>
      <c r="F348" s="13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c r="BC348" s="126"/>
      <c r="BD348" s="126"/>
    </row>
    <row r="349">
      <c r="A349" s="126"/>
      <c r="B349" s="126"/>
      <c r="C349" s="126"/>
      <c r="D349" s="126"/>
      <c r="E349" s="126"/>
      <c r="F349" s="13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c r="AD349" s="126"/>
      <c r="AE349" s="126"/>
      <c r="AF349" s="126"/>
      <c r="AG349" s="126"/>
      <c r="AH349" s="126"/>
      <c r="AI349" s="126"/>
      <c r="AJ349" s="126"/>
      <c r="AK349" s="126"/>
      <c r="AL349" s="126"/>
      <c r="AM349" s="126"/>
      <c r="AN349" s="126"/>
      <c r="AO349" s="126"/>
      <c r="AP349" s="126"/>
      <c r="AQ349" s="126"/>
      <c r="AR349" s="126"/>
      <c r="AS349" s="126"/>
      <c r="AT349" s="126"/>
      <c r="AU349" s="126"/>
      <c r="AV349" s="126"/>
      <c r="AW349" s="126"/>
      <c r="AX349" s="126"/>
      <c r="AY349" s="126"/>
      <c r="AZ349" s="126"/>
      <c r="BA349" s="126"/>
      <c r="BB349" s="126"/>
      <c r="BC349" s="126"/>
      <c r="BD349" s="126"/>
    </row>
    <row r="350">
      <c r="A350" s="126"/>
      <c r="B350" s="126"/>
      <c r="C350" s="126"/>
      <c r="D350" s="126"/>
      <c r="E350" s="126"/>
      <c r="F350" s="13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c r="AD350" s="126"/>
      <c r="AE350" s="126"/>
      <c r="AF350" s="126"/>
      <c r="AG350" s="126"/>
      <c r="AH350" s="126"/>
      <c r="AI350" s="126"/>
      <c r="AJ350" s="126"/>
      <c r="AK350" s="126"/>
      <c r="AL350" s="126"/>
      <c r="AM350" s="126"/>
      <c r="AN350" s="126"/>
      <c r="AO350" s="126"/>
      <c r="AP350" s="126"/>
      <c r="AQ350" s="126"/>
      <c r="AR350" s="126"/>
      <c r="AS350" s="126"/>
      <c r="AT350" s="126"/>
      <c r="AU350" s="126"/>
      <c r="AV350" s="126"/>
      <c r="AW350" s="126"/>
      <c r="AX350" s="126"/>
      <c r="AY350" s="126"/>
      <c r="AZ350" s="126"/>
      <c r="BA350" s="126"/>
      <c r="BB350" s="126"/>
      <c r="BC350" s="126"/>
      <c r="BD350" s="126"/>
    </row>
    <row r="351">
      <c r="A351" s="126"/>
      <c r="B351" s="126"/>
      <c r="C351" s="126"/>
      <c r="D351" s="126"/>
      <c r="E351" s="126"/>
      <c r="F351" s="13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c r="AD351" s="126"/>
      <c r="AE351" s="126"/>
      <c r="AF351" s="126"/>
      <c r="AG351" s="126"/>
      <c r="AH351" s="126"/>
      <c r="AI351" s="126"/>
      <c r="AJ351" s="126"/>
      <c r="AK351" s="126"/>
      <c r="AL351" s="126"/>
      <c r="AM351" s="126"/>
      <c r="AN351" s="126"/>
      <c r="AO351" s="126"/>
      <c r="AP351" s="126"/>
      <c r="AQ351" s="126"/>
      <c r="AR351" s="126"/>
      <c r="AS351" s="126"/>
      <c r="AT351" s="126"/>
      <c r="AU351" s="126"/>
      <c r="AV351" s="126"/>
      <c r="AW351" s="126"/>
      <c r="AX351" s="126"/>
      <c r="AY351" s="126"/>
      <c r="AZ351" s="126"/>
      <c r="BA351" s="126"/>
      <c r="BB351" s="126"/>
      <c r="BC351" s="126"/>
      <c r="BD351" s="126"/>
    </row>
    <row r="352">
      <c r="A352" s="126"/>
      <c r="B352" s="126"/>
      <c r="C352" s="126"/>
      <c r="D352" s="126"/>
      <c r="E352" s="126"/>
      <c r="F352" s="13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c r="AD352" s="126"/>
      <c r="AE352" s="126"/>
      <c r="AF352" s="126"/>
      <c r="AG352" s="126"/>
      <c r="AH352" s="126"/>
      <c r="AI352" s="126"/>
      <c r="AJ352" s="126"/>
      <c r="AK352" s="126"/>
      <c r="AL352" s="126"/>
      <c r="AM352" s="126"/>
      <c r="AN352" s="126"/>
      <c r="AO352" s="126"/>
      <c r="AP352" s="126"/>
      <c r="AQ352" s="126"/>
      <c r="AR352" s="126"/>
      <c r="AS352" s="126"/>
      <c r="AT352" s="126"/>
      <c r="AU352" s="126"/>
      <c r="AV352" s="126"/>
      <c r="AW352" s="126"/>
      <c r="AX352" s="126"/>
      <c r="AY352" s="126"/>
      <c r="AZ352" s="126"/>
      <c r="BA352" s="126"/>
      <c r="BB352" s="126"/>
      <c r="BC352" s="126"/>
      <c r="BD352" s="126"/>
    </row>
    <row r="353">
      <c r="A353" s="126"/>
      <c r="B353" s="126"/>
      <c r="C353" s="126"/>
      <c r="D353" s="126"/>
      <c r="E353" s="126"/>
      <c r="F353" s="13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c r="AD353" s="126"/>
      <c r="AE353" s="126"/>
      <c r="AF353" s="126"/>
      <c r="AG353" s="126"/>
      <c r="AH353" s="126"/>
      <c r="AI353" s="126"/>
      <c r="AJ353" s="126"/>
      <c r="AK353" s="126"/>
      <c r="AL353" s="126"/>
      <c r="AM353" s="126"/>
      <c r="AN353" s="126"/>
      <c r="AO353" s="126"/>
      <c r="AP353" s="126"/>
      <c r="AQ353" s="126"/>
      <c r="AR353" s="126"/>
      <c r="AS353" s="126"/>
      <c r="AT353" s="126"/>
      <c r="AU353" s="126"/>
      <c r="AV353" s="126"/>
      <c r="AW353" s="126"/>
      <c r="AX353" s="126"/>
      <c r="AY353" s="126"/>
      <c r="AZ353" s="126"/>
      <c r="BA353" s="126"/>
      <c r="BB353" s="126"/>
      <c r="BC353" s="126"/>
      <c r="BD353" s="126"/>
    </row>
    <row r="354">
      <c r="A354" s="126"/>
      <c r="B354" s="126"/>
      <c r="C354" s="126"/>
      <c r="D354" s="126"/>
      <c r="E354" s="126"/>
      <c r="F354" s="13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c r="AD354" s="126"/>
      <c r="AE354" s="126"/>
      <c r="AF354" s="126"/>
      <c r="AG354" s="126"/>
      <c r="AH354" s="126"/>
      <c r="AI354" s="126"/>
      <c r="AJ354" s="126"/>
      <c r="AK354" s="126"/>
      <c r="AL354" s="126"/>
      <c r="AM354" s="126"/>
      <c r="AN354" s="126"/>
      <c r="AO354" s="126"/>
      <c r="AP354" s="126"/>
      <c r="AQ354" s="126"/>
      <c r="AR354" s="126"/>
      <c r="AS354" s="126"/>
      <c r="AT354" s="126"/>
      <c r="AU354" s="126"/>
      <c r="AV354" s="126"/>
      <c r="AW354" s="126"/>
      <c r="AX354" s="126"/>
      <c r="AY354" s="126"/>
      <c r="AZ354" s="126"/>
      <c r="BA354" s="126"/>
      <c r="BB354" s="126"/>
      <c r="BC354" s="126"/>
      <c r="BD354" s="126"/>
    </row>
    <row r="355">
      <c r="A355" s="126"/>
      <c r="B355" s="126"/>
      <c r="C355" s="126"/>
      <c r="D355" s="126"/>
      <c r="E355" s="126"/>
      <c r="F355" s="13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c r="AD355" s="126"/>
      <c r="AE355" s="126"/>
      <c r="AF355" s="126"/>
      <c r="AG355" s="126"/>
      <c r="AH355" s="126"/>
      <c r="AI355" s="126"/>
      <c r="AJ355" s="126"/>
      <c r="AK355" s="126"/>
      <c r="AL355" s="126"/>
      <c r="AM355" s="126"/>
      <c r="AN355" s="126"/>
      <c r="AO355" s="126"/>
      <c r="AP355" s="126"/>
      <c r="AQ355" s="126"/>
      <c r="AR355" s="126"/>
      <c r="AS355" s="126"/>
      <c r="AT355" s="126"/>
      <c r="AU355" s="126"/>
      <c r="AV355" s="126"/>
      <c r="AW355" s="126"/>
      <c r="AX355" s="126"/>
      <c r="AY355" s="126"/>
      <c r="AZ355" s="126"/>
      <c r="BA355" s="126"/>
      <c r="BB355" s="126"/>
      <c r="BC355" s="126"/>
      <c r="BD355" s="126"/>
    </row>
    <row r="356">
      <c r="A356" s="126"/>
      <c r="B356" s="126"/>
      <c r="C356" s="126"/>
      <c r="D356" s="126"/>
      <c r="E356" s="126"/>
      <c r="F356" s="13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c r="AD356" s="126"/>
      <c r="AE356" s="126"/>
      <c r="AF356" s="126"/>
      <c r="AG356" s="126"/>
      <c r="AH356" s="126"/>
      <c r="AI356" s="126"/>
      <c r="AJ356" s="126"/>
      <c r="AK356" s="126"/>
      <c r="AL356" s="126"/>
      <c r="AM356" s="126"/>
      <c r="AN356" s="126"/>
      <c r="AO356" s="126"/>
      <c r="AP356" s="126"/>
      <c r="AQ356" s="126"/>
      <c r="AR356" s="126"/>
      <c r="AS356" s="126"/>
      <c r="AT356" s="126"/>
      <c r="AU356" s="126"/>
      <c r="AV356" s="126"/>
      <c r="AW356" s="126"/>
      <c r="AX356" s="126"/>
      <c r="AY356" s="126"/>
      <c r="AZ356" s="126"/>
      <c r="BA356" s="126"/>
      <c r="BB356" s="126"/>
      <c r="BC356" s="126"/>
      <c r="BD356" s="126"/>
    </row>
    <row r="357">
      <c r="A357" s="126"/>
      <c r="B357" s="126"/>
      <c r="C357" s="126"/>
      <c r="D357" s="126"/>
      <c r="E357" s="126"/>
      <c r="F357" s="13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c r="BC357" s="126"/>
      <c r="BD357" s="126"/>
    </row>
    <row r="358">
      <c r="A358" s="126"/>
      <c r="B358" s="126"/>
      <c r="C358" s="126"/>
      <c r="D358" s="126"/>
      <c r="E358" s="126"/>
      <c r="F358" s="13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c r="AD358" s="126"/>
      <c r="AE358" s="126"/>
      <c r="AF358" s="126"/>
      <c r="AG358" s="126"/>
      <c r="AH358" s="126"/>
      <c r="AI358" s="126"/>
      <c r="AJ358" s="126"/>
      <c r="AK358" s="126"/>
      <c r="AL358" s="126"/>
      <c r="AM358" s="126"/>
      <c r="AN358" s="126"/>
      <c r="AO358" s="126"/>
      <c r="AP358" s="126"/>
      <c r="AQ358" s="126"/>
      <c r="AR358" s="126"/>
      <c r="AS358" s="126"/>
      <c r="AT358" s="126"/>
      <c r="AU358" s="126"/>
      <c r="AV358" s="126"/>
      <c r="AW358" s="126"/>
      <c r="AX358" s="126"/>
      <c r="AY358" s="126"/>
      <c r="AZ358" s="126"/>
      <c r="BA358" s="126"/>
      <c r="BB358" s="126"/>
      <c r="BC358" s="126"/>
      <c r="BD358" s="126"/>
    </row>
    <row r="359">
      <c r="A359" s="126"/>
      <c r="B359" s="126"/>
      <c r="C359" s="126"/>
      <c r="D359" s="126"/>
      <c r="E359" s="126"/>
      <c r="F359" s="13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c r="AD359" s="126"/>
      <c r="AE359" s="126"/>
      <c r="AF359" s="126"/>
      <c r="AG359" s="126"/>
      <c r="AH359" s="126"/>
      <c r="AI359" s="126"/>
      <c r="AJ359" s="126"/>
      <c r="AK359" s="126"/>
      <c r="AL359" s="126"/>
      <c r="AM359" s="126"/>
      <c r="AN359" s="126"/>
      <c r="AO359" s="126"/>
      <c r="AP359" s="126"/>
      <c r="AQ359" s="126"/>
      <c r="AR359" s="126"/>
      <c r="AS359" s="126"/>
      <c r="AT359" s="126"/>
      <c r="AU359" s="126"/>
      <c r="AV359" s="126"/>
      <c r="AW359" s="126"/>
      <c r="AX359" s="126"/>
      <c r="AY359" s="126"/>
      <c r="AZ359" s="126"/>
      <c r="BA359" s="126"/>
      <c r="BB359" s="126"/>
      <c r="BC359" s="126"/>
      <c r="BD359" s="126"/>
    </row>
    <row r="360">
      <c r="A360" s="126"/>
      <c r="B360" s="126"/>
      <c r="C360" s="126"/>
      <c r="D360" s="126"/>
      <c r="E360" s="126"/>
      <c r="F360" s="13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c r="AD360" s="126"/>
      <c r="AE360" s="126"/>
      <c r="AF360" s="126"/>
      <c r="AG360" s="126"/>
      <c r="AH360" s="126"/>
      <c r="AI360" s="126"/>
      <c r="AJ360" s="126"/>
      <c r="AK360" s="126"/>
      <c r="AL360" s="126"/>
      <c r="AM360" s="126"/>
      <c r="AN360" s="126"/>
      <c r="AO360" s="126"/>
      <c r="AP360" s="126"/>
      <c r="AQ360" s="126"/>
      <c r="AR360" s="126"/>
      <c r="AS360" s="126"/>
      <c r="AT360" s="126"/>
      <c r="AU360" s="126"/>
      <c r="AV360" s="126"/>
      <c r="AW360" s="126"/>
      <c r="AX360" s="126"/>
      <c r="AY360" s="126"/>
      <c r="AZ360" s="126"/>
      <c r="BA360" s="126"/>
      <c r="BB360" s="126"/>
      <c r="BC360" s="126"/>
      <c r="BD360" s="126"/>
    </row>
    <row r="361">
      <c r="A361" s="126"/>
      <c r="B361" s="126"/>
      <c r="C361" s="126"/>
      <c r="D361" s="126"/>
      <c r="E361" s="126"/>
      <c r="F361" s="13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c r="AD361" s="126"/>
      <c r="AE361" s="126"/>
      <c r="AF361" s="126"/>
      <c r="AG361" s="126"/>
      <c r="AH361" s="126"/>
      <c r="AI361" s="126"/>
      <c r="AJ361" s="126"/>
      <c r="AK361" s="126"/>
      <c r="AL361" s="126"/>
      <c r="AM361" s="126"/>
      <c r="AN361" s="126"/>
      <c r="AO361" s="126"/>
      <c r="AP361" s="126"/>
      <c r="AQ361" s="126"/>
      <c r="AR361" s="126"/>
      <c r="AS361" s="126"/>
      <c r="AT361" s="126"/>
      <c r="AU361" s="126"/>
      <c r="AV361" s="126"/>
      <c r="AW361" s="126"/>
      <c r="AX361" s="126"/>
      <c r="AY361" s="126"/>
      <c r="AZ361" s="126"/>
      <c r="BA361" s="126"/>
      <c r="BB361" s="126"/>
      <c r="BC361" s="126"/>
      <c r="BD361" s="126"/>
    </row>
    <row r="362">
      <c r="A362" s="126"/>
      <c r="B362" s="126"/>
      <c r="C362" s="126"/>
      <c r="D362" s="126"/>
      <c r="E362" s="126"/>
      <c r="F362" s="13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c r="AD362" s="126"/>
      <c r="AE362" s="126"/>
      <c r="AF362" s="126"/>
      <c r="AG362" s="126"/>
      <c r="AH362" s="126"/>
      <c r="AI362" s="126"/>
      <c r="AJ362" s="126"/>
      <c r="AK362" s="126"/>
      <c r="AL362" s="126"/>
      <c r="AM362" s="126"/>
      <c r="AN362" s="126"/>
      <c r="AO362" s="126"/>
      <c r="AP362" s="126"/>
      <c r="AQ362" s="126"/>
      <c r="AR362" s="126"/>
      <c r="AS362" s="126"/>
      <c r="AT362" s="126"/>
      <c r="AU362" s="126"/>
      <c r="AV362" s="126"/>
      <c r="AW362" s="126"/>
      <c r="AX362" s="126"/>
      <c r="AY362" s="126"/>
      <c r="AZ362" s="126"/>
      <c r="BA362" s="126"/>
      <c r="BB362" s="126"/>
      <c r="BC362" s="126"/>
      <c r="BD362" s="126"/>
    </row>
    <row r="363">
      <c r="A363" s="126"/>
      <c r="B363" s="126"/>
      <c r="C363" s="126"/>
      <c r="D363" s="126"/>
      <c r="E363" s="126"/>
      <c r="F363" s="13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c r="BC363" s="126"/>
      <c r="BD363" s="126"/>
    </row>
    <row r="364">
      <c r="A364" s="126"/>
      <c r="B364" s="126"/>
      <c r="C364" s="126"/>
      <c r="D364" s="126"/>
      <c r="E364" s="126"/>
      <c r="F364" s="13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c r="AD364" s="126"/>
      <c r="AE364" s="126"/>
      <c r="AF364" s="126"/>
      <c r="AG364" s="126"/>
      <c r="AH364" s="126"/>
      <c r="AI364" s="126"/>
      <c r="AJ364" s="126"/>
      <c r="AK364" s="126"/>
      <c r="AL364" s="126"/>
      <c r="AM364" s="126"/>
      <c r="AN364" s="126"/>
      <c r="AO364" s="126"/>
      <c r="AP364" s="126"/>
      <c r="AQ364" s="126"/>
      <c r="AR364" s="126"/>
      <c r="AS364" s="126"/>
      <c r="AT364" s="126"/>
      <c r="AU364" s="126"/>
      <c r="AV364" s="126"/>
      <c r="AW364" s="126"/>
      <c r="AX364" s="126"/>
      <c r="AY364" s="126"/>
      <c r="AZ364" s="126"/>
      <c r="BA364" s="126"/>
      <c r="BB364" s="126"/>
      <c r="BC364" s="126"/>
      <c r="BD364" s="126"/>
    </row>
    <row r="365">
      <c r="A365" s="126"/>
      <c r="B365" s="126"/>
      <c r="C365" s="126"/>
      <c r="D365" s="126"/>
      <c r="E365" s="126"/>
      <c r="F365" s="13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c r="AD365" s="126"/>
      <c r="AE365" s="126"/>
      <c r="AF365" s="126"/>
      <c r="AG365" s="126"/>
      <c r="AH365" s="126"/>
      <c r="AI365" s="126"/>
      <c r="AJ365" s="126"/>
      <c r="AK365" s="126"/>
      <c r="AL365" s="126"/>
      <c r="AM365" s="126"/>
      <c r="AN365" s="126"/>
      <c r="AO365" s="126"/>
      <c r="AP365" s="126"/>
      <c r="AQ365" s="126"/>
      <c r="AR365" s="126"/>
      <c r="AS365" s="126"/>
      <c r="AT365" s="126"/>
      <c r="AU365" s="126"/>
      <c r="AV365" s="126"/>
      <c r="AW365" s="126"/>
      <c r="AX365" s="126"/>
      <c r="AY365" s="126"/>
      <c r="AZ365" s="126"/>
      <c r="BA365" s="126"/>
      <c r="BB365" s="126"/>
      <c r="BC365" s="126"/>
      <c r="BD365" s="126"/>
    </row>
    <row r="366">
      <c r="A366" s="126"/>
      <c r="B366" s="126"/>
      <c r="C366" s="126"/>
      <c r="D366" s="126"/>
      <c r="E366" s="126"/>
      <c r="F366" s="13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c r="AD366" s="126"/>
      <c r="AE366" s="126"/>
      <c r="AF366" s="126"/>
      <c r="AG366" s="126"/>
      <c r="AH366" s="126"/>
      <c r="AI366" s="126"/>
      <c r="AJ366" s="126"/>
      <c r="AK366" s="126"/>
      <c r="AL366" s="126"/>
      <c r="AM366" s="126"/>
      <c r="AN366" s="126"/>
      <c r="AO366" s="126"/>
      <c r="AP366" s="126"/>
      <c r="AQ366" s="126"/>
      <c r="AR366" s="126"/>
      <c r="AS366" s="126"/>
      <c r="AT366" s="126"/>
      <c r="AU366" s="126"/>
      <c r="AV366" s="126"/>
      <c r="AW366" s="126"/>
      <c r="AX366" s="126"/>
      <c r="AY366" s="126"/>
      <c r="AZ366" s="126"/>
      <c r="BA366" s="126"/>
      <c r="BB366" s="126"/>
      <c r="BC366" s="126"/>
      <c r="BD366" s="126"/>
    </row>
    <row r="367">
      <c r="A367" s="126"/>
      <c r="B367" s="126"/>
      <c r="C367" s="126"/>
      <c r="D367" s="126"/>
      <c r="E367" s="126"/>
      <c r="F367" s="13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c r="AD367" s="126"/>
      <c r="AE367" s="126"/>
      <c r="AF367" s="126"/>
      <c r="AG367" s="126"/>
      <c r="AH367" s="126"/>
      <c r="AI367" s="126"/>
      <c r="AJ367" s="126"/>
      <c r="AK367" s="126"/>
      <c r="AL367" s="126"/>
      <c r="AM367" s="126"/>
      <c r="AN367" s="126"/>
      <c r="AO367" s="126"/>
      <c r="AP367" s="126"/>
      <c r="AQ367" s="126"/>
      <c r="AR367" s="126"/>
      <c r="AS367" s="126"/>
      <c r="AT367" s="126"/>
      <c r="AU367" s="126"/>
      <c r="AV367" s="126"/>
      <c r="AW367" s="126"/>
      <c r="AX367" s="126"/>
      <c r="AY367" s="126"/>
      <c r="AZ367" s="126"/>
      <c r="BA367" s="126"/>
      <c r="BB367" s="126"/>
      <c r="BC367" s="126"/>
      <c r="BD367" s="126"/>
    </row>
    <row r="368">
      <c r="A368" s="126"/>
      <c r="B368" s="126"/>
      <c r="C368" s="126"/>
      <c r="D368" s="126"/>
      <c r="E368" s="126"/>
      <c r="F368" s="13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c r="AD368" s="126"/>
      <c r="AE368" s="126"/>
      <c r="AF368" s="126"/>
      <c r="AG368" s="126"/>
      <c r="AH368" s="126"/>
      <c r="AI368" s="126"/>
      <c r="AJ368" s="126"/>
      <c r="AK368" s="126"/>
      <c r="AL368" s="126"/>
      <c r="AM368" s="126"/>
      <c r="AN368" s="126"/>
      <c r="AO368" s="126"/>
      <c r="AP368" s="126"/>
      <c r="AQ368" s="126"/>
      <c r="AR368" s="126"/>
      <c r="AS368" s="126"/>
      <c r="AT368" s="126"/>
      <c r="AU368" s="126"/>
      <c r="AV368" s="126"/>
      <c r="AW368" s="126"/>
      <c r="AX368" s="126"/>
      <c r="AY368" s="126"/>
      <c r="AZ368" s="126"/>
      <c r="BA368" s="126"/>
      <c r="BB368" s="126"/>
      <c r="BC368" s="126"/>
      <c r="BD368" s="126"/>
    </row>
    <row r="369">
      <c r="A369" s="126"/>
      <c r="B369" s="126"/>
      <c r="C369" s="126"/>
      <c r="D369" s="126"/>
      <c r="E369" s="126"/>
      <c r="F369" s="13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c r="BC369" s="126"/>
      <c r="BD369" s="126"/>
    </row>
    <row r="370">
      <c r="A370" s="126"/>
      <c r="B370" s="126"/>
      <c r="C370" s="126"/>
      <c r="D370" s="126"/>
      <c r="E370" s="126"/>
      <c r="F370" s="13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c r="AD370" s="126"/>
      <c r="AE370" s="126"/>
      <c r="AF370" s="126"/>
      <c r="AG370" s="126"/>
      <c r="AH370" s="126"/>
      <c r="AI370" s="126"/>
      <c r="AJ370" s="126"/>
      <c r="AK370" s="126"/>
      <c r="AL370" s="126"/>
      <c r="AM370" s="126"/>
      <c r="AN370" s="126"/>
      <c r="AO370" s="126"/>
      <c r="AP370" s="126"/>
      <c r="AQ370" s="126"/>
      <c r="AR370" s="126"/>
      <c r="AS370" s="126"/>
      <c r="AT370" s="126"/>
      <c r="AU370" s="126"/>
      <c r="AV370" s="126"/>
      <c r="AW370" s="126"/>
      <c r="AX370" s="126"/>
      <c r="AY370" s="126"/>
      <c r="AZ370" s="126"/>
      <c r="BA370" s="126"/>
      <c r="BB370" s="126"/>
      <c r="BC370" s="126"/>
      <c r="BD370" s="126"/>
    </row>
    <row r="371">
      <c r="A371" s="126"/>
      <c r="B371" s="126"/>
      <c r="C371" s="126"/>
      <c r="D371" s="126"/>
      <c r="E371" s="126"/>
      <c r="F371" s="13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c r="AD371" s="126"/>
      <c r="AE371" s="126"/>
      <c r="AF371" s="126"/>
      <c r="AG371" s="126"/>
      <c r="AH371" s="126"/>
      <c r="AI371" s="126"/>
      <c r="AJ371" s="126"/>
      <c r="AK371" s="126"/>
      <c r="AL371" s="126"/>
      <c r="AM371" s="126"/>
      <c r="AN371" s="126"/>
      <c r="AO371" s="126"/>
      <c r="AP371" s="126"/>
      <c r="AQ371" s="126"/>
      <c r="AR371" s="126"/>
      <c r="AS371" s="126"/>
      <c r="AT371" s="126"/>
      <c r="AU371" s="126"/>
      <c r="AV371" s="126"/>
      <c r="AW371" s="126"/>
      <c r="AX371" s="126"/>
      <c r="AY371" s="126"/>
      <c r="AZ371" s="126"/>
      <c r="BA371" s="126"/>
      <c r="BB371" s="126"/>
      <c r="BC371" s="126"/>
      <c r="BD371" s="126"/>
    </row>
    <row r="372">
      <c r="A372" s="126"/>
      <c r="B372" s="126"/>
      <c r="C372" s="126"/>
      <c r="D372" s="126"/>
      <c r="E372" s="126"/>
      <c r="F372" s="13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c r="AD372" s="126"/>
      <c r="AE372" s="126"/>
      <c r="AF372" s="126"/>
      <c r="AG372" s="126"/>
      <c r="AH372" s="126"/>
      <c r="AI372" s="126"/>
      <c r="AJ372" s="126"/>
      <c r="AK372" s="126"/>
      <c r="AL372" s="126"/>
      <c r="AM372" s="126"/>
      <c r="AN372" s="126"/>
      <c r="AO372" s="126"/>
      <c r="AP372" s="126"/>
      <c r="AQ372" s="126"/>
      <c r="AR372" s="126"/>
      <c r="AS372" s="126"/>
      <c r="AT372" s="126"/>
      <c r="AU372" s="126"/>
      <c r="AV372" s="126"/>
      <c r="AW372" s="126"/>
      <c r="AX372" s="126"/>
      <c r="AY372" s="126"/>
      <c r="AZ372" s="126"/>
      <c r="BA372" s="126"/>
      <c r="BB372" s="126"/>
      <c r="BC372" s="126"/>
      <c r="BD372" s="126"/>
    </row>
    <row r="373">
      <c r="A373" s="126"/>
      <c r="B373" s="126"/>
      <c r="C373" s="126"/>
      <c r="D373" s="126"/>
      <c r="E373" s="126"/>
      <c r="F373" s="13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c r="AD373" s="126"/>
      <c r="AE373" s="126"/>
      <c r="AF373" s="126"/>
      <c r="AG373" s="126"/>
      <c r="AH373" s="126"/>
      <c r="AI373" s="126"/>
      <c r="AJ373" s="126"/>
      <c r="AK373" s="126"/>
      <c r="AL373" s="126"/>
      <c r="AM373" s="126"/>
      <c r="AN373" s="126"/>
      <c r="AO373" s="126"/>
      <c r="AP373" s="126"/>
      <c r="AQ373" s="126"/>
      <c r="AR373" s="126"/>
      <c r="AS373" s="126"/>
      <c r="AT373" s="126"/>
      <c r="AU373" s="126"/>
      <c r="AV373" s="126"/>
      <c r="AW373" s="126"/>
      <c r="AX373" s="126"/>
      <c r="AY373" s="126"/>
      <c r="AZ373" s="126"/>
      <c r="BA373" s="126"/>
      <c r="BB373" s="126"/>
      <c r="BC373" s="126"/>
      <c r="BD373" s="126"/>
    </row>
    <row r="374">
      <c r="A374" s="126"/>
      <c r="B374" s="126"/>
      <c r="C374" s="126"/>
      <c r="D374" s="126"/>
      <c r="E374" s="126"/>
      <c r="F374" s="13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c r="AD374" s="126"/>
      <c r="AE374" s="126"/>
      <c r="AF374" s="126"/>
      <c r="AG374" s="126"/>
      <c r="AH374" s="126"/>
      <c r="AI374" s="126"/>
      <c r="AJ374" s="126"/>
      <c r="AK374" s="126"/>
      <c r="AL374" s="126"/>
      <c r="AM374" s="126"/>
      <c r="AN374" s="126"/>
      <c r="AO374" s="126"/>
      <c r="AP374" s="126"/>
      <c r="AQ374" s="126"/>
      <c r="AR374" s="126"/>
      <c r="AS374" s="126"/>
      <c r="AT374" s="126"/>
      <c r="AU374" s="126"/>
      <c r="AV374" s="126"/>
      <c r="AW374" s="126"/>
      <c r="AX374" s="126"/>
      <c r="AY374" s="126"/>
      <c r="AZ374" s="126"/>
      <c r="BA374" s="126"/>
      <c r="BB374" s="126"/>
      <c r="BC374" s="126"/>
      <c r="BD374" s="126"/>
    </row>
    <row r="375">
      <c r="A375" s="126"/>
      <c r="B375" s="126"/>
      <c r="C375" s="126"/>
      <c r="D375" s="126"/>
      <c r="E375" s="126"/>
      <c r="F375" s="13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c r="BC375" s="126"/>
      <c r="BD375" s="126"/>
    </row>
    <row r="376">
      <c r="A376" s="126"/>
      <c r="B376" s="126"/>
      <c r="C376" s="126"/>
      <c r="D376" s="126"/>
      <c r="E376" s="126"/>
      <c r="F376" s="13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c r="AD376" s="126"/>
      <c r="AE376" s="126"/>
      <c r="AF376" s="126"/>
      <c r="AG376" s="126"/>
      <c r="AH376" s="126"/>
      <c r="AI376" s="126"/>
      <c r="AJ376" s="126"/>
      <c r="AK376" s="126"/>
      <c r="AL376" s="126"/>
      <c r="AM376" s="126"/>
      <c r="AN376" s="126"/>
      <c r="AO376" s="126"/>
      <c r="AP376" s="126"/>
      <c r="AQ376" s="126"/>
      <c r="AR376" s="126"/>
      <c r="AS376" s="126"/>
      <c r="AT376" s="126"/>
      <c r="AU376" s="126"/>
      <c r="AV376" s="126"/>
      <c r="AW376" s="126"/>
      <c r="AX376" s="126"/>
      <c r="AY376" s="126"/>
      <c r="AZ376" s="126"/>
      <c r="BA376" s="126"/>
      <c r="BB376" s="126"/>
      <c r="BC376" s="126"/>
      <c r="BD376" s="126"/>
    </row>
    <row r="377">
      <c r="A377" s="126"/>
      <c r="B377" s="126"/>
      <c r="C377" s="126"/>
      <c r="D377" s="126"/>
      <c r="E377" s="126"/>
      <c r="F377" s="13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c r="AD377" s="126"/>
      <c r="AE377" s="126"/>
      <c r="AF377" s="126"/>
      <c r="AG377" s="126"/>
      <c r="AH377" s="126"/>
      <c r="AI377" s="126"/>
      <c r="AJ377" s="126"/>
      <c r="AK377" s="126"/>
      <c r="AL377" s="126"/>
      <c r="AM377" s="126"/>
      <c r="AN377" s="126"/>
      <c r="AO377" s="126"/>
      <c r="AP377" s="126"/>
      <c r="AQ377" s="126"/>
      <c r="AR377" s="126"/>
      <c r="AS377" s="126"/>
      <c r="AT377" s="126"/>
      <c r="AU377" s="126"/>
      <c r="AV377" s="126"/>
      <c r="AW377" s="126"/>
      <c r="AX377" s="126"/>
      <c r="AY377" s="126"/>
      <c r="AZ377" s="126"/>
      <c r="BA377" s="126"/>
      <c r="BB377" s="126"/>
      <c r="BC377" s="126"/>
      <c r="BD377" s="126"/>
    </row>
    <row r="378">
      <c r="A378" s="126"/>
      <c r="B378" s="126"/>
      <c r="C378" s="126"/>
      <c r="D378" s="126"/>
      <c r="E378" s="126"/>
      <c r="F378" s="13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c r="AD378" s="126"/>
      <c r="AE378" s="126"/>
      <c r="AF378" s="126"/>
      <c r="AG378" s="126"/>
      <c r="AH378" s="126"/>
      <c r="AI378" s="126"/>
      <c r="AJ378" s="126"/>
      <c r="AK378" s="126"/>
      <c r="AL378" s="126"/>
      <c r="AM378" s="126"/>
      <c r="AN378" s="126"/>
      <c r="AO378" s="126"/>
      <c r="AP378" s="126"/>
      <c r="AQ378" s="126"/>
      <c r="AR378" s="126"/>
      <c r="AS378" s="126"/>
      <c r="AT378" s="126"/>
      <c r="AU378" s="126"/>
      <c r="AV378" s="126"/>
      <c r="AW378" s="126"/>
      <c r="AX378" s="126"/>
      <c r="AY378" s="126"/>
      <c r="AZ378" s="126"/>
      <c r="BA378" s="126"/>
      <c r="BB378" s="126"/>
      <c r="BC378" s="126"/>
      <c r="BD378" s="126"/>
    </row>
    <row r="379">
      <c r="A379" s="126"/>
      <c r="B379" s="126"/>
      <c r="C379" s="126"/>
      <c r="D379" s="126"/>
      <c r="E379" s="126"/>
      <c r="F379" s="13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c r="AD379" s="126"/>
      <c r="AE379" s="126"/>
      <c r="AF379" s="126"/>
      <c r="AG379" s="126"/>
      <c r="AH379" s="126"/>
      <c r="AI379" s="126"/>
      <c r="AJ379" s="126"/>
      <c r="AK379" s="126"/>
      <c r="AL379" s="126"/>
      <c r="AM379" s="126"/>
      <c r="AN379" s="126"/>
      <c r="AO379" s="126"/>
      <c r="AP379" s="126"/>
      <c r="AQ379" s="126"/>
      <c r="AR379" s="126"/>
      <c r="AS379" s="126"/>
      <c r="AT379" s="126"/>
      <c r="AU379" s="126"/>
      <c r="AV379" s="126"/>
      <c r="AW379" s="126"/>
      <c r="AX379" s="126"/>
      <c r="AY379" s="126"/>
      <c r="AZ379" s="126"/>
      <c r="BA379" s="126"/>
      <c r="BB379" s="126"/>
      <c r="BC379" s="126"/>
      <c r="BD379" s="126"/>
    </row>
    <row r="380">
      <c r="A380" s="126"/>
      <c r="B380" s="126"/>
      <c r="C380" s="126"/>
      <c r="D380" s="126"/>
      <c r="E380" s="126"/>
      <c r="F380" s="13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c r="AD380" s="126"/>
      <c r="AE380" s="126"/>
      <c r="AF380" s="126"/>
      <c r="AG380" s="126"/>
      <c r="AH380" s="126"/>
      <c r="AI380" s="126"/>
      <c r="AJ380" s="126"/>
      <c r="AK380" s="126"/>
      <c r="AL380" s="126"/>
      <c r="AM380" s="126"/>
      <c r="AN380" s="126"/>
      <c r="AO380" s="126"/>
      <c r="AP380" s="126"/>
      <c r="AQ380" s="126"/>
      <c r="AR380" s="126"/>
      <c r="AS380" s="126"/>
      <c r="AT380" s="126"/>
      <c r="AU380" s="126"/>
      <c r="AV380" s="126"/>
      <c r="AW380" s="126"/>
      <c r="AX380" s="126"/>
      <c r="AY380" s="126"/>
      <c r="AZ380" s="126"/>
      <c r="BA380" s="126"/>
      <c r="BB380" s="126"/>
      <c r="BC380" s="126"/>
      <c r="BD380" s="126"/>
    </row>
    <row r="381">
      <c r="A381" s="126"/>
      <c r="B381" s="126"/>
      <c r="C381" s="126"/>
      <c r="D381" s="126"/>
      <c r="E381" s="126"/>
      <c r="F381" s="13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row>
    <row r="382">
      <c r="A382" s="126"/>
      <c r="B382" s="126"/>
      <c r="C382" s="126"/>
      <c r="D382" s="126"/>
      <c r="E382" s="126"/>
      <c r="F382" s="13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c r="AD382" s="126"/>
      <c r="AE382" s="126"/>
      <c r="AF382" s="126"/>
      <c r="AG382" s="126"/>
      <c r="AH382" s="126"/>
      <c r="AI382" s="126"/>
      <c r="AJ382" s="126"/>
      <c r="AK382" s="126"/>
      <c r="AL382" s="126"/>
      <c r="AM382" s="126"/>
      <c r="AN382" s="126"/>
      <c r="AO382" s="126"/>
      <c r="AP382" s="126"/>
      <c r="AQ382" s="126"/>
      <c r="AR382" s="126"/>
      <c r="AS382" s="126"/>
      <c r="AT382" s="126"/>
      <c r="AU382" s="126"/>
      <c r="AV382" s="126"/>
      <c r="AW382" s="126"/>
      <c r="AX382" s="126"/>
      <c r="AY382" s="126"/>
      <c r="AZ382" s="126"/>
      <c r="BA382" s="126"/>
      <c r="BB382" s="126"/>
      <c r="BC382" s="126"/>
      <c r="BD382" s="126"/>
    </row>
    <row r="383">
      <c r="A383" s="126"/>
      <c r="B383" s="126"/>
      <c r="C383" s="126"/>
      <c r="D383" s="126"/>
      <c r="E383" s="126"/>
      <c r="F383" s="13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c r="AD383" s="126"/>
      <c r="AE383" s="126"/>
      <c r="AF383" s="126"/>
      <c r="AG383" s="126"/>
      <c r="AH383" s="126"/>
      <c r="AI383" s="126"/>
      <c r="AJ383" s="126"/>
      <c r="AK383" s="126"/>
      <c r="AL383" s="126"/>
      <c r="AM383" s="126"/>
      <c r="AN383" s="126"/>
      <c r="AO383" s="126"/>
      <c r="AP383" s="126"/>
      <c r="AQ383" s="126"/>
      <c r="AR383" s="126"/>
      <c r="AS383" s="126"/>
      <c r="AT383" s="126"/>
      <c r="AU383" s="126"/>
      <c r="AV383" s="126"/>
      <c r="AW383" s="126"/>
      <c r="AX383" s="126"/>
      <c r="AY383" s="126"/>
      <c r="AZ383" s="126"/>
      <c r="BA383" s="126"/>
      <c r="BB383" s="126"/>
      <c r="BC383" s="126"/>
      <c r="BD383" s="126"/>
    </row>
    <row r="384">
      <c r="A384" s="126"/>
      <c r="B384" s="126"/>
      <c r="C384" s="126"/>
      <c r="D384" s="126"/>
      <c r="E384" s="126"/>
      <c r="F384" s="13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c r="AD384" s="126"/>
      <c r="AE384" s="126"/>
      <c r="AF384" s="126"/>
      <c r="AG384" s="126"/>
      <c r="AH384" s="126"/>
      <c r="AI384" s="126"/>
      <c r="AJ384" s="126"/>
      <c r="AK384" s="126"/>
      <c r="AL384" s="126"/>
      <c r="AM384" s="126"/>
      <c r="AN384" s="126"/>
      <c r="AO384" s="126"/>
      <c r="AP384" s="126"/>
      <c r="AQ384" s="126"/>
      <c r="AR384" s="126"/>
      <c r="AS384" s="126"/>
      <c r="AT384" s="126"/>
      <c r="AU384" s="126"/>
      <c r="AV384" s="126"/>
      <c r="AW384" s="126"/>
      <c r="AX384" s="126"/>
      <c r="AY384" s="126"/>
      <c r="AZ384" s="126"/>
      <c r="BA384" s="126"/>
      <c r="BB384" s="126"/>
      <c r="BC384" s="126"/>
      <c r="BD384" s="126"/>
    </row>
    <row r="385">
      <c r="A385" s="126"/>
      <c r="B385" s="126"/>
      <c r="C385" s="126"/>
      <c r="D385" s="126"/>
      <c r="E385" s="126"/>
      <c r="F385" s="13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c r="AD385" s="126"/>
      <c r="AE385" s="126"/>
      <c r="AF385" s="126"/>
      <c r="AG385" s="126"/>
      <c r="AH385" s="126"/>
      <c r="AI385" s="126"/>
      <c r="AJ385" s="126"/>
      <c r="AK385" s="126"/>
      <c r="AL385" s="126"/>
      <c r="AM385" s="126"/>
      <c r="AN385" s="126"/>
      <c r="AO385" s="126"/>
      <c r="AP385" s="126"/>
      <c r="AQ385" s="126"/>
      <c r="AR385" s="126"/>
      <c r="AS385" s="126"/>
      <c r="AT385" s="126"/>
      <c r="AU385" s="126"/>
      <c r="AV385" s="126"/>
      <c r="AW385" s="126"/>
      <c r="AX385" s="126"/>
      <c r="AY385" s="126"/>
      <c r="AZ385" s="126"/>
      <c r="BA385" s="126"/>
      <c r="BB385" s="126"/>
      <c r="BC385" s="126"/>
      <c r="BD385" s="126"/>
    </row>
    <row r="386">
      <c r="A386" s="126"/>
      <c r="B386" s="126"/>
      <c r="C386" s="126"/>
      <c r="D386" s="126"/>
      <c r="E386" s="126"/>
      <c r="F386" s="13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c r="AD386" s="126"/>
      <c r="AE386" s="126"/>
      <c r="AF386" s="126"/>
      <c r="AG386" s="126"/>
      <c r="AH386" s="126"/>
      <c r="AI386" s="126"/>
      <c r="AJ386" s="126"/>
      <c r="AK386" s="126"/>
      <c r="AL386" s="126"/>
      <c r="AM386" s="126"/>
      <c r="AN386" s="126"/>
      <c r="AO386" s="126"/>
      <c r="AP386" s="126"/>
      <c r="AQ386" s="126"/>
      <c r="AR386" s="126"/>
      <c r="AS386" s="126"/>
      <c r="AT386" s="126"/>
      <c r="AU386" s="126"/>
      <c r="AV386" s="126"/>
      <c r="AW386" s="126"/>
      <c r="AX386" s="126"/>
      <c r="AY386" s="126"/>
      <c r="AZ386" s="126"/>
      <c r="BA386" s="126"/>
      <c r="BB386" s="126"/>
      <c r="BC386" s="126"/>
      <c r="BD386" s="126"/>
    </row>
    <row r="387">
      <c r="A387" s="126"/>
      <c r="B387" s="126"/>
      <c r="C387" s="126"/>
      <c r="D387" s="126"/>
      <c r="E387" s="126"/>
      <c r="F387" s="13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row>
    <row r="388">
      <c r="A388" s="126"/>
      <c r="B388" s="126"/>
      <c r="C388" s="126"/>
      <c r="D388" s="126"/>
      <c r="E388" s="126"/>
      <c r="F388" s="13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c r="AD388" s="126"/>
      <c r="AE388" s="126"/>
      <c r="AF388" s="126"/>
      <c r="AG388" s="126"/>
      <c r="AH388" s="126"/>
      <c r="AI388" s="126"/>
      <c r="AJ388" s="126"/>
      <c r="AK388" s="126"/>
      <c r="AL388" s="126"/>
      <c r="AM388" s="126"/>
      <c r="AN388" s="126"/>
      <c r="AO388" s="126"/>
      <c r="AP388" s="126"/>
      <c r="AQ388" s="126"/>
      <c r="AR388" s="126"/>
      <c r="AS388" s="126"/>
      <c r="AT388" s="126"/>
      <c r="AU388" s="126"/>
      <c r="AV388" s="126"/>
      <c r="AW388" s="126"/>
      <c r="AX388" s="126"/>
      <c r="AY388" s="126"/>
      <c r="AZ388" s="126"/>
      <c r="BA388" s="126"/>
      <c r="BB388" s="126"/>
      <c r="BC388" s="126"/>
      <c r="BD388" s="126"/>
    </row>
    <row r="389">
      <c r="A389" s="126"/>
      <c r="B389" s="126"/>
      <c r="C389" s="126"/>
      <c r="D389" s="126"/>
      <c r="E389" s="126"/>
      <c r="F389" s="13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c r="BC389" s="126"/>
      <c r="BD389" s="126"/>
    </row>
    <row r="390">
      <c r="A390" s="126"/>
      <c r="B390" s="126"/>
      <c r="C390" s="126"/>
      <c r="D390" s="126"/>
      <c r="E390" s="126"/>
      <c r="F390" s="13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c r="AD390" s="126"/>
      <c r="AE390" s="126"/>
      <c r="AF390" s="126"/>
      <c r="AG390" s="126"/>
      <c r="AH390" s="126"/>
      <c r="AI390" s="126"/>
      <c r="AJ390" s="126"/>
      <c r="AK390" s="126"/>
      <c r="AL390" s="126"/>
      <c r="AM390" s="126"/>
      <c r="AN390" s="126"/>
      <c r="AO390" s="126"/>
      <c r="AP390" s="126"/>
      <c r="AQ390" s="126"/>
      <c r="AR390" s="126"/>
      <c r="AS390" s="126"/>
      <c r="AT390" s="126"/>
      <c r="AU390" s="126"/>
      <c r="AV390" s="126"/>
      <c r="AW390" s="126"/>
      <c r="AX390" s="126"/>
      <c r="AY390" s="126"/>
      <c r="AZ390" s="126"/>
      <c r="BA390" s="126"/>
      <c r="BB390" s="126"/>
      <c r="BC390" s="126"/>
      <c r="BD390" s="126"/>
    </row>
    <row r="391">
      <c r="A391" s="126"/>
      <c r="B391" s="126"/>
      <c r="C391" s="126"/>
      <c r="D391" s="126"/>
      <c r="E391" s="126"/>
      <c r="F391" s="13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c r="AD391" s="126"/>
      <c r="AE391" s="126"/>
      <c r="AF391" s="126"/>
      <c r="AG391" s="126"/>
      <c r="AH391" s="126"/>
      <c r="AI391" s="126"/>
      <c r="AJ391" s="126"/>
      <c r="AK391" s="126"/>
      <c r="AL391" s="126"/>
      <c r="AM391" s="126"/>
      <c r="AN391" s="126"/>
      <c r="AO391" s="126"/>
      <c r="AP391" s="126"/>
      <c r="AQ391" s="126"/>
      <c r="AR391" s="126"/>
      <c r="AS391" s="126"/>
      <c r="AT391" s="126"/>
      <c r="AU391" s="126"/>
      <c r="AV391" s="126"/>
      <c r="AW391" s="126"/>
      <c r="AX391" s="126"/>
      <c r="AY391" s="126"/>
      <c r="AZ391" s="126"/>
      <c r="BA391" s="126"/>
      <c r="BB391" s="126"/>
      <c r="BC391" s="126"/>
      <c r="BD391" s="126"/>
    </row>
    <row r="392">
      <c r="A392" s="126"/>
      <c r="B392" s="126"/>
      <c r="C392" s="126"/>
      <c r="D392" s="126"/>
      <c r="E392" s="126"/>
      <c r="F392" s="13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c r="AD392" s="126"/>
      <c r="AE392" s="126"/>
      <c r="AF392" s="126"/>
      <c r="AG392" s="126"/>
      <c r="AH392" s="126"/>
      <c r="AI392" s="126"/>
      <c r="AJ392" s="126"/>
      <c r="AK392" s="126"/>
      <c r="AL392" s="126"/>
      <c r="AM392" s="126"/>
      <c r="AN392" s="126"/>
      <c r="AO392" s="126"/>
      <c r="AP392" s="126"/>
      <c r="AQ392" s="126"/>
      <c r="AR392" s="126"/>
      <c r="AS392" s="126"/>
      <c r="AT392" s="126"/>
      <c r="AU392" s="126"/>
      <c r="AV392" s="126"/>
      <c r="AW392" s="126"/>
      <c r="AX392" s="126"/>
      <c r="AY392" s="126"/>
      <c r="AZ392" s="126"/>
      <c r="BA392" s="126"/>
      <c r="BB392" s="126"/>
      <c r="BC392" s="126"/>
      <c r="BD392" s="126"/>
    </row>
    <row r="393">
      <c r="A393" s="126"/>
      <c r="B393" s="126"/>
      <c r="C393" s="126"/>
      <c r="D393" s="126"/>
      <c r="E393" s="126"/>
      <c r="F393" s="13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c r="BC393" s="126"/>
      <c r="BD393" s="126"/>
    </row>
    <row r="394">
      <c r="A394" s="126"/>
      <c r="B394" s="126"/>
      <c r="C394" s="126"/>
      <c r="D394" s="126"/>
      <c r="E394" s="126"/>
      <c r="F394" s="13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c r="AD394" s="126"/>
      <c r="AE394" s="126"/>
      <c r="AF394" s="126"/>
      <c r="AG394" s="126"/>
      <c r="AH394" s="126"/>
      <c r="AI394" s="126"/>
      <c r="AJ394" s="126"/>
      <c r="AK394" s="126"/>
      <c r="AL394" s="126"/>
      <c r="AM394" s="126"/>
      <c r="AN394" s="126"/>
      <c r="AO394" s="126"/>
      <c r="AP394" s="126"/>
      <c r="AQ394" s="126"/>
      <c r="AR394" s="126"/>
      <c r="AS394" s="126"/>
      <c r="AT394" s="126"/>
      <c r="AU394" s="126"/>
      <c r="AV394" s="126"/>
      <c r="AW394" s="126"/>
      <c r="AX394" s="126"/>
      <c r="AY394" s="126"/>
      <c r="AZ394" s="126"/>
      <c r="BA394" s="126"/>
      <c r="BB394" s="126"/>
      <c r="BC394" s="126"/>
      <c r="BD394" s="126"/>
    </row>
    <row r="395">
      <c r="A395" s="126"/>
      <c r="B395" s="126"/>
      <c r="C395" s="126"/>
      <c r="D395" s="126"/>
      <c r="E395" s="126"/>
      <c r="F395" s="13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c r="AD395" s="126"/>
      <c r="AE395" s="126"/>
      <c r="AF395" s="126"/>
      <c r="AG395" s="126"/>
      <c r="AH395" s="126"/>
      <c r="AI395" s="126"/>
      <c r="AJ395" s="126"/>
      <c r="AK395" s="126"/>
      <c r="AL395" s="126"/>
      <c r="AM395" s="126"/>
      <c r="AN395" s="126"/>
      <c r="AO395" s="126"/>
      <c r="AP395" s="126"/>
      <c r="AQ395" s="126"/>
      <c r="AR395" s="126"/>
      <c r="AS395" s="126"/>
      <c r="AT395" s="126"/>
      <c r="AU395" s="126"/>
      <c r="AV395" s="126"/>
      <c r="AW395" s="126"/>
      <c r="AX395" s="126"/>
      <c r="AY395" s="126"/>
      <c r="AZ395" s="126"/>
      <c r="BA395" s="126"/>
      <c r="BB395" s="126"/>
      <c r="BC395" s="126"/>
      <c r="BD395" s="126"/>
    </row>
    <row r="396">
      <c r="A396" s="126"/>
      <c r="B396" s="126"/>
      <c r="C396" s="126"/>
      <c r="D396" s="126"/>
      <c r="E396" s="126"/>
      <c r="F396" s="13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c r="AD396" s="126"/>
      <c r="AE396" s="126"/>
      <c r="AF396" s="126"/>
      <c r="AG396" s="126"/>
      <c r="AH396" s="126"/>
      <c r="AI396" s="126"/>
      <c r="AJ396" s="126"/>
      <c r="AK396" s="126"/>
      <c r="AL396" s="126"/>
      <c r="AM396" s="126"/>
      <c r="AN396" s="126"/>
      <c r="AO396" s="126"/>
      <c r="AP396" s="126"/>
      <c r="AQ396" s="126"/>
      <c r="AR396" s="126"/>
      <c r="AS396" s="126"/>
      <c r="AT396" s="126"/>
      <c r="AU396" s="126"/>
      <c r="AV396" s="126"/>
      <c r="AW396" s="126"/>
      <c r="AX396" s="126"/>
      <c r="AY396" s="126"/>
      <c r="AZ396" s="126"/>
      <c r="BA396" s="126"/>
      <c r="BB396" s="126"/>
      <c r="BC396" s="126"/>
      <c r="BD396" s="126"/>
    </row>
    <row r="397">
      <c r="A397" s="126"/>
      <c r="B397" s="126"/>
      <c r="C397" s="126"/>
      <c r="D397" s="126"/>
      <c r="E397" s="126"/>
      <c r="F397" s="13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c r="AD397" s="126"/>
      <c r="AE397" s="126"/>
      <c r="AF397" s="126"/>
      <c r="AG397" s="126"/>
      <c r="AH397" s="126"/>
      <c r="AI397" s="126"/>
      <c r="AJ397" s="126"/>
      <c r="AK397" s="126"/>
      <c r="AL397" s="126"/>
      <c r="AM397" s="126"/>
      <c r="AN397" s="126"/>
      <c r="AO397" s="126"/>
      <c r="AP397" s="126"/>
      <c r="AQ397" s="126"/>
      <c r="AR397" s="126"/>
      <c r="AS397" s="126"/>
      <c r="AT397" s="126"/>
      <c r="AU397" s="126"/>
      <c r="AV397" s="126"/>
      <c r="AW397" s="126"/>
      <c r="AX397" s="126"/>
      <c r="AY397" s="126"/>
      <c r="AZ397" s="126"/>
      <c r="BA397" s="126"/>
      <c r="BB397" s="126"/>
      <c r="BC397" s="126"/>
      <c r="BD397" s="126"/>
    </row>
    <row r="398">
      <c r="A398" s="126"/>
      <c r="B398" s="126"/>
      <c r="C398" s="126"/>
      <c r="D398" s="126"/>
      <c r="E398" s="126"/>
      <c r="F398" s="13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c r="AD398" s="126"/>
      <c r="AE398" s="126"/>
      <c r="AF398" s="126"/>
      <c r="AG398" s="126"/>
      <c r="AH398" s="126"/>
      <c r="AI398" s="126"/>
      <c r="AJ398" s="126"/>
      <c r="AK398" s="126"/>
      <c r="AL398" s="126"/>
      <c r="AM398" s="126"/>
      <c r="AN398" s="126"/>
      <c r="AO398" s="126"/>
      <c r="AP398" s="126"/>
      <c r="AQ398" s="126"/>
      <c r="AR398" s="126"/>
      <c r="AS398" s="126"/>
      <c r="AT398" s="126"/>
      <c r="AU398" s="126"/>
      <c r="AV398" s="126"/>
      <c r="AW398" s="126"/>
      <c r="AX398" s="126"/>
      <c r="AY398" s="126"/>
      <c r="AZ398" s="126"/>
      <c r="BA398" s="126"/>
      <c r="BB398" s="126"/>
      <c r="BC398" s="126"/>
      <c r="BD398" s="126"/>
    </row>
    <row r="399">
      <c r="A399" s="126"/>
      <c r="B399" s="126"/>
      <c r="C399" s="126"/>
      <c r="D399" s="126"/>
      <c r="E399" s="126"/>
      <c r="F399" s="13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c r="BC399" s="126"/>
      <c r="BD399" s="126"/>
    </row>
    <row r="400">
      <c r="A400" s="126"/>
      <c r="B400" s="126"/>
      <c r="C400" s="126"/>
      <c r="D400" s="126"/>
      <c r="E400" s="126"/>
      <c r="F400" s="13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c r="AD400" s="126"/>
      <c r="AE400" s="126"/>
      <c r="AF400" s="126"/>
      <c r="AG400" s="126"/>
      <c r="AH400" s="126"/>
      <c r="AI400" s="126"/>
      <c r="AJ400" s="126"/>
      <c r="AK400" s="126"/>
      <c r="AL400" s="126"/>
      <c r="AM400" s="126"/>
      <c r="AN400" s="126"/>
      <c r="AO400" s="126"/>
      <c r="AP400" s="126"/>
      <c r="AQ400" s="126"/>
      <c r="AR400" s="126"/>
      <c r="AS400" s="126"/>
      <c r="AT400" s="126"/>
      <c r="AU400" s="126"/>
      <c r="AV400" s="126"/>
      <c r="AW400" s="126"/>
      <c r="AX400" s="126"/>
      <c r="AY400" s="126"/>
      <c r="AZ400" s="126"/>
      <c r="BA400" s="126"/>
      <c r="BB400" s="126"/>
      <c r="BC400" s="126"/>
      <c r="BD400" s="126"/>
    </row>
    <row r="401">
      <c r="A401" s="126"/>
      <c r="B401" s="126"/>
      <c r="C401" s="126"/>
      <c r="D401" s="126"/>
      <c r="E401" s="126"/>
      <c r="F401" s="13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c r="AD401" s="126"/>
      <c r="AE401" s="126"/>
      <c r="AF401" s="126"/>
      <c r="AG401" s="126"/>
      <c r="AH401" s="126"/>
      <c r="AI401" s="126"/>
      <c r="AJ401" s="126"/>
      <c r="AK401" s="126"/>
      <c r="AL401" s="126"/>
      <c r="AM401" s="126"/>
      <c r="AN401" s="126"/>
      <c r="AO401" s="126"/>
      <c r="AP401" s="126"/>
      <c r="AQ401" s="126"/>
      <c r="AR401" s="126"/>
      <c r="AS401" s="126"/>
      <c r="AT401" s="126"/>
      <c r="AU401" s="126"/>
      <c r="AV401" s="126"/>
      <c r="AW401" s="126"/>
      <c r="AX401" s="126"/>
      <c r="AY401" s="126"/>
      <c r="AZ401" s="126"/>
      <c r="BA401" s="126"/>
      <c r="BB401" s="126"/>
      <c r="BC401" s="126"/>
      <c r="BD401" s="126"/>
    </row>
    <row r="402">
      <c r="A402" s="126"/>
      <c r="B402" s="126"/>
      <c r="C402" s="126"/>
      <c r="D402" s="126"/>
      <c r="E402" s="126"/>
      <c r="F402" s="13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c r="AD402" s="126"/>
      <c r="AE402" s="126"/>
      <c r="AF402" s="126"/>
      <c r="AG402" s="126"/>
      <c r="AH402" s="126"/>
      <c r="AI402" s="126"/>
      <c r="AJ402" s="126"/>
      <c r="AK402" s="126"/>
      <c r="AL402" s="126"/>
      <c r="AM402" s="126"/>
      <c r="AN402" s="126"/>
      <c r="AO402" s="126"/>
      <c r="AP402" s="126"/>
      <c r="AQ402" s="126"/>
      <c r="AR402" s="126"/>
      <c r="AS402" s="126"/>
      <c r="AT402" s="126"/>
      <c r="AU402" s="126"/>
      <c r="AV402" s="126"/>
      <c r="AW402" s="126"/>
      <c r="AX402" s="126"/>
      <c r="AY402" s="126"/>
      <c r="AZ402" s="126"/>
      <c r="BA402" s="126"/>
      <c r="BB402" s="126"/>
      <c r="BC402" s="126"/>
      <c r="BD402" s="126"/>
    </row>
    <row r="403">
      <c r="A403" s="126"/>
      <c r="B403" s="126"/>
      <c r="C403" s="126"/>
      <c r="D403" s="126"/>
      <c r="E403" s="126"/>
      <c r="F403" s="13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c r="AD403" s="126"/>
      <c r="AE403" s="126"/>
      <c r="AF403" s="126"/>
      <c r="AG403" s="126"/>
      <c r="AH403" s="126"/>
      <c r="AI403" s="126"/>
      <c r="AJ403" s="126"/>
      <c r="AK403" s="126"/>
      <c r="AL403" s="126"/>
      <c r="AM403" s="126"/>
      <c r="AN403" s="126"/>
      <c r="AO403" s="126"/>
      <c r="AP403" s="126"/>
      <c r="AQ403" s="126"/>
      <c r="AR403" s="126"/>
      <c r="AS403" s="126"/>
      <c r="AT403" s="126"/>
      <c r="AU403" s="126"/>
      <c r="AV403" s="126"/>
      <c r="AW403" s="126"/>
      <c r="AX403" s="126"/>
      <c r="AY403" s="126"/>
      <c r="AZ403" s="126"/>
      <c r="BA403" s="126"/>
      <c r="BB403" s="126"/>
      <c r="BC403" s="126"/>
      <c r="BD403" s="126"/>
    </row>
    <row r="404">
      <c r="A404" s="126"/>
      <c r="B404" s="126"/>
      <c r="C404" s="126"/>
      <c r="D404" s="126"/>
      <c r="E404" s="126"/>
      <c r="F404" s="13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c r="AD404" s="126"/>
      <c r="AE404" s="126"/>
      <c r="AF404" s="126"/>
      <c r="AG404" s="126"/>
      <c r="AH404" s="126"/>
      <c r="AI404" s="126"/>
      <c r="AJ404" s="126"/>
      <c r="AK404" s="126"/>
      <c r="AL404" s="126"/>
      <c r="AM404" s="126"/>
      <c r="AN404" s="126"/>
      <c r="AO404" s="126"/>
      <c r="AP404" s="126"/>
      <c r="AQ404" s="126"/>
      <c r="AR404" s="126"/>
      <c r="AS404" s="126"/>
      <c r="AT404" s="126"/>
      <c r="AU404" s="126"/>
      <c r="AV404" s="126"/>
      <c r="AW404" s="126"/>
      <c r="AX404" s="126"/>
      <c r="AY404" s="126"/>
      <c r="AZ404" s="126"/>
      <c r="BA404" s="126"/>
      <c r="BB404" s="126"/>
      <c r="BC404" s="126"/>
      <c r="BD404" s="126"/>
    </row>
    <row r="405">
      <c r="A405" s="126"/>
      <c r="B405" s="126"/>
      <c r="C405" s="126"/>
      <c r="D405" s="126"/>
      <c r="E405" s="126"/>
      <c r="F405" s="13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c r="BC405" s="126"/>
      <c r="BD405" s="126"/>
    </row>
    <row r="406">
      <c r="A406" s="126"/>
      <c r="B406" s="126"/>
      <c r="C406" s="126"/>
      <c r="D406" s="126"/>
      <c r="E406" s="126"/>
      <c r="F406" s="13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c r="AD406" s="126"/>
      <c r="AE406" s="126"/>
      <c r="AF406" s="126"/>
      <c r="AG406" s="126"/>
      <c r="AH406" s="126"/>
      <c r="AI406" s="126"/>
      <c r="AJ406" s="126"/>
      <c r="AK406" s="126"/>
      <c r="AL406" s="126"/>
      <c r="AM406" s="126"/>
      <c r="AN406" s="126"/>
      <c r="AO406" s="126"/>
      <c r="AP406" s="126"/>
      <c r="AQ406" s="126"/>
      <c r="AR406" s="126"/>
      <c r="AS406" s="126"/>
      <c r="AT406" s="126"/>
      <c r="AU406" s="126"/>
      <c r="AV406" s="126"/>
      <c r="AW406" s="126"/>
      <c r="AX406" s="126"/>
      <c r="AY406" s="126"/>
      <c r="AZ406" s="126"/>
      <c r="BA406" s="126"/>
      <c r="BB406" s="126"/>
      <c r="BC406" s="126"/>
      <c r="BD406" s="126"/>
    </row>
    <row r="407">
      <c r="A407" s="126"/>
      <c r="B407" s="126"/>
      <c r="C407" s="126"/>
      <c r="D407" s="126"/>
      <c r="E407" s="126"/>
      <c r="F407" s="13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6"/>
      <c r="BA407" s="126"/>
      <c r="BB407" s="126"/>
      <c r="BC407" s="126"/>
      <c r="BD407" s="126"/>
    </row>
    <row r="408">
      <c r="A408" s="126"/>
      <c r="B408" s="126"/>
      <c r="C408" s="126"/>
      <c r="D408" s="126"/>
      <c r="E408" s="126"/>
      <c r="F408" s="13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c r="AD408" s="126"/>
      <c r="AE408" s="126"/>
      <c r="AF408" s="126"/>
      <c r="AG408" s="126"/>
      <c r="AH408" s="126"/>
      <c r="AI408" s="126"/>
      <c r="AJ408" s="126"/>
      <c r="AK408" s="126"/>
      <c r="AL408" s="126"/>
      <c r="AM408" s="126"/>
      <c r="AN408" s="126"/>
      <c r="AO408" s="126"/>
      <c r="AP408" s="126"/>
      <c r="AQ408" s="126"/>
      <c r="AR408" s="126"/>
      <c r="AS408" s="126"/>
      <c r="AT408" s="126"/>
      <c r="AU408" s="126"/>
      <c r="AV408" s="126"/>
      <c r="AW408" s="126"/>
      <c r="AX408" s="126"/>
      <c r="AY408" s="126"/>
      <c r="AZ408" s="126"/>
      <c r="BA408" s="126"/>
      <c r="BB408" s="126"/>
      <c r="BC408" s="126"/>
      <c r="BD408" s="126"/>
    </row>
    <row r="409">
      <c r="A409" s="126"/>
      <c r="B409" s="126"/>
      <c r="C409" s="126"/>
      <c r="D409" s="126"/>
      <c r="E409" s="126"/>
      <c r="F409" s="13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c r="AD409" s="126"/>
      <c r="AE409" s="126"/>
      <c r="AF409" s="126"/>
      <c r="AG409" s="126"/>
      <c r="AH409" s="126"/>
      <c r="AI409" s="126"/>
      <c r="AJ409" s="126"/>
      <c r="AK409" s="126"/>
      <c r="AL409" s="126"/>
      <c r="AM409" s="126"/>
      <c r="AN409" s="126"/>
      <c r="AO409" s="126"/>
      <c r="AP409" s="126"/>
      <c r="AQ409" s="126"/>
      <c r="AR409" s="126"/>
      <c r="AS409" s="126"/>
      <c r="AT409" s="126"/>
      <c r="AU409" s="126"/>
      <c r="AV409" s="126"/>
      <c r="AW409" s="126"/>
      <c r="AX409" s="126"/>
      <c r="AY409" s="126"/>
      <c r="AZ409" s="126"/>
      <c r="BA409" s="126"/>
      <c r="BB409" s="126"/>
      <c r="BC409" s="126"/>
      <c r="BD409" s="126"/>
    </row>
    <row r="410">
      <c r="A410" s="126"/>
      <c r="B410" s="126"/>
      <c r="C410" s="126"/>
      <c r="D410" s="126"/>
      <c r="E410" s="126"/>
      <c r="F410" s="13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c r="AD410" s="126"/>
      <c r="AE410" s="126"/>
      <c r="AF410" s="126"/>
      <c r="AG410" s="126"/>
      <c r="AH410" s="126"/>
      <c r="AI410" s="126"/>
      <c r="AJ410" s="126"/>
      <c r="AK410" s="126"/>
      <c r="AL410" s="126"/>
      <c r="AM410" s="126"/>
      <c r="AN410" s="126"/>
      <c r="AO410" s="126"/>
      <c r="AP410" s="126"/>
      <c r="AQ410" s="126"/>
      <c r="AR410" s="126"/>
      <c r="AS410" s="126"/>
      <c r="AT410" s="126"/>
      <c r="AU410" s="126"/>
      <c r="AV410" s="126"/>
      <c r="AW410" s="126"/>
      <c r="AX410" s="126"/>
      <c r="AY410" s="126"/>
      <c r="AZ410" s="126"/>
      <c r="BA410" s="126"/>
      <c r="BB410" s="126"/>
      <c r="BC410" s="126"/>
      <c r="BD410" s="126"/>
    </row>
    <row r="411">
      <c r="A411" s="126"/>
      <c r="B411" s="126"/>
      <c r="C411" s="126"/>
      <c r="D411" s="126"/>
      <c r="E411" s="126"/>
      <c r="F411" s="13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c r="AD411" s="126"/>
      <c r="AE411" s="126"/>
      <c r="AF411" s="126"/>
      <c r="AG411" s="126"/>
      <c r="AH411" s="126"/>
      <c r="AI411" s="126"/>
      <c r="AJ411" s="126"/>
      <c r="AK411" s="126"/>
      <c r="AL411" s="126"/>
      <c r="AM411" s="126"/>
      <c r="AN411" s="126"/>
      <c r="AO411" s="126"/>
      <c r="AP411" s="126"/>
      <c r="AQ411" s="126"/>
      <c r="AR411" s="126"/>
      <c r="AS411" s="126"/>
      <c r="AT411" s="126"/>
      <c r="AU411" s="126"/>
      <c r="AV411" s="126"/>
      <c r="AW411" s="126"/>
      <c r="AX411" s="126"/>
      <c r="AY411" s="126"/>
      <c r="AZ411" s="126"/>
      <c r="BA411" s="126"/>
      <c r="BB411" s="126"/>
      <c r="BC411" s="126"/>
      <c r="BD411" s="126"/>
    </row>
    <row r="412">
      <c r="A412" s="126"/>
      <c r="B412" s="126"/>
      <c r="C412" s="126"/>
      <c r="D412" s="126"/>
      <c r="E412" s="126"/>
      <c r="F412" s="13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c r="BC412" s="126"/>
      <c r="BD412" s="126"/>
    </row>
    <row r="413">
      <c r="A413" s="126"/>
      <c r="B413" s="126"/>
      <c r="C413" s="126"/>
      <c r="D413" s="126"/>
      <c r="E413" s="126"/>
      <c r="F413" s="13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c r="AD413" s="126"/>
      <c r="AE413" s="126"/>
      <c r="AF413" s="126"/>
      <c r="AG413" s="126"/>
      <c r="AH413" s="126"/>
      <c r="AI413" s="126"/>
      <c r="AJ413" s="126"/>
      <c r="AK413" s="126"/>
      <c r="AL413" s="126"/>
      <c r="AM413" s="126"/>
      <c r="AN413" s="126"/>
      <c r="AO413" s="126"/>
      <c r="AP413" s="126"/>
      <c r="AQ413" s="126"/>
      <c r="AR413" s="126"/>
      <c r="AS413" s="126"/>
      <c r="AT413" s="126"/>
      <c r="AU413" s="126"/>
      <c r="AV413" s="126"/>
      <c r="AW413" s="126"/>
      <c r="AX413" s="126"/>
      <c r="AY413" s="126"/>
      <c r="AZ413" s="126"/>
      <c r="BA413" s="126"/>
      <c r="BB413" s="126"/>
      <c r="BC413" s="126"/>
      <c r="BD413" s="126"/>
    </row>
    <row r="414">
      <c r="A414" s="126"/>
      <c r="B414" s="126"/>
      <c r="C414" s="126"/>
      <c r="D414" s="126"/>
      <c r="E414" s="126"/>
      <c r="F414" s="13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c r="AD414" s="126"/>
      <c r="AE414" s="126"/>
      <c r="AF414" s="126"/>
      <c r="AG414" s="126"/>
      <c r="AH414" s="126"/>
      <c r="AI414" s="126"/>
      <c r="AJ414" s="126"/>
      <c r="AK414" s="126"/>
      <c r="AL414" s="126"/>
      <c r="AM414" s="126"/>
      <c r="AN414" s="126"/>
      <c r="AO414" s="126"/>
      <c r="AP414" s="126"/>
      <c r="AQ414" s="126"/>
      <c r="AR414" s="126"/>
      <c r="AS414" s="126"/>
      <c r="AT414" s="126"/>
      <c r="AU414" s="126"/>
      <c r="AV414" s="126"/>
      <c r="AW414" s="126"/>
      <c r="AX414" s="126"/>
      <c r="AY414" s="126"/>
      <c r="AZ414" s="126"/>
      <c r="BA414" s="126"/>
      <c r="BB414" s="126"/>
      <c r="BC414" s="126"/>
      <c r="BD414" s="126"/>
    </row>
    <row r="415">
      <c r="A415" s="126"/>
      <c r="B415" s="126"/>
      <c r="C415" s="126"/>
      <c r="D415" s="126"/>
      <c r="E415" s="126"/>
      <c r="F415" s="13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c r="AD415" s="126"/>
      <c r="AE415" s="126"/>
      <c r="AF415" s="126"/>
      <c r="AG415" s="126"/>
      <c r="AH415" s="126"/>
      <c r="AI415" s="126"/>
      <c r="AJ415" s="126"/>
      <c r="AK415" s="126"/>
      <c r="AL415" s="126"/>
      <c r="AM415" s="126"/>
      <c r="AN415" s="126"/>
      <c r="AO415" s="126"/>
      <c r="AP415" s="126"/>
      <c r="AQ415" s="126"/>
      <c r="AR415" s="126"/>
      <c r="AS415" s="126"/>
      <c r="AT415" s="126"/>
      <c r="AU415" s="126"/>
      <c r="AV415" s="126"/>
      <c r="AW415" s="126"/>
      <c r="AX415" s="126"/>
      <c r="AY415" s="126"/>
      <c r="AZ415" s="126"/>
      <c r="BA415" s="126"/>
      <c r="BB415" s="126"/>
      <c r="BC415" s="126"/>
      <c r="BD415" s="126"/>
    </row>
    <row r="416">
      <c r="A416" s="126"/>
      <c r="B416" s="126"/>
      <c r="C416" s="126"/>
      <c r="D416" s="126"/>
      <c r="E416" s="126"/>
      <c r="F416" s="13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c r="AD416" s="126"/>
      <c r="AE416" s="126"/>
      <c r="AF416" s="126"/>
      <c r="AG416" s="126"/>
      <c r="AH416" s="126"/>
      <c r="AI416" s="126"/>
      <c r="AJ416" s="126"/>
      <c r="AK416" s="126"/>
      <c r="AL416" s="126"/>
      <c r="AM416" s="126"/>
      <c r="AN416" s="126"/>
      <c r="AO416" s="126"/>
      <c r="AP416" s="126"/>
      <c r="AQ416" s="126"/>
      <c r="AR416" s="126"/>
      <c r="AS416" s="126"/>
      <c r="AT416" s="126"/>
      <c r="AU416" s="126"/>
      <c r="AV416" s="126"/>
      <c r="AW416" s="126"/>
      <c r="AX416" s="126"/>
      <c r="AY416" s="126"/>
      <c r="AZ416" s="126"/>
      <c r="BA416" s="126"/>
      <c r="BB416" s="126"/>
      <c r="BC416" s="126"/>
      <c r="BD416" s="126"/>
    </row>
    <row r="417">
      <c r="A417" s="126"/>
      <c r="B417" s="126"/>
      <c r="C417" s="126"/>
      <c r="D417" s="126"/>
      <c r="E417" s="126"/>
      <c r="F417" s="13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c r="AD417" s="126"/>
      <c r="AE417" s="126"/>
      <c r="AF417" s="126"/>
      <c r="AG417" s="126"/>
      <c r="AH417" s="126"/>
      <c r="AI417" s="126"/>
      <c r="AJ417" s="126"/>
      <c r="AK417" s="126"/>
      <c r="AL417" s="126"/>
      <c r="AM417" s="126"/>
      <c r="AN417" s="126"/>
      <c r="AO417" s="126"/>
      <c r="AP417" s="126"/>
      <c r="AQ417" s="126"/>
      <c r="AR417" s="126"/>
      <c r="AS417" s="126"/>
      <c r="AT417" s="126"/>
      <c r="AU417" s="126"/>
      <c r="AV417" s="126"/>
      <c r="AW417" s="126"/>
      <c r="AX417" s="126"/>
      <c r="AY417" s="126"/>
      <c r="AZ417" s="126"/>
      <c r="BA417" s="126"/>
      <c r="BB417" s="126"/>
      <c r="BC417" s="126"/>
      <c r="BD417" s="126"/>
    </row>
    <row r="418">
      <c r="A418" s="126"/>
      <c r="B418" s="126"/>
      <c r="C418" s="126"/>
      <c r="D418" s="126"/>
      <c r="E418" s="126"/>
      <c r="F418" s="13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c r="BC418" s="126"/>
      <c r="BD418" s="126"/>
    </row>
    <row r="419">
      <c r="A419" s="126"/>
      <c r="B419" s="126"/>
      <c r="C419" s="126"/>
      <c r="D419" s="126"/>
      <c r="E419" s="126"/>
      <c r="F419" s="13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row>
    <row r="420">
      <c r="A420" s="126"/>
      <c r="B420" s="126"/>
      <c r="C420" s="126"/>
      <c r="D420" s="126"/>
      <c r="E420" s="126"/>
      <c r="F420" s="13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c r="AD420" s="126"/>
      <c r="AE420" s="126"/>
      <c r="AF420" s="126"/>
      <c r="AG420" s="126"/>
      <c r="AH420" s="126"/>
      <c r="AI420" s="126"/>
      <c r="AJ420" s="126"/>
      <c r="AK420" s="126"/>
      <c r="AL420" s="126"/>
      <c r="AM420" s="126"/>
      <c r="AN420" s="126"/>
      <c r="AO420" s="126"/>
      <c r="AP420" s="126"/>
      <c r="AQ420" s="126"/>
      <c r="AR420" s="126"/>
      <c r="AS420" s="126"/>
      <c r="AT420" s="126"/>
      <c r="AU420" s="126"/>
      <c r="AV420" s="126"/>
      <c r="AW420" s="126"/>
      <c r="AX420" s="126"/>
      <c r="AY420" s="126"/>
      <c r="AZ420" s="126"/>
      <c r="BA420" s="126"/>
      <c r="BB420" s="126"/>
      <c r="BC420" s="126"/>
      <c r="BD420" s="126"/>
    </row>
    <row r="421">
      <c r="A421" s="126"/>
      <c r="B421" s="126"/>
      <c r="C421" s="126"/>
      <c r="D421" s="126"/>
      <c r="E421" s="126"/>
      <c r="F421" s="13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c r="AD421" s="126"/>
      <c r="AE421" s="126"/>
      <c r="AF421" s="126"/>
      <c r="AG421" s="126"/>
      <c r="AH421" s="126"/>
      <c r="AI421" s="126"/>
      <c r="AJ421" s="126"/>
      <c r="AK421" s="126"/>
      <c r="AL421" s="126"/>
      <c r="AM421" s="126"/>
      <c r="AN421" s="126"/>
      <c r="AO421" s="126"/>
      <c r="AP421" s="126"/>
      <c r="AQ421" s="126"/>
      <c r="AR421" s="126"/>
      <c r="AS421" s="126"/>
      <c r="AT421" s="126"/>
      <c r="AU421" s="126"/>
      <c r="AV421" s="126"/>
      <c r="AW421" s="126"/>
      <c r="AX421" s="126"/>
      <c r="AY421" s="126"/>
      <c r="AZ421" s="126"/>
      <c r="BA421" s="126"/>
      <c r="BB421" s="126"/>
      <c r="BC421" s="126"/>
      <c r="BD421" s="126"/>
    </row>
    <row r="422">
      <c r="A422" s="126"/>
      <c r="B422" s="126"/>
      <c r="C422" s="126"/>
      <c r="D422" s="126"/>
      <c r="E422" s="126"/>
      <c r="F422" s="13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c r="AD422" s="126"/>
      <c r="AE422" s="126"/>
      <c r="AF422" s="126"/>
      <c r="AG422" s="126"/>
      <c r="AH422" s="126"/>
      <c r="AI422" s="126"/>
      <c r="AJ422" s="126"/>
      <c r="AK422" s="126"/>
      <c r="AL422" s="126"/>
      <c r="AM422" s="126"/>
      <c r="AN422" s="126"/>
      <c r="AO422" s="126"/>
      <c r="AP422" s="126"/>
      <c r="AQ422" s="126"/>
      <c r="AR422" s="126"/>
      <c r="AS422" s="126"/>
      <c r="AT422" s="126"/>
      <c r="AU422" s="126"/>
      <c r="AV422" s="126"/>
      <c r="AW422" s="126"/>
      <c r="AX422" s="126"/>
      <c r="AY422" s="126"/>
      <c r="AZ422" s="126"/>
      <c r="BA422" s="126"/>
      <c r="BB422" s="126"/>
      <c r="BC422" s="126"/>
      <c r="BD422" s="126"/>
    </row>
    <row r="423">
      <c r="A423" s="126"/>
      <c r="B423" s="126"/>
      <c r="C423" s="126"/>
      <c r="D423" s="126"/>
      <c r="E423" s="126"/>
      <c r="F423" s="13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c r="AD423" s="126"/>
      <c r="AE423" s="126"/>
      <c r="AF423" s="126"/>
      <c r="AG423" s="126"/>
      <c r="AH423" s="126"/>
      <c r="AI423" s="126"/>
      <c r="AJ423" s="126"/>
      <c r="AK423" s="126"/>
      <c r="AL423" s="126"/>
      <c r="AM423" s="126"/>
      <c r="AN423" s="126"/>
      <c r="AO423" s="126"/>
      <c r="AP423" s="126"/>
      <c r="AQ423" s="126"/>
      <c r="AR423" s="126"/>
      <c r="AS423" s="126"/>
      <c r="AT423" s="126"/>
      <c r="AU423" s="126"/>
      <c r="AV423" s="126"/>
      <c r="AW423" s="126"/>
      <c r="AX423" s="126"/>
      <c r="AY423" s="126"/>
      <c r="AZ423" s="126"/>
      <c r="BA423" s="126"/>
      <c r="BB423" s="126"/>
      <c r="BC423" s="126"/>
      <c r="BD423" s="126"/>
    </row>
    <row r="424">
      <c r="A424" s="126"/>
      <c r="B424" s="126"/>
      <c r="C424" s="126"/>
      <c r="D424" s="126"/>
      <c r="E424" s="126"/>
      <c r="F424" s="13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c r="BC424" s="126"/>
      <c r="BD424" s="126"/>
    </row>
    <row r="425">
      <c r="A425" s="126"/>
      <c r="B425" s="126"/>
      <c r="C425" s="126"/>
      <c r="D425" s="126"/>
      <c r="E425" s="126"/>
      <c r="F425" s="13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c r="AD425" s="126"/>
      <c r="AE425" s="126"/>
      <c r="AF425" s="126"/>
      <c r="AG425" s="126"/>
      <c r="AH425" s="126"/>
      <c r="AI425" s="126"/>
      <c r="AJ425" s="126"/>
      <c r="AK425" s="126"/>
      <c r="AL425" s="126"/>
      <c r="AM425" s="126"/>
      <c r="AN425" s="126"/>
      <c r="AO425" s="126"/>
      <c r="AP425" s="126"/>
      <c r="AQ425" s="126"/>
      <c r="AR425" s="126"/>
      <c r="AS425" s="126"/>
      <c r="AT425" s="126"/>
      <c r="AU425" s="126"/>
      <c r="AV425" s="126"/>
      <c r="AW425" s="126"/>
      <c r="AX425" s="126"/>
      <c r="AY425" s="126"/>
      <c r="AZ425" s="126"/>
      <c r="BA425" s="126"/>
      <c r="BB425" s="126"/>
      <c r="BC425" s="126"/>
      <c r="BD425" s="126"/>
    </row>
    <row r="426">
      <c r="A426" s="126"/>
      <c r="B426" s="126"/>
      <c r="C426" s="126"/>
      <c r="D426" s="126"/>
      <c r="E426" s="126"/>
      <c r="F426" s="13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c r="AD426" s="126"/>
      <c r="AE426" s="126"/>
      <c r="AF426" s="126"/>
      <c r="AG426" s="126"/>
      <c r="AH426" s="126"/>
      <c r="AI426" s="126"/>
      <c r="AJ426" s="126"/>
      <c r="AK426" s="126"/>
      <c r="AL426" s="126"/>
      <c r="AM426" s="126"/>
      <c r="AN426" s="126"/>
      <c r="AO426" s="126"/>
      <c r="AP426" s="126"/>
      <c r="AQ426" s="126"/>
      <c r="AR426" s="126"/>
      <c r="AS426" s="126"/>
      <c r="AT426" s="126"/>
      <c r="AU426" s="126"/>
      <c r="AV426" s="126"/>
      <c r="AW426" s="126"/>
      <c r="AX426" s="126"/>
      <c r="AY426" s="126"/>
      <c r="AZ426" s="126"/>
      <c r="BA426" s="126"/>
      <c r="BB426" s="126"/>
      <c r="BC426" s="126"/>
      <c r="BD426" s="126"/>
    </row>
    <row r="427">
      <c r="A427" s="126"/>
      <c r="B427" s="126"/>
      <c r="C427" s="126"/>
      <c r="D427" s="126"/>
      <c r="E427" s="126"/>
      <c r="F427" s="13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c r="AD427" s="126"/>
      <c r="AE427" s="126"/>
      <c r="AF427" s="126"/>
      <c r="AG427" s="126"/>
      <c r="AH427" s="126"/>
      <c r="AI427" s="126"/>
      <c r="AJ427" s="126"/>
      <c r="AK427" s="126"/>
      <c r="AL427" s="126"/>
      <c r="AM427" s="126"/>
      <c r="AN427" s="126"/>
      <c r="AO427" s="126"/>
      <c r="AP427" s="126"/>
      <c r="AQ427" s="126"/>
      <c r="AR427" s="126"/>
      <c r="AS427" s="126"/>
      <c r="AT427" s="126"/>
      <c r="AU427" s="126"/>
      <c r="AV427" s="126"/>
      <c r="AW427" s="126"/>
      <c r="AX427" s="126"/>
      <c r="AY427" s="126"/>
      <c r="AZ427" s="126"/>
      <c r="BA427" s="126"/>
      <c r="BB427" s="126"/>
      <c r="BC427" s="126"/>
      <c r="BD427" s="126"/>
    </row>
    <row r="428">
      <c r="A428" s="126"/>
      <c r="B428" s="126"/>
      <c r="C428" s="126"/>
      <c r="D428" s="126"/>
      <c r="E428" s="126"/>
      <c r="F428" s="13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c r="AD428" s="126"/>
      <c r="AE428" s="126"/>
      <c r="AF428" s="126"/>
      <c r="AG428" s="126"/>
      <c r="AH428" s="126"/>
      <c r="AI428" s="126"/>
      <c r="AJ428" s="126"/>
      <c r="AK428" s="126"/>
      <c r="AL428" s="126"/>
      <c r="AM428" s="126"/>
      <c r="AN428" s="126"/>
      <c r="AO428" s="126"/>
      <c r="AP428" s="126"/>
      <c r="AQ428" s="126"/>
      <c r="AR428" s="126"/>
      <c r="AS428" s="126"/>
      <c r="AT428" s="126"/>
      <c r="AU428" s="126"/>
      <c r="AV428" s="126"/>
      <c r="AW428" s="126"/>
      <c r="AX428" s="126"/>
      <c r="AY428" s="126"/>
      <c r="AZ428" s="126"/>
      <c r="BA428" s="126"/>
      <c r="BB428" s="126"/>
      <c r="BC428" s="126"/>
      <c r="BD428" s="126"/>
    </row>
    <row r="429">
      <c r="A429" s="126"/>
      <c r="B429" s="126"/>
      <c r="C429" s="126"/>
      <c r="D429" s="126"/>
      <c r="E429" s="126"/>
      <c r="F429" s="13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c r="AD429" s="126"/>
      <c r="AE429" s="126"/>
      <c r="AF429" s="126"/>
      <c r="AG429" s="126"/>
      <c r="AH429" s="126"/>
      <c r="AI429" s="126"/>
      <c r="AJ429" s="126"/>
      <c r="AK429" s="126"/>
      <c r="AL429" s="126"/>
      <c r="AM429" s="126"/>
      <c r="AN429" s="126"/>
      <c r="AO429" s="126"/>
      <c r="AP429" s="126"/>
      <c r="AQ429" s="126"/>
      <c r="AR429" s="126"/>
      <c r="AS429" s="126"/>
      <c r="AT429" s="126"/>
      <c r="AU429" s="126"/>
      <c r="AV429" s="126"/>
      <c r="AW429" s="126"/>
      <c r="AX429" s="126"/>
      <c r="AY429" s="126"/>
      <c r="AZ429" s="126"/>
      <c r="BA429" s="126"/>
      <c r="BB429" s="126"/>
      <c r="BC429" s="126"/>
      <c r="BD429" s="126"/>
    </row>
    <row r="430">
      <c r="A430" s="126"/>
      <c r="B430" s="126"/>
      <c r="C430" s="126"/>
      <c r="D430" s="126"/>
      <c r="E430" s="126"/>
      <c r="F430" s="13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c r="BC430" s="126"/>
      <c r="BD430" s="126"/>
    </row>
    <row r="431">
      <c r="A431" s="126"/>
      <c r="B431" s="126"/>
      <c r="C431" s="126"/>
      <c r="D431" s="126"/>
      <c r="E431" s="126"/>
      <c r="F431" s="13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c r="AD431" s="126"/>
      <c r="AE431" s="126"/>
      <c r="AF431" s="126"/>
      <c r="AG431" s="126"/>
      <c r="AH431" s="126"/>
      <c r="AI431" s="126"/>
      <c r="AJ431" s="126"/>
      <c r="AK431" s="126"/>
      <c r="AL431" s="126"/>
      <c r="AM431" s="126"/>
      <c r="AN431" s="126"/>
      <c r="AO431" s="126"/>
      <c r="AP431" s="126"/>
      <c r="AQ431" s="126"/>
      <c r="AR431" s="126"/>
      <c r="AS431" s="126"/>
      <c r="AT431" s="126"/>
      <c r="AU431" s="126"/>
      <c r="AV431" s="126"/>
      <c r="AW431" s="126"/>
      <c r="AX431" s="126"/>
      <c r="AY431" s="126"/>
      <c r="AZ431" s="126"/>
      <c r="BA431" s="126"/>
      <c r="BB431" s="126"/>
      <c r="BC431" s="126"/>
      <c r="BD431" s="126"/>
    </row>
    <row r="432">
      <c r="A432" s="126"/>
      <c r="B432" s="126"/>
      <c r="C432" s="126"/>
      <c r="D432" s="126"/>
      <c r="E432" s="126"/>
      <c r="F432" s="13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c r="AD432" s="126"/>
      <c r="AE432" s="126"/>
      <c r="AF432" s="126"/>
      <c r="AG432" s="126"/>
      <c r="AH432" s="126"/>
      <c r="AI432" s="126"/>
      <c r="AJ432" s="126"/>
      <c r="AK432" s="126"/>
      <c r="AL432" s="126"/>
      <c r="AM432" s="126"/>
      <c r="AN432" s="126"/>
      <c r="AO432" s="126"/>
      <c r="AP432" s="126"/>
      <c r="AQ432" s="126"/>
      <c r="AR432" s="126"/>
      <c r="AS432" s="126"/>
      <c r="AT432" s="126"/>
      <c r="AU432" s="126"/>
      <c r="AV432" s="126"/>
      <c r="AW432" s="126"/>
      <c r="AX432" s="126"/>
      <c r="AY432" s="126"/>
      <c r="AZ432" s="126"/>
      <c r="BA432" s="126"/>
      <c r="BB432" s="126"/>
      <c r="BC432" s="126"/>
      <c r="BD432" s="126"/>
    </row>
    <row r="433">
      <c r="A433" s="126"/>
      <c r="B433" s="126"/>
      <c r="C433" s="126"/>
      <c r="D433" s="126"/>
      <c r="E433" s="126"/>
      <c r="F433" s="13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c r="AD433" s="126"/>
      <c r="AE433" s="126"/>
      <c r="AF433" s="126"/>
      <c r="AG433" s="126"/>
      <c r="AH433" s="126"/>
      <c r="AI433" s="126"/>
      <c r="AJ433" s="126"/>
      <c r="AK433" s="126"/>
      <c r="AL433" s="126"/>
      <c r="AM433" s="126"/>
      <c r="AN433" s="126"/>
      <c r="AO433" s="126"/>
      <c r="AP433" s="126"/>
      <c r="AQ433" s="126"/>
      <c r="AR433" s="126"/>
      <c r="AS433" s="126"/>
      <c r="AT433" s="126"/>
      <c r="AU433" s="126"/>
      <c r="AV433" s="126"/>
      <c r="AW433" s="126"/>
      <c r="AX433" s="126"/>
      <c r="AY433" s="126"/>
      <c r="AZ433" s="126"/>
      <c r="BA433" s="126"/>
      <c r="BB433" s="126"/>
      <c r="BC433" s="126"/>
      <c r="BD433" s="126"/>
    </row>
    <row r="434">
      <c r="A434" s="126"/>
      <c r="B434" s="126"/>
      <c r="C434" s="126"/>
      <c r="D434" s="126"/>
      <c r="E434" s="126"/>
      <c r="F434" s="13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c r="AD434" s="126"/>
      <c r="AE434" s="126"/>
      <c r="AF434" s="126"/>
      <c r="AG434" s="126"/>
      <c r="AH434" s="126"/>
      <c r="AI434" s="126"/>
      <c r="AJ434" s="126"/>
      <c r="AK434" s="126"/>
      <c r="AL434" s="126"/>
      <c r="AM434" s="126"/>
      <c r="AN434" s="126"/>
      <c r="AO434" s="126"/>
      <c r="AP434" s="126"/>
      <c r="AQ434" s="126"/>
      <c r="AR434" s="126"/>
      <c r="AS434" s="126"/>
      <c r="AT434" s="126"/>
      <c r="AU434" s="126"/>
      <c r="AV434" s="126"/>
      <c r="AW434" s="126"/>
      <c r="AX434" s="126"/>
      <c r="AY434" s="126"/>
      <c r="AZ434" s="126"/>
      <c r="BA434" s="126"/>
      <c r="BB434" s="126"/>
      <c r="BC434" s="126"/>
      <c r="BD434" s="126"/>
    </row>
    <row r="435">
      <c r="A435" s="126"/>
      <c r="B435" s="126"/>
      <c r="C435" s="126"/>
      <c r="D435" s="126"/>
      <c r="E435" s="126"/>
      <c r="F435" s="13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c r="AD435" s="126"/>
      <c r="AE435" s="126"/>
      <c r="AF435" s="126"/>
      <c r="AG435" s="126"/>
      <c r="AH435" s="126"/>
      <c r="AI435" s="126"/>
      <c r="AJ435" s="126"/>
      <c r="AK435" s="126"/>
      <c r="AL435" s="126"/>
      <c r="AM435" s="126"/>
      <c r="AN435" s="126"/>
      <c r="AO435" s="126"/>
      <c r="AP435" s="126"/>
      <c r="AQ435" s="126"/>
      <c r="AR435" s="126"/>
      <c r="AS435" s="126"/>
      <c r="AT435" s="126"/>
      <c r="AU435" s="126"/>
      <c r="AV435" s="126"/>
      <c r="AW435" s="126"/>
      <c r="AX435" s="126"/>
      <c r="AY435" s="126"/>
      <c r="AZ435" s="126"/>
      <c r="BA435" s="126"/>
      <c r="BB435" s="126"/>
      <c r="BC435" s="126"/>
      <c r="BD435" s="126"/>
    </row>
    <row r="436">
      <c r="A436" s="126"/>
      <c r="B436" s="126"/>
      <c r="C436" s="126"/>
      <c r="D436" s="126"/>
      <c r="E436" s="126"/>
      <c r="F436" s="13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c r="AD436" s="126"/>
      <c r="AE436" s="126"/>
      <c r="AF436" s="126"/>
      <c r="AG436" s="126"/>
      <c r="AH436" s="126"/>
      <c r="AI436" s="126"/>
      <c r="AJ436" s="126"/>
      <c r="AK436" s="126"/>
      <c r="AL436" s="126"/>
      <c r="AM436" s="126"/>
      <c r="AN436" s="126"/>
      <c r="AO436" s="126"/>
      <c r="AP436" s="126"/>
      <c r="AQ436" s="126"/>
      <c r="AR436" s="126"/>
      <c r="AS436" s="126"/>
      <c r="AT436" s="126"/>
      <c r="AU436" s="126"/>
      <c r="AV436" s="126"/>
      <c r="AW436" s="126"/>
      <c r="AX436" s="126"/>
      <c r="AY436" s="126"/>
      <c r="AZ436" s="126"/>
      <c r="BA436" s="126"/>
      <c r="BB436" s="126"/>
      <c r="BC436" s="126"/>
      <c r="BD436" s="126"/>
    </row>
    <row r="437">
      <c r="A437" s="126"/>
      <c r="B437" s="126"/>
      <c r="C437" s="126"/>
      <c r="D437" s="126"/>
      <c r="E437" s="126"/>
      <c r="F437" s="13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c r="AD437" s="126"/>
      <c r="AE437" s="126"/>
      <c r="AF437" s="126"/>
      <c r="AG437" s="126"/>
      <c r="AH437" s="126"/>
      <c r="AI437" s="126"/>
      <c r="AJ437" s="126"/>
      <c r="AK437" s="126"/>
      <c r="AL437" s="126"/>
      <c r="AM437" s="126"/>
      <c r="AN437" s="126"/>
      <c r="AO437" s="126"/>
      <c r="AP437" s="126"/>
      <c r="AQ437" s="126"/>
      <c r="AR437" s="126"/>
      <c r="AS437" s="126"/>
      <c r="AT437" s="126"/>
      <c r="AU437" s="126"/>
      <c r="AV437" s="126"/>
      <c r="AW437" s="126"/>
      <c r="AX437" s="126"/>
      <c r="AY437" s="126"/>
      <c r="AZ437" s="126"/>
      <c r="BA437" s="126"/>
      <c r="BB437" s="126"/>
      <c r="BC437" s="126"/>
      <c r="BD437" s="126"/>
    </row>
    <row r="438">
      <c r="A438" s="126"/>
      <c r="B438" s="126"/>
      <c r="C438" s="126"/>
      <c r="D438" s="126"/>
      <c r="E438" s="126"/>
      <c r="F438" s="13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c r="BC438" s="126"/>
      <c r="BD438" s="126"/>
    </row>
    <row r="439">
      <c r="A439" s="126"/>
      <c r="B439" s="126"/>
      <c r="C439" s="126"/>
      <c r="D439" s="126"/>
      <c r="E439" s="126"/>
      <c r="F439" s="13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c r="AD439" s="126"/>
      <c r="AE439" s="126"/>
      <c r="AF439" s="126"/>
      <c r="AG439" s="126"/>
      <c r="AH439" s="126"/>
      <c r="AI439" s="126"/>
      <c r="AJ439" s="126"/>
      <c r="AK439" s="126"/>
      <c r="AL439" s="126"/>
      <c r="AM439" s="126"/>
      <c r="AN439" s="126"/>
      <c r="AO439" s="126"/>
      <c r="AP439" s="126"/>
      <c r="AQ439" s="126"/>
      <c r="AR439" s="126"/>
      <c r="AS439" s="126"/>
      <c r="AT439" s="126"/>
      <c r="AU439" s="126"/>
      <c r="AV439" s="126"/>
      <c r="AW439" s="126"/>
      <c r="AX439" s="126"/>
      <c r="AY439" s="126"/>
      <c r="AZ439" s="126"/>
      <c r="BA439" s="126"/>
      <c r="BB439" s="126"/>
      <c r="BC439" s="126"/>
      <c r="BD439" s="126"/>
    </row>
    <row r="440">
      <c r="A440" s="126"/>
      <c r="B440" s="126"/>
      <c r="C440" s="126"/>
      <c r="D440" s="126"/>
      <c r="E440" s="126"/>
      <c r="F440" s="13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c r="AD440" s="126"/>
      <c r="AE440" s="126"/>
      <c r="AF440" s="126"/>
      <c r="AG440" s="126"/>
      <c r="AH440" s="126"/>
      <c r="AI440" s="126"/>
      <c r="AJ440" s="126"/>
      <c r="AK440" s="126"/>
      <c r="AL440" s="126"/>
      <c r="AM440" s="126"/>
      <c r="AN440" s="126"/>
      <c r="AO440" s="126"/>
      <c r="AP440" s="126"/>
      <c r="AQ440" s="126"/>
      <c r="AR440" s="126"/>
      <c r="AS440" s="126"/>
      <c r="AT440" s="126"/>
      <c r="AU440" s="126"/>
      <c r="AV440" s="126"/>
      <c r="AW440" s="126"/>
      <c r="AX440" s="126"/>
      <c r="AY440" s="126"/>
      <c r="AZ440" s="126"/>
      <c r="BA440" s="126"/>
      <c r="BB440" s="126"/>
      <c r="BC440" s="126"/>
      <c r="BD440" s="126"/>
    </row>
    <row r="441">
      <c r="A441" s="126"/>
      <c r="B441" s="126"/>
      <c r="C441" s="126"/>
      <c r="D441" s="126"/>
      <c r="E441" s="126"/>
      <c r="F441" s="13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c r="AD441" s="126"/>
      <c r="AE441" s="126"/>
      <c r="AF441" s="126"/>
      <c r="AG441" s="126"/>
      <c r="AH441" s="126"/>
      <c r="AI441" s="126"/>
      <c r="AJ441" s="126"/>
      <c r="AK441" s="126"/>
      <c r="AL441" s="126"/>
      <c r="AM441" s="126"/>
      <c r="AN441" s="126"/>
      <c r="AO441" s="126"/>
      <c r="AP441" s="126"/>
      <c r="AQ441" s="126"/>
      <c r="AR441" s="126"/>
      <c r="AS441" s="126"/>
      <c r="AT441" s="126"/>
      <c r="AU441" s="126"/>
      <c r="AV441" s="126"/>
      <c r="AW441" s="126"/>
      <c r="AX441" s="126"/>
      <c r="AY441" s="126"/>
      <c r="AZ441" s="126"/>
      <c r="BA441" s="126"/>
      <c r="BB441" s="126"/>
      <c r="BC441" s="126"/>
      <c r="BD441" s="126"/>
    </row>
    <row r="442">
      <c r="A442" s="126"/>
      <c r="B442" s="126"/>
      <c r="C442" s="126"/>
      <c r="D442" s="126"/>
      <c r="E442" s="126"/>
      <c r="F442" s="13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c r="AD442" s="126"/>
      <c r="AE442" s="126"/>
      <c r="AF442" s="126"/>
      <c r="AG442" s="126"/>
      <c r="AH442" s="126"/>
      <c r="AI442" s="126"/>
      <c r="AJ442" s="126"/>
      <c r="AK442" s="126"/>
      <c r="AL442" s="126"/>
      <c r="AM442" s="126"/>
      <c r="AN442" s="126"/>
      <c r="AO442" s="126"/>
      <c r="AP442" s="126"/>
      <c r="AQ442" s="126"/>
      <c r="AR442" s="126"/>
      <c r="AS442" s="126"/>
      <c r="AT442" s="126"/>
      <c r="AU442" s="126"/>
      <c r="AV442" s="126"/>
      <c r="AW442" s="126"/>
      <c r="AX442" s="126"/>
      <c r="AY442" s="126"/>
      <c r="AZ442" s="126"/>
      <c r="BA442" s="126"/>
      <c r="BB442" s="126"/>
      <c r="BC442" s="126"/>
      <c r="BD442" s="126"/>
    </row>
    <row r="443">
      <c r="A443" s="126"/>
      <c r="B443" s="126"/>
      <c r="C443" s="126"/>
      <c r="D443" s="126"/>
      <c r="E443" s="126"/>
      <c r="F443" s="13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c r="AN443" s="126"/>
      <c r="AO443" s="126"/>
      <c r="AP443" s="126"/>
      <c r="AQ443" s="126"/>
      <c r="AR443" s="126"/>
      <c r="AS443" s="126"/>
      <c r="AT443" s="126"/>
      <c r="AU443" s="126"/>
      <c r="AV443" s="126"/>
      <c r="AW443" s="126"/>
      <c r="AX443" s="126"/>
      <c r="AY443" s="126"/>
      <c r="AZ443" s="126"/>
      <c r="BA443" s="126"/>
      <c r="BB443" s="126"/>
      <c r="BC443" s="126"/>
      <c r="BD443" s="126"/>
    </row>
    <row r="444">
      <c r="A444" s="126"/>
      <c r="B444" s="126"/>
      <c r="C444" s="126"/>
      <c r="D444" s="126"/>
      <c r="E444" s="126"/>
      <c r="F444" s="13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c r="BC444" s="126"/>
      <c r="BD444" s="126"/>
    </row>
    <row r="445">
      <c r="A445" s="126"/>
      <c r="B445" s="126"/>
      <c r="C445" s="126"/>
      <c r="D445" s="126"/>
      <c r="E445" s="126"/>
      <c r="F445" s="13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c r="AN445" s="126"/>
      <c r="AO445" s="126"/>
      <c r="AP445" s="126"/>
      <c r="AQ445" s="126"/>
      <c r="AR445" s="126"/>
      <c r="AS445" s="126"/>
      <c r="AT445" s="126"/>
      <c r="AU445" s="126"/>
      <c r="AV445" s="126"/>
      <c r="AW445" s="126"/>
      <c r="AX445" s="126"/>
      <c r="AY445" s="126"/>
      <c r="AZ445" s="126"/>
      <c r="BA445" s="126"/>
      <c r="BB445" s="126"/>
      <c r="BC445" s="126"/>
      <c r="BD445" s="126"/>
    </row>
    <row r="446">
      <c r="A446" s="126"/>
      <c r="B446" s="126"/>
      <c r="C446" s="126"/>
      <c r="D446" s="126"/>
      <c r="E446" s="126"/>
      <c r="F446" s="13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c r="AN446" s="126"/>
      <c r="AO446" s="126"/>
      <c r="AP446" s="126"/>
      <c r="AQ446" s="126"/>
      <c r="AR446" s="126"/>
      <c r="AS446" s="126"/>
      <c r="AT446" s="126"/>
      <c r="AU446" s="126"/>
      <c r="AV446" s="126"/>
      <c r="AW446" s="126"/>
      <c r="AX446" s="126"/>
      <c r="AY446" s="126"/>
      <c r="AZ446" s="126"/>
      <c r="BA446" s="126"/>
      <c r="BB446" s="126"/>
      <c r="BC446" s="126"/>
      <c r="BD446" s="126"/>
    </row>
    <row r="447">
      <c r="A447" s="126"/>
      <c r="B447" s="126"/>
      <c r="C447" s="126"/>
      <c r="D447" s="126"/>
      <c r="E447" s="126"/>
      <c r="F447" s="13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c r="AN447" s="126"/>
      <c r="AO447" s="126"/>
      <c r="AP447" s="126"/>
      <c r="AQ447" s="126"/>
      <c r="AR447" s="126"/>
      <c r="AS447" s="126"/>
      <c r="AT447" s="126"/>
      <c r="AU447" s="126"/>
      <c r="AV447" s="126"/>
      <c r="AW447" s="126"/>
      <c r="AX447" s="126"/>
      <c r="AY447" s="126"/>
      <c r="AZ447" s="126"/>
      <c r="BA447" s="126"/>
      <c r="BB447" s="126"/>
      <c r="BC447" s="126"/>
      <c r="BD447" s="126"/>
    </row>
    <row r="448">
      <c r="A448" s="126"/>
      <c r="B448" s="126"/>
      <c r="C448" s="126"/>
      <c r="D448" s="126"/>
      <c r="E448" s="126"/>
      <c r="F448" s="13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c r="AN448" s="126"/>
      <c r="AO448" s="126"/>
      <c r="AP448" s="126"/>
      <c r="AQ448" s="126"/>
      <c r="AR448" s="126"/>
      <c r="AS448" s="126"/>
      <c r="AT448" s="126"/>
      <c r="AU448" s="126"/>
      <c r="AV448" s="126"/>
      <c r="AW448" s="126"/>
      <c r="AX448" s="126"/>
      <c r="AY448" s="126"/>
      <c r="AZ448" s="126"/>
      <c r="BA448" s="126"/>
      <c r="BB448" s="126"/>
      <c r="BC448" s="126"/>
      <c r="BD448" s="126"/>
    </row>
    <row r="449">
      <c r="A449" s="126"/>
      <c r="B449" s="126"/>
      <c r="C449" s="126"/>
      <c r="D449" s="126"/>
      <c r="E449" s="126"/>
      <c r="F449" s="13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c r="AN449" s="126"/>
      <c r="AO449" s="126"/>
      <c r="AP449" s="126"/>
      <c r="AQ449" s="126"/>
      <c r="AR449" s="126"/>
      <c r="AS449" s="126"/>
      <c r="AT449" s="126"/>
      <c r="AU449" s="126"/>
      <c r="AV449" s="126"/>
      <c r="AW449" s="126"/>
      <c r="AX449" s="126"/>
      <c r="AY449" s="126"/>
      <c r="AZ449" s="126"/>
      <c r="BA449" s="126"/>
      <c r="BB449" s="126"/>
      <c r="BC449" s="126"/>
      <c r="BD449" s="126"/>
    </row>
    <row r="450">
      <c r="A450" s="126"/>
      <c r="B450" s="126"/>
      <c r="C450" s="126"/>
      <c r="D450" s="126"/>
      <c r="E450" s="126"/>
      <c r="F450" s="13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c r="BC450" s="126"/>
      <c r="BD450" s="126"/>
    </row>
    <row r="451">
      <c r="A451" s="126"/>
      <c r="B451" s="126"/>
      <c r="C451" s="126"/>
      <c r="D451" s="126"/>
      <c r="E451" s="126"/>
      <c r="F451" s="13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c r="AN451" s="126"/>
      <c r="AO451" s="126"/>
      <c r="AP451" s="126"/>
      <c r="AQ451" s="126"/>
      <c r="AR451" s="126"/>
      <c r="AS451" s="126"/>
      <c r="AT451" s="126"/>
      <c r="AU451" s="126"/>
      <c r="AV451" s="126"/>
      <c r="AW451" s="126"/>
      <c r="AX451" s="126"/>
      <c r="AY451" s="126"/>
      <c r="AZ451" s="126"/>
      <c r="BA451" s="126"/>
      <c r="BB451" s="126"/>
      <c r="BC451" s="126"/>
      <c r="BD451" s="126"/>
    </row>
    <row r="452">
      <c r="A452" s="126"/>
      <c r="B452" s="126"/>
      <c r="C452" s="126"/>
      <c r="D452" s="126"/>
      <c r="E452" s="126"/>
      <c r="F452" s="13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c r="AD452" s="126"/>
      <c r="AE452" s="126"/>
      <c r="AF452" s="126"/>
      <c r="AG452" s="126"/>
      <c r="AH452" s="126"/>
      <c r="AI452" s="126"/>
      <c r="AJ452" s="126"/>
      <c r="AK452" s="126"/>
      <c r="AL452" s="126"/>
      <c r="AM452" s="126"/>
      <c r="AN452" s="126"/>
      <c r="AO452" s="126"/>
      <c r="AP452" s="126"/>
      <c r="AQ452" s="126"/>
      <c r="AR452" s="126"/>
      <c r="AS452" s="126"/>
      <c r="AT452" s="126"/>
      <c r="AU452" s="126"/>
      <c r="AV452" s="126"/>
      <c r="AW452" s="126"/>
      <c r="AX452" s="126"/>
      <c r="AY452" s="126"/>
      <c r="AZ452" s="126"/>
      <c r="BA452" s="126"/>
      <c r="BB452" s="126"/>
      <c r="BC452" s="126"/>
      <c r="BD452" s="126"/>
    </row>
    <row r="453">
      <c r="A453" s="126"/>
      <c r="B453" s="126"/>
      <c r="C453" s="126"/>
      <c r="D453" s="126"/>
      <c r="E453" s="126"/>
      <c r="F453" s="13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c r="AD453" s="126"/>
      <c r="AE453" s="126"/>
      <c r="AF453" s="126"/>
      <c r="AG453" s="126"/>
      <c r="AH453" s="126"/>
      <c r="AI453" s="126"/>
      <c r="AJ453" s="126"/>
      <c r="AK453" s="126"/>
      <c r="AL453" s="126"/>
      <c r="AM453" s="126"/>
      <c r="AN453" s="126"/>
      <c r="AO453" s="126"/>
      <c r="AP453" s="126"/>
      <c r="AQ453" s="126"/>
      <c r="AR453" s="126"/>
      <c r="AS453" s="126"/>
      <c r="AT453" s="126"/>
      <c r="AU453" s="126"/>
      <c r="AV453" s="126"/>
      <c r="AW453" s="126"/>
      <c r="AX453" s="126"/>
      <c r="AY453" s="126"/>
      <c r="AZ453" s="126"/>
      <c r="BA453" s="126"/>
      <c r="BB453" s="126"/>
      <c r="BC453" s="126"/>
      <c r="BD453" s="126"/>
    </row>
    <row r="454">
      <c r="A454" s="126"/>
      <c r="B454" s="126"/>
      <c r="C454" s="126"/>
      <c r="D454" s="126"/>
      <c r="E454" s="126"/>
      <c r="F454" s="13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c r="AD454" s="126"/>
      <c r="AE454" s="126"/>
      <c r="AF454" s="126"/>
      <c r="AG454" s="126"/>
      <c r="AH454" s="126"/>
      <c r="AI454" s="126"/>
      <c r="AJ454" s="126"/>
      <c r="AK454" s="126"/>
      <c r="AL454" s="126"/>
      <c r="AM454" s="126"/>
      <c r="AN454" s="126"/>
      <c r="AO454" s="126"/>
      <c r="AP454" s="126"/>
      <c r="AQ454" s="126"/>
      <c r="AR454" s="126"/>
      <c r="AS454" s="126"/>
      <c r="AT454" s="126"/>
      <c r="AU454" s="126"/>
      <c r="AV454" s="126"/>
      <c r="AW454" s="126"/>
      <c r="AX454" s="126"/>
      <c r="AY454" s="126"/>
      <c r="AZ454" s="126"/>
      <c r="BA454" s="126"/>
      <c r="BB454" s="126"/>
      <c r="BC454" s="126"/>
      <c r="BD454" s="126"/>
    </row>
    <row r="455">
      <c r="A455" s="126"/>
      <c r="B455" s="126"/>
      <c r="C455" s="126"/>
      <c r="D455" s="126"/>
      <c r="E455" s="126"/>
      <c r="F455" s="13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c r="AD455" s="126"/>
      <c r="AE455" s="126"/>
      <c r="AF455" s="126"/>
      <c r="AG455" s="126"/>
      <c r="AH455" s="126"/>
      <c r="AI455" s="126"/>
      <c r="AJ455" s="126"/>
      <c r="AK455" s="126"/>
      <c r="AL455" s="126"/>
      <c r="AM455" s="126"/>
      <c r="AN455" s="126"/>
      <c r="AO455" s="126"/>
      <c r="AP455" s="126"/>
      <c r="AQ455" s="126"/>
      <c r="AR455" s="126"/>
      <c r="AS455" s="126"/>
      <c r="AT455" s="126"/>
      <c r="AU455" s="126"/>
      <c r="AV455" s="126"/>
      <c r="AW455" s="126"/>
      <c r="AX455" s="126"/>
      <c r="AY455" s="126"/>
      <c r="AZ455" s="126"/>
      <c r="BA455" s="126"/>
      <c r="BB455" s="126"/>
      <c r="BC455" s="126"/>
      <c r="BD455" s="126"/>
    </row>
    <row r="456">
      <c r="A456" s="126"/>
      <c r="B456" s="126"/>
      <c r="C456" s="126"/>
      <c r="D456" s="126"/>
      <c r="E456" s="126"/>
      <c r="F456" s="13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c r="BC456" s="126"/>
      <c r="BD456" s="126"/>
    </row>
    <row r="457">
      <c r="A457" s="126"/>
      <c r="B457" s="126"/>
      <c r="C457" s="126"/>
      <c r="D457" s="126"/>
      <c r="E457" s="126"/>
      <c r="F457" s="13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c r="AD457" s="126"/>
      <c r="AE457" s="126"/>
      <c r="AF457" s="126"/>
      <c r="AG457" s="126"/>
      <c r="AH457" s="126"/>
      <c r="AI457" s="126"/>
      <c r="AJ457" s="126"/>
      <c r="AK457" s="126"/>
      <c r="AL457" s="126"/>
      <c r="AM457" s="126"/>
      <c r="AN457" s="126"/>
      <c r="AO457" s="126"/>
      <c r="AP457" s="126"/>
      <c r="AQ457" s="126"/>
      <c r="AR457" s="126"/>
      <c r="AS457" s="126"/>
      <c r="AT457" s="126"/>
      <c r="AU457" s="126"/>
      <c r="AV457" s="126"/>
      <c r="AW457" s="126"/>
      <c r="AX457" s="126"/>
      <c r="AY457" s="126"/>
      <c r="AZ457" s="126"/>
      <c r="BA457" s="126"/>
      <c r="BB457" s="126"/>
      <c r="BC457" s="126"/>
      <c r="BD457" s="126"/>
    </row>
    <row r="458">
      <c r="A458" s="126"/>
      <c r="B458" s="126"/>
      <c r="C458" s="126"/>
      <c r="D458" s="126"/>
      <c r="E458" s="126"/>
      <c r="F458" s="13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c r="AD458" s="126"/>
      <c r="AE458" s="126"/>
      <c r="AF458" s="126"/>
      <c r="AG458" s="126"/>
      <c r="AH458" s="126"/>
      <c r="AI458" s="126"/>
      <c r="AJ458" s="126"/>
      <c r="AK458" s="126"/>
      <c r="AL458" s="126"/>
      <c r="AM458" s="126"/>
      <c r="AN458" s="126"/>
      <c r="AO458" s="126"/>
      <c r="AP458" s="126"/>
      <c r="AQ458" s="126"/>
      <c r="AR458" s="126"/>
      <c r="AS458" s="126"/>
      <c r="AT458" s="126"/>
      <c r="AU458" s="126"/>
      <c r="AV458" s="126"/>
      <c r="AW458" s="126"/>
      <c r="AX458" s="126"/>
      <c r="AY458" s="126"/>
      <c r="AZ458" s="126"/>
      <c r="BA458" s="126"/>
      <c r="BB458" s="126"/>
      <c r="BC458" s="126"/>
      <c r="BD458" s="126"/>
    </row>
    <row r="459">
      <c r="A459" s="126"/>
      <c r="B459" s="126"/>
      <c r="C459" s="126"/>
      <c r="D459" s="126"/>
      <c r="E459" s="126"/>
      <c r="F459" s="13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c r="AD459" s="126"/>
      <c r="AE459" s="126"/>
      <c r="AF459" s="126"/>
      <c r="AG459" s="126"/>
      <c r="AH459" s="126"/>
      <c r="AI459" s="126"/>
      <c r="AJ459" s="126"/>
      <c r="AK459" s="126"/>
      <c r="AL459" s="126"/>
      <c r="AM459" s="126"/>
      <c r="AN459" s="126"/>
      <c r="AO459" s="126"/>
      <c r="AP459" s="126"/>
      <c r="AQ459" s="126"/>
      <c r="AR459" s="126"/>
      <c r="AS459" s="126"/>
      <c r="AT459" s="126"/>
      <c r="AU459" s="126"/>
      <c r="AV459" s="126"/>
      <c r="AW459" s="126"/>
      <c r="AX459" s="126"/>
      <c r="AY459" s="126"/>
      <c r="AZ459" s="126"/>
      <c r="BA459" s="126"/>
      <c r="BB459" s="126"/>
      <c r="BC459" s="126"/>
      <c r="BD459" s="126"/>
    </row>
    <row r="460">
      <c r="A460" s="126"/>
      <c r="B460" s="126"/>
      <c r="C460" s="126"/>
      <c r="D460" s="126"/>
      <c r="E460" s="126"/>
      <c r="F460" s="13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c r="AD460" s="126"/>
      <c r="AE460" s="126"/>
      <c r="AF460" s="126"/>
      <c r="AG460" s="126"/>
      <c r="AH460" s="126"/>
      <c r="AI460" s="126"/>
      <c r="AJ460" s="126"/>
      <c r="AK460" s="126"/>
      <c r="AL460" s="126"/>
      <c r="AM460" s="126"/>
      <c r="AN460" s="126"/>
      <c r="AO460" s="126"/>
      <c r="AP460" s="126"/>
      <c r="AQ460" s="126"/>
      <c r="AR460" s="126"/>
      <c r="AS460" s="126"/>
      <c r="AT460" s="126"/>
      <c r="AU460" s="126"/>
      <c r="AV460" s="126"/>
      <c r="AW460" s="126"/>
      <c r="AX460" s="126"/>
      <c r="AY460" s="126"/>
      <c r="AZ460" s="126"/>
      <c r="BA460" s="126"/>
      <c r="BB460" s="126"/>
      <c r="BC460" s="126"/>
      <c r="BD460" s="126"/>
    </row>
    <row r="461">
      <c r="A461" s="126"/>
      <c r="B461" s="126"/>
      <c r="C461" s="126"/>
      <c r="D461" s="126"/>
      <c r="E461" s="126"/>
      <c r="F461" s="13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c r="AD461" s="126"/>
      <c r="AE461" s="126"/>
      <c r="AF461" s="126"/>
      <c r="AG461" s="126"/>
      <c r="AH461" s="126"/>
      <c r="AI461" s="126"/>
      <c r="AJ461" s="126"/>
      <c r="AK461" s="126"/>
      <c r="AL461" s="126"/>
      <c r="AM461" s="126"/>
      <c r="AN461" s="126"/>
      <c r="AO461" s="126"/>
      <c r="AP461" s="126"/>
      <c r="AQ461" s="126"/>
      <c r="AR461" s="126"/>
      <c r="AS461" s="126"/>
      <c r="AT461" s="126"/>
      <c r="AU461" s="126"/>
      <c r="AV461" s="126"/>
      <c r="AW461" s="126"/>
      <c r="AX461" s="126"/>
      <c r="AY461" s="126"/>
      <c r="AZ461" s="126"/>
      <c r="BA461" s="126"/>
      <c r="BB461" s="126"/>
      <c r="BC461" s="126"/>
      <c r="BD461" s="126"/>
    </row>
    <row r="462">
      <c r="A462" s="126"/>
      <c r="B462" s="126"/>
      <c r="C462" s="126"/>
      <c r="D462" s="126"/>
      <c r="E462" s="126"/>
      <c r="F462" s="13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c r="BC462" s="126"/>
      <c r="BD462" s="126"/>
    </row>
    <row r="463">
      <c r="A463" s="126"/>
      <c r="B463" s="126"/>
      <c r="C463" s="126"/>
      <c r="D463" s="126"/>
      <c r="E463" s="126"/>
      <c r="F463" s="13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c r="AD463" s="126"/>
      <c r="AE463" s="126"/>
      <c r="AF463" s="126"/>
      <c r="AG463" s="126"/>
      <c r="AH463" s="126"/>
      <c r="AI463" s="126"/>
      <c r="AJ463" s="126"/>
      <c r="AK463" s="126"/>
      <c r="AL463" s="126"/>
      <c r="AM463" s="126"/>
      <c r="AN463" s="126"/>
      <c r="AO463" s="126"/>
      <c r="AP463" s="126"/>
      <c r="AQ463" s="126"/>
      <c r="AR463" s="126"/>
      <c r="AS463" s="126"/>
      <c r="AT463" s="126"/>
      <c r="AU463" s="126"/>
      <c r="AV463" s="126"/>
      <c r="AW463" s="126"/>
      <c r="AX463" s="126"/>
      <c r="AY463" s="126"/>
      <c r="AZ463" s="126"/>
      <c r="BA463" s="126"/>
      <c r="BB463" s="126"/>
      <c r="BC463" s="126"/>
      <c r="BD463" s="126"/>
    </row>
    <row r="464">
      <c r="A464" s="126"/>
      <c r="B464" s="126"/>
      <c r="C464" s="126"/>
      <c r="D464" s="126"/>
      <c r="E464" s="126"/>
      <c r="F464" s="13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c r="AD464" s="126"/>
      <c r="AE464" s="126"/>
      <c r="AF464" s="126"/>
      <c r="AG464" s="126"/>
      <c r="AH464" s="126"/>
      <c r="AI464" s="126"/>
      <c r="AJ464" s="126"/>
      <c r="AK464" s="126"/>
      <c r="AL464" s="126"/>
      <c r="AM464" s="126"/>
      <c r="AN464" s="126"/>
      <c r="AO464" s="126"/>
      <c r="AP464" s="126"/>
      <c r="AQ464" s="126"/>
      <c r="AR464" s="126"/>
      <c r="AS464" s="126"/>
      <c r="AT464" s="126"/>
      <c r="AU464" s="126"/>
      <c r="AV464" s="126"/>
      <c r="AW464" s="126"/>
      <c r="AX464" s="126"/>
      <c r="AY464" s="126"/>
      <c r="AZ464" s="126"/>
      <c r="BA464" s="126"/>
      <c r="BB464" s="126"/>
      <c r="BC464" s="126"/>
      <c r="BD464" s="126"/>
    </row>
    <row r="465">
      <c r="A465" s="126"/>
      <c r="B465" s="126"/>
      <c r="C465" s="126"/>
      <c r="D465" s="126"/>
      <c r="E465" s="126"/>
      <c r="F465" s="13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c r="AD465" s="126"/>
      <c r="AE465" s="126"/>
      <c r="AF465" s="126"/>
      <c r="AG465" s="126"/>
      <c r="AH465" s="126"/>
      <c r="AI465" s="126"/>
      <c r="AJ465" s="126"/>
      <c r="AK465" s="126"/>
      <c r="AL465" s="126"/>
      <c r="AM465" s="126"/>
      <c r="AN465" s="126"/>
      <c r="AO465" s="126"/>
      <c r="AP465" s="126"/>
      <c r="AQ465" s="126"/>
      <c r="AR465" s="126"/>
      <c r="AS465" s="126"/>
      <c r="AT465" s="126"/>
      <c r="AU465" s="126"/>
      <c r="AV465" s="126"/>
      <c r="AW465" s="126"/>
      <c r="AX465" s="126"/>
      <c r="AY465" s="126"/>
      <c r="AZ465" s="126"/>
      <c r="BA465" s="126"/>
      <c r="BB465" s="126"/>
      <c r="BC465" s="126"/>
      <c r="BD465" s="126"/>
    </row>
    <row r="466">
      <c r="A466" s="126"/>
      <c r="B466" s="126"/>
      <c r="C466" s="126"/>
      <c r="D466" s="126"/>
      <c r="E466" s="126"/>
      <c r="F466" s="13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c r="AD466" s="126"/>
      <c r="AE466" s="126"/>
      <c r="AF466" s="126"/>
      <c r="AG466" s="126"/>
      <c r="AH466" s="126"/>
      <c r="AI466" s="126"/>
      <c r="AJ466" s="126"/>
      <c r="AK466" s="126"/>
      <c r="AL466" s="126"/>
      <c r="AM466" s="126"/>
      <c r="AN466" s="126"/>
      <c r="AO466" s="126"/>
      <c r="AP466" s="126"/>
      <c r="AQ466" s="126"/>
      <c r="AR466" s="126"/>
      <c r="AS466" s="126"/>
      <c r="AT466" s="126"/>
      <c r="AU466" s="126"/>
      <c r="AV466" s="126"/>
      <c r="AW466" s="126"/>
      <c r="AX466" s="126"/>
      <c r="AY466" s="126"/>
      <c r="AZ466" s="126"/>
      <c r="BA466" s="126"/>
      <c r="BB466" s="126"/>
      <c r="BC466" s="126"/>
      <c r="BD466" s="126"/>
    </row>
    <row r="467">
      <c r="A467" s="126"/>
      <c r="B467" s="126"/>
      <c r="C467" s="126"/>
      <c r="D467" s="126"/>
      <c r="E467" s="126"/>
      <c r="F467" s="13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c r="AD467" s="126"/>
      <c r="AE467" s="126"/>
      <c r="AF467" s="126"/>
      <c r="AG467" s="126"/>
      <c r="AH467" s="126"/>
      <c r="AI467" s="126"/>
      <c r="AJ467" s="126"/>
      <c r="AK467" s="126"/>
      <c r="AL467" s="126"/>
      <c r="AM467" s="126"/>
      <c r="AN467" s="126"/>
      <c r="AO467" s="126"/>
      <c r="AP467" s="126"/>
      <c r="AQ467" s="126"/>
      <c r="AR467" s="126"/>
      <c r="AS467" s="126"/>
      <c r="AT467" s="126"/>
      <c r="AU467" s="126"/>
      <c r="AV467" s="126"/>
      <c r="AW467" s="126"/>
      <c r="AX467" s="126"/>
      <c r="AY467" s="126"/>
      <c r="AZ467" s="126"/>
      <c r="BA467" s="126"/>
      <c r="BB467" s="126"/>
      <c r="BC467" s="126"/>
      <c r="BD467" s="126"/>
    </row>
    <row r="468">
      <c r="A468" s="126"/>
      <c r="B468" s="126"/>
      <c r="C468" s="126"/>
      <c r="D468" s="126"/>
      <c r="E468" s="126"/>
      <c r="F468" s="13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c r="BC468" s="126"/>
      <c r="BD468" s="126"/>
    </row>
    <row r="469">
      <c r="A469" s="126"/>
      <c r="B469" s="126"/>
      <c r="C469" s="126"/>
      <c r="D469" s="126"/>
      <c r="E469" s="126"/>
      <c r="F469" s="13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c r="AD469" s="126"/>
      <c r="AE469" s="126"/>
      <c r="AF469" s="126"/>
      <c r="AG469" s="126"/>
      <c r="AH469" s="126"/>
      <c r="AI469" s="126"/>
      <c r="AJ469" s="126"/>
      <c r="AK469" s="126"/>
      <c r="AL469" s="126"/>
      <c r="AM469" s="126"/>
      <c r="AN469" s="126"/>
      <c r="AO469" s="126"/>
      <c r="AP469" s="126"/>
      <c r="AQ469" s="126"/>
      <c r="AR469" s="126"/>
      <c r="AS469" s="126"/>
      <c r="AT469" s="126"/>
      <c r="AU469" s="126"/>
      <c r="AV469" s="126"/>
      <c r="AW469" s="126"/>
      <c r="AX469" s="126"/>
      <c r="AY469" s="126"/>
      <c r="AZ469" s="126"/>
      <c r="BA469" s="126"/>
      <c r="BB469" s="126"/>
      <c r="BC469" s="126"/>
      <c r="BD469" s="126"/>
    </row>
    <row r="470">
      <c r="A470" s="126"/>
      <c r="B470" s="126"/>
      <c r="C470" s="126"/>
      <c r="D470" s="126"/>
      <c r="E470" s="126"/>
      <c r="F470" s="13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c r="AD470" s="126"/>
      <c r="AE470" s="126"/>
      <c r="AF470" s="126"/>
      <c r="AG470" s="126"/>
      <c r="AH470" s="126"/>
      <c r="AI470" s="126"/>
      <c r="AJ470" s="126"/>
      <c r="AK470" s="126"/>
      <c r="AL470" s="126"/>
      <c r="AM470" s="126"/>
      <c r="AN470" s="126"/>
      <c r="AO470" s="126"/>
      <c r="AP470" s="126"/>
      <c r="AQ470" s="126"/>
      <c r="AR470" s="126"/>
      <c r="AS470" s="126"/>
      <c r="AT470" s="126"/>
      <c r="AU470" s="126"/>
      <c r="AV470" s="126"/>
      <c r="AW470" s="126"/>
      <c r="AX470" s="126"/>
      <c r="AY470" s="126"/>
      <c r="AZ470" s="126"/>
      <c r="BA470" s="126"/>
      <c r="BB470" s="126"/>
      <c r="BC470" s="126"/>
      <c r="BD470" s="126"/>
    </row>
    <row r="471">
      <c r="A471" s="126"/>
      <c r="B471" s="126"/>
      <c r="C471" s="126"/>
      <c r="D471" s="126"/>
      <c r="E471" s="126"/>
      <c r="F471" s="13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c r="AD471" s="126"/>
      <c r="AE471" s="126"/>
      <c r="AF471" s="126"/>
      <c r="AG471" s="126"/>
      <c r="AH471" s="126"/>
      <c r="AI471" s="126"/>
      <c r="AJ471" s="126"/>
      <c r="AK471" s="126"/>
      <c r="AL471" s="126"/>
      <c r="AM471" s="126"/>
      <c r="AN471" s="126"/>
      <c r="AO471" s="126"/>
      <c r="AP471" s="126"/>
      <c r="AQ471" s="126"/>
      <c r="AR471" s="126"/>
      <c r="AS471" s="126"/>
      <c r="AT471" s="126"/>
      <c r="AU471" s="126"/>
      <c r="AV471" s="126"/>
      <c r="AW471" s="126"/>
      <c r="AX471" s="126"/>
      <c r="AY471" s="126"/>
      <c r="AZ471" s="126"/>
      <c r="BA471" s="126"/>
      <c r="BB471" s="126"/>
      <c r="BC471" s="126"/>
      <c r="BD471" s="126"/>
    </row>
    <row r="472">
      <c r="A472" s="126"/>
      <c r="B472" s="126"/>
      <c r="C472" s="126"/>
      <c r="D472" s="126"/>
      <c r="E472" s="126"/>
      <c r="F472" s="13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c r="AD472" s="126"/>
      <c r="AE472" s="126"/>
      <c r="AF472" s="126"/>
      <c r="AG472" s="126"/>
      <c r="AH472" s="126"/>
      <c r="AI472" s="126"/>
      <c r="AJ472" s="126"/>
      <c r="AK472" s="126"/>
      <c r="AL472" s="126"/>
      <c r="AM472" s="126"/>
      <c r="AN472" s="126"/>
      <c r="AO472" s="126"/>
      <c r="AP472" s="126"/>
      <c r="AQ472" s="126"/>
      <c r="AR472" s="126"/>
      <c r="AS472" s="126"/>
      <c r="AT472" s="126"/>
      <c r="AU472" s="126"/>
      <c r="AV472" s="126"/>
      <c r="AW472" s="126"/>
      <c r="AX472" s="126"/>
      <c r="AY472" s="126"/>
      <c r="AZ472" s="126"/>
      <c r="BA472" s="126"/>
      <c r="BB472" s="126"/>
      <c r="BC472" s="126"/>
      <c r="BD472" s="126"/>
    </row>
    <row r="473">
      <c r="A473" s="126"/>
      <c r="B473" s="126"/>
      <c r="C473" s="126"/>
      <c r="D473" s="126"/>
      <c r="E473" s="126"/>
      <c r="F473" s="13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c r="AD473" s="126"/>
      <c r="AE473" s="126"/>
      <c r="AF473" s="126"/>
      <c r="AG473" s="126"/>
      <c r="AH473" s="126"/>
      <c r="AI473" s="126"/>
      <c r="AJ473" s="126"/>
      <c r="AK473" s="126"/>
      <c r="AL473" s="126"/>
      <c r="AM473" s="126"/>
      <c r="AN473" s="126"/>
      <c r="AO473" s="126"/>
      <c r="AP473" s="126"/>
      <c r="AQ473" s="126"/>
      <c r="AR473" s="126"/>
      <c r="AS473" s="126"/>
      <c r="AT473" s="126"/>
      <c r="AU473" s="126"/>
      <c r="AV473" s="126"/>
      <c r="AW473" s="126"/>
      <c r="AX473" s="126"/>
      <c r="AY473" s="126"/>
      <c r="AZ473" s="126"/>
      <c r="BA473" s="126"/>
      <c r="BB473" s="126"/>
      <c r="BC473" s="126"/>
      <c r="BD473" s="126"/>
    </row>
    <row r="474">
      <c r="A474" s="126"/>
      <c r="B474" s="126"/>
      <c r="C474" s="126"/>
      <c r="D474" s="126"/>
      <c r="E474" s="126"/>
      <c r="F474" s="13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c r="BC474" s="126"/>
      <c r="BD474" s="126"/>
    </row>
    <row r="475">
      <c r="A475" s="126"/>
      <c r="B475" s="126"/>
      <c r="C475" s="126"/>
      <c r="D475" s="126"/>
      <c r="E475" s="126"/>
      <c r="F475" s="13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c r="AD475" s="126"/>
      <c r="AE475" s="126"/>
      <c r="AF475" s="126"/>
      <c r="AG475" s="126"/>
      <c r="AH475" s="126"/>
      <c r="AI475" s="126"/>
      <c r="AJ475" s="126"/>
      <c r="AK475" s="126"/>
      <c r="AL475" s="126"/>
      <c r="AM475" s="126"/>
      <c r="AN475" s="126"/>
      <c r="AO475" s="126"/>
      <c r="AP475" s="126"/>
      <c r="AQ475" s="126"/>
      <c r="AR475" s="126"/>
      <c r="AS475" s="126"/>
      <c r="AT475" s="126"/>
      <c r="AU475" s="126"/>
      <c r="AV475" s="126"/>
      <c r="AW475" s="126"/>
      <c r="AX475" s="126"/>
      <c r="AY475" s="126"/>
      <c r="AZ475" s="126"/>
      <c r="BA475" s="126"/>
      <c r="BB475" s="126"/>
      <c r="BC475" s="126"/>
      <c r="BD475" s="126"/>
    </row>
    <row r="476">
      <c r="A476" s="126"/>
      <c r="B476" s="126"/>
      <c r="C476" s="126"/>
      <c r="D476" s="126"/>
      <c r="E476" s="126"/>
      <c r="F476" s="13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c r="AD476" s="126"/>
      <c r="AE476" s="126"/>
      <c r="AF476" s="126"/>
      <c r="AG476" s="126"/>
      <c r="AH476" s="126"/>
      <c r="AI476" s="126"/>
      <c r="AJ476" s="126"/>
      <c r="AK476" s="126"/>
      <c r="AL476" s="126"/>
      <c r="AM476" s="126"/>
      <c r="AN476" s="126"/>
      <c r="AO476" s="126"/>
      <c r="AP476" s="126"/>
      <c r="AQ476" s="126"/>
      <c r="AR476" s="126"/>
      <c r="AS476" s="126"/>
      <c r="AT476" s="126"/>
      <c r="AU476" s="126"/>
      <c r="AV476" s="126"/>
      <c r="AW476" s="126"/>
      <c r="AX476" s="126"/>
      <c r="AY476" s="126"/>
      <c r="AZ476" s="126"/>
      <c r="BA476" s="126"/>
      <c r="BB476" s="126"/>
      <c r="BC476" s="126"/>
      <c r="BD476" s="126"/>
    </row>
    <row r="477">
      <c r="A477" s="126"/>
      <c r="B477" s="126"/>
      <c r="C477" s="126"/>
      <c r="D477" s="126"/>
      <c r="E477" s="126"/>
      <c r="F477" s="13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c r="AD477" s="126"/>
      <c r="AE477" s="126"/>
      <c r="AF477" s="126"/>
      <c r="AG477" s="126"/>
      <c r="AH477" s="126"/>
      <c r="AI477" s="126"/>
      <c r="AJ477" s="126"/>
      <c r="AK477" s="126"/>
      <c r="AL477" s="126"/>
      <c r="AM477" s="126"/>
      <c r="AN477" s="126"/>
      <c r="AO477" s="126"/>
      <c r="AP477" s="126"/>
      <c r="AQ477" s="126"/>
      <c r="AR477" s="126"/>
      <c r="AS477" s="126"/>
      <c r="AT477" s="126"/>
      <c r="AU477" s="126"/>
      <c r="AV477" s="126"/>
      <c r="AW477" s="126"/>
      <c r="AX477" s="126"/>
      <c r="AY477" s="126"/>
      <c r="AZ477" s="126"/>
      <c r="BA477" s="126"/>
      <c r="BB477" s="126"/>
      <c r="BC477" s="126"/>
      <c r="BD477" s="126"/>
    </row>
    <row r="478">
      <c r="A478" s="126"/>
      <c r="B478" s="126"/>
      <c r="C478" s="126"/>
      <c r="D478" s="126"/>
      <c r="E478" s="126"/>
      <c r="F478" s="13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c r="AD478" s="126"/>
      <c r="AE478" s="126"/>
      <c r="AF478" s="126"/>
      <c r="AG478" s="126"/>
      <c r="AH478" s="126"/>
      <c r="AI478" s="126"/>
      <c r="AJ478" s="126"/>
      <c r="AK478" s="126"/>
      <c r="AL478" s="126"/>
      <c r="AM478" s="126"/>
      <c r="AN478" s="126"/>
      <c r="AO478" s="126"/>
      <c r="AP478" s="126"/>
      <c r="AQ478" s="126"/>
      <c r="AR478" s="126"/>
      <c r="AS478" s="126"/>
      <c r="AT478" s="126"/>
      <c r="AU478" s="126"/>
      <c r="AV478" s="126"/>
      <c r="AW478" s="126"/>
      <c r="AX478" s="126"/>
      <c r="AY478" s="126"/>
      <c r="AZ478" s="126"/>
      <c r="BA478" s="126"/>
      <c r="BB478" s="126"/>
      <c r="BC478" s="126"/>
      <c r="BD478" s="126"/>
    </row>
    <row r="479">
      <c r="A479" s="126"/>
      <c r="B479" s="126"/>
      <c r="C479" s="126"/>
      <c r="D479" s="126"/>
      <c r="E479" s="126"/>
      <c r="F479" s="13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c r="AD479" s="126"/>
      <c r="AE479" s="126"/>
      <c r="AF479" s="126"/>
      <c r="AG479" s="126"/>
      <c r="AH479" s="126"/>
      <c r="AI479" s="126"/>
      <c r="AJ479" s="126"/>
      <c r="AK479" s="126"/>
      <c r="AL479" s="126"/>
      <c r="AM479" s="126"/>
      <c r="AN479" s="126"/>
      <c r="AO479" s="126"/>
      <c r="AP479" s="126"/>
      <c r="AQ479" s="126"/>
      <c r="AR479" s="126"/>
      <c r="AS479" s="126"/>
      <c r="AT479" s="126"/>
      <c r="AU479" s="126"/>
      <c r="AV479" s="126"/>
      <c r="AW479" s="126"/>
      <c r="AX479" s="126"/>
      <c r="AY479" s="126"/>
      <c r="AZ479" s="126"/>
      <c r="BA479" s="126"/>
      <c r="BB479" s="126"/>
      <c r="BC479" s="126"/>
      <c r="BD479" s="126"/>
    </row>
    <row r="480">
      <c r="A480" s="126"/>
      <c r="B480" s="126"/>
      <c r="C480" s="126"/>
      <c r="D480" s="126"/>
      <c r="E480" s="126"/>
      <c r="F480" s="13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c r="BC480" s="126"/>
      <c r="BD480" s="126"/>
    </row>
    <row r="481">
      <c r="A481" s="126"/>
      <c r="B481" s="126"/>
      <c r="C481" s="126"/>
      <c r="D481" s="126"/>
      <c r="E481" s="126"/>
      <c r="F481" s="13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c r="AD481" s="126"/>
      <c r="AE481" s="126"/>
      <c r="AF481" s="126"/>
      <c r="AG481" s="126"/>
      <c r="AH481" s="126"/>
      <c r="AI481" s="126"/>
      <c r="AJ481" s="126"/>
      <c r="AK481" s="126"/>
      <c r="AL481" s="126"/>
      <c r="AM481" s="126"/>
      <c r="AN481" s="126"/>
      <c r="AO481" s="126"/>
      <c r="AP481" s="126"/>
      <c r="AQ481" s="126"/>
      <c r="AR481" s="126"/>
      <c r="AS481" s="126"/>
      <c r="AT481" s="126"/>
      <c r="AU481" s="126"/>
      <c r="AV481" s="126"/>
      <c r="AW481" s="126"/>
      <c r="AX481" s="126"/>
      <c r="AY481" s="126"/>
      <c r="AZ481" s="126"/>
      <c r="BA481" s="126"/>
      <c r="BB481" s="126"/>
      <c r="BC481" s="126"/>
      <c r="BD481" s="126"/>
    </row>
    <row r="482">
      <c r="A482" s="126"/>
      <c r="B482" s="126"/>
      <c r="C482" s="126"/>
      <c r="D482" s="126"/>
      <c r="E482" s="126"/>
      <c r="F482" s="13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c r="AD482" s="126"/>
      <c r="AE482" s="126"/>
      <c r="AF482" s="126"/>
      <c r="AG482" s="126"/>
      <c r="AH482" s="126"/>
      <c r="AI482" s="126"/>
      <c r="AJ482" s="126"/>
      <c r="AK482" s="126"/>
      <c r="AL482" s="126"/>
      <c r="AM482" s="126"/>
      <c r="AN482" s="126"/>
      <c r="AO482" s="126"/>
      <c r="AP482" s="126"/>
      <c r="AQ482" s="126"/>
      <c r="AR482" s="126"/>
      <c r="AS482" s="126"/>
      <c r="AT482" s="126"/>
      <c r="AU482" s="126"/>
      <c r="AV482" s="126"/>
      <c r="AW482" s="126"/>
      <c r="AX482" s="126"/>
      <c r="AY482" s="126"/>
      <c r="AZ482" s="126"/>
      <c r="BA482" s="126"/>
      <c r="BB482" s="126"/>
      <c r="BC482" s="126"/>
      <c r="BD482" s="126"/>
    </row>
    <row r="483">
      <c r="A483" s="126"/>
      <c r="B483" s="126"/>
      <c r="C483" s="126"/>
      <c r="D483" s="126"/>
      <c r="E483" s="126"/>
      <c r="F483" s="13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c r="AD483" s="126"/>
      <c r="AE483" s="126"/>
      <c r="AF483" s="126"/>
      <c r="AG483" s="126"/>
      <c r="AH483" s="126"/>
      <c r="AI483" s="126"/>
      <c r="AJ483" s="126"/>
      <c r="AK483" s="126"/>
      <c r="AL483" s="126"/>
      <c r="AM483" s="126"/>
      <c r="AN483" s="126"/>
      <c r="AO483" s="126"/>
      <c r="AP483" s="126"/>
      <c r="AQ483" s="126"/>
      <c r="AR483" s="126"/>
      <c r="AS483" s="126"/>
      <c r="AT483" s="126"/>
      <c r="AU483" s="126"/>
      <c r="AV483" s="126"/>
      <c r="AW483" s="126"/>
      <c r="AX483" s="126"/>
      <c r="AY483" s="126"/>
      <c r="AZ483" s="126"/>
      <c r="BA483" s="126"/>
      <c r="BB483" s="126"/>
      <c r="BC483" s="126"/>
      <c r="BD483" s="126"/>
    </row>
    <row r="484">
      <c r="A484" s="126"/>
      <c r="B484" s="126"/>
      <c r="C484" s="126"/>
      <c r="D484" s="126"/>
      <c r="E484" s="126"/>
      <c r="F484" s="13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c r="AD484" s="126"/>
      <c r="AE484" s="126"/>
      <c r="AF484" s="126"/>
      <c r="AG484" s="126"/>
      <c r="AH484" s="126"/>
      <c r="AI484" s="126"/>
      <c r="AJ484" s="126"/>
      <c r="AK484" s="126"/>
      <c r="AL484" s="126"/>
      <c r="AM484" s="126"/>
      <c r="AN484" s="126"/>
      <c r="AO484" s="126"/>
      <c r="AP484" s="126"/>
      <c r="AQ484" s="126"/>
      <c r="AR484" s="126"/>
      <c r="AS484" s="126"/>
      <c r="AT484" s="126"/>
      <c r="AU484" s="126"/>
      <c r="AV484" s="126"/>
      <c r="AW484" s="126"/>
      <c r="AX484" s="126"/>
      <c r="AY484" s="126"/>
      <c r="AZ484" s="126"/>
      <c r="BA484" s="126"/>
      <c r="BB484" s="126"/>
      <c r="BC484" s="126"/>
      <c r="BD484" s="126"/>
    </row>
    <row r="485">
      <c r="A485" s="126"/>
      <c r="B485" s="126"/>
      <c r="C485" s="126"/>
      <c r="D485" s="126"/>
      <c r="E485" s="126"/>
      <c r="F485" s="13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c r="AD485" s="126"/>
      <c r="AE485" s="126"/>
      <c r="AF485" s="126"/>
      <c r="AG485" s="126"/>
      <c r="AH485" s="126"/>
      <c r="AI485" s="126"/>
      <c r="AJ485" s="126"/>
      <c r="AK485" s="126"/>
      <c r="AL485" s="126"/>
      <c r="AM485" s="126"/>
      <c r="AN485" s="126"/>
      <c r="AO485" s="126"/>
      <c r="AP485" s="126"/>
      <c r="AQ485" s="126"/>
      <c r="AR485" s="126"/>
      <c r="AS485" s="126"/>
      <c r="AT485" s="126"/>
      <c r="AU485" s="126"/>
      <c r="AV485" s="126"/>
      <c r="AW485" s="126"/>
      <c r="AX485" s="126"/>
      <c r="AY485" s="126"/>
      <c r="AZ485" s="126"/>
      <c r="BA485" s="126"/>
      <c r="BB485" s="126"/>
      <c r="BC485" s="126"/>
      <c r="BD485" s="126"/>
    </row>
    <row r="486">
      <c r="A486" s="126"/>
      <c r="B486" s="126"/>
      <c r="C486" s="126"/>
      <c r="D486" s="126"/>
      <c r="E486" s="126"/>
      <c r="F486" s="13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c r="BC486" s="126"/>
      <c r="BD486" s="126"/>
    </row>
    <row r="487">
      <c r="A487" s="126"/>
      <c r="B487" s="126"/>
      <c r="C487" s="126"/>
      <c r="D487" s="126"/>
      <c r="E487" s="126"/>
      <c r="F487" s="13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c r="AD487" s="126"/>
      <c r="AE487" s="126"/>
      <c r="AF487" s="126"/>
      <c r="AG487" s="126"/>
      <c r="AH487" s="126"/>
      <c r="AI487" s="126"/>
      <c r="AJ487" s="126"/>
      <c r="AK487" s="126"/>
      <c r="AL487" s="126"/>
      <c r="AM487" s="126"/>
      <c r="AN487" s="126"/>
      <c r="AO487" s="126"/>
      <c r="AP487" s="126"/>
      <c r="AQ487" s="126"/>
      <c r="AR487" s="126"/>
      <c r="AS487" s="126"/>
      <c r="AT487" s="126"/>
      <c r="AU487" s="126"/>
      <c r="AV487" s="126"/>
      <c r="AW487" s="126"/>
      <c r="AX487" s="126"/>
      <c r="AY487" s="126"/>
      <c r="AZ487" s="126"/>
      <c r="BA487" s="126"/>
      <c r="BB487" s="126"/>
      <c r="BC487" s="126"/>
      <c r="BD487" s="126"/>
    </row>
    <row r="488">
      <c r="A488" s="126"/>
      <c r="B488" s="126"/>
      <c r="C488" s="126"/>
      <c r="D488" s="126"/>
      <c r="E488" s="126"/>
      <c r="F488" s="13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c r="AD488" s="126"/>
      <c r="AE488" s="126"/>
      <c r="AF488" s="126"/>
      <c r="AG488" s="126"/>
      <c r="AH488" s="126"/>
      <c r="AI488" s="126"/>
      <c r="AJ488" s="126"/>
      <c r="AK488" s="126"/>
      <c r="AL488" s="126"/>
      <c r="AM488" s="126"/>
      <c r="AN488" s="126"/>
      <c r="AO488" s="126"/>
      <c r="AP488" s="126"/>
      <c r="AQ488" s="126"/>
      <c r="AR488" s="126"/>
      <c r="AS488" s="126"/>
      <c r="AT488" s="126"/>
      <c r="AU488" s="126"/>
      <c r="AV488" s="126"/>
      <c r="AW488" s="126"/>
      <c r="AX488" s="126"/>
      <c r="AY488" s="126"/>
      <c r="AZ488" s="126"/>
      <c r="BA488" s="126"/>
      <c r="BB488" s="126"/>
      <c r="BC488" s="126"/>
      <c r="BD488" s="126"/>
    </row>
    <row r="489">
      <c r="A489" s="126"/>
      <c r="B489" s="126"/>
      <c r="C489" s="126"/>
      <c r="D489" s="126"/>
      <c r="E489" s="126"/>
      <c r="F489" s="13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c r="AD489" s="126"/>
      <c r="AE489" s="126"/>
      <c r="AF489" s="126"/>
      <c r="AG489" s="126"/>
      <c r="AH489" s="126"/>
      <c r="AI489" s="126"/>
      <c r="AJ489" s="126"/>
      <c r="AK489" s="126"/>
      <c r="AL489" s="126"/>
      <c r="AM489" s="126"/>
      <c r="AN489" s="126"/>
      <c r="AO489" s="126"/>
      <c r="AP489" s="126"/>
      <c r="AQ489" s="126"/>
      <c r="AR489" s="126"/>
      <c r="AS489" s="126"/>
      <c r="AT489" s="126"/>
      <c r="AU489" s="126"/>
      <c r="AV489" s="126"/>
      <c r="AW489" s="126"/>
      <c r="AX489" s="126"/>
      <c r="AY489" s="126"/>
      <c r="AZ489" s="126"/>
      <c r="BA489" s="126"/>
      <c r="BB489" s="126"/>
      <c r="BC489" s="126"/>
      <c r="BD489" s="126"/>
    </row>
    <row r="490">
      <c r="A490" s="126"/>
      <c r="B490" s="126"/>
      <c r="C490" s="126"/>
      <c r="D490" s="126"/>
      <c r="E490" s="126"/>
      <c r="F490" s="13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c r="AD490" s="126"/>
      <c r="AE490" s="126"/>
      <c r="AF490" s="126"/>
      <c r="AG490" s="126"/>
      <c r="AH490" s="126"/>
      <c r="AI490" s="126"/>
      <c r="AJ490" s="126"/>
      <c r="AK490" s="126"/>
      <c r="AL490" s="126"/>
      <c r="AM490" s="126"/>
      <c r="AN490" s="126"/>
      <c r="AO490" s="126"/>
      <c r="AP490" s="126"/>
      <c r="AQ490" s="126"/>
      <c r="AR490" s="126"/>
      <c r="AS490" s="126"/>
      <c r="AT490" s="126"/>
      <c r="AU490" s="126"/>
      <c r="AV490" s="126"/>
      <c r="AW490" s="126"/>
      <c r="AX490" s="126"/>
      <c r="AY490" s="126"/>
      <c r="AZ490" s="126"/>
      <c r="BA490" s="126"/>
      <c r="BB490" s="126"/>
      <c r="BC490" s="126"/>
      <c r="BD490" s="126"/>
    </row>
    <row r="491">
      <c r="A491" s="126"/>
      <c r="B491" s="126"/>
      <c r="C491" s="126"/>
      <c r="D491" s="126"/>
      <c r="E491" s="126"/>
      <c r="F491" s="13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c r="AD491" s="126"/>
      <c r="AE491" s="126"/>
      <c r="AF491" s="126"/>
      <c r="AG491" s="126"/>
      <c r="AH491" s="126"/>
      <c r="AI491" s="126"/>
      <c r="AJ491" s="126"/>
      <c r="AK491" s="126"/>
      <c r="AL491" s="126"/>
      <c r="AM491" s="126"/>
      <c r="AN491" s="126"/>
      <c r="AO491" s="126"/>
      <c r="AP491" s="126"/>
      <c r="AQ491" s="126"/>
      <c r="AR491" s="126"/>
      <c r="AS491" s="126"/>
      <c r="AT491" s="126"/>
      <c r="AU491" s="126"/>
      <c r="AV491" s="126"/>
      <c r="AW491" s="126"/>
      <c r="AX491" s="126"/>
      <c r="AY491" s="126"/>
      <c r="AZ491" s="126"/>
      <c r="BA491" s="126"/>
      <c r="BB491" s="126"/>
      <c r="BC491" s="126"/>
      <c r="BD491" s="126"/>
    </row>
    <row r="492">
      <c r="A492" s="126"/>
      <c r="B492" s="126"/>
      <c r="C492" s="126"/>
      <c r="D492" s="126"/>
      <c r="E492" s="126"/>
      <c r="F492" s="13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c r="BC492" s="126"/>
      <c r="BD492" s="126"/>
    </row>
    <row r="493">
      <c r="A493" s="126"/>
      <c r="B493" s="126"/>
      <c r="C493" s="126"/>
      <c r="D493" s="126"/>
      <c r="E493" s="126"/>
      <c r="F493" s="13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c r="AD493" s="126"/>
      <c r="AE493" s="126"/>
      <c r="AF493" s="126"/>
      <c r="AG493" s="126"/>
      <c r="AH493" s="126"/>
      <c r="AI493" s="126"/>
      <c r="AJ493" s="126"/>
      <c r="AK493" s="126"/>
      <c r="AL493" s="126"/>
      <c r="AM493" s="126"/>
      <c r="AN493" s="126"/>
      <c r="AO493" s="126"/>
      <c r="AP493" s="126"/>
      <c r="AQ493" s="126"/>
      <c r="AR493" s="126"/>
      <c r="AS493" s="126"/>
      <c r="AT493" s="126"/>
      <c r="AU493" s="126"/>
      <c r="AV493" s="126"/>
      <c r="AW493" s="126"/>
      <c r="AX493" s="126"/>
      <c r="AY493" s="126"/>
      <c r="AZ493" s="126"/>
      <c r="BA493" s="126"/>
      <c r="BB493" s="126"/>
      <c r="BC493" s="126"/>
      <c r="BD493" s="126"/>
    </row>
    <row r="494">
      <c r="A494" s="126"/>
      <c r="B494" s="126"/>
      <c r="C494" s="126"/>
      <c r="D494" s="126"/>
      <c r="E494" s="126"/>
      <c r="F494" s="13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c r="AD494" s="126"/>
      <c r="AE494" s="126"/>
      <c r="AF494" s="126"/>
      <c r="AG494" s="126"/>
      <c r="AH494" s="126"/>
      <c r="AI494" s="126"/>
      <c r="AJ494" s="126"/>
      <c r="AK494" s="126"/>
      <c r="AL494" s="126"/>
      <c r="AM494" s="126"/>
      <c r="AN494" s="126"/>
      <c r="AO494" s="126"/>
      <c r="AP494" s="126"/>
      <c r="AQ494" s="126"/>
      <c r="AR494" s="126"/>
      <c r="AS494" s="126"/>
      <c r="AT494" s="126"/>
      <c r="AU494" s="126"/>
      <c r="AV494" s="126"/>
      <c r="AW494" s="126"/>
      <c r="AX494" s="126"/>
      <c r="AY494" s="126"/>
      <c r="AZ494" s="126"/>
      <c r="BA494" s="126"/>
      <c r="BB494" s="126"/>
      <c r="BC494" s="126"/>
      <c r="BD494" s="126"/>
    </row>
    <row r="495">
      <c r="A495" s="126"/>
      <c r="B495" s="126"/>
      <c r="C495" s="126"/>
      <c r="D495" s="126"/>
      <c r="E495" s="126"/>
      <c r="F495" s="13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c r="AD495" s="126"/>
      <c r="AE495" s="126"/>
      <c r="AF495" s="126"/>
      <c r="AG495" s="126"/>
      <c r="AH495" s="126"/>
      <c r="AI495" s="126"/>
      <c r="AJ495" s="126"/>
      <c r="AK495" s="126"/>
      <c r="AL495" s="126"/>
      <c r="AM495" s="126"/>
      <c r="AN495" s="126"/>
      <c r="AO495" s="126"/>
      <c r="AP495" s="126"/>
      <c r="AQ495" s="126"/>
      <c r="AR495" s="126"/>
      <c r="AS495" s="126"/>
      <c r="AT495" s="126"/>
      <c r="AU495" s="126"/>
      <c r="AV495" s="126"/>
      <c r="AW495" s="126"/>
      <c r="AX495" s="126"/>
      <c r="AY495" s="126"/>
      <c r="AZ495" s="126"/>
      <c r="BA495" s="126"/>
      <c r="BB495" s="126"/>
      <c r="BC495" s="126"/>
      <c r="BD495" s="126"/>
    </row>
    <row r="496">
      <c r="A496" s="126"/>
      <c r="B496" s="126"/>
      <c r="C496" s="126"/>
      <c r="D496" s="126"/>
      <c r="E496" s="126"/>
      <c r="F496" s="13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c r="AD496" s="126"/>
      <c r="AE496" s="126"/>
      <c r="AF496" s="126"/>
      <c r="AG496" s="126"/>
      <c r="AH496" s="126"/>
      <c r="AI496" s="126"/>
      <c r="AJ496" s="126"/>
      <c r="AK496" s="126"/>
      <c r="AL496" s="126"/>
      <c r="AM496" s="126"/>
      <c r="AN496" s="126"/>
      <c r="AO496" s="126"/>
      <c r="AP496" s="126"/>
      <c r="AQ496" s="126"/>
      <c r="AR496" s="126"/>
      <c r="AS496" s="126"/>
      <c r="AT496" s="126"/>
      <c r="AU496" s="126"/>
      <c r="AV496" s="126"/>
      <c r="AW496" s="126"/>
      <c r="AX496" s="126"/>
      <c r="AY496" s="126"/>
      <c r="AZ496" s="126"/>
      <c r="BA496" s="126"/>
      <c r="BB496" s="126"/>
      <c r="BC496" s="126"/>
      <c r="BD496" s="126"/>
    </row>
    <row r="497">
      <c r="A497" s="126"/>
      <c r="B497" s="126"/>
      <c r="C497" s="126"/>
      <c r="D497" s="126"/>
      <c r="E497" s="126"/>
      <c r="F497" s="13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c r="AD497" s="126"/>
      <c r="AE497" s="126"/>
      <c r="AF497" s="126"/>
      <c r="AG497" s="126"/>
      <c r="AH497" s="126"/>
      <c r="AI497" s="126"/>
      <c r="AJ497" s="126"/>
      <c r="AK497" s="126"/>
      <c r="AL497" s="126"/>
      <c r="AM497" s="126"/>
      <c r="AN497" s="126"/>
      <c r="AO497" s="126"/>
      <c r="AP497" s="126"/>
      <c r="AQ497" s="126"/>
      <c r="AR497" s="126"/>
      <c r="AS497" s="126"/>
      <c r="AT497" s="126"/>
      <c r="AU497" s="126"/>
      <c r="AV497" s="126"/>
      <c r="AW497" s="126"/>
      <c r="AX497" s="126"/>
      <c r="AY497" s="126"/>
      <c r="AZ497" s="126"/>
      <c r="BA497" s="126"/>
      <c r="BB497" s="126"/>
      <c r="BC497" s="126"/>
      <c r="BD497" s="126"/>
    </row>
    <row r="498">
      <c r="A498" s="126"/>
      <c r="B498" s="126"/>
      <c r="C498" s="126"/>
      <c r="D498" s="126"/>
      <c r="E498" s="126"/>
      <c r="F498" s="13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c r="BC498" s="126"/>
      <c r="BD498" s="126"/>
    </row>
    <row r="499">
      <c r="A499" s="126"/>
      <c r="B499" s="126"/>
      <c r="C499" s="126"/>
      <c r="D499" s="126"/>
      <c r="E499" s="126"/>
      <c r="F499" s="13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c r="AD499" s="126"/>
      <c r="AE499" s="126"/>
      <c r="AF499" s="126"/>
      <c r="AG499" s="126"/>
      <c r="AH499" s="126"/>
      <c r="AI499" s="126"/>
      <c r="AJ499" s="126"/>
      <c r="AK499" s="126"/>
      <c r="AL499" s="126"/>
      <c r="AM499" s="126"/>
      <c r="AN499" s="126"/>
      <c r="AO499" s="126"/>
      <c r="AP499" s="126"/>
      <c r="AQ499" s="126"/>
      <c r="AR499" s="126"/>
      <c r="AS499" s="126"/>
      <c r="AT499" s="126"/>
      <c r="AU499" s="126"/>
      <c r="AV499" s="126"/>
      <c r="AW499" s="126"/>
      <c r="AX499" s="126"/>
      <c r="AY499" s="126"/>
      <c r="AZ499" s="126"/>
      <c r="BA499" s="126"/>
      <c r="BB499" s="126"/>
      <c r="BC499" s="126"/>
      <c r="BD499" s="126"/>
    </row>
    <row r="500">
      <c r="A500" s="126"/>
      <c r="B500" s="126"/>
      <c r="C500" s="126"/>
      <c r="D500" s="126"/>
      <c r="E500" s="126"/>
      <c r="F500" s="13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c r="AD500" s="126"/>
      <c r="AE500" s="126"/>
      <c r="AF500" s="126"/>
      <c r="AG500" s="126"/>
      <c r="AH500" s="126"/>
      <c r="AI500" s="126"/>
      <c r="AJ500" s="126"/>
      <c r="AK500" s="126"/>
      <c r="AL500" s="126"/>
      <c r="AM500" s="126"/>
      <c r="AN500" s="126"/>
      <c r="AO500" s="126"/>
      <c r="AP500" s="126"/>
      <c r="AQ500" s="126"/>
      <c r="AR500" s="126"/>
      <c r="AS500" s="126"/>
      <c r="AT500" s="126"/>
      <c r="AU500" s="126"/>
      <c r="AV500" s="126"/>
      <c r="AW500" s="126"/>
      <c r="AX500" s="126"/>
      <c r="AY500" s="126"/>
      <c r="AZ500" s="126"/>
      <c r="BA500" s="126"/>
      <c r="BB500" s="126"/>
      <c r="BC500" s="126"/>
      <c r="BD500" s="126"/>
    </row>
    <row r="501">
      <c r="A501" s="126"/>
      <c r="B501" s="126"/>
      <c r="C501" s="126"/>
      <c r="D501" s="126"/>
      <c r="E501" s="126"/>
      <c r="F501" s="13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c r="AD501" s="126"/>
      <c r="AE501" s="126"/>
      <c r="AF501" s="126"/>
      <c r="AG501" s="126"/>
      <c r="AH501" s="126"/>
      <c r="AI501" s="126"/>
      <c r="AJ501" s="126"/>
      <c r="AK501" s="126"/>
      <c r="AL501" s="126"/>
      <c r="AM501" s="126"/>
      <c r="AN501" s="126"/>
      <c r="AO501" s="126"/>
      <c r="AP501" s="126"/>
      <c r="AQ501" s="126"/>
      <c r="AR501" s="126"/>
      <c r="AS501" s="126"/>
      <c r="AT501" s="126"/>
      <c r="AU501" s="126"/>
      <c r="AV501" s="126"/>
      <c r="AW501" s="126"/>
      <c r="AX501" s="126"/>
      <c r="AY501" s="126"/>
      <c r="AZ501" s="126"/>
      <c r="BA501" s="126"/>
      <c r="BB501" s="126"/>
      <c r="BC501" s="126"/>
      <c r="BD501" s="126"/>
    </row>
    <row r="502">
      <c r="A502" s="126"/>
      <c r="B502" s="126"/>
      <c r="C502" s="126"/>
      <c r="D502" s="126"/>
      <c r="E502" s="126"/>
      <c r="F502" s="13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c r="AD502" s="126"/>
      <c r="AE502" s="126"/>
      <c r="AF502" s="126"/>
      <c r="AG502" s="126"/>
      <c r="AH502" s="126"/>
      <c r="AI502" s="126"/>
      <c r="AJ502" s="126"/>
      <c r="AK502" s="126"/>
      <c r="AL502" s="126"/>
      <c r="AM502" s="126"/>
      <c r="AN502" s="126"/>
      <c r="AO502" s="126"/>
      <c r="AP502" s="126"/>
      <c r="AQ502" s="126"/>
      <c r="AR502" s="126"/>
      <c r="AS502" s="126"/>
      <c r="AT502" s="126"/>
      <c r="AU502" s="126"/>
      <c r="AV502" s="126"/>
      <c r="AW502" s="126"/>
      <c r="AX502" s="126"/>
      <c r="AY502" s="126"/>
      <c r="AZ502" s="126"/>
      <c r="BA502" s="126"/>
      <c r="BB502" s="126"/>
      <c r="BC502" s="126"/>
      <c r="BD502" s="126"/>
    </row>
    <row r="503">
      <c r="A503" s="126"/>
      <c r="B503" s="126"/>
      <c r="C503" s="126"/>
      <c r="D503" s="126"/>
      <c r="E503" s="126"/>
      <c r="F503" s="13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c r="AD503" s="126"/>
      <c r="AE503" s="126"/>
      <c r="AF503" s="126"/>
      <c r="AG503" s="126"/>
      <c r="AH503" s="126"/>
      <c r="AI503" s="126"/>
      <c r="AJ503" s="126"/>
      <c r="AK503" s="126"/>
      <c r="AL503" s="126"/>
      <c r="AM503" s="126"/>
      <c r="AN503" s="126"/>
      <c r="AO503" s="126"/>
      <c r="AP503" s="126"/>
      <c r="AQ503" s="126"/>
      <c r="AR503" s="126"/>
      <c r="AS503" s="126"/>
      <c r="AT503" s="126"/>
      <c r="AU503" s="126"/>
      <c r="AV503" s="126"/>
      <c r="AW503" s="126"/>
      <c r="AX503" s="126"/>
      <c r="AY503" s="126"/>
      <c r="AZ503" s="126"/>
      <c r="BA503" s="126"/>
      <c r="BB503" s="126"/>
      <c r="BC503" s="126"/>
      <c r="BD503" s="126"/>
    </row>
    <row r="504">
      <c r="A504" s="126"/>
      <c r="B504" s="126"/>
      <c r="C504" s="126"/>
      <c r="D504" s="126"/>
      <c r="E504" s="126"/>
      <c r="F504" s="13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c r="BC504" s="126"/>
      <c r="BD504" s="126"/>
    </row>
    <row r="505">
      <c r="A505" s="126"/>
      <c r="B505" s="126"/>
      <c r="C505" s="126"/>
      <c r="D505" s="126"/>
      <c r="E505" s="126"/>
      <c r="F505" s="13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c r="AD505" s="126"/>
      <c r="AE505" s="126"/>
      <c r="AF505" s="126"/>
      <c r="AG505" s="126"/>
      <c r="AH505" s="126"/>
      <c r="AI505" s="126"/>
      <c r="AJ505" s="126"/>
      <c r="AK505" s="126"/>
      <c r="AL505" s="126"/>
      <c r="AM505" s="126"/>
      <c r="AN505" s="126"/>
      <c r="AO505" s="126"/>
      <c r="AP505" s="126"/>
      <c r="AQ505" s="126"/>
      <c r="AR505" s="126"/>
      <c r="AS505" s="126"/>
      <c r="AT505" s="126"/>
      <c r="AU505" s="126"/>
      <c r="AV505" s="126"/>
      <c r="AW505" s="126"/>
      <c r="AX505" s="126"/>
      <c r="AY505" s="126"/>
      <c r="AZ505" s="126"/>
      <c r="BA505" s="126"/>
      <c r="BB505" s="126"/>
      <c r="BC505" s="126"/>
      <c r="BD505" s="126"/>
    </row>
    <row r="506">
      <c r="A506" s="126"/>
      <c r="B506" s="126"/>
      <c r="C506" s="126"/>
      <c r="D506" s="126"/>
      <c r="E506" s="126"/>
      <c r="F506" s="13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c r="AD506" s="126"/>
      <c r="AE506" s="126"/>
      <c r="AF506" s="126"/>
      <c r="AG506" s="126"/>
      <c r="AH506" s="126"/>
      <c r="AI506" s="126"/>
      <c r="AJ506" s="126"/>
      <c r="AK506" s="126"/>
      <c r="AL506" s="126"/>
      <c r="AM506" s="126"/>
      <c r="AN506" s="126"/>
      <c r="AO506" s="126"/>
      <c r="AP506" s="126"/>
      <c r="AQ506" s="126"/>
      <c r="AR506" s="126"/>
      <c r="AS506" s="126"/>
      <c r="AT506" s="126"/>
      <c r="AU506" s="126"/>
      <c r="AV506" s="126"/>
      <c r="AW506" s="126"/>
      <c r="AX506" s="126"/>
      <c r="AY506" s="126"/>
      <c r="AZ506" s="126"/>
      <c r="BA506" s="126"/>
      <c r="BB506" s="126"/>
      <c r="BC506" s="126"/>
      <c r="BD506" s="126"/>
    </row>
    <row r="507">
      <c r="A507" s="126"/>
      <c r="B507" s="126"/>
      <c r="C507" s="126"/>
      <c r="D507" s="126"/>
      <c r="E507" s="126"/>
      <c r="F507" s="13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c r="AD507" s="126"/>
      <c r="AE507" s="126"/>
      <c r="AF507" s="126"/>
      <c r="AG507" s="126"/>
      <c r="AH507" s="126"/>
      <c r="AI507" s="126"/>
      <c r="AJ507" s="126"/>
      <c r="AK507" s="126"/>
      <c r="AL507" s="126"/>
      <c r="AM507" s="126"/>
      <c r="AN507" s="126"/>
      <c r="AO507" s="126"/>
      <c r="AP507" s="126"/>
      <c r="AQ507" s="126"/>
      <c r="AR507" s="126"/>
      <c r="AS507" s="126"/>
      <c r="AT507" s="126"/>
      <c r="AU507" s="126"/>
      <c r="AV507" s="126"/>
      <c r="AW507" s="126"/>
      <c r="AX507" s="126"/>
      <c r="AY507" s="126"/>
      <c r="AZ507" s="126"/>
      <c r="BA507" s="126"/>
      <c r="BB507" s="126"/>
      <c r="BC507" s="126"/>
      <c r="BD507" s="126"/>
    </row>
    <row r="508">
      <c r="A508" s="126"/>
      <c r="B508" s="126"/>
      <c r="C508" s="126"/>
      <c r="D508" s="126"/>
      <c r="E508" s="126"/>
      <c r="F508" s="13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c r="AD508" s="126"/>
      <c r="AE508" s="126"/>
      <c r="AF508" s="126"/>
      <c r="AG508" s="126"/>
      <c r="AH508" s="126"/>
      <c r="AI508" s="126"/>
      <c r="AJ508" s="126"/>
      <c r="AK508" s="126"/>
      <c r="AL508" s="126"/>
      <c r="AM508" s="126"/>
      <c r="AN508" s="126"/>
      <c r="AO508" s="126"/>
      <c r="AP508" s="126"/>
      <c r="AQ508" s="126"/>
      <c r="AR508" s="126"/>
      <c r="AS508" s="126"/>
      <c r="AT508" s="126"/>
      <c r="AU508" s="126"/>
      <c r="AV508" s="126"/>
      <c r="AW508" s="126"/>
      <c r="AX508" s="126"/>
      <c r="AY508" s="126"/>
      <c r="AZ508" s="126"/>
      <c r="BA508" s="126"/>
      <c r="BB508" s="126"/>
      <c r="BC508" s="126"/>
      <c r="BD508" s="126"/>
    </row>
    <row r="509">
      <c r="A509" s="126"/>
      <c r="B509" s="126"/>
      <c r="C509" s="126"/>
      <c r="D509" s="126"/>
      <c r="E509" s="126"/>
      <c r="F509" s="13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c r="AD509" s="126"/>
      <c r="AE509" s="126"/>
      <c r="AF509" s="126"/>
      <c r="AG509" s="126"/>
      <c r="AH509" s="126"/>
      <c r="AI509" s="126"/>
      <c r="AJ509" s="126"/>
      <c r="AK509" s="126"/>
      <c r="AL509" s="126"/>
      <c r="AM509" s="126"/>
      <c r="AN509" s="126"/>
      <c r="AO509" s="126"/>
      <c r="AP509" s="126"/>
      <c r="AQ509" s="126"/>
      <c r="AR509" s="126"/>
      <c r="AS509" s="126"/>
      <c r="AT509" s="126"/>
      <c r="AU509" s="126"/>
      <c r="AV509" s="126"/>
      <c r="AW509" s="126"/>
      <c r="AX509" s="126"/>
      <c r="AY509" s="126"/>
      <c r="AZ509" s="126"/>
      <c r="BA509" s="126"/>
      <c r="BB509" s="126"/>
      <c r="BC509" s="126"/>
      <c r="BD509" s="126"/>
    </row>
    <row r="510">
      <c r="A510" s="126"/>
      <c r="B510" s="126"/>
      <c r="C510" s="126"/>
      <c r="D510" s="126"/>
      <c r="E510" s="126"/>
      <c r="F510" s="13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c r="BC510" s="126"/>
      <c r="BD510" s="126"/>
    </row>
    <row r="511">
      <c r="A511" s="126"/>
      <c r="B511" s="126"/>
      <c r="C511" s="126"/>
      <c r="D511" s="126"/>
      <c r="E511" s="126"/>
      <c r="F511" s="13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c r="AD511" s="126"/>
      <c r="AE511" s="126"/>
      <c r="AF511" s="126"/>
      <c r="AG511" s="126"/>
      <c r="AH511" s="126"/>
      <c r="AI511" s="126"/>
      <c r="AJ511" s="126"/>
      <c r="AK511" s="126"/>
      <c r="AL511" s="126"/>
      <c r="AM511" s="126"/>
      <c r="AN511" s="126"/>
      <c r="AO511" s="126"/>
      <c r="AP511" s="126"/>
      <c r="AQ511" s="126"/>
      <c r="AR511" s="126"/>
      <c r="AS511" s="126"/>
      <c r="AT511" s="126"/>
      <c r="AU511" s="126"/>
      <c r="AV511" s="126"/>
      <c r="AW511" s="126"/>
      <c r="AX511" s="126"/>
      <c r="AY511" s="126"/>
      <c r="AZ511" s="126"/>
      <c r="BA511" s="126"/>
      <c r="BB511" s="126"/>
      <c r="BC511" s="126"/>
      <c r="BD511" s="126"/>
    </row>
    <row r="512">
      <c r="A512" s="126"/>
      <c r="B512" s="126"/>
      <c r="C512" s="126"/>
      <c r="D512" s="126"/>
      <c r="E512" s="126"/>
      <c r="F512" s="13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c r="AD512" s="126"/>
      <c r="AE512" s="126"/>
      <c r="AF512" s="126"/>
      <c r="AG512" s="126"/>
      <c r="AH512" s="126"/>
      <c r="AI512" s="126"/>
      <c r="AJ512" s="126"/>
      <c r="AK512" s="126"/>
      <c r="AL512" s="126"/>
      <c r="AM512" s="126"/>
      <c r="AN512" s="126"/>
      <c r="AO512" s="126"/>
      <c r="AP512" s="126"/>
      <c r="AQ512" s="126"/>
      <c r="AR512" s="126"/>
      <c r="AS512" s="126"/>
      <c r="AT512" s="126"/>
      <c r="AU512" s="126"/>
      <c r="AV512" s="126"/>
      <c r="AW512" s="126"/>
      <c r="AX512" s="126"/>
      <c r="AY512" s="126"/>
      <c r="AZ512" s="126"/>
      <c r="BA512" s="126"/>
      <c r="BB512" s="126"/>
      <c r="BC512" s="126"/>
      <c r="BD512" s="126"/>
    </row>
    <row r="513">
      <c r="A513" s="126"/>
      <c r="B513" s="126"/>
      <c r="C513" s="126"/>
      <c r="D513" s="126"/>
      <c r="E513" s="126"/>
      <c r="F513" s="13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126"/>
      <c r="AP513" s="126"/>
      <c r="AQ513" s="126"/>
      <c r="AR513" s="126"/>
      <c r="AS513" s="126"/>
      <c r="AT513" s="126"/>
      <c r="AU513" s="126"/>
      <c r="AV513" s="126"/>
      <c r="AW513" s="126"/>
      <c r="AX513" s="126"/>
      <c r="AY513" s="126"/>
      <c r="AZ513" s="126"/>
      <c r="BA513" s="126"/>
      <c r="BB513" s="126"/>
      <c r="BC513" s="126"/>
      <c r="BD513" s="126"/>
    </row>
    <row r="514">
      <c r="A514" s="126"/>
      <c r="B514" s="126"/>
      <c r="C514" s="126"/>
      <c r="D514" s="126"/>
      <c r="E514" s="126"/>
      <c r="F514" s="13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c r="AD514" s="126"/>
      <c r="AE514" s="126"/>
      <c r="AF514" s="126"/>
      <c r="AG514" s="126"/>
      <c r="AH514" s="126"/>
      <c r="AI514" s="126"/>
      <c r="AJ514" s="126"/>
      <c r="AK514" s="126"/>
      <c r="AL514" s="126"/>
      <c r="AM514" s="126"/>
      <c r="AN514" s="126"/>
      <c r="AO514" s="126"/>
      <c r="AP514" s="126"/>
      <c r="AQ514" s="126"/>
      <c r="AR514" s="126"/>
      <c r="AS514" s="126"/>
      <c r="AT514" s="126"/>
      <c r="AU514" s="126"/>
      <c r="AV514" s="126"/>
      <c r="AW514" s="126"/>
      <c r="AX514" s="126"/>
      <c r="AY514" s="126"/>
      <c r="AZ514" s="126"/>
      <c r="BA514" s="126"/>
      <c r="BB514" s="126"/>
      <c r="BC514" s="126"/>
      <c r="BD514" s="126"/>
    </row>
    <row r="515">
      <c r="A515" s="126"/>
      <c r="B515" s="126"/>
      <c r="C515" s="126"/>
      <c r="D515" s="126"/>
      <c r="E515" s="126"/>
      <c r="F515" s="13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c r="AD515" s="126"/>
      <c r="AE515" s="126"/>
      <c r="AF515" s="126"/>
      <c r="AG515" s="126"/>
      <c r="AH515" s="126"/>
      <c r="AI515" s="126"/>
      <c r="AJ515" s="126"/>
      <c r="AK515" s="126"/>
      <c r="AL515" s="126"/>
      <c r="AM515" s="126"/>
      <c r="AN515" s="126"/>
      <c r="AO515" s="126"/>
      <c r="AP515" s="126"/>
      <c r="AQ515" s="126"/>
      <c r="AR515" s="126"/>
      <c r="AS515" s="126"/>
      <c r="AT515" s="126"/>
      <c r="AU515" s="126"/>
      <c r="AV515" s="126"/>
      <c r="AW515" s="126"/>
      <c r="AX515" s="126"/>
      <c r="AY515" s="126"/>
      <c r="AZ515" s="126"/>
      <c r="BA515" s="126"/>
      <c r="BB515" s="126"/>
      <c r="BC515" s="126"/>
      <c r="BD515" s="126"/>
    </row>
    <row r="516">
      <c r="A516" s="126"/>
      <c r="B516" s="126"/>
      <c r="C516" s="126"/>
      <c r="D516" s="126"/>
      <c r="E516" s="126"/>
      <c r="F516" s="13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c r="AD516" s="126"/>
      <c r="AE516" s="126"/>
      <c r="AF516" s="126"/>
      <c r="AG516" s="126"/>
      <c r="AH516" s="126"/>
      <c r="AI516" s="126"/>
      <c r="AJ516" s="126"/>
      <c r="AK516" s="126"/>
      <c r="AL516" s="126"/>
      <c r="AM516" s="126"/>
      <c r="AN516" s="126"/>
      <c r="AO516" s="126"/>
      <c r="AP516" s="126"/>
      <c r="AQ516" s="126"/>
      <c r="AR516" s="126"/>
      <c r="AS516" s="126"/>
      <c r="AT516" s="126"/>
      <c r="AU516" s="126"/>
      <c r="AV516" s="126"/>
      <c r="AW516" s="126"/>
      <c r="AX516" s="126"/>
      <c r="AY516" s="126"/>
      <c r="AZ516" s="126"/>
      <c r="BA516" s="126"/>
      <c r="BB516" s="126"/>
      <c r="BC516" s="126"/>
      <c r="BD516" s="126"/>
    </row>
    <row r="517">
      <c r="A517" s="126"/>
      <c r="B517" s="126"/>
      <c r="C517" s="126"/>
      <c r="D517" s="126"/>
      <c r="E517" s="126"/>
      <c r="F517" s="13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c r="AD517" s="126"/>
      <c r="AE517" s="126"/>
      <c r="AF517" s="126"/>
      <c r="AG517" s="126"/>
      <c r="AH517" s="126"/>
      <c r="AI517" s="126"/>
      <c r="AJ517" s="126"/>
      <c r="AK517" s="126"/>
      <c r="AL517" s="126"/>
      <c r="AM517" s="126"/>
      <c r="AN517" s="126"/>
      <c r="AO517" s="126"/>
      <c r="AP517" s="126"/>
      <c r="AQ517" s="126"/>
      <c r="AR517" s="126"/>
      <c r="AS517" s="126"/>
      <c r="AT517" s="126"/>
      <c r="AU517" s="126"/>
      <c r="AV517" s="126"/>
      <c r="AW517" s="126"/>
      <c r="AX517" s="126"/>
      <c r="AY517" s="126"/>
      <c r="AZ517" s="126"/>
      <c r="BA517" s="126"/>
      <c r="BB517" s="126"/>
      <c r="BC517" s="126"/>
      <c r="BD517" s="126"/>
    </row>
    <row r="518">
      <c r="A518" s="126"/>
      <c r="B518" s="126"/>
      <c r="C518" s="126"/>
      <c r="D518" s="126"/>
      <c r="E518" s="126"/>
      <c r="F518" s="13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c r="AD518" s="126"/>
      <c r="AE518" s="126"/>
      <c r="AF518" s="126"/>
      <c r="AG518" s="126"/>
      <c r="AH518" s="126"/>
      <c r="AI518" s="126"/>
      <c r="AJ518" s="126"/>
      <c r="AK518" s="126"/>
      <c r="AL518" s="126"/>
      <c r="AM518" s="126"/>
      <c r="AN518" s="126"/>
      <c r="AO518" s="126"/>
      <c r="AP518" s="126"/>
      <c r="AQ518" s="126"/>
      <c r="AR518" s="126"/>
      <c r="AS518" s="126"/>
      <c r="AT518" s="126"/>
      <c r="AU518" s="126"/>
      <c r="AV518" s="126"/>
      <c r="AW518" s="126"/>
      <c r="AX518" s="126"/>
      <c r="AY518" s="126"/>
      <c r="AZ518" s="126"/>
      <c r="BA518" s="126"/>
      <c r="BB518" s="126"/>
      <c r="BC518" s="126"/>
      <c r="BD518" s="126"/>
    </row>
    <row r="519">
      <c r="A519" s="126"/>
      <c r="B519" s="126"/>
      <c r="C519" s="126"/>
      <c r="D519" s="126"/>
      <c r="E519" s="126"/>
      <c r="F519" s="13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126"/>
      <c r="AP519" s="126"/>
      <c r="AQ519" s="126"/>
      <c r="AR519" s="126"/>
      <c r="AS519" s="126"/>
      <c r="AT519" s="126"/>
      <c r="AU519" s="126"/>
      <c r="AV519" s="126"/>
      <c r="AW519" s="126"/>
      <c r="AX519" s="126"/>
      <c r="AY519" s="126"/>
      <c r="AZ519" s="126"/>
      <c r="BA519" s="126"/>
      <c r="BB519" s="126"/>
      <c r="BC519" s="126"/>
      <c r="BD519" s="126"/>
    </row>
    <row r="520">
      <c r="A520" s="126"/>
      <c r="B520" s="126"/>
      <c r="C520" s="126"/>
      <c r="D520" s="126"/>
      <c r="E520" s="126"/>
      <c r="F520" s="13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c r="AD520" s="126"/>
      <c r="AE520" s="126"/>
      <c r="AF520" s="126"/>
      <c r="AG520" s="126"/>
      <c r="AH520" s="126"/>
      <c r="AI520" s="126"/>
      <c r="AJ520" s="126"/>
      <c r="AK520" s="126"/>
      <c r="AL520" s="126"/>
      <c r="AM520" s="126"/>
      <c r="AN520" s="126"/>
      <c r="AO520" s="126"/>
      <c r="AP520" s="126"/>
      <c r="AQ520" s="126"/>
      <c r="AR520" s="126"/>
      <c r="AS520" s="126"/>
      <c r="AT520" s="126"/>
      <c r="AU520" s="126"/>
      <c r="AV520" s="126"/>
      <c r="AW520" s="126"/>
      <c r="AX520" s="126"/>
      <c r="AY520" s="126"/>
      <c r="AZ520" s="126"/>
      <c r="BA520" s="126"/>
      <c r="BB520" s="126"/>
      <c r="BC520" s="126"/>
      <c r="BD520" s="126"/>
    </row>
    <row r="521">
      <c r="A521" s="126"/>
      <c r="B521" s="126"/>
      <c r="C521" s="126"/>
      <c r="D521" s="126"/>
      <c r="E521" s="126"/>
      <c r="F521" s="13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c r="AD521" s="126"/>
      <c r="AE521" s="126"/>
      <c r="AF521" s="126"/>
      <c r="AG521" s="126"/>
      <c r="AH521" s="126"/>
      <c r="AI521" s="126"/>
      <c r="AJ521" s="126"/>
      <c r="AK521" s="126"/>
      <c r="AL521" s="126"/>
      <c r="AM521" s="126"/>
      <c r="AN521" s="126"/>
      <c r="AO521" s="126"/>
      <c r="AP521" s="126"/>
      <c r="AQ521" s="126"/>
      <c r="AR521" s="126"/>
      <c r="AS521" s="126"/>
      <c r="AT521" s="126"/>
      <c r="AU521" s="126"/>
      <c r="AV521" s="126"/>
      <c r="AW521" s="126"/>
      <c r="AX521" s="126"/>
      <c r="AY521" s="126"/>
      <c r="AZ521" s="126"/>
      <c r="BA521" s="126"/>
      <c r="BB521" s="126"/>
      <c r="BC521" s="126"/>
      <c r="BD521" s="126"/>
    </row>
    <row r="522">
      <c r="A522" s="126"/>
      <c r="B522" s="126"/>
      <c r="C522" s="126"/>
      <c r="D522" s="126"/>
      <c r="E522" s="126"/>
      <c r="F522" s="13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c r="AD522" s="126"/>
      <c r="AE522" s="126"/>
      <c r="AF522" s="126"/>
      <c r="AG522" s="126"/>
      <c r="AH522" s="126"/>
      <c r="AI522" s="126"/>
      <c r="AJ522" s="126"/>
      <c r="AK522" s="126"/>
      <c r="AL522" s="126"/>
      <c r="AM522" s="126"/>
      <c r="AN522" s="126"/>
      <c r="AO522" s="126"/>
      <c r="AP522" s="126"/>
      <c r="AQ522" s="126"/>
      <c r="AR522" s="126"/>
      <c r="AS522" s="126"/>
      <c r="AT522" s="126"/>
      <c r="AU522" s="126"/>
      <c r="AV522" s="126"/>
      <c r="AW522" s="126"/>
      <c r="AX522" s="126"/>
      <c r="AY522" s="126"/>
      <c r="AZ522" s="126"/>
      <c r="BA522" s="126"/>
      <c r="BB522" s="126"/>
      <c r="BC522" s="126"/>
      <c r="BD522" s="126"/>
    </row>
    <row r="523">
      <c r="A523" s="126"/>
      <c r="B523" s="126"/>
      <c r="C523" s="126"/>
      <c r="D523" s="126"/>
      <c r="E523" s="126"/>
      <c r="F523" s="13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c r="AD523" s="126"/>
      <c r="AE523" s="126"/>
      <c r="AF523" s="126"/>
      <c r="AG523" s="126"/>
      <c r="AH523" s="126"/>
      <c r="AI523" s="126"/>
      <c r="AJ523" s="126"/>
      <c r="AK523" s="126"/>
      <c r="AL523" s="126"/>
      <c r="AM523" s="126"/>
      <c r="AN523" s="126"/>
      <c r="AO523" s="126"/>
      <c r="AP523" s="126"/>
      <c r="AQ523" s="126"/>
      <c r="AR523" s="126"/>
      <c r="AS523" s="126"/>
      <c r="AT523" s="126"/>
      <c r="AU523" s="126"/>
      <c r="AV523" s="126"/>
      <c r="AW523" s="126"/>
      <c r="AX523" s="126"/>
      <c r="AY523" s="126"/>
      <c r="AZ523" s="126"/>
      <c r="BA523" s="126"/>
      <c r="BB523" s="126"/>
      <c r="BC523" s="126"/>
      <c r="BD523" s="126"/>
    </row>
    <row r="524">
      <c r="A524" s="126"/>
      <c r="B524" s="126"/>
      <c r="C524" s="126"/>
      <c r="D524" s="126"/>
      <c r="E524" s="126"/>
      <c r="F524" s="13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c r="AD524" s="126"/>
      <c r="AE524" s="126"/>
      <c r="AF524" s="126"/>
      <c r="AG524" s="126"/>
      <c r="AH524" s="126"/>
      <c r="AI524" s="126"/>
      <c r="AJ524" s="126"/>
      <c r="AK524" s="126"/>
      <c r="AL524" s="126"/>
      <c r="AM524" s="126"/>
      <c r="AN524" s="126"/>
      <c r="AO524" s="126"/>
      <c r="AP524" s="126"/>
      <c r="AQ524" s="126"/>
      <c r="AR524" s="126"/>
      <c r="AS524" s="126"/>
      <c r="AT524" s="126"/>
      <c r="AU524" s="126"/>
      <c r="AV524" s="126"/>
      <c r="AW524" s="126"/>
      <c r="AX524" s="126"/>
      <c r="AY524" s="126"/>
      <c r="AZ524" s="126"/>
      <c r="BA524" s="126"/>
      <c r="BB524" s="126"/>
      <c r="BC524" s="126"/>
      <c r="BD524" s="126"/>
    </row>
    <row r="525">
      <c r="A525" s="126"/>
      <c r="B525" s="126"/>
      <c r="C525" s="126"/>
      <c r="D525" s="126"/>
      <c r="E525" s="126"/>
      <c r="F525" s="13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6"/>
      <c r="AX525" s="126"/>
      <c r="AY525" s="126"/>
      <c r="AZ525" s="126"/>
      <c r="BA525" s="126"/>
      <c r="BB525" s="126"/>
      <c r="BC525" s="126"/>
      <c r="BD525" s="126"/>
    </row>
    <row r="526">
      <c r="A526" s="126"/>
      <c r="B526" s="126"/>
      <c r="C526" s="126"/>
      <c r="D526" s="126"/>
      <c r="E526" s="126"/>
      <c r="F526" s="13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c r="AD526" s="126"/>
      <c r="AE526" s="126"/>
      <c r="AF526" s="126"/>
      <c r="AG526" s="126"/>
      <c r="AH526" s="126"/>
      <c r="AI526" s="126"/>
      <c r="AJ526" s="126"/>
      <c r="AK526" s="126"/>
      <c r="AL526" s="126"/>
      <c r="AM526" s="126"/>
      <c r="AN526" s="126"/>
      <c r="AO526" s="126"/>
      <c r="AP526" s="126"/>
      <c r="AQ526" s="126"/>
      <c r="AR526" s="126"/>
      <c r="AS526" s="126"/>
      <c r="AT526" s="126"/>
      <c r="AU526" s="126"/>
      <c r="AV526" s="126"/>
      <c r="AW526" s="126"/>
      <c r="AX526" s="126"/>
      <c r="AY526" s="126"/>
      <c r="AZ526" s="126"/>
      <c r="BA526" s="126"/>
      <c r="BB526" s="126"/>
      <c r="BC526" s="126"/>
      <c r="BD526" s="126"/>
    </row>
    <row r="527">
      <c r="A527" s="126"/>
      <c r="B527" s="126"/>
      <c r="C527" s="126"/>
      <c r="D527" s="126"/>
      <c r="E527" s="126"/>
      <c r="F527" s="13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c r="AD527" s="126"/>
      <c r="AE527" s="126"/>
      <c r="AF527" s="126"/>
      <c r="AG527" s="126"/>
      <c r="AH527" s="126"/>
      <c r="AI527" s="126"/>
      <c r="AJ527" s="126"/>
      <c r="AK527" s="126"/>
      <c r="AL527" s="126"/>
      <c r="AM527" s="126"/>
      <c r="AN527" s="126"/>
      <c r="AO527" s="126"/>
      <c r="AP527" s="126"/>
      <c r="AQ527" s="126"/>
      <c r="AR527" s="126"/>
      <c r="AS527" s="126"/>
      <c r="AT527" s="126"/>
      <c r="AU527" s="126"/>
      <c r="AV527" s="126"/>
      <c r="AW527" s="126"/>
      <c r="AX527" s="126"/>
      <c r="AY527" s="126"/>
      <c r="AZ527" s="126"/>
      <c r="BA527" s="126"/>
      <c r="BB527" s="126"/>
      <c r="BC527" s="126"/>
      <c r="BD527" s="126"/>
    </row>
    <row r="528">
      <c r="A528" s="126"/>
      <c r="B528" s="126"/>
      <c r="C528" s="126"/>
      <c r="D528" s="126"/>
      <c r="E528" s="126"/>
      <c r="F528" s="13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c r="AD528" s="126"/>
      <c r="AE528" s="126"/>
      <c r="AF528" s="126"/>
      <c r="AG528" s="126"/>
      <c r="AH528" s="126"/>
      <c r="AI528" s="126"/>
      <c r="AJ528" s="126"/>
      <c r="AK528" s="126"/>
      <c r="AL528" s="126"/>
      <c r="AM528" s="126"/>
      <c r="AN528" s="126"/>
      <c r="AO528" s="126"/>
      <c r="AP528" s="126"/>
      <c r="AQ528" s="126"/>
      <c r="AR528" s="126"/>
      <c r="AS528" s="126"/>
      <c r="AT528" s="126"/>
      <c r="AU528" s="126"/>
      <c r="AV528" s="126"/>
      <c r="AW528" s="126"/>
      <c r="AX528" s="126"/>
      <c r="AY528" s="126"/>
      <c r="AZ528" s="126"/>
      <c r="BA528" s="126"/>
      <c r="BB528" s="126"/>
      <c r="BC528" s="126"/>
      <c r="BD528" s="126"/>
    </row>
    <row r="529">
      <c r="A529" s="126"/>
      <c r="B529" s="126"/>
      <c r="C529" s="126"/>
      <c r="D529" s="126"/>
      <c r="E529" s="126"/>
      <c r="F529" s="13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126"/>
      <c r="AP529" s="126"/>
      <c r="AQ529" s="126"/>
      <c r="AR529" s="126"/>
      <c r="AS529" s="126"/>
      <c r="AT529" s="126"/>
      <c r="AU529" s="126"/>
      <c r="AV529" s="126"/>
      <c r="AW529" s="126"/>
      <c r="AX529" s="126"/>
      <c r="AY529" s="126"/>
      <c r="AZ529" s="126"/>
      <c r="BA529" s="126"/>
      <c r="BB529" s="126"/>
      <c r="BC529" s="126"/>
      <c r="BD529" s="126"/>
    </row>
    <row r="530">
      <c r="A530" s="126"/>
      <c r="B530" s="126"/>
      <c r="C530" s="126"/>
      <c r="D530" s="126"/>
      <c r="E530" s="126"/>
      <c r="F530" s="13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126"/>
      <c r="AP530" s="126"/>
      <c r="AQ530" s="126"/>
      <c r="AR530" s="126"/>
      <c r="AS530" s="126"/>
      <c r="AT530" s="126"/>
      <c r="AU530" s="126"/>
      <c r="AV530" s="126"/>
      <c r="AW530" s="126"/>
      <c r="AX530" s="126"/>
      <c r="AY530" s="126"/>
      <c r="AZ530" s="126"/>
      <c r="BA530" s="126"/>
      <c r="BB530" s="126"/>
      <c r="BC530" s="126"/>
      <c r="BD530" s="126"/>
    </row>
    <row r="531">
      <c r="A531" s="126"/>
      <c r="B531" s="126"/>
      <c r="C531" s="126"/>
      <c r="D531" s="126"/>
      <c r="E531" s="126"/>
      <c r="F531" s="13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c r="AD531" s="126"/>
      <c r="AE531" s="126"/>
      <c r="AF531" s="126"/>
      <c r="AG531" s="126"/>
      <c r="AH531" s="126"/>
      <c r="AI531" s="126"/>
      <c r="AJ531" s="126"/>
      <c r="AK531" s="126"/>
      <c r="AL531" s="126"/>
      <c r="AM531" s="126"/>
      <c r="AN531" s="126"/>
      <c r="AO531" s="126"/>
      <c r="AP531" s="126"/>
      <c r="AQ531" s="126"/>
      <c r="AR531" s="126"/>
      <c r="AS531" s="126"/>
      <c r="AT531" s="126"/>
      <c r="AU531" s="126"/>
      <c r="AV531" s="126"/>
      <c r="AW531" s="126"/>
      <c r="AX531" s="126"/>
      <c r="AY531" s="126"/>
      <c r="AZ531" s="126"/>
      <c r="BA531" s="126"/>
      <c r="BB531" s="126"/>
      <c r="BC531" s="126"/>
      <c r="BD531" s="126"/>
    </row>
    <row r="532">
      <c r="A532" s="126"/>
      <c r="B532" s="126"/>
      <c r="C532" s="126"/>
      <c r="D532" s="126"/>
      <c r="E532" s="126"/>
      <c r="F532" s="13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c r="AD532" s="126"/>
      <c r="AE532" s="126"/>
      <c r="AF532" s="126"/>
      <c r="AG532" s="126"/>
      <c r="AH532" s="126"/>
      <c r="AI532" s="126"/>
      <c r="AJ532" s="126"/>
      <c r="AK532" s="126"/>
      <c r="AL532" s="126"/>
      <c r="AM532" s="126"/>
      <c r="AN532" s="126"/>
      <c r="AO532" s="126"/>
      <c r="AP532" s="126"/>
      <c r="AQ532" s="126"/>
      <c r="AR532" s="126"/>
      <c r="AS532" s="126"/>
      <c r="AT532" s="126"/>
      <c r="AU532" s="126"/>
      <c r="AV532" s="126"/>
      <c r="AW532" s="126"/>
      <c r="AX532" s="126"/>
      <c r="AY532" s="126"/>
      <c r="AZ532" s="126"/>
      <c r="BA532" s="126"/>
      <c r="BB532" s="126"/>
      <c r="BC532" s="126"/>
      <c r="BD532" s="126"/>
    </row>
    <row r="533">
      <c r="A533" s="126"/>
      <c r="B533" s="126"/>
      <c r="C533" s="126"/>
      <c r="D533" s="126"/>
      <c r="E533" s="126"/>
      <c r="F533" s="13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c r="AD533" s="126"/>
      <c r="AE533" s="126"/>
      <c r="AF533" s="126"/>
      <c r="AG533" s="126"/>
      <c r="AH533" s="126"/>
      <c r="AI533" s="126"/>
      <c r="AJ533" s="126"/>
      <c r="AK533" s="126"/>
      <c r="AL533" s="126"/>
      <c r="AM533" s="126"/>
      <c r="AN533" s="126"/>
      <c r="AO533" s="126"/>
      <c r="AP533" s="126"/>
      <c r="AQ533" s="126"/>
      <c r="AR533" s="126"/>
      <c r="AS533" s="126"/>
      <c r="AT533" s="126"/>
      <c r="AU533" s="126"/>
      <c r="AV533" s="126"/>
      <c r="AW533" s="126"/>
      <c r="AX533" s="126"/>
      <c r="AY533" s="126"/>
      <c r="AZ533" s="126"/>
      <c r="BA533" s="126"/>
      <c r="BB533" s="126"/>
      <c r="BC533" s="126"/>
      <c r="BD533" s="126"/>
    </row>
    <row r="534">
      <c r="A534" s="126"/>
      <c r="B534" s="126"/>
      <c r="C534" s="126"/>
      <c r="D534" s="126"/>
      <c r="E534" s="126"/>
      <c r="F534" s="13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c r="AD534" s="126"/>
      <c r="AE534" s="126"/>
      <c r="AF534" s="126"/>
      <c r="AG534" s="126"/>
      <c r="AH534" s="126"/>
      <c r="AI534" s="126"/>
      <c r="AJ534" s="126"/>
      <c r="AK534" s="126"/>
      <c r="AL534" s="126"/>
      <c r="AM534" s="126"/>
      <c r="AN534" s="126"/>
      <c r="AO534" s="126"/>
      <c r="AP534" s="126"/>
      <c r="AQ534" s="126"/>
      <c r="AR534" s="126"/>
      <c r="AS534" s="126"/>
      <c r="AT534" s="126"/>
      <c r="AU534" s="126"/>
      <c r="AV534" s="126"/>
      <c r="AW534" s="126"/>
      <c r="AX534" s="126"/>
      <c r="AY534" s="126"/>
      <c r="AZ534" s="126"/>
      <c r="BA534" s="126"/>
      <c r="BB534" s="126"/>
      <c r="BC534" s="126"/>
      <c r="BD534" s="126"/>
    </row>
    <row r="535">
      <c r="A535" s="126"/>
      <c r="B535" s="126"/>
      <c r="C535" s="126"/>
      <c r="D535" s="126"/>
      <c r="E535" s="126"/>
      <c r="F535" s="13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c r="AD535" s="126"/>
      <c r="AE535" s="126"/>
      <c r="AF535" s="126"/>
      <c r="AG535" s="126"/>
      <c r="AH535" s="126"/>
      <c r="AI535" s="126"/>
      <c r="AJ535" s="126"/>
      <c r="AK535" s="126"/>
      <c r="AL535" s="126"/>
      <c r="AM535" s="126"/>
      <c r="AN535" s="126"/>
      <c r="AO535" s="126"/>
      <c r="AP535" s="126"/>
      <c r="AQ535" s="126"/>
      <c r="AR535" s="126"/>
      <c r="AS535" s="126"/>
      <c r="AT535" s="126"/>
      <c r="AU535" s="126"/>
      <c r="AV535" s="126"/>
      <c r="AW535" s="126"/>
      <c r="AX535" s="126"/>
      <c r="AY535" s="126"/>
      <c r="AZ535" s="126"/>
      <c r="BA535" s="126"/>
      <c r="BB535" s="126"/>
      <c r="BC535" s="126"/>
      <c r="BD535" s="126"/>
    </row>
    <row r="536">
      <c r="A536" s="126"/>
      <c r="B536" s="126"/>
      <c r="C536" s="126"/>
      <c r="D536" s="126"/>
      <c r="E536" s="126"/>
      <c r="F536" s="13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c r="AD536" s="126"/>
      <c r="AE536" s="126"/>
      <c r="AF536" s="126"/>
      <c r="AG536" s="126"/>
      <c r="AH536" s="126"/>
      <c r="AI536" s="126"/>
      <c r="AJ536" s="126"/>
      <c r="AK536" s="126"/>
      <c r="AL536" s="126"/>
      <c r="AM536" s="126"/>
      <c r="AN536" s="126"/>
      <c r="AO536" s="126"/>
      <c r="AP536" s="126"/>
      <c r="AQ536" s="126"/>
      <c r="AR536" s="126"/>
      <c r="AS536" s="126"/>
      <c r="AT536" s="126"/>
      <c r="AU536" s="126"/>
      <c r="AV536" s="126"/>
      <c r="AW536" s="126"/>
      <c r="AX536" s="126"/>
      <c r="AY536" s="126"/>
      <c r="AZ536" s="126"/>
      <c r="BA536" s="126"/>
      <c r="BB536" s="126"/>
      <c r="BC536" s="126"/>
      <c r="BD536" s="126"/>
    </row>
    <row r="537">
      <c r="A537" s="126"/>
      <c r="B537" s="126"/>
      <c r="C537" s="126"/>
      <c r="D537" s="126"/>
      <c r="E537" s="126"/>
      <c r="F537" s="13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c r="AD537" s="126"/>
      <c r="AE537" s="126"/>
      <c r="AF537" s="126"/>
      <c r="AG537" s="126"/>
      <c r="AH537" s="126"/>
      <c r="AI537" s="126"/>
      <c r="AJ537" s="126"/>
      <c r="AK537" s="126"/>
      <c r="AL537" s="126"/>
      <c r="AM537" s="126"/>
      <c r="AN537" s="126"/>
      <c r="AO537" s="126"/>
      <c r="AP537" s="126"/>
      <c r="AQ537" s="126"/>
      <c r="AR537" s="126"/>
      <c r="AS537" s="126"/>
      <c r="AT537" s="126"/>
      <c r="AU537" s="126"/>
      <c r="AV537" s="126"/>
      <c r="AW537" s="126"/>
      <c r="AX537" s="126"/>
      <c r="AY537" s="126"/>
      <c r="AZ537" s="126"/>
      <c r="BA537" s="126"/>
      <c r="BB537" s="126"/>
      <c r="BC537" s="126"/>
      <c r="BD537" s="126"/>
    </row>
    <row r="538">
      <c r="A538" s="126"/>
      <c r="B538" s="126"/>
      <c r="C538" s="126"/>
      <c r="D538" s="126"/>
      <c r="E538" s="126"/>
      <c r="F538" s="13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c r="AD538" s="126"/>
      <c r="AE538" s="126"/>
      <c r="AF538" s="126"/>
      <c r="AG538" s="126"/>
      <c r="AH538" s="126"/>
      <c r="AI538" s="126"/>
      <c r="AJ538" s="126"/>
      <c r="AK538" s="126"/>
      <c r="AL538" s="126"/>
      <c r="AM538" s="126"/>
      <c r="AN538" s="126"/>
      <c r="AO538" s="126"/>
      <c r="AP538" s="126"/>
      <c r="AQ538" s="126"/>
      <c r="AR538" s="126"/>
      <c r="AS538" s="126"/>
      <c r="AT538" s="126"/>
      <c r="AU538" s="126"/>
      <c r="AV538" s="126"/>
      <c r="AW538" s="126"/>
      <c r="AX538" s="126"/>
      <c r="AY538" s="126"/>
      <c r="AZ538" s="126"/>
      <c r="BA538" s="126"/>
      <c r="BB538" s="126"/>
      <c r="BC538" s="126"/>
      <c r="BD538" s="126"/>
    </row>
    <row r="539">
      <c r="A539" s="126"/>
      <c r="B539" s="126"/>
      <c r="C539" s="126"/>
      <c r="D539" s="126"/>
      <c r="E539" s="126"/>
      <c r="F539" s="13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c r="AD539" s="126"/>
      <c r="AE539" s="126"/>
      <c r="AF539" s="126"/>
      <c r="AG539" s="126"/>
      <c r="AH539" s="126"/>
      <c r="AI539" s="126"/>
      <c r="AJ539" s="126"/>
      <c r="AK539" s="126"/>
      <c r="AL539" s="126"/>
      <c r="AM539" s="126"/>
      <c r="AN539" s="126"/>
      <c r="AO539" s="126"/>
      <c r="AP539" s="126"/>
      <c r="AQ539" s="126"/>
      <c r="AR539" s="126"/>
      <c r="AS539" s="126"/>
      <c r="AT539" s="126"/>
      <c r="AU539" s="126"/>
      <c r="AV539" s="126"/>
      <c r="AW539" s="126"/>
      <c r="AX539" s="126"/>
      <c r="AY539" s="126"/>
      <c r="AZ539" s="126"/>
      <c r="BA539" s="126"/>
      <c r="BB539" s="126"/>
      <c r="BC539" s="126"/>
      <c r="BD539" s="126"/>
    </row>
    <row r="540">
      <c r="A540" s="126"/>
      <c r="B540" s="126"/>
      <c r="C540" s="126"/>
      <c r="D540" s="126"/>
      <c r="E540" s="126"/>
      <c r="F540" s="13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c r="AD540" s="126"/>
      <c r="AE540" s="126"/>
      <c r="AF540" s="126"/>
      <c r="AG540" s="126"/>
      <c r="AH540" s="126"/>
      <c r="AI540" s="126"/>
      <c r="AJ540" s="126"/>
      <c r="AK540" s="126"/>
      <c r="AL540" s="126"/>
      <c r="AM540" s="126"/>
      <c r="AN540" s="126"/>
      <c r="AO540" s="126"/>
      <c r="AP540" s="126"/>
      <c r="AQ540" s="126"/>
      <c r="AR540" s="126"/>
      <c r="AS540" s="126"/>
      <c r="AT540" s="126"/>
      <c r="AU540" s="126"/>
      <c r="AV540" s="126"/>
      <c r="AW540" s="126"/>
      <c r="AX540" s="126"/>
      <c r="AY540" s="126"/>
      <c r="AZ540" s="126"/>
      <c r="BA540" s="126"/>
      <c r="BB540" s="126"/>
      <c r="BC540" s="126"/>
      <c r="BD540" s="126"/>
    </row>
    <row r="541">
      <c r="A541" s="126"/>
      <c r="B541" s="126"/>
      <c r="C541" s="126"/>
      <c r="D541" s="126"/>
      <c r="E541" s="126"/>
      <c r="F541" s="13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6"/>
      <c r="BA541" s="126"/>
      <c r="BB541" s="126"/>
      <c r="BC541" s="126"/>
      <c r="BD541" s="126"/>
    </row>
    <row r="542">
      <c r="A542" s="126"/>
      <c r="B542" s="126"/>
      <c r="C542" s="126"/>
      <c r="D542" s="126"/>
      <c r="E542" s="126"/>
      <c r="F542" s="13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c r="AD542" s="126"/>
      <c r="AE542" s="126"/>
      <c r="AF542" s="126"/>
      <c r="AG542" s="126"/>
      <c r="AH542" s="126"/>
      <c r="AI542" s="126"/>
      <c r="AJ542" s="126"/>
      <c r="AK542" s="126"/>
      <c r="AL542" s="126"/>
      <c r="AM542" s="126"/>
      <c r="AN542" s="126"/>
      <c r="AO542" s="126"/>
      <c r="AP542" s="126"/>
      <c r="AQ542" s="126"/>
      <c r="AR542" s="126"/>
      <c r="AS542" s="126"/>
      <c r="AT542" s="126"/>
      <c r="AU542" s="126"/>
      <c r="AV542" s="126"/>
      <c r="AW542" s="126"/>
      <c r="AX542" s="126"/>
      <c r="AY542" s="126"/>
      <c r="AZ542" s="126"/>
      <c r="BA542" s="126"/>
      <c r="BB542" s="126"/>
      <c r="BC542" s="126"/>
      <c r="BD542" s="126"/>
    </row>
    <row r="543">
      <c r="A543" s="126"/>
      <c r="B543" s="126"/>
      <c r="C543" s="126"/>
      <c r="D543" s="126"/>
      <c r="E543" s="126"/>
      <c r="F543" s="13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c r="AD543" s="126"/>
      <c r="AE543" s="126"/>
      <c r="AF543" s="126"/>
      <c r="AG543" s="126"/>
      <c r="AH543" s="126"/>
      <c r="AI543" s="126"/>
      <c r="AJ543" s="126"/>
      <c r="AK543" s="126"/>
      <c r="AL543" s="126"/>
      <c r="AM543" s="126"/>
      <c r="AN543" s="126"/>
      <c r="AO543" s="126"/>
      <c r="AP543" s="126"/>
      <c r="AQ543" s="126"/>
      <c r="AR543" s="126"/>
      <c r="AS543" s="126"/>
      <c r="AT543" s="126"/>
      <c r="AU543" s="126"/>
      <c r="AV543" s="126"/>
      <c r="AW543" s="126"/>
      <c r="AX543" s="126"/>
      <c r="AY543" s="126"/>
      <c r="AZ543" s="126"/>
      <c r="BA543" s="126"/>
      <c r="BB543" s="126"/>
      <c r="BC543" s="126"/>
      <c r="BD543" s="126"/>
    </row>
    <row r="544">
      <c r="A544" s="126"/>
      <c r="B544" s="126"/>
      <c r="C544" s="126"/>
      <c r="D544" s="126"/>
      <c r="E544" s="126"/>
      <c r="F544" s="13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126"/>
      <c r="AP544" s="126"/>
      <c r="AQ544" s="126"/>
      <c r="AR544" s="126"/>
      <c r="AS544" s="126"/>
      <c r="AT544" s="126"/>
      <c r="AU544" s="126"/>
      <c r="AV544" s="126"/>
      <c r="AW544" s="126"/>
      <c r="AX544" s="126"/>
      <c r="AY544" s="126"/>
      <c r="AZ544" s="126"/>
      <c r="BA544" s="126"/>
      <c r="BB544" s="126"/>
      <c r="BC544" s="126"/>
      <c r="BD544" s="126"/>
    </row>
    <row r="545">
      <c r="A545" s="126"/>
      <c r="B545" s="126"/>
      <c r="C545" s="126"/>
      <c r="D545" s="126"/>
      <c r="E545" s="126"/>
      <c r="F545" s="13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c r="BC545" s="126"/>
      <c r="BD545" s="126"/>
    </row>
    <row r="546">
      <c r="A546" s="126"/>
      <c r="B546" s="126"/>
      <c r="C546" s="126"/>
      <c r="D546" s="126"/>
      <c r="E546" s="126"/>
      <c r="F546" s="13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c r="AD546" s="126"/>
      <c r="AE546" s="126"/>
      <c r="AF546" s="126"/>
      <c r="AG546" s="126"/>
      <c r="AH546" s="126"/>
      <c r="AI546" s="126"/>
      <c r="AJ546" s="126"/>
      <c r="AK546" s="126"/>
      <c r="AL546" s="126"/>
      <c r="AM546" s="126"/>
      <c r="AN546" s="126"/>
      <c r="AO546" s="126"/>
      <c r="AP546" s="126"/>
      <c r="AQ546" s="126"/>
      <c r="AR546" s="126"/>
      <c r="AS546" s="126"/>
      <c r="AT546" s="126"/>
      <c r="AU546" s="126"/>
      <c r="AV546" s="126"/>
      <c r="AW546" s="126"/>
      <c r="AX546" s="126"/>
      <c r="AY546" s="126"/>
      <c r="AZ546" s="126"/>
      <c r="BA546" s="126"/>
      <c r="BB546" s="126"/>
      <c r="BC546" s="126"/>
      <c r="BD546" s="126"/>
    </row>
    <row r="547">
      <c r="A547" s="126"/>
      <c r="B547" s="126"/>
      <c r="C547" s="126"/>
      <c r="D547" s="126"/>
      <c r="E547" s="126"/>
      <c r="F547" s="13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c r="AD547" s="126"/>
      <c r="AE547" s="126"/>
      <c r="AF547" s="126"/>
      <c r="AG547" s="126"/>
      <c r="AH547" s="126"/>
      <c r="AI547" s="126"/>
      <c r="AJ547" s="126"/>
      <c r="AK547" s="126"/>
      <c r="AL547" s="126"/>
      <c r="AM547" s="126"/>
      <c r="AN547" s="126"/>
      <c r="AO547" s="126"/>
      <c r="AP547" s="126"/>
      <c r="AQ547" s="126"/>
      <c r="AR547" s="126"/>
      <c r="AS547" s="126"/>
      <c r="AT547" s="126"/>
      <c r="AU547" s="126"/>
      <c r="AV547" s="126"/>
      <c r="AW547" s="126"/>
      <c r="AX547" s="126"/>
      <c r="AY547" s="126"/>
      <c r="AZ547" s="126"/>
      <c r="BA547" s="126"/>
      <c r="BB547" s="126"/>
      <c r="BC547" s="126"/>
      <c r="BD547" s="126"/>
    </row>
    <row r="548">
      <c r="A548" s="126"/>
      <c r="B548" s="126"/>
      <c r="C548" s="126"/>
      <c r="D548" s="126"/>
      <c r="E548" s="126"/>
      <c r="F548" s="13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c r="AD548" s="126"/>
      <c r="AE548" s="126"/>
      <c r="AF548" s="126"/>
      <c r="AG548" s="126"/>
      <c r="AH548" s="126"/>
      <c r="AI548" s="126"/>
      <c r="AJ548" s="126"/>
      <c r="AK548" s="126"/>
      <c r="AL548" s="126"/>
      <c r="AM548" s="126"/>
      <c r="AN548" s="126"/>
      <c r="AO548" s="126"/>
      <c r="AP548" s="126"/>
      <c r="AQ548" s="126"/>
      <c r="AR548" s="126"/>
      <c r="AS548" s="126"/>
      <c r="AT548" s="126"/>
      <c r="AU548" s="126"/>
      <c r="AV548" s="126"/>
      <c r="AW548" s="126"/>
      <c r="AX548" s="126"/>
      <c r="AY548" s="126"/>
      <c r="AZ548" s="126"/>
      <c r="BA548" s="126"/>
      <c r="BB548" s="126"/>
      <c r="BC548" s="126"/>
      <c r="BD548" s="126"/>
    </row>
    <row r="549">
      <c r="A549" s="126"/>
      <c r="B549" s="126"/>
      <c r="C549" s="126"/>
      <c r="D549" s="126"/>
      <c r="E549" s="126"/>
      <c r="F549" s="13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c r="AD549" s="126"/>
      <c r="AE549" s="126"/>
      <c r="AF549" s="126"/>
      <c r="AG549" s="126"/>
      <c r="AH549" s="126"/>
      <c r="AI549" s="126"/>
      <c r="AJ549" s="126"/>
      <c r="AK549" s="126"/>
      <c r="AL549" s="126"/>
      <c r="AM549" s="126"/>
      <c r="AN549" s="126"/>
      <c r="AO549" s="126"/>
      <c r="AP549" s="126"/>
      <c r="AQ549" s="126"/>
      <c r="AR549" s="126"/>
      <c r="AS549" s="126"/>
      <c r="AT549" s="126"/>
      <c r="AU549" s="126"/>
      <c r="AV549" s="126"/>
      <c r="AW549" s="126"/>
      <c r="AX549" s="126"/>
      <c r="AY549" s="126"/>
      <c r="AZ549" s="126"/>
      <c r="BA549" s="126"/>
      <c r="BB549" s="126"/>
      <c r="BC549" s="126"/>
      <c r="BD549" s="126"/>
    </row>
    <row r="550">
      <c r="A550" s="126"/>
      <c r="B550" s="126"/>
      <c r="C550" s="126"/>
      <c r="D550" s="126"/>
      <c r="E550" s="126"/>
      <c r="F550" s="13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c r="AD550" s="126"/>
      <c r="AE550" s="126"/>
      <c r="AF550" s="126"/>
      <c r="AG550" s="126"/>
      <c r="AH550" s="126"/>
      <c r="AI550" s="126"/>
      <c r="AJ550" s="126"/>
      <c r="AK550" s="126"/>
      <c r="AL550" s="126"/>
      <c r="AM550" s="126"/>
      <c r="AN550" s="126"/>
      <c r="AO550" s="126"/>
      <c r="AP550" s="126"/>
      <c r="AQ550" s="126"/>
      <c r="AR550" s="126"/>
      <c r="AS550" s="126"/>
      <c r="AT550" s="126"/>
      <c r="AU550" s="126"/>
      <c r="AV550" s="126"/>
      <c r="AW550" s="126"/>
      <c r="AX550" s="126"/>
      <c r="AY550" s="126"/>
      <c r="AZ550" s="126"/>
      <c r="BA550" s="126"/>
      <c r="BB550" s="126"/>
      <c r="BC550" s="126"/>
      <c r="BD550" s="126"/>
    </row>
    <row r="551">
      <c r="A551" s="126"/>
      <c r="B551" s="126"/>
      <c r="C551" s="126"/>
      <c r="D551" s="126"/>
      <c r="E551" s="126"/>
      <c r="F551" s="13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c r="AD551" s="126"/>
      <c r="AE551" s="126"/>
      <c r="AF551" s="126"/>
      <c r="AG551" s="126"/>
      <c r="AH551" s="126"/>
      <c r="AI551" s="126"/>
      <c r="AJ551" s="126"/>
      <c r="AK551" s="126"/>
      <c r="AL551" s="126"/>
      <c r="AM551" s="126"/>
      <c r="AN551" s="126"/>
      <c r="AO551" s="126"/>
      <c r="AP551" s="126"/>
      <c r="AQ551" s="126"/>
      <c r="AR551" s="126"/>
      <c r="AS551" s="126"/>
      <c r="AT551" s="126"/>
      <c r="AU551" s="126"/>
      <c r="AV551" s="126"/>
      <c r="AW551" s="126"/>
      <c r="AX551" s="126"/>
      <c r="AY551" s="126"/>
      <c r="AZ551" s="126"/>
      <c r="BA551" s="126"/>
      <c r="BB551" s="126"/>
      <c r="BC551" s="126"/>
      <c r="BD551" s="126"/>
    </row>
    <row r="552">
      <c r="A552" s="126"/>
      <c r="B552" s="126"/>
      <c r="C552" s="126"/>
      <c r="D552" s="126"/>
      <c r="E552" s="126"/>
      <c r="F552" s="13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c r="BC552" s="126"/>
      <c r="BD552" s="126"/>
    </row>
    <row r="553">
      <c r="A553" s="126"/>
      <c r="B553" s="126"/>
      <c r="C553" s="126"/>
      <c r="D553" s="126"/>
      <c r="E553" s="126"/>
      <c r="F553" s="13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c r="AD553" s="126"/>
      <c r="AE553" s="126"/>
      <c r="AF553" s="126"/>
      <c r="AG553" s="126"/>
      <c r="AH553" s="126"/>
      <c r="AI553" s="126"/>
      <c r="AJ553" s="126"/>
      <c r="AK553" s="126"/>
      <c r="AL553" s="126"/>
      <c r="AM553" s="126"/>
      <c r="AN553" s="126"/>
      <c r="AO553" s="126"/>
      <c r="AP553" s="126"/>
      <c r="AQ553" s="126"/>
      <c r="AR553" s="126"/>
      <c r="AS553" s="126"/>
      <c r="AT553" s="126"/>
      <c r="AU553" s="126"/>
      <c r="AV553" s="126"/>
      <c r="AW553" s="126"/>
      <c r="AX553" s="126"/>
      <c r="AY553" s="126"/>
      <c r="AZ553" s="126"/>
      <c r="BA553" s="126"/>
      <c r="BB553" s="126"/>
      <c r="BC553" s="126"/>
      <c r="BD553" s="126"/>
    </row>
    <row r="554">
      <c r="A554" s="126"/>
      <c r="B554" s="126"/>
      <c r="C554" s="126"/>
      <c r="D554" s="126"/>
      <c r="E554" s="126"/>
      <c r="F554" s="13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c r="AD554" s="126"/>
      <c r="AE554" s="126"/>
      <c r="AF554" s="126"/>
      <c r="AG554" s="126"/>
      <c r="AH554" s="126"/>
      <c r="AI554" s="126"/>
      <c r="AJ554" s="126"/>
      <c r="AK554" s="126"/>
      <c r="AL554" s="126"/>
      <c r="AM554" s="126"/>
      <c r="AN554" s="126"/>
      <c r="AO554" s="126"/>
      <c r="AP554" s="126"/>
      <c r="AQ554" s="126"/>
      <c r="AR554" s="126"/>
      <c r="AS554" s="126"/>
      <c r="AT554" s="126"/>
      <c r="AU554" s="126"/>
      <c r="AV554" s="126"/>
      <c r="AW554" s="126"/>
      <c r="AX554" s="126"/>
      <c r="AY554" s="126"/>
      <c r="AZ554" s="126"/>
      <c r="BA554" s="126"/>
      <c r="BB554" s="126"/>
      <c r="BC554" s="126"/>
      <c r="BD554" s="126"/>
    </row>
    <row r="555">
      <c r="A555" s="126"/>
      <c r="B555" s="126"/>
      <c r="C555" s="126"/>
      <c r="D555" s="126"/>
      <c r="E555" s="126"/>
      <c r="F555" s="13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126"/>
      <c r="AP555" s="126"/>
      <c r="AQ555" s="126"/>
      <c r="AR555" s="126"/>
      <c r="AS555" s="126"/>
      <c r="AT555" s="126"/>
      <c r="AU555" s="126"/>
      <c r="AV555" s="126"/>
      <c r="AW555" s="126"/>
      <c r="AX555" s="126"/>
      <c r="AY555" s="126"/>
      <c r="AZ555" s="126"/>
      <c r="BA555" s="126"/>
      <c r="BB555" s="126"/>
      <c r="BC555" s="126"/>
      <c r="BD555" s="126"/>
    </row>
    <row r="556">
      <c r="A556" s="126"/>
      <c r="B556" s="126"/>
      <c r="C556" s="126"/>
      <c r="D556" s="126"/>
      <c r="E556" s="126"/>
      <c r="F556" s="13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126"/>
      <c r="AP556" s="126"/>
      <c r="AQ556" s="126"/>
      <c r="AR556" s="126"/>
      <c r="AS556" s="126"/>
      <c r="AT556" s="126"/>
      <c r="AU556" s="126"/>
      <c r="AV556" s="126"/>
      <c r="AW556" s="126"/>
      <c r="AX556" s="126"/>
      <c r="AY556" s="126"/>
      <c r="AZ556" s="126"/>
      <c r="BA556" s="126"/>
      <c r="BB556" s="126"/>
      <c r="BC556" s="126"/>
      <c r="BD556" s="126"/>
    </row>
    <row r="557">
      <c r="A557" s="126"/>
      <c r="B557" s="126"/>
      <c r="C557" s="126"/>
      <c r="D557" s="126"/>
      <c r="E557" s="126"/>
      <c r="F557" s="13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c r="AD557" s="126"/>
      <c r="AE557" s="126"/>
      <c r="AF557" s="126"/>
      <c r="AG557" s="126"/>
      <c r="AH557" s="126"/>
      <c r="AI557" s="126"/>
      <c r="AJ557" s="126"/>
      <c r="AK557" s="126"/>
      <c r="AL557" s="126"/>
      <c r="AM557" s="126"/>
      <c r="AN557" s="126"/>
      <c r="AO557" s="126"/>
      <c r="AP557" s="126"/>
      <c r="AQ557" s="126"/>
      <c r="AR557" s="126"/>
      <c r="AS557" s="126"/>
      <c r="AT557" s="126"/>
      <c r="AU557" s="126"/>
      <c r="AV557" s="126"/>
      <c r="AW557" s="126"/>
      <c r="AX557" s="126"/>
      <c r="AY557" s="126"/>
      <c r="AZ557" s="126"/>
      <c r="BA557" s="126"/>
      <c r="BB557" s="126"/>
      <c r="BC557" s="126"/>
      <c r="BD557" s="126"/>
    </row>
    <row r="558">
      <c r="A558" s="126"/>
      <c r="B558" s="126"/>
      <c r="C558" s="126"/>
      <c r="D558" s="126"/>
      <c r="E558" s="126"/>
      <c r="F558" s="13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c r="BC558" s="126"/>
      <c r="BD558" s="126"/>
    </row>
    <row r="559">
      <c r="A559" s="126"/>
      <c r="B559" s="126"/>
      <c r="C559" s="126"/>
      <c r="D559" s="126"/>
      <c r="E559" s="126"/>
      <c r="F559" s="13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c r="AD559" s="126"/>
      <c r="AE559" s="126"/>
      <c r="AF559" s="126"/>
      <c r="AG559" s="126"/>
      <c r="AH559" s="126"/>
      <c r="AI559" s="126"/>
      <c r="AJ559" s="126"/>
      <c r="AK559" s="126"/>
      <c r="AL559" s="126"/>
      <c r="AM559" s="126"/>
      <c r="AN559" s="126"/>
      <c r="AO559" s="126"/>
      <c r="AP559" s="126"/>
      <c r="AQ559" s="126"/>
      <c r="AR559" s="126"/>
      <c r="AS559" s="126"/>
      <c r="AT559" s="126"/>
      <c r="AU559" s="126"/>
      <c r="AV559" s="126"/>
      <c r="AW559" s="126"/>
      <c r="AX559" s="126"/>
      <c r="AY559" s="126"/>
      <c r="AZ559" s="126"/>
      <c r="BA559" s="126"/>
      <c r="BB559" s="126"/>
      <c r="BC559" s="126"/>
      <c r="BD559" s="126"/>
    </row>
    <row r="560">
      <c r="A560" s="126"/>
      <c r="B560" s="126"/>
      <c r="C560" s="126"/>
      <c r="D560" s="126"/>
      <c r="E560" s="126"/>
      <c r="F560" s="13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126"/>
      <c r="AP560" s="126"/>
      <c r="AQ560" s="126"/>
      <c r="AR560" s="126"/>
      <c r="AS560" s="126"/>
      <c r="AT560" s="126"/>
      <c r="AU560" s="126"/>
      <c r="AV560" s="126"/>
      <c r="AW560" s="126"/>
      <c r="AX560" s="126"/>
      <c r="AY560" s="126"/>
      <c r="AZ560" s="126"/>
      <c r="BA560" s="126"/>
      <c r="BB560" s="126"/>
      <c r="BC560" s="126"/>
      <c r="BD560" s="126"/>
    </row>
    <row r="561">
      <c r="A561" s="126"/>
      <c r="B561" s="126"/>
      <c r="C561" s="126"/>
      <c r="D561" s="126"/>
      <c r="E561" s="126"/>
      <c r="F561" s="13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c r="AD561" s="126"/>
      <c r="AE561" s="126"/>
      <c r="AF561" s="126"/>
      <c r="AG561" s="126"/>
      <c r="AH561" s="126"/>
      <c r="AI561" s="126"/>
      <c r="AJ561" s="126"/>
      <c r="AK561" s="126"/>
      <c r="AL561" s="126"/>
      <c r="AM561" s="126"/>
      <c r="AN561" s="126"/>
      <c r="AO561" s="126"/>
      <c r="AP561" s="126"/>
      <c r="AQ561" s="126"/>
      <c r="AR561" s="126"/>
      <c r="AS561" s="126"/>
      <c r="AT561" s="126"/>
      <c r="AU561" s="126"/>
      <c r="AV561" s="126"/>
      <c r="AW561" s="126"/>
      <c r="AX561" s="126"/>
      <c r="AY561" s="126"/>
      <c r="AZ561" s="126"/>
      <c r="BA561" s="126"/>
      <c r="BB561" s="126"/>
      <c r="BC561" s="126"/>
      <c r="BD561" s="126"/>
    </row>
    <row r="562">
      <c r="A562" s="126"/>
      <c r="B562" s="126"/>
      <c r="C562" s="126"/>
      <c r="D562" s="126"/>
      <c r="E562" s="126"/>
      <c r="F562" s="13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c r="AD562" s="126"/>
      <c r="AE562" s="126"/>
      <c r="AF562" s="126"/>
      <c r="AG562" s="126"/>
      <c r="AH562" s="126"/>
      <c r="AI562" s="126"/>
      <c r="AJ562" s="126"/>
      <c r="AK562" s="126"/>
      <c r="AL562" s="126"/>
      <c r="AM562" s="126"/>
      <c r="AN562" s="126"/>
      <c r="AO562" s="126"/>
      <c r="AP562" s="126"/>
      <c r="AQ562" s="126"/>
      <c r="AR562" s="126"/>
      <c r="AS562" s="126"/>
      <c r="AT562" s="126"/>
      <c r="AU562" s="126"/>
      <c r="AV562" s="126"/>
      <c r="AW562" s="126"/>
      <c r="AX562" s="126"/>
      <c r="AY562" s="126"/>
      <c r="AZ562" s="126"/>
      <c r="BA562" s="126"/>
      <c r="BB562" s="126"/>
      <c r="BC562" s="126"/>
      <c r="BD562" s="126"/>
    </row>
    <row r="563">
      <c r="A563" s="126"/>
      <c r="B563" s="126"/>
      <c r="C563" s="126"/>
      <c r="D563" s="126"/>
      <c r="E563" s="126"/>
      <c r="F563" s="13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c r="AD563" s="126"/>
      <c r="AE563" s="126"/>
      <c r="AF563" s="126"/>
      <c r="AG563" s="126"/>
      <c r="AH563" s="126"/>
      <c r="AI563" s="126"/>
      <c r="AJ563" s="126"/>
      <c r="AK563" s="126"/>
      <c r="AL563" s="126"/>
      <c r="AM563" s="126"/>
      <c r="AN563" s="126"/>
      <c r="AO563" s="126"/>
      <c r="AP563" s="126"/>
      <c r="AQ563" s="126"/>
      <c r="AR563" s="126"/>
      <c r="AS563" s="126"/>
      <c r="AT563" s="126"/>
      <c r="AU563" s="126"/>
      <c r="AV563" s="126"/>
      <c r="AW563" s="126"/>
      <c r="AX563" s="126"/>
      <c r="AY563" s="126"/>
      <c r="AZ563" s="126"/>
      <c r="BA563" s="126"/>
      <c r="BB563" s="126"/>
      <c r="BC563" s="126"/>
      <c r="BD563" s="126"/>
    </row>
    <row r="564">
      <c r="A564" s="126"/>
      <c r="B564" s="126"/>
      <c r="C564" s="126"/>
      <c r="D564" s="126"/>
      <c r="E564" s="126"/>
      <c r="F564" s="13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row>
    <row r="565">
      <c r="A565" s="126"/>
      <c r="B565" s="126"/>
      <c r="C565" s="126"/>
      <c r="D565" s="126"/>
      <c r="E565" s="126"/>
      <c r="F565" s="13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c r="AD565" s="126"/>
      <c r="AE565" s="126"/>
      <c r="AF565" s="126"/>
      <c r="AG565" s="126"/>
      <c r="AH565" s="126"/>
      <c r="AI565" s="126"/>
      <c r="AJ565" s="126"/>
      <c r="AK565" s="126"/>
      <c r="AL565" s="126"/>
      <c r="AM565" s="126"/>
      <c r="AN565" s="126"/>
      <c r="AO565" s="126"/>
      <c r="AP565" s="126"/>
      <c r="AQ565" s="126"/>
      <c r="AR565" s="126"/>
      <c r="AS565" s="126"/>
      <c r="AT565" s="126"/>
      <c r="AU565" s="126"/>
      <c r="AV565" s="126"/>
      <c r="AW565" s="126"/>
      <c r="AX565" s="126"/>
      <c r="AY565" s="126"/>
      <c r="AZ565" s="126"/>
      <c r="BA565" s="126"/>
      <c r="BB565" s="126"/>
      <c r="BC565" s="126"/>
      <c r="BD565" s="126"/>
    </row>
    <row r="566">
      <c r="A566" s="126"/>
      <c r="B566" s="126"/>
      <c r="C566" s="126"/>
      <c r="D566" s="126"/>
      <c r="E566" s="126"/>
      <c r="F566" s="13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c r="AD566" s="126"/>
      <c r="AE566" s="126"/>
      <c r="AF566" s="126"/>
      <c r="AG566" s="126"/>
      <c r="AH566" s="126"/>
      <c r="AI566" s="126"/>
      <c r="AJ566" s="126"/>
      <c r="AK566" s="126"/>
      <c r="AL566" s="126"/>
      <c r="AM566" s="126"/>
      <c r="AN566" s="126"/>
      <c r="AO566" s="126"/>
      <c r="AP566" s="126"/>
      <c r="AQ566" s="126"/>
      <c r="AR566" s="126"/>
      <c r="AS566" s="126"/>
      <c r="AT566" s="126"/>
      <c r="AU566" s="126"/>
      <c r="AV566" s="126"/>
      <c r="AW566" s="126"/>
      <c r="AX566" s="126"/>
      <c r="AY566" s="126"/>
      <c r="AZ566" s="126"/>
      <c r="BA566" s="126"/>
      <c r="BB566" s="126"/>
      <c r="BC566" s="126"/>
      <c r="BD566" s="126"/>
    </row>
    <row r="567">
      <c r="A567" s="126"/>
      <c r="B567" s="126"/>
      <c r="C567" s="126"/>
      <c r="D567" s="126"/>
      <c r="E567" s="126"/>
      <c r="F567" s="13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c r="AD567" s="126"/>
      <c r="AE567" s="126"/>
      <c r="AF567" s="126"/>
      <c r="AG567" s="126"/>
      <c r="AH567" s="126"/>
      <c r="AI567" s="126"/>
      <c r="AJ567" s="126"/>
      <c r="AK567" s="126"/>
      <c r="AL567" s="126"/>
      <c r="AM567" s="126"/>
      <c r="AN567" s="126"/>
      <c r="AO567" s="126"/>
      <c r="AP567" s="126"/>
      <c r="AQ567" s="126"/>
      <c r="AR567" s="126"/>
      <c r="AS567" s="126"/>
      <c r="AT567" s="126"/>
      <c r="AU567" s="126"/>
      <c r="AV567" s="126"/>
      <c r="AW567" s="126"/>
      <c r="AX567" s="126"/>
      <c r="AY567" s="126"/>
      <c r="AZ567" s="126"/>
      <c r="BA567" s="126"/>
      <c r="BB567" s="126"/>
      <c r="BC567" s="126"/>
      <c r="BD567" s="126"/>
    </row>
    <row r="568">
      <c r="A568" s="126"/>
      <c r="B568" s="126"/>
      <c r="C568" s="126"/>
      <c r="D568" s="126"/>
      <c r="E568" s="126"/>
      <c r="F568" s="13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c r="AD568" s="126"/>
      <c r="AE568" s="126"/>
      <c r="AF568" s="126"/>
      <c r="AG568" s="126"/>
      <c r="AH568" s="126"/>
      <c r="AI568" s="126"/>
      <c r="AJ568" s="126"/>
      <c r="AK568" s="126"/>
      <c r="AL568" s="126"/>
      <c r="AM568" s="126"/>
      <c r="AN568" s="126"/>
      <c r="AO568" s="126"/>
      <c r="AP568" s="126"/>
      <c r="AQ568" s="126"/>
      <c r="AR568" s="126"/>
      <c r="AS568" s="126"/>
      <c r="AT568" s="126"/>
      <c r="AU568" s="126"/>
      <c r="AV568" s="126"/>
      <c r="AW568" s="126"/>
      <c r="AX568" s="126"/>
      <c r="AY568" s="126"/>
      <c r="AZ568" s="126"/>
      <c r="BA568" s="126"/>
      <c r="BB568" s="126"/>
      <c r="BC568" s="126"/>
      <c r="BD568" s="126"/>
    </row>
    <row r="569">
      <c r="A569" s="126"/>
      <c r="B569" s="126"/>
      <c r="C569" s="126"/>
      <c r="D569" s="126"/>
      <c r="E569" s="126"/>
      <c r="F569" s="13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c r="AD569" s="126"/>
      <c r="AE569" s="126"/>
      <c r="AF569" s="126"/>
      <c r="AG569" s="126"/>
      <c r="AH569" s="126"/>
      <c r="AI569" s="126"/>
      <c r="AJ569" s="126"/>
      <c r="AK569" s="126"/>
      <c r="AL569" s="126"/>
      <c r="AM569" s="126"/>
      <c r="AN569" s="126"/>
      <c r="AO569" s="126"/>
      <c r="AP569" s="126"/>
      <c r="AQ569" s="126"/>
      <c r="AR569" s="126"/>
      <c r="AS569" s="126"/>
      <c r="AT569" s="126"/>
      <c r="AU569" s="126"/>
      <c r="AV569" s="126"/>
      <c r="AW569" s="126"/>
      <c r="AX569" s="126"/>
      <c r="AY569" s="126"/>
      <c r="AZ569" s="126"/>
      <c r="BA569" s="126"/>
      <c r="BB569" s="126"/>
      <c r="BC569" s="126"/>
      <c r="BD569" s="126"/>
    </row>
    <row r="570">
      <c r="A570" s="126"/>
      <c r="B570" s="126"/>
      <c r="C570" s="126"/>
      <c r="D570" s="126"/>
      <c r="E570" s="126"/>
      <c r="F570" s="13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c r="BC570" s="126"/>
      <c r="BD570" s="126"/>
    </row>
    <row r="571">
      <c r="A571" s="126"/>
      <c r="B571" s="126"/>
      <c r="C571" s="126"/>
      <c r="D571" s="126"/>
      <c r="E571" s="126"/>
      <c r="F571" s="13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c r="AD571" s="126"/>
      <c r="AE571" s="126"/>
      <c r="AF571" s="126"/>
      <c r="AG571" s="126"/>
      <c r="AH571" s="126"/>
      <c r="AI571" s="126"/>
      <c r="AJ571" s="126"/>
      <c r="AK571" s="126"/>
      <c r="AL571" s="126"/>
      <c r="AM571" s="126"/>
      <c r="AN571" s="126"/>
      <c r="AO571" s="126"/>
      <c r="AP571" s="126"/>
      <c r="AQ571" s="126"/>
      <c r="AR571" s="126"/>
      <c r="AS571" s="126"/>
      <c r="AT571" s="126"/>
      <c r="AU571" s="126"/>
      <c r="AV571" s="126"/>
      <c r="AW571" s="126"/>
      <c r="AX571" s="126"/>
      <c r="AY571" s="126"/>
      <c r="AZ571" s="126"/>
      <c r="BA571" s="126"/>
      <c r="BB571" s="126"/>
      <c r="BC571" s="126"/>
      <c r="BD571" s="126"/>
    </row>
    <row r="572">
      <c r="A572" s="126"/>
      <c r="B572" s="126"/>
      <c r="C572" s="126"/>
      <c r="D572" s="126"/>
      <c r="E572" s="126"/>
      <c r="F572" s="13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c r="AD572" s="126"/>
      <c r="AE572" s="126"/>
      <c r="AF572" s="126"/>
      <c r="AG572" s="126"/>
      <c r="AH572" s="126"/>
      <c r="AI572" s="126"/>
      <c r="AJ572" s="126"/>
      <c r="AK572" s="126"/>
      <c r="AL572" s="126"/>
      <c r="AM572" s="126"/>
      <c r="AN572" s="126"/>
      <c r="AO572" s="126"/>
      <c r="AP572" s="126"/>
      <c r="AQ572" s="126"/>
      <c r="AR572" s="126"/>
      <c r="AS572" s="126"/>
      <c r="AT572" s="126"/>
      <c r="AU572" s="126"/>
      <c r="AV572" s="126"/>
      <c r="AW572" s="126"/>
      <c r="AX572" s="126"/>
      <c r="AY572" s="126"/>
      <c r="AZ572" s="126"/>
      <c r="BA572" s="126"/>
      <c r="BB572" s="126"/>
      <c r="BC572" s="126"/>
      <c r="BD572" s="126"/>
    </row>
    <row r="573">
      <c r="A573" s="126"/>
      <c r="B573" s="126"/>
      <c r="C573" s="126"/>
      <c r="D573" s="126"/>
      <c r="E573" s="126"/>
      <c r="F573" s="13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c r="AD573" s="126"/>
      <c r="AE573" s="126"/>
      <c r="AF573" s="126"/>
      <c r="AG573" s="126"/>
      <c r="AH573" s="126"/>
      <c r="AI573" s="126"/>
      <c r="AJ573" s="126"/>
      <c r="AK573" s="126"/>
      <c r="AL573" s="126"/>
      <c r="AM573" s="126"/>
      <c r="AN573" s="126"/>
      <c r="AO573" s="126"/>
      <c r="AP573" s="126"/>
      <c r="AQ573" s="126"/>
      <c r="AR573" s="126"/>
      <c r="AS573" s="126"/>
      <c r="AT573" s="126"/>
      <c r="AU573" s="126"/>
      <c r="AV573" s="126"/>
      <c r="AW573" s="126"/>
      <c r="AX573" s="126"/>
      <c r="AY573" s="126"/>
      <c r="AZ573" s="126"/>
      <c r="BA573" s="126"/>
      <c r="BB573" s="126"/>
      <c r="BC573" s="126"/>
      <c r="BD573" s="126"/>
    </row>
    <row r="574">
      <c r="A574" s="126"/>
      <c r="B574" s="126"/>
      <c r="C574" s="126"/>
      <c r="D574" s="126"/>
      <c r="E574" s="126"/>
      <c r="F574" s="13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c r="AD574" s="126"/>
      <c r="AE574" s="126"/>
      <c r="AF574" s="126"/>
      <c r="AG574" s="126"/>
      <c r="AH574" s="126"/>
      <c r="AI574" s="126"/>
      <c r="AJ574" s="126"/>
      <c r="AK574" s="126"/>
      <c r="AL574" s="126"/>
      <c r="AM574" s="126"/>
      <c r="AN574" s="126"/>
      <c r="AO574" s="126"/>
      <c r="AP574" s="126"/>
      <c r="AQ574" s="126"/>
      <c r="AR574" s="126"/>
      <c r="AS574" s="126"/>
      <c r="AT574" s="126"/>
      <c r="AU574" s="126"/>
      <c r="AV574" s="126"/>
      <c r="AW574" s="126"/>
      <c r="AX574" s="126"/>
      <c r="AY574" s="126"/>
      <c r="AZ574" s="126"/>
      <c r="BA574" s="126"/>
      <c r="BB574" s="126"/>
      <c r="BC574" s="126"/>
      <c r="BD574" s="126"/>
    </row>
    <row r="575">
      <c r="A575" s="126"/>
      <c r="B575" s="126"/>
      <c r="C575" s="126"/>
      <c r="D575" s="126"/>
      <c r="E575" s="126"/>
      <c r="F575" s="13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c r="AD575" s="126"/>
      <c r="AE575" s="126"/>
      <c r="AF575" s="126"/>
      <c r="AG575" s="126"/>
      <c r="AH575" s="126"/>
      <c r="AI575" s="126"/>
      <c r="AJ575" s="126"/>
      <c r="AK575" s="126"/>
      <c r="AL575" s="126"/>
      <c r="AM575" s="126"/>
      <c r="AN575" s="126"/>
      <c r="AO575" s="126"/>
      <c r="AP575" s="126"/>
      <c r="AQ575" s="126"/>
      <c r="AR575" s="126"/>
      <c r="AS575" s="126"/>
      <c r="AT575" s="126"/>
      <c r="AU575" s="126"/>
      <c r="AV575" s="126"/>
      <c r="AW575" s="126"/>
      <c r="AX575" s="126"/>
      <c r="AY575" s="126"/>
      <c r="AZ575" s="126"/>
      <c r="BA575" s="126"/>
      <c r="BB575" s="126"/>
      <c r="BC575" s="126"/>
      <c r="BD575" s="126"/>
    </row>
    <row r="576">
      <c r="A576" s="126"/>
      <c r="B576" s="126"/>
      <c r="C576" s="126"/>
      <c r="D576" s="126"/>
      <c r="E576" s="126"/>
      <c r="F576" s="13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c r="BC576" s="126"/>
      <c r="BD576" s="126"/>
    </row>
    <row r="577">
      <c r="A577" s="126"/>
      <c r="B577" s="126"/>
      <c r="C577" s="126"/>
      <c r="D577" s="126"/>
      <c r="E577" s="126"/>
      <c r="F577" s="13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c r="AD577" s="126"/>
      <c r="AE577" s="126"/>
      <c r="AF577" s="126"/>
      <c r="AG577" s="126"/>
      <c r="AH577" s="126"/>
      <c r="AI577" s="126"/>
      <c r="AJ577" s="126"/>
      <c r="AK577" s="126"/>
      <c r="AL577" s="126"/>
      <c r="AM577" s="126"/>
      <c r="AN577" s="126"/>
      <c r="AO577" s="126"/>
      <c r="AP577" s="126"/>
      <c r="AQ577" s="126"/>
      <c r="AR577" s="126"/>
      <c r="AS577" s="126"/>
      <c r="AT577" s="126"/>
      <c r="AU577" s="126"/>
      <c r="AV577" s="126"/>
      <c r="AW577" s="126"/>
      <c r="AX577" s="126"/>
      <c r="AY577" s="126"/>
      <c r="AZ577" s="126"/>
      <c r="BA577" s="126"/>
      <c r="BB577" s="126"/>
      <c r="BC577" s="126"/>
      <c r="BD577" s="126"/>
    </row>
    <row r="578">
      <c r="A578" s="126"/>
      <c r="B578" s="126"/>
      <c r="C578" s="126"/>
      <c r="D578" s="126"/>
      <c r="E578" s="126"/>
      <c r="F578" s="13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c r="AD578" s="126"/>
      <c r="AE578" s="126"/>
      <c r="AF578" s="126"/>
      <c r="AG578" s="126"/>
      <c r="AH578" s="126"/>
      <c r="AI578" s="126"/>
      <c r="AJ578" s="126"/>
      <c r="AK578" s="126"/>
      <c r="AL578" s="126"/>
      <c r="AM578" s="126"/>
      <c r="AN578" s="126"/>
      <c r="AO578" s="126"/>
      <c r="AP578" s="126"/>
      <c r="AQ578" s="126"/>
      <c r="AR578" s="126"/>
      <c r="AS578" s="126"/>
      <c r="AT578" s="126"/>
      <c r="AU578" s="126"/>
      <c r="AV578" s="126"/>
      <c r="AW578" s="126"/>
      <c r="AX578" s="126"/>
      <c r="AY578" s="126"/>
      <c r="AZ578" s="126"/>
      <c r="BA578" s="126"/>
      <c r="BB578" s="126"/>
      <c r="BC578" s="126"/>
      <c r="BD578" s="126"/>
    </row>
    <row r="579">
      <c r="A579" s="126"/>
      <c r="B579" s="126"/>
      <c r="C579" s="126"/>
      <c r="D579" s="126"/>
      <c r="E579" s="126"/>
      <c r="F579" s="13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c r="AD579" s="126"/>
      <c r="AE579" s="126"/>
      <c r="AF579" s="126"/>
      <c r="AG579" s="126"/>
      <c r="AH579" s="126"/>
      <c r="AI579" s="126"/>
      <c r="AJ579" s="126"/>
      <c r="AK579" s="126"/>
      <c r="AL579" s="126"/>
      <c r="AM579" s="126"/>
      <c r="AN579" s="126"/>
      <c r="AO579" s="126"/>
      <c r="AP579" s="126"/>
      <c r="AQ579" s="126"/>
      <c r="AR579" s="126"/>
      <c r="AS579" s="126"/>
      <c r="AT579" s="126"/>
      <c r="AU579" s="126"/>
      <c r="AV579" s="126"/>
      <c r="AW579" s="126"/>
      <c r="AX579" s="126"/>
      <c r="AY579" s="126"/>
      <c r="AZ579" s="126"/>
      <c r="BA579" s="126"/>
      <c r="BB579" s="126"/>
      <c r="BC579" s="126"/>
      <c r="BD579" s="126"/>
    </row>
    <row r="580">
      <c r="A580" s="126"/>
      <c r="B580" s="126"/>
      <c r="C580" s="126"/>
      <c r="D580" s="126"/>
      <c r="E580" s="126"/>
      <c r="F580" s="13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c r="AD580" s="126"/>
      <c r="AE580" s="126"/>
      <c r="AF580" s="126"/>
      <c r="AG580" s="126"/>
      <c r="AH580" s="126"/>
      <c r="AI580" s="126"/>
      <c r="AJ580" s="126"/>
      <c r="AK580" s="126"/>
      <c r="AL580" s="126"/>
      <c r="AM580" s="126"/>
      <c r="AN580" s="126"/>
      <c r="AO580" s="126"/>
      <c r="AP580" s="126"/>
      <c r="AQ580" s="126"/>
      <c r="AR580" s="126"/>
      <c r="AS580" s="126"/>
      <c r="AT580" s="126"/>
      <c r="AU580" s="126"/>
      <c r="AV580" s="126"/>
      <c r="AW580" s="126"/>
      <c r="AX580" s="126"/>
      <c r="AY580" s="126"/>
      <c r="AZ580" s="126"/>
      <c r="BA580" s="126"/>
      <c r="BB580" s="126"/>
      <c r="BC580" s="126"/>
      <c r="BD580" s="126"/>
    </row>
    <row r="581">
      <c r="A581" s="126"/>
      <c r="B581" s="126"/>
      <c r="C581" s="126"/>
      <c r="D581" s="126"/>
      <c r="E581" s="126"/>
      <c r="F581" s="13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row>
    <row r="582">
      <c r="A582" s="126"/>
      <c r="B582" s="126"/>
      <c r="C582" s="126"/>
      <c r="D582" s="126"/>
      <c r="E582" s="126"/>
      <c r="F582" s="13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c r="BC582" s="126"/>
      <c r="BD582" s="126"/>
    </row>
    <row r="583">
      <c r="A583" s="126"/>
      <c r="B583" s="126"/>
      <c r="C583" s="126"/>
      <c r="D583" s="126"/>
      <c r="E583" s="126"/>
      <c r="F583" s="13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c r="AD583" s="126"/>
      <c r="AE583" s="126"/>
      <c r="AF583" s="126"/>
      <c r="AG583" s="126"/>
      <c r="AH583" s="126"/>
      <c r="AI583" s="126"/>
      <c r="AJ583" s="126"/>
      <c r="AK583" s="126"/>
      <c r="AL583" s="126"/>
      <c r="AM583" s="126"/>
      <c r="AN583" s="126"/>
      <c r="AO583" s="126"/>
      <c r="AP583" s="126"/>
      <c r="AQ583" s="126"/>
      <c r="AR583" s="126"/>
      <c r="AS583" s="126"/>
      <c r="AT583" s="126"/>
      <c r="AU583" s="126"/>
      <c r="AV583" s="126"/>
      <c r="AW583" s="126"/>
      <c r="AX583" s="126"/>
      <c r="AY583" s="126"/>
      <c r="AZ583" s="126"/>
      <c r="BA583" s="126"/>
      <c r="BB583" s="126"/>
      <c r="BC583" s="126"/>
      <c r="BD583" s="126"/>
    </row>
    <row r="584">
      <c r="A584" s="126"/>
      <c r="B584" s="126"/>
      <c r="C584" s="126"/>
      <c r="D584" s="126"/>
      <c r="E584" s="126"/>
      <c r="F584" s="13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c r="AD584" s="126"/>
      <c r="AE584" s="126"/>
      <c r="AF584" s="126"/>
      <c r="AG584" s="126"/>
      <c r="AH584" s="126"/>
      <c r="AI584" s="126"/>
      <c r="AJ584" s="126"/>
      <c r="AK584" s="126"/>
      <c r="AL584" s="126"/>
      <c r="AM584" s="126"/>
      <c r="AN584" s="126"/>
      <c r="AO584" s="126"/>
      <c r="AP584" s="126"/>
      <c r="AQ584" s="126"/>
      <c r="AR584" s="126"/>
      <c r="AS584" s="126"/>
      <c r="AT584" s="126"/>
      <c r="AU584" s="126"/>
      <c r="AV584" s="126"/>
      <c r="AW584" s="126"/>
      <c r="AX584" s="126"/>
      <c r="AY584" s="126"/>
      <c r="AZ584" s="126"/>
      <c r="BA584" s="126"/>
      <c r="BB584" s="126"/>
      <c r="BC584" s="126"/>
      <c r="BD584" s="126"/>
    </row>
    <row r="585">
      <c r="A585" s="126"/>
      <c r="B585" s="126"/>
      <c r="C585" s="126"/>
      <c r="D585" s="126"/>
      <c r="E585" s="126"/>
      <c r="F585" s="13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c r="AD585" s="126"/>
      <c r="AE585" s="126"/>
      <c r="AF585" s="126"/>
      <c r="AG585" s="126"/>
      <c r="AH585" s="126"/>
      <c r="AI585" s="126"/>
      <c r="AJ585" s="126"/>
      <c r="AK585" s="126"/>
      <c r="AL585" s="126"/>
      <c r="AM585" s="126"/>
      <c r="AN585" s="126"/>
      <c r="AO585" s="126"/>
      <c r="AP585" s="126"/>
      <c r="AQ585" s="126"/>
      <c r="AR585" s="126"/>
      <c r="AS585" s="126"/>
      <c r="AT585" s="126"/>
      <c r="AU585" s="126"/>
      <c r="AV585" s="126"/>
      <c r="AW585" s="126"/>
      <c r="AX585" s="126"/>
      <c r="AY585" s="126"/>
      <c r="AZ585" s="126"/>
      <c r="BA585" s="126"/>
      <c r="BB585" s="126"/>
      <c r="BC585" s="126"/>
      <c r="BD585" s="126"/>
    </row>
    <row r="586">
      <c r="A586" s="126"/>
      <c r="B586" s="126"/>
      <c r="C586" s="126"/>
      <c r="D586" s="126"/>
      <c r="E586" s="126"/>
      <c r="F586" s="13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row>
    <row r="587">
      <c r="A587" s="126"/>
      <c r="B587" s="126"/>
      <c r="C587" s="126"/>
      <c r="D587" s="126"/>
      <c r="E587" s="126"/>
      <c r="F587" s="13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row>
    <row r="588">
      <c r="A588" s="126"/>
      <c r="B588" s="126"/>
      <c r="C588" s="126"/>
      <c r="D588" s="126"/>
      <c r="E588" s="126"/>
      <c r="F588" s="13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row>
    <row r="589">
      <c r="A589" s="126"/>
      <c r="B589" s="126"/>
      <c r="C589" s="126"/>
      <c r="D589" s="126"/>
      <c r="E589" s="126"/>
      <c r="F589" s="13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row>
    <row r="590">
      <c r="A590" s="126"/>
      <c r="B590" s="126"/>
      <c r="C590" s="126"/>
      <c r="D590" s="126"/>
      <c r="E590" s="126"/>
      <c r="F590" s="13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c r="AD590" s="126"/>
      <c r="AE590" s="126"/>
      <c r="AF590" s="126"/>
      <c r="AG590" s="126"/>
      <c r="AH590" s="126"/>
      <c r="AI590" s="126"/>
      <c r="AJ590" s="126"/>
      <c r="AK590" s="126"/>
      <c r="AL590" s="126"/>
      <c r="AM590" s="126"/>
      <c r="AN590" s="126"/>
      <c r="AO590" s="126"/>
      <c r="AP590" s="126"/>
      <c r="AQ590" s="126"/>
      <c r="AR590" s="126"/>
      <c r="AS590" s="126"/>
      <c r="AT590" s="126"/>
      <c r="AU590" s="126"/>
      <c r="AV590" s="126"/>
      <c r="AW590" s="126"/>
      <c r="AX590" s="126"/>
      <c r="AY590" s="126"/>
      <c r="AZ590" s="126"/>
      <c r="BA590" s="126"/>
      <c r="BB590" s="126"/>
      <c r="BC590" s="126"/>
      <c r="BD590" s="126"/>
    </row>
    <row r="591">
      <c r="A591" s="126"/>
      <c r="B591" s="126"/>
      <c r="C591" s="126"/>
      <c r="D591" s="126"/>
      <c r="E591" s="126"/>
      <c r="F591" s="13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c r="AD591" s="126"/>
      <c r="AE591" s="126"/>
      <c r="AF591" s="126"/>
      <c r="AG591" s="126"/>
      <c r="AH591" s="126"/>
      <c r="AI591" s="126"/>
      <c r="AJ591" s="126"/>
      <c r="AK591" s="126"/>
      <c r="AL591" s="126"/>
      <c r="AM591" s="126"/>
      <c r="AN591" s="126"/>
      <c r="AO591" s="126"/>
      <c r="AP591" s="126"/>
      <c r="AQ591" s="126"/>
      <c r="AR591" s="126"/>
      <c r="AS591" s="126"/>
      <c r="AT591" s="126"/>
      <c r="AU591" s="126"/>
      <c r="AV591" s="126"/>
      <c r="AW591" s="126"/>
      <c r="AX591" s="126"/>
      <c r="AY591" s="126"/>
      <c r="AZ591" s="126"/>
      <c r="BA591" s="126"/>
      <c r="BB591" s="126"/>
      <c r="BC591" s="126"/>
      <c r="BD591" s="126"/>
    </row>
    <row r="592">
      <c r="A592" s="126"/>
      <c r="B592" s="126"/>
      <c r="C592" s="126"/>
      <c r="D592" s="126"/>
      <c r="E592" s="126"/>
      <c r="F592" s="13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c r="AD592" s="126"/>
      <c r="AE592" s="126"/>
      <c r="AF592" s="126"/>
      <c r="AG592" s="126"/>
      <c r="AH592" s="126"/>
      <c r="AI592" s="126"/>
      <c r="AJ592" s="126"/>
      <c r="AK592" s="126"/>
      <c r="AL592" s="126"/>
      <c r="AM592" s="126"/>
      <c r="AN592" s="126"/>
      <c r="AO592" s="126"/>
      <c r="AP592" s="126"/>
      <c r="AQ592" s="126"/>
      <c r="AR592" s="126"/>
      <c r="AS592" s="126"/>
      <c r="AT592" s="126"/>
      <c r="AU592" s="126"/>
      <c r="AV592" s="126"/>
      <c r="AW592" s="126"/>
      <c r="AX592" s="126"/>
      <c r="AY592" s="126"/>
      <c r="AZ592" s="126"/>
      <c r="BA592" s="126"/>
      <c r="BB592" s="126"/>
      <c r="BC592" s="126"/>
      <c r="BD592" s="126"/>
    </row>
    <row r="593">
      <c r="A593" s="126"/>
      <c r="B593" s="126"/>
      <c r="C593" s="126"/>
      <c r="D593" s="126"/>
      <c r="E593" s="126"/>
      <c r="F593" s="13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c r="AD593" s="126"/>
      <c r="AE593" s="126"/>
      <c r="AF593" s="126"/>
      <c r="AG593" s="126"/>
      <c r="AH593" s="126"/>
      <c r="AI593" s="126"/>
      <c r="AJ593" s="126"/>
      <c r="AK593" s="126"/>
      <c r="AL593" s="126"/>
      <c r="AM593" s="126"/>
      <c r="AN593" s="126"/>
      <c r="AO593" s="126"/>
      <c r="AP593" s="126"/>
      <c r="AQ593" s="126"/>
      <c r="AR593" s="126"/>
      <c r="AS593" s="126"/>
      <c r="AT593" s="126"/>
      <c r="AU593" s="126"/>
      <c r="AV593" s="126"/>
      <c r="AW593" s="126"/>
      <c r="AX593" s="126"/>
      <c r="AY593" s="126"/>
      <c r="AZ593" s="126"/>
      <c r="BA593" s="126"/>
      <c r="BB593" s="126"/>
      <c r="BC593" s="126"/>
      <c r="BD593" s="126"/>
    </row>
    <row r="594">
      <c r="A594" s="126"/>
      <c r="B594" s="126"/>
      <c r="C594" s="126"/>
      <c r="D594" s="126"/>
      <c r="E594" s="126"/>
      <c r="F594" s="13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c r="BC594" s="126"/>
      <c r="BD594" s="126"/>
    </row>
    <row r="595">
      <c r="A595" s="126"/>
      <c r="B595" s="126"/>
      <c r="C595" s="126"/>
      <c r="D595" s="126"/>
      <c r="E595" s="126"/>
      <c r="F595" s="13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c r="AD595" s="126"/>
      <c r="AE595" s="126"/>
      <c r="AF595" s="126"/>
      <c r="AG595" s="126"/>
      <c r="AH595" s="126"/>
      <c r="AI595" s="126"/>
      <c r="AJ595" s="126"/>
      <c r="AK595" s="126"/>
      <c r="AL595" s="126"/>
      <c r="AM595" s="126"/>
      <c r="AN595" s="126"/>
      <c r="AO595" s="126"/>
      <c r="AP595" s="126"/>
      <c r="AQ595" s="126"/>
      <c r="AR595" s="126"/>
      <c r="AS595" s="126"/>
      <c r="AT595" s="126"/>
      <c r="AU595" s="126"/>
      <c r="AV595" s="126"/>
      <c r="AW595" s="126"/>
      <c r="AX595" s="126"/>
      <c r="AY595" s="126"/>
      <c r="AZ595" s="126"/>
      <c r="BA595" s="126"/>
      <c r="BB595" s="126"/>
      <c r="BC595" s="126"/>
      <c r="BD595" s="126"/>
    </row>
    <row r="596">
      <c r="A596" s="126"/>
      <c r="B596" s="126"/>
      <c r="C596" s="126"/>
      <c r="D596" s="126"/>
      <c r="E596" s="126"/>
      <c r="F596" s="13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c r="AD596" s="126"/>
      <c r="AE596" s="126"/>
      <c r="AF596" s="126"/>
      <c r="AG596" s="126"/>
      <c r="AH596" s="126"/>
      <c r="AI596" s="126"/>
      <c r="AJ596" s="126"/>
      <c r="AK596" s="126"/>
      <c r="AL596" s="126"/>
      <c r="AM596" s="126"/>
      <c r="AN596" s="126"/>
      <c r="AO596" s="126"/>
      <c r="AP596" s="126"/>
      <c r="AQ596" s="126"/>
      <c r="AR596" s="126"/>
      <c r="AS596" s="126"/>
      <c r="AT596" s="126"/>
      <c r="AU596" s="126"/>
      <c r="AV596" s="126"/>
      <c r="AW596" s="126"/>
      <c r="AX596" s="126"/>
      <c r="AY596" s="126"/>
      <c r="AZ596" s="126"/>
      <c r="BA596" s="126"/>
      <c r="BB596" s="126"/>
      <c r="BC596" s="126"/>
      <c r="BD596" s="126"/>
    </row>
    <row r="597">
      <c r="A597" s="126"/>
      <c r="B597" s="126"/>
      <c r="C597" s="126"/>
      <c r="D597" s="126"/>
      <c r="E597" s="126"/>
      <c r="F597" s="13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c r="AD597" s="126"/>
      <c r="AE597" s="126"/>
      <c r="AF597" s="126"/>
      <c r="AG597" s="126"/>
      <c r="AH597" s="126"/>
      <c r="AI597" s="126"/>
      <c r="AJ597" s="126"/>
      <c r="AK597" s="126"/>
      <c r="AL597" s="126"/>
      <c r="AM597" s="126"/>
      <c r="AN597" s="126"/>
      <c r="AO597" s="126"/>
      <c r="AP597" s="126"/>
      <c r="AQ597" s="126"/>
      <c r="AR597" s="126"/>
      <c r="AS597" s="126"/>
      <c r="AT597" s="126"/>
      <c r="AU597" s="126"/>
      <c r="AV597" s="126"/>
      <c r="AW597" s="126"/>
      <c r="AX597" s="126"/>
      <c r="AY597" s="126"/>
      <c r="AZ597" s="126"/>
      <c r="BA597" s="126"/>
      <c r="BB597" s="126"/>
      <c r="BC597" s="126"/>
      <c r="BD597" s="126"/>
    </row>
    <row r="598">
      <c r="A598" s="126"/>
      <c r="B598" s="126"/>
      <c r="C598" s="126"/>
      <c r="D598" s="126"/>
      <c r="E598" s="126"/>
      <c r="F598" s="13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c r="AD598" s="126"/>
      <c r="AE598" s="126"/>
      <c r="AF598" s="126"/>
      <c r="AG598" s="126"/>
      <c r="AH598" s="126"/>
      <c r="AI598" s="126"/>
      <c r="AJ598" s="126"/>
      <c r="AK598" s="126"/>
      <c r="AL598" s="126"/>
      <c r="AM598" s="126"/>
      <c r="AN598" s="126"/>
      <c r="AO598" s="126"/>
      <c r="AP598" s="126"/>
      <c r="AQ598" s="126"/>
      <c r="AR598" s="126"/>
      <c r="AS598" s="126"/>
      <c r="AT598" s="126"/>
      <c r="AU598" s="126"/>
      <c r="AV598" s="126"/>
      <c r="AW598" s="126"/>
      <c r="AX598" s="126"/>
      <c r="AY598" s="126"/>
      <c r="AZ598" s="126"/>
      <c r="BA598" s="126"/>
      <c r="BB598" s="126"/>
      <c r="BC598" s="126"/>
      <c r="BD598" s="126"/>
    </row>
    <row r="599">
      <c r="A599" s="126"/>
      <c r="B599" s="126"/>
      <c r="C599" s="126"/>
      <c r="D599" s="126"/>
      <c r="E599" s="126"/>
      <c r="F599" s="13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c r="AD599" s="126"/>
      <c r="AE599" s="126"/>
      <c r="AF599" s="126"/>
      <c r="AG599" s="126"/>
      <c r="AH599" s="126"/>
      <c r="AI599" s="126"/>
      <c r="AJ599" s="126"/>
      <c r="AK599" s="126"/>
      <c r="AL599" s="126"/>
      <c r="AM599" s="126"/>
      <c r="AN599" s="126"/>
      <c r="AO599" s="126"/>
      <c r="AP599" s="126"/>
      <c r="AQ599" s="126"/>
      <c r="AR599" s="126"/>
      <c r="AS599" s="126"/>
      <c r="AT599" s="126"/>
      <c r="AU599" s="126"/>
      <c r="AV599" s="126"/>
      <c r="AW599" s="126"/>
      <c r="AX599" s="126"/>
      <c r="AY599" s="126"/>
      <c r="AZ599" s="126"/>
      <c r="BA599" s="126"/>
      <c r="BB599" s="126"/>
      <c r="BC599" s="126"/>
      <c r="BD599" s="126"/>
    </row>
    <row r="600">
      <c r="A600" s="126"/>
      <c r="B600" s="126"/>
      <c r="C600" s="126"/>
      <c r="D600" s="126"/>
      <c r="E600" s="126"/>
      <c r="F600" s="13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c r="BC600" s="126"/>
      <c r="BD600" s="126"/>
    </row>
    <row r="601">
      <c r="A601" s="126"/>
      <c r="B601" s="126"/>
      <c r="C601" s="126"/>
      <c r="D601" s="126"/>
      <c r="E601" s="126"/>
      <c r="F601" s="13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c r="AD601" s="126"/>
      <c r="AE601" s="126"/>
      <c r="AF601" s="126"/>
      <c r="AG601" s="126"/>
      <c r="AH601" s="126"/>
      <c r="AI601" s="126"/>
      <c r="AJ601" s="126"/>
      <c r="AK601" s="126"/>
      <c r="AL601" s="126"/>
      <c r="AM601" s="126"/>
      <c r="AN601" s="126"/>
      <c r="AO601" s="126"/>
      <c r="AP601" s="126"/>
      <c r="AQ601" s="126"/>
      <c r="AR601" s="126"/>
      <c r="AS601" s="126"/>
      <c r="AT601" s="126"/>
      <c r="AU601" s="126"/>
      <c r="AV601" s="126"/>
      <c r="AW601" s="126"/>
      <c r="AX601" s="126"/>
      <c r="AY601" s="126"/>
      <c r="AZ601" s="126"/>
      <c r="BA601" s="126"/>
      <c r="BB601" s="126"/>
      <c r="BC601" s="126"/>
      <c r="BD601" s="126"/>
    </row>
    <row r="602">
      <c r="A602" s="126"/>
      <c r="B602" s="126"/>
      <c r="C602" s="126"/>
      <c r="D602" s="126"/>
      <c r="E602" s="126"/>
      <c r="F602" s="13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c r="AD602" s="126"/>
      <c r="AE602" s="126"/>
      <c r="AF602" s="126"/>
      <c r="AG602" s="126"/>
      <c r="AH602" s="126"/>
      <c r="AI602" s="126"/>
      <c r="AJ602" s="126"/>
      <c r="AK602" s="126"/>
      <c r="AL602" s="126"/>
      <c r="AM602" s="126"/>
      <c r="AN602" s="126"/>
      <c r="AO602" s="126"/>
      <c r="AP602" s="126"/>
      <c r="AQ602" s="126"/>
      <c r="AR602" s="126"/>
      <c r="AS602" s="126"/>
      <c r="AT602" s="126"/>
      <c r="AU602" s="126"/>
      <c r="AV602" s="126"/>
      <c r="AW602" s="126"/>
      <c r="AX602" s="126"/>
      <c r="AY602" s="126"/>
      <c r="AZ602" s="126"/>
      <c r="BA602" s="126"/>
      <c r="BB602" s="126"/>
      <c r="BC602" s="126"/>
      <c r="BD602" s="126"/>
    </row>
    <row r="603">
      <c r="A603" s="126"/>
      <c r="B603" s="126"/>
      <c r="C603" s="126"/>
      <c r="D603" s="126"/>
      <c r="E603" s="126"/>
      <c r="F603" s="13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c r="AD603" s="126"/>
      <c r="AE603" s="126"/>
      <c r="AF603" s="126"/>
      <c r="AG603" s="126"/>
      <c r="AH603" s="126"/>
      <c r="AI603" s="126"/>
      <c r="AJ603" s="126"/>
      <c r="AK603" s="126"/>
      <c r="AL603" s="126"/>
      <c r="AM603" s="126"/>
      <c r="AN603" s="126"/>
      <c r="AO603" s="126"/>
      <c r="AP603" s="126"/>
      <c r="AQ603" s="126"/>
      <c r="AR603" s="126"/>
      <c r="AS603" s="126"/>
      <c r="AT603" s="126"/>
      <c r="AU603" s="126"/>
      <c r="AV603" s="126"/>
      <c r="AW603" s="126"/>
      <c r="AX603" s="126"/>
      <c r="AY603" s="126"/>
      <c r="AZ603" s="126"/>
      <c r="BA603" s="126"/>
      <c r="BB603" s="126"/>
      <c r="BC603" s="126"/>
      <c r="BD603" s="126"/>
    </row>
    <row r="604">
      <c r="A604" s="126"/>
      <c r="B604" s="126"/>
      <c r="C604" s="126"/>
      <c r="D604" s="126"/>
      <c r="E604" s="126"/>
      <c r="F604" s="13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c r="AD604" s="126"/>
      <c r="AE604" s="126"/>
      <c r="AF604" s="126"/>
      <c r="AG604" s="126"/>
      <c r="AH604" s="126"/>
      <c r="AI604" s="126"/>
      <c r="AJ604" s="126"/>
      <c r="AK604" s="126"/>
      <c r="AL604" s="126"/>
      <c r="AM604" s="126"/>
      <c r="AN604" s="126"/>
      <c r="AO604" s="126"/>
      <c r="AP604" s="126"/>
      <c r="AQ604" s="126"/>
      <c r="AR604" s="126"/>
      <c r="AS604" s="126"/>
      <c r="AT604" s="126"/>
      <c r="AU604" s="126"/>
      <c r="AV604" s="126"/>
      <c r="AW604" s="126"/>
      <c r="AX604" s="126"/>
      <c r="AY604" s="126"/>
      <c r="AZ604" s="126"/>
      <c r="BA604" s="126"/>
      <c r="BB604" s="126"/>
      <c r="BC604" s="126"/>
      <c r="BD604" s="126"/>
    </row>
    <row r="605">
      <c r="A605" s="126"/>
      <c r="B605" s="126"/>
      <c r="C605" s="126"/>
      <c r="D605" s="126"/>
      <c r="E605" s="126"/>
      <c r="F605" s="13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c r="AD605" s="126"/>
      <c r="AE605" s="126"/>
      <c r="AF605" s="126"/>
      <c r="AG605" s="126"/>
      <c r="AH605" s="126"/>
      <c r="AI605" s="126"/>
      <c r="AJ605" s="126"/>
      <c r="AK605" s="126"/>
      <c r="AL605" s="126"/>
      <c r="AM605" s="126"/>
      <c r="AN605" s="126"/>
      <c r="AO605" s="126"/>
      <c r="AP605" s="126"/>
      <c r="AQ605" s="126"/>
      <c r="AR605" s="126"/>
      <c r="AS605" s="126"/>
      <c r="AT605" s="126"/>
      <c r="AU605" s="126"/>
      <c r="AV605" s="126"/>
      <c r="AW605" s="126"/>
      <c r="AX605" s="126"/>
      <c r="AY605" s="126"/>
      <c r="AZ605" s="126"/>
      <c r="BA605" s="126"/>
      <c r="BB605" s="126"/>
      <c r="BC605" s="126"/>
      <c r="BD605" s="126"/>
    </row>
    <row r="606">
      <c r="A606" s="126"/>
      <c r="B606" s="126"/>
      <c r="C606" s="126"/>
      <c r="D606" s="126"/>
      <c r="E606" s="126"/>
      <c r="F606" s="13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c r="AD606" s="126"/>
      <c r="AE606" s="126"/>
      <c r="AF606" s="126"/>
      <c r="AG606" s="126"/>
      <c r="AH606" s="126"/>
      <c r="AI606" s="126"/>
      <c r="AJ606" s="126"/>
      <c r="AK606" s="126"/>
      <c r="AL606" s="126"/>
      <c r="AM606" s="126"/>
      <c r="AN606" s="126"/>
      <c r="AO606" s="126"/>
      <c r="AP606" s="126"/>
      <c r="AQ606" s="126"/>
      <c r="AR606" s="126"/>
      <c r="AS606" s="126"/>
      <c r="AT606" s="126"/>
      <c r="AU606" s="126"/>
      <c r="AV606" s="126"/>
      <c r="AW606" s="126"/>
      <c r="AX606" s="126"/>
      <c r="AY606" s="126"/>
      <c r="AZ606" s="126"/>
      <c r="BA606" s="126"/>
      <c r="BB606" s="126"/>
      <c r="BC606" s="126"/>
      <c r="BD606" s="126"/>
    </row>
    <row r="607">
      <c r="A607" s="126"/>
      <c r="B607" s="126"/>
      <c r="C607" s="126"/>
      <c r="D607" s="126"/>
      <c r="E607" s="126"/>
      <c r="F607" s="13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c r="AD607" s="126"/>
      <c r="AE607" s="126"/>
      <c r="AF607" s="126"/>
      <c r="AG607" s="126"/>
      <c r="AH607" s="126"/>
      <c r="AI607" s="126"/>
      <c r="AJ607" s="126"/>
      <c r="AK607" s="126"/>
      <c r="AL607" s="126"/>
      <c r="AM607" s="126"/>
      <c r="AN607" s="126"/>
      <c r="AO607" s="126"/>
      <c r="AP607" s="126"/>
      <c r="AQ607" s="126"/>
      <c r="AR607" s="126"/>
      <c r="AS607" s="126"/>
      <c r="AT607" s="126"/>
      <c r="AU607" s="126"/>
      <c r="AV607" s="126"/>
      <c r="AW607" s="126"/>
      <c r="AX607" s="126"/>
      <c r="AY607" s="126"/>
      <c r="AZ607" s="126"/>
      <c r="BA607" s="126"/>
      <c r="BB607" s="126"/>
      <c r="BC607" s="126"/>
      <c r="BD607" s="126"/>
    </row>
    <row r="608">
      <c r="A608" s="126"/>
      <c r="B608" s="126"/>
      <c r="C608" s="126"/>
      <c r="D608" s="126"/>
      <c r="E608" s="126"/>
      <c r="F608" s="13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c r="AD608" s="126"/>
      <c r="AE608" s="126"/>
      <c r="AF608" s="126"/>
      <c r="AG608" s="126"/>
      <c r="AH608" s="126"/>
      <c r="AI608" s="126"/>
      <c r="AJ608" s="126"/>
      <c r="AK608" s="126"/>
      <c r="AL608" s="126"/>
      <c r="AM608" s="126"/>
      <c r="AN608" s="126"/>
      <c r="AO608" s="126"/>
      <c r="AP608" s="126"/>
      <c r="AQ608" s="126"/>
      <c r="AR608" s="126"/>
      <c r="AS608" s="126"/>
      <c r="AT608" s="126"/>
      <c r="AU608" s="126"/>
      <c r="AV608" s="126"/>
      <c r="AW608" s="126"/>
      <c r="AX608" s="126"/>
      <c r="AY608" s="126"/>
      <c r="AZ608" s="126"/>
      <c r="BA608" s="126"/>
      <c r="BB608" s="126"/>
      <c r="BC608" s="126"/>
      <c r="BD608" s="126"/>
    </row>
    <row r="609">
      <c r="A609" s="126"/>
      <c r="B609" s="126"/>
      <c r="C609" s="126"/>
      <c r="D609" s="126"/>
      <c r="E609" s="126"/>
      <c r="F609" s="13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c r="AD609" s="126"/>
      <c r="AE609" s="126"/>
      <c r="AF609" s="126"/>
      <c r="AG609" s="126"/>
      <c r="AH609" s="126"/>
      <c r="AI609" s="126"/>
      <c r="AJ609" s="126"/>
      <c r="AK609" s="126"/>
      <c r="AL609" s="126"/>
      <c r="AM609" s="126"/>
      <c r="AN609" s="126"/>
      <c r="AO609" s="126"/>
      <c r="AP609" s="126"/>
      <c r="AQ609" s="126"/>
      <c r="AR609" s="126"/>
      <c r="AS609" s="126"/>
      <c r="AT609" s="126"/>
      <c r="AU609" s="126"/>
      <c r="AV609" s="126"/>
      <c r="AW609" s="126"/>
      <c r="AX609" s="126"/>
      <c r="AY609" s="126"/>
      <c r="AZ609" s="126"/>
      <c r="BA609" s="126"/>
      <c r="BB609" s="126"/>
      <c r="BC609" s="126"/>
      <c r="BD609" s="126"/>
    </row>
    <row r="610">
      <c r="A610" s="126"/>
      <c r="B610" s="126"/>
      <c r="C610" s="126"/>
      <c r="D610" s="126"/>
      <c r="E610" s="126"/>
      <c r="F610" s="13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c r="AD610" s="126"/>
      <c r="AE610" s="126"/>
      <c r="AF610" s="126"/>
      <c r="AG610" s="126"/>
      <c r="AH610" s="126"/>
      <c r="AI610" s="126"/>
      <c r="AJ610" s="126"/>
      <c r="AK610" s="126"/>
      <c r="AL610" s="126"/>
      <c r="AM610" s="126"/>
      <c r="AN610" s="126"/>
      <c r="AO610" s="126"/>
      <c r="AP610" s="126"/>
      <c r="AQ610" s="126"/>
      <c r="AR610" s="126"/>
      <c r="AS610" s="126"/>
      <c r="AT610" s="126"/>
      <c r="AU610" s="126"/>
      <c r="AV610" s="126"/>
      <c r="AW610" s="126"/>
      <c r="AX610" s="126"/>
      <c r="AY610" s="126"/>
      <c r="AZ610" s="126"/>
      <c r="BA610" s="126"/>
      <c r="BB610" s="126"/>
      <c r="BC610" s="126"/>
      <c r="BD610" s="126"/>
    </row>
    <row r="611">
      <c r="A611" s="126"/>
      <c r="B611" s="126"/>
      <c r="C611" s="126"/>
      <c r="D611" s="126"/>
      <c r="E611" s="126"/>
      <c r="F611" s="13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c r="AD611" s="126"/>
      <c r="AE611" s="126"/>
      <c r="AF611" s="126"/>
      <c r="AG611" s="126"/>
      <c r="AH611" s="126"/>
      <c r="AI611" s="126"/>
      <c r="AJ611" s="126"/>
      <c r="AK611" s="126"/>
      <c r="AL611" s="126"/>
      <c r="AM611" s="126"/>
      <c r="AN611" s="126"/>
      <c r="AO611" s="126"/>
      <c r="AP611" s="126"/>
      <c r="AQ611" s="126"/>
      <c r="AR611" s="126"/>
      <c r="AS611" s="126"/>
      <c r="AT611" s="126"/>
      <c r="AU611" s="126"/>
      <c r="AV611" s="126"/>
      <c r="AW611" s="126"/>
      <c r="AX611" s="126"/>
      <c r="AY611" s="126"/>
      <c r="AZ611" s="126"/>
      <c r="BA611" s="126"/>
      <c r="BB611" s="126"/>
      <c r="BC611" s="126"/>
      <c r="BD611" s="126"/>
    </row>
    <row r="612">
      <c r="A612" s="126"/>
      <c r="B612" s="126"/>
      <c r="C612" s="126"/>
      <c r="D612" s="126"/>
      <c r="E612" s="126"/>
      <c r="F612" s="13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c r="AD612" s="126"/>
      <c r="AE612" s="126"/>
      <c r="AF612" s="126"/>
      <c r="AG612" s="126"/>
      <c r="AH612" s="126"/>
      <c r="AI612" s="126"/>
      <c r="AJ612" s="126"/>
      <c r="AK612" s="126"/>
      <c r="AL612" s="126"/>
      <c r="AM612" s="126"/>
      <c r="AN612" s="126"/>
      <c r="AO612" s="126"/>
      <c r="AP612" s="126"/>
      <c r="AQ612" s="126"/>
      <c r="AR612" s="126"/>
      <c r="AS612" s="126"/>
      <c r="AT612" s="126"/>
      <c r="AU612" s="126"/>
      <c r="AV612" s="126"/>
      <c r="AW612" s="126"/>
      <c r="AX612" s="126"/>
      <c r="AY612" s="126"/>
      <c r="AZ612" s="126"/>
      <c r="BA612" s="126"/>
      <c r="BB612" s="126"/>
      <c r="BC612" s="126"/>
      <c r="BD612" s="126"/>
    </row>
    <row r="613">
      <c r="A613" s="126"/>
      <c r="B613" s="126"/>
      <c r="C613" s="126"/>
      <c r="D613" s="126"/>
      <c r="E613" s="126"/>
      <c r="F613" s="13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c r="AD613" s="126"/>
      <c r="AE613" s="126"/>
      <c r="AF613" s="126"/>
      <c r="AG613" s="126"/>
      <c r="AH613" s="126"/>
      <c r="AI613" s="126"/>
      <c r="AJ613" s="126"/>
      <c r="AK613" s="126"/>
      <c r="AL613" s="126"/>
      <c r="AM613" s="126"/>
      <c r="AN613" s="126"/>
      <c r="AO613" s="126"/>
      <c r="AP613" s="126"/>
      <c r="AQ613" s="126"/>
      <c r="AR613" s="126"/>
      <c r="AS613" s="126"/>
      <c r="AT613" s="126"/>
      <c r="AU613" s="126"/>
      <c r="AV613" s="126"/>
      <c r="AW613" s="126"/>
      <c r="AX613" s="126"/>
      <c r="AY613" s="126"/>
      <c r="AZ613" s="126"/>
      <c r="BA613" s="126"/>
      <c r="BB613" s="126"/>
      <c r="BC613" s="126"/>
      <c r="BD613" s="126"/>
    </row>
    <row r="614">
      <c r="A614" s="126"/>
      <c r="B614" s="126"/>
      <c r="C614" s="126"/>
      <c r="D614" s="126"/>
      <c r="E614" s="126"/>
      <c r="F614" s="13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126"/>
      <c r="AP614" s="126"/>
      <c r="AQ614" s="126"/>
      <c r="AR614" s="126"/>
      <c r="AS614" s="126"/>
      <c r="AT614" s="126"/>
      <c r="AU614" s="126"/>
      <c r="AV614" s="126"/>
      <c r="AW614" s="126"/>
      <c r="AX614" s="126"/>
      <c r="AY614" s="126"/>
      <c r="AZ614" s="126"/>
      <c r="BA614" s="126"/>
      <c r="BB614" s="126"/>
      <c r="BC614" s="126"/>
      <c r="BD614" s="126"/>
    </row>
    <row r="615">
      <c r="A615" s="126"/>
      <c r="B615" s="126"/>
      <c r="C615" s="126"/>
      <c r="D615" s="126"/>
      <c r="E615" s="126"/>
      <c r="F615" s="13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c r="AD615" s="126"/>
      <c r="AE615" s="126"/>
      <c r="AF615" s="126"/>
      <c r="AG615" s="126"/>
      <c r="AH615" s="126"/>
      <c r="AI615" s="126"/>
      <c r="AJ615" s="126"/>
      <c r="AK615" s="126"/>
      <c r="AL615" s="126"/>
      <c r="AM615" s="126"/>
      <c r="AN615" s="126"/>
      <c r="AO615" s="126"/>
      <c r="AP615" s="126"/>
      <c r="AQ615" s="126"/>
      <c r="AR615" s="126"/>
      <c r="AS615" s="126"/>
      <c r="AT615" s="126"/>
      <c r="AU615" s="126"/>
      <c r="AV615" s="126"/>
      <c r="AW615" s="126"/>
      <c r="AX615" s="126"/>
      <c r="AY615" s="126"/>
      <c r="AZ615" s="126"/>
      <c r="BA615" s="126"/>
      <c r="BB615" s="126"/>
      <c r="BC615" s="126"/>
      <c r="BD615" s="126"/>
    </row>
    <row r="616">
      <c r="A616" s="126"/>
      <c r="B616" s="126"/>
      <c r="C616" s="126"/>
      <c r="D616" s="126"/>
      <c r="E616" s="126"/>
      <c r="F616" s="13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c r="AD616" s="126"/>
      <c r="AE616" s="126"/>
      <c r="AF616" s="126"/>
      <c r="AG616" s="126"/>
      <c r="AH616" s="126"/>
      <c r="AI616" s="126"/>
      <c r="AJ616" s="126"/>
      <c r="AK616" s="126"/>
      <c r="AL616" s="126"/>
      <c r="AM616" s="126"/>
      <c r="AN616" s="126"/>
      <c r="AO616" s="126"/>
      <c r="AP616" s="126"/>
      <c r="AQ616" s="126"/>
      <c r="AR616" s="126"/>
      <c r="AS616" s="126"/>
      <c r="AT616" s="126"/>
      <c r="AU616" s="126"/>
      <c r="AV616" s="126"/>
      <c r="AW616" s="126"/>
      <c r="AX616" s="126"/>
      <c r="AY616" s="126"/>
      <c r="AZ616" s="126"/>
      <c r="BA616" s="126"/>
      <c r="BB616" s="126"/>
      <c r="BC616" s="126"/>
      <c r="BD616" s="126"/>
    </row>
    <row r="617">
      <c r="A617" s="126"/>
      <c r="B617" s="126"/>
      <c r="C617" s="126"/>
      <c r="D617" s="126"/>
      <c r="E617" s="126"/>
      <c r="F617" s="13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c r="AD617" s="126"/>
      <c r="AE617" s="126"/>
      <c r="AF617" s="126"/>
      <c r="AG617" s="126"/>
      <c r="AH617" s="126"/>
      <c r="AI617" s="126"/>
      <c r="AJ617" s="126"/>
      <c r="AK617" s="126"/>
      <c r="AL617" s="126"/>
      <c r="AM617" s="126"/>
      <c r="AN617" s="126"/>
      <c r="AO617" s="126"/>
      <c r="AP617" s="126"/>
      <c r="AQ617" s="126"/>
      <c r="AR617" s="126"/>
      <c r="AS617" s="126"/>
      <c r="AT617" s="126"/>
      <c r="AU617" s="126"/>
      <c r="AV617" s="126"/>
      <c r="AW617" s="126"/>
      <c r="AX617" s="126"/>
      <c r="AY617" s="126"/>
      <c r="AZ617" s="126"/>
      <c r="BA617" s="126"/>
      <c r="BB617" s="126"/>
      <c r="BC617" s="126"/>
      <c r="BD617" s="126"/>
    </row>
    <row r="618">
      <c r="A618" s="126"/>
      <c r="B618" s="126"/>
      <c r="C618" s="126"/>
      <c r="D618" s="126"/>
      <c r="E618" s="126"/>
      <c r="F618" s="13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c r="AD618" s="126"/>
      <c r="AE618" s="126"/>
      <c r="AF618" s="126"/>
      <c r="AG618" s="126"/>
      <c r="AH618" s="126"/>
      <c r="AI618" s="126"/>
      <c r="AJ618" s="126"/>
      <c r="AK618" s="126"/>
      <c r="AL618" s="126"/>
      <c r="AM618" s="126"/>
      <c r="AN618" s="126"/>
      <c r="AO618" s="126"/>
      <c r="AP618" s="126"/>
      <c r="AQ618" s="126"/>
      <c r="AR618" s="126"/>
      <c r="AS618" s="126"/>
      <c r="AT618" s="126"/>
      <c r="AU618" s="126"/>
      <c r="AV618" s="126"/>
      <c r="AW618" s="126"/>
      <c r="AX618" s="126"/>
      <c r="AY618" s="126"/>
      <c r="AZ618" s="126"/>
      <c r="BA618" s="126"/>
      <c r="BB618" s="126"/>
      <c r="BC618" s="126"/>
      <c r="BD618" s="126"/>
    </row>
    <row r="619">
      <c r="A619" s="126"/>
      <c r="B619" s="126"/>
      <c r="C619" s="126"/>
      <c r="D619" s="126"/>
      <c r="E619" s="126"/>
      <c r="F619" s="13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c r="AD619" s="126"/>
      <c r="AE619" s="126"/>
      <c r="AF619" s="126"/>
      <c r="AG619" s="126"/>
      <c r="AH619" s="126"/>
      <c r="AI619" s="126"/>
      <c r="AJ619" s="126"/>
      <c r="AK619" s="126"/>
      <c r="AL619" s="126"/>
      <c r="AM619" s="126"/>
      <c r="AN619" s="126"/>
      <c r="AO619" s="126"/>
      <c r="AP619" s="126"/>
      <c r="AQ619" s="126"/>
      <c r="AR619" s="126"/>
      <c r="AS619" s="126"/>
      <c r="AT619" s="126"/>
      <c r="AU619" s="126"/>
      <c r="AV619" s="126"/>
      <c r="AW619" s="126"/>
      <c r="AX619" s="126"/>
      <c r="AY619" s="126"/>
      <c r="AZ619" s="126"/>
      <c r="BA619" s="126"/>
      <c r="BB619" s="126"/>
      <c r="BC619" s="126"/>
      <c r="BD619" s="126"/>
    </row>
    <row r="620">
      <c r="A620" s="126"/>
      <c r="B620" s="126"/>
      <c r="C620" s="126"/>
      <c r="D620" s="126"/>
      <c r="E620" s="126"/>
      <c r="F620" s="13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c r="AD620" s="126"/>
      <c r="AE620" s="126"/>
      <c r="AF620" s="126"/>
      <c r="AG620" s="126"/>
      <c r="AH620" s="126"/>
      <c r="AI620" s="126"/>
      <c r="AJ620" s="126"/>
      <c r="AK620" s="126"/>
      <c r="AL620" s="126"/>
      <c r="AM620" s="126"/>
      <c r="AN620" s="126"/>
      <c r="AO620" s="126"/>
      <c r="AP620" s="126"/>
      <c r="AQ620" s="126"/>
      <c r="AR620" s="126"/>
      <c r="AS620" s="126"/>
      <c r="AT620" s="126"/>
      <c r="AU620" s="126"/>
      <c r="AV620" s="126"/>
      <c r="AW620" s="126"/>
      <c r="AX620" s="126"/>
      <c r="AY620" s="126"/>
      <c r="AZ620" s="126"/>
      <c r="BA620" s="126"/>
      <c r="BB620" s="126"/>
      <c r="BC620" s="126"/>
      <c r="BD620" s="126"/>
    </row>
    <row r="621">
      <c r="A621" s="126"/>
      <c r="B621" s="126"/>
      <c r="C621" s="126"/>
      <c r="D621" s="126"/>
      <c r="E621" s="126"/>
      <c r="F621" s="13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126"/>
      <c r="AP621" s="126"/>
      <c r="AQ621" s="126"/>
      <c r="AR621" s="126"/>
      <c r="AS621" s="126"/>
      <c r="AT621" s="126"/>
      <c r="AU621" s="126"/>
      <c r="AV621" s="126"/>
      <c r="AW621" s="126"/>
      <c r="AX621" s="126"/>
      <c r="AY621" s="126"/>
      <c r="AZ621" s="126"/>
      <c r="BA621" s="126"/>
      <c r="BB621" s="126"/>
      <c r="BC621" s="126"/>
      <c r="BD621" s="126"/>
    </row>
    <row r="622">
      <c r="A622" s="126"/>
      <c r="B622" s="126"/>
      <c r="C622" s="126"/>
      <c r="D622" s="126"/>
      <c r="E622" s="126"/>
      <c r="F622" s="13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126"/>
      <c r="AP622" s="126"/>
      <c r="AQ622" s="126"/>
      <c r="AR622" s="126"/>
      <c r="AS622" s="126"/>
      <c r="AT622" s="126"/>
      <c r="AU622" s="126"/>
      <c r="AV622" s="126"/>
      <c r="AW622" s="126"/>
      <c r="AX622" s="126"/>
      <c r="AY622" s="126"/>
      <c r="AZ622" s="126"/>
      <c r="BA622" s="126"/>
      <c r="BB622" s="126"/>
      <c r="BC622" s="126"/>
      <c r="BD622" s="126"/>
    </row>
    <row r="623">
      <c r="A623" s="126"/>
      <c r="B623" s="126"/>
      <c r="C623" s="126"/>
      <c r="D623" s="126"/>
      <c r="E623" s="126"/>
      <c r="F623" s="13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126"/>
      <c r="AP623" s="126"/>
      <c r="AQ623" s="126"/>
      <c r="AR623" s="126"/>
      <c r="AS623" s="126"/>
      <c r="AT623" s="126"/>
      <c r="AU623" s="126"/>
      <c r="AV623" s="126"/>
      <c r="AW623" s="126"/>
      <c r="AX623" s="126"/>
      <c r="AY623" s="126"/>
      <c r="AZ623" s="126"/>
      <c r="BA623" s="126"/>
      <c r="BB623" s="126"/>
      <c r="BC623" s="126"/>
      <c r="BD623" s="126"/>
    </row>
    <row r="624">
      <c r="A624" s="126"/>
      <c r="B624" s="126"/>
      <c r="C624" s="126"/>
      <c r="D624" s="126"/>
      <c r="E624" s="126"/>
      <c r="F624" s="13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126"/>
      <c r="AP624" s="126"/>
      <c r="AQ624" s="126"/>
      <c r="AR624" s="126"/>
      <c r="AS624" s="126"/>
      <c r="AT624" s="126"/>
      <c r="AU624" s="126"/>
      <c r="AV624" s="126"/>
      <c r="AW624" s="126"/>
      <c r="AX624" s="126"/>
      <c r="AY624" s="126"/>
      <c r="AZ624" s="126"/>
      <c r="BA624" s="126"/>
      <c r="BB624" s="126"/>
      <c r="BC624" s="126"/>
      <c r="BD624" s="126"/>
    </row>
    <row r="625">
      <c r="A625" s="126"/>
      <c r="B625" s="126"/>
      <c r="C625" s="126"/>
      <c r="D625" s="126"/>
      <c r="E625" s="126"/>
      <c r="F625" s="13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126"/>
      <c r="AP625" s="126"/>
      <c r="AQ625" s="126"/>
      <c r="AR625" s="126"/>
      <c r="AS625" s="126"/>
      <c r="AT625" s="126"/>
      <c r="AU625" s="126"/>
      <c r="AV625" s="126"/>
      <c r="AW625" s="126"/>
      <c r="AX625" s="126"/>
      <c r="AY625" s="126"/>
      <c r="AZ625" s="126"/>
      <c r="BA625" s="126"/>
      <c r="BB625" s="126"/>
      <c r="BC625" s="126"/>
      <c r="BD625" s="126"/>
    </row>
    <row r="626">
      <c r="A626" s="126"/>
      <c r="B626" s="126"/>
      <c r="C626" s="126"/>
      <c r="D626" s="126"/>
      <c r="E626" s="126"/>
      <c r="F626" s="13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126"/>
      <c r="AP626" s="126"/>
      <c r="AQ626" s="126"/>
      <c r="AR626" s="126"/>
      <c r="AS626" s="126"/>
      <c r="AT626" s="126"/>
      <c r="AU626" s="126"/>
      <c r="AV626" s="126"/>
      <c r="AW626" s="126"/>
      <c r="AX626" s="126"/>
      <c r="AY626" s="126"/>
      <c r="AZ626" s="126"/>
      <c r="BA626" s="126"/>
      <c r="BB626" s="126"/>
      <c r="BC626" s="126"/>
      <c r="BD626" s="126"/>
    </row>
    <row r="627">
      <c r="A627" s="126"/>
      <c r="B627" s="126"/>
      <c r="C627" s="126"/>
      <c r="D627" s="126"/>
      <c r="E627" s="126"/>
      <c r="F627" s="13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c r="AD627" s="126"/>
      <c r="AE627" s="126"/>
      <c r="AF627" s="126"/>
      <c r="AG627" s="126"/>
      <c r="AH627" s="126"/>
      <c r="AI627" s="126"/>
      <c r="AJ627" s="126"/>
      <c r="AK627" s="126"/>
      <c r="AL627" s="126"/>
      <c r="AM627" s="126"/>
      <c r="AN627" s="126"/>
      <c r="AO627" s="126"/>
      <c r="AP627" s="126"/>
      <c r="AQ627" s="126"/>
      <c r="AR627" s="126"/>
      <c r="AS627" s="126"/>
      <c r="AT627" s="126"/>
      <c r="AU627" s="126"/>
      <c r="AV627" s="126"/>
      <c r="AW627" s="126"/>
      <c r="AX627" s="126"/>
      <c r="AY627" s="126"/>
      <c r="AZ627" s="126"/>
      <c r="BA627" s="126"/>
      <c r="BB627" s="126"/>
      <c r="BC627" s="126"/>
      <c r="BD627" s="126"/>
    </row>
    <row r="628">
      <c r="A628" s="126"/>
      <c r="B628" s="126"/>
      <c r="C628" s="126"/>
      <c r="D628" s="126"/>
      <c r="E628" s="126"/>
      <c r="F628" s="13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c r="AD628" s="126"/>
      <c r="AE628" s="126"/>
      <c r="AF628" s="126"/>
      <c r="AG628" s="126"/>
      <c r="AH628" s="126"/>
      <c r="AI628" s="126"/>
      <c r="AJ628" s="126"/>
      <c r="AK628" s="126"/>
      <c r="AL628" s="126"/>
      <c r="AM628" s="126"/>
      <c r="AN628" s="126"/>
      <c r="AO628" s="126"/>
      <c r="AP628" s="126"/>
      <c r="AQ628" s="126"/>
      <c r="AR628" s="126"/>
      <c r="AS628" s="126"/>
      <c r="AT628" s="126"/>
      <c r="AU628" s="126"/>
      <c r="AV628" s="126"/>
      <c r="AW628" s="126"/>
      <c r="AX628" s="126"/>
      <c r="AY628" s="126"/>
      <c r="AZ628" s="126"/>
      <c r="BA628" s="126"/>
      <c r="BB628" s="126"/>
      <c r="BC628" s="126"/>
      <c r="BD628" s="126"/>
    </row>
    <row r="629">
      <c r="A629" s="126"/>
      <c r="B629" s="126"/>
      <c r="C629" s="126"/>
      <c r="D629" s="126"/>
      <c r="E629" s="126"/>
      <c r="F629" s="13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c r="AD629" s="126"/>
      <c r="AE629" s="126"/>
      <c r="AF629" s="126"/>
      <c r="AG629" s="126"/>
      <c r="AH629" s="126"/>
      <c r="AI629" s="126"/>
      <c r="AJ629" s="126"/>
      <c r="AK629" s="126"/>
      <c r="AL629" s="126"/>
      <c r="AM629" s="126"/>
      <c r="AN629" s="126"/>
      <c r="AO629" s="126"/>
      <c r="AP629" s="126"/>
      <c r="AQ629" s="126"/>
      <c r="AR629" s="126"/>
      <c r="AS629" s="126"/>
      <c r="AT629" s="126"/>
      <c r="AU629" s="126"/>
      <c r="AV629" s="126"/>
      <c r="AW629" s="126"/>
      <c r="AX629" s="126"/>
      <c r="AY629" s="126"/>
      <c r="AZ629" s="126"/>
      <c r="BA629" s="126"/>
      <c r="BB629" s="126"/>
      <c r="BC629" s="126"/>
      <c r="BD629" s="126"/>
    </row>
    <row r="630">
      <c r="A630" s="126"/>
      <c r="B630" s="126"/>
      <c r="C630" s="126"/>
      <c r="D630" s="126"/>
      <c r="E630" s="126"/>
      <c r="F630" s="13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c r="AD630" s="126"/>
      <c r="AE630" s="126"/>
      <c r="AF630" s="126"/>
      <c r="AG630" s="126"/>
      <c r="AH630" s="126"/>
      <c r="AI630" s="126"/>
      <c r="AJ630" s="126"/>
      <c r="AK630" s="126"/>
      <c r="AL630" s="126"/>
      <c r="AM630" s="126"/>
      <c r="AN630" s="126"/>
      <c r="AO630" s="126"/>
      <c r="AP630" s="126"/>
      <c r="AQ630" s="126"/>
      <c r="AR630" s="126"/>
      <c r="AS630" s="126"/>
      <c r="AT630" s="126"/>
      <c r="AU630" s="126"/>
      <c r="AV630" s="126"/>
      <c r="AW630" s="126"/>
      <c r="AX630" s="126"/>
      <c r="AY630" s="126"/>
      <c r="AZ630" s="126"/>
      <c r="BA630" s="126"/>
      <c r="BB630" s="126"/>
      <c r="BC630" s="126"/>
      <c r="BD630" s="126"/>
    </row>
    <row r="631">
      <c r="A631" s="126"/>
      <c r="B631" s="126"/>
      <c r="C631" s="126"/>
      <c r="D631" s="126"/>
      <c r="E631" s="126"/>
      <c r="F631" s="13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c r="AD631" s="126"/>
      <c r="AE631" s="126"/>
      <c r="AF631" s="126"/>
      <c r="AG631" s="126"/>
      <c r="AH631" s="126"/>
      <c r="AI631" s="126"/>
      <c r="AJ631" s="126"/>
      <c r="AK631" s="126"/>
      <c r="AL631" s="126"/>
      <c r="AM631" s="126"/>
      <c r="AN631" s="126"/>
      <c r="AO631" s="126"/>
      <c r="AP631" s="126"/>
      <c r="AQ631" s="126"/>
      <c r="AR631" s="126"/>
      <c r="AS631" s="126"/>
      <c r="AT631" s="126"/>
      <c r="AU631" s="126"/>
      <c r="AV631" s="126"/>
      <c r="AW631" s="126"/>
      <c r="AX631" s="126"/>
      <c r="AY631" s="126"/>
      <c r="AZ631" s="126"/>
      <c r="BA631" s="126"/>
      <c r="BB631" s="126"/>
      <c r="BC631" s="126"/>
      <c r="BD631" s="126"/>
    </row>
    <row r="632">
      <c r="A632" s="126"/>
      <c r="B632" s="126"/>
      <c r="C632" s="126"/>
      <c r="D632" s="126"/>
      <c r="E632" s="126"/>
      <c r="F632" s="13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c r="AD632" s="126"/>
      <c r="AE632" s="126"/>
      <c r="AF632" s="126"/>
      <c r="AG632" s="126"/>
      <c r="AH632" s="126"/>
      <c r="AI632" s="126"/>
      <c r="AJ632" s="126"/>
      <c r="AK632" s="126"/>
      <c r="AL632" s="126"/>
      <c r="AM632" s="126"/>
      <c r="AN632" s="126"/>
      <c r="AO632" s="126"/>
      <c r="AP632" s="126"/>
      <c r="AQ632" s="126"/>
      <c r="AR632" s="126"/>
      <c r="AS632" s="126"/>
      <c r="AT632" s="126"/>
      <c r="AU632" s="126"/>
      <c r="AV632" s="126"/>
      <c r="AW632" s="126"/>
      <c r="AX632" s="126"/>
      <c r="AY632" s="126"/>
      <c r="AZ632" s="126"/>
      <c r="BA632" s="126"/>
      <c r="BB632" s="126"/>
      <c r="BC632" s="126"/>
      <c r="BD632" s="126"/>
    </row>
    <row r="633">
      <c r="A633" s="126"/>
      <c r="B633" s="126"/>
      <c r="C633" s="126"/>
      <c r="D633" s="126"/>
      <c r="E633" s="126"/>
      <c r="F633" s="13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c r="AD633" s="126"/>
      <c r="AE633" s="126"/>
      <c r="AF633" s="126"/>
      <c r="AG633" s="126"/>
      <c r="AH633" s="126"/>
      <c r="AI633" s="126"/>
      <c r="AJ633" s="126"/>
      <c r="AK633" s="126"/>
      <c r="AL633" s="126"/>
      <c r="AM633" s="126"/>
      <c r="AN633" s="126"/>
      <c r="AO633" s="126"/>
      <c r="AP633" s="126"/>
      <c r="AQ633" s="126"/>
      <c r="AR633" s="126"/>
      <c r="AS633" s="126"/>
      <c r="AT633" s="126"/>
      <c r="AU633" s="126"/>
      <c r="AV633" s="126"/>
      <c r="AW633" s="126"/>
      <c r="AX633" s="126"/>
      <c r="AY633" s="126"/>
      <c r="AZ633" s="126"/>
      <c r="BA633" s="126"/>
      <c r="BB633" s="126"/>
      <c r="BC633" s="126"/>
      <c r="BD633" s="126"/>
    </row>
    <row r="634">
      <c r="A634" s="126"/>
      <c r="B634" s="126"/>
      <c r="C634" s="126"/>
      <c r="D634" s="126"/>
      <c r="E634" s="126"/>
      <c r="F634" s="13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c r="AD634" s="126"/>
      <c r="AE634" s="126"/>
      <c r="AF634" s="126"/>
      <c r="AG634" s="126"/>
      <c r="AH634" s="126"/>
      <c r="AI634" s="126"/>
      <c r="AJ634" s="126"/>
      <c r="AK634" s="126"/>
      <c r="AL634" s="126"/>
      <c r="AM634" s="126"/>
      <c r="AN634" s="126"/>
      <c r="AO634" s="126"/>
      <c r="AP634" s="126"/>
      <c r="AQ634" s="126"/>
      <c r="AR634" s="126"/>
      <c r="AS634" s="126"/>
      <c r="AT634" s="126"/>
      <c r="AU634" s="126"/>
      <c r="AV634" s="126"/>
      <c r="AW634" s="126"/>
      <c r="AX634" s="126"/>
      <c r="AY634" s="126"/>
      <c r="AZ634" s="126"/>
      <c r="BA634" s="126"/>
      <c r="BB634" s="126"/>
      <c r="BC634" s="126"/>
      <c r="BD634" s="126"/>
    </row>
    <row r="635">
      <c r="A635" s="126"/>
      <c r="B635" s="126"/>
      <c r="C635" s="126"/>
      <c r="D635" s="126"/>
      <c r="E635" s="126"/>
      <c r="F635" s="13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c r="AD635" s="126"/>
      <c r="AE635" s="126"/>
      <c r="AF635" s="126"/>
      <c r="AG635" s="126"/>
      <c r="AH635" s="126"/>
      <c r="AI635" s="126"/>
      <c r="AJ635" s="126"/>
      <c r="AK635" s="126"/>
      <c r="AL635" s="126"/>
      <c r="AM635" s="126"/>
      <c r="AN635" s="126"/>
      <c r="AO635" s="126"/>
      <c r="AP635" s="126"/>
      <c r="AQ635" s="126"/>
      <c r="AR635" s="126"/>
      <c r="AS635" s="126"/>
      <c r="AT635" s="126"/>
      <c r="AU635" s="126"/>
      <c r="AV635" s="126"/>
      <c r="AW635" s="126"/>
      <c r="AX635" s="126"/>
      <c r="AY635" s="126"/>
      <c r="AZ635" s="126"/>
      <c r="BA635" s="126"/>
      <c r="BB635" s="126"/>
      <c r="BC635" s="126"/>
      <c r="BD635" s="126"/>
    </row>
    <row r="636">
      <c r="A636" s="126"/>
      <c r="B636" s="126"/>
      <c r="C636" s="126"/>
      <c r="D636" s="126"/>
      <c r="E636" s="126"/>
      <c r="F636" s="13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c r="AD636" s="126"/>
      <c r="AE636" s="126"/>
      <c r="AF636" s="126"/>
      <c r="AG636" s="126"/>
      <c r="AH636" s="126"/>
      <c r="AI636" s="126"/>
      <c r="AJ636" s="126"/>
      <c r="AK636" s="126"/>
      <c r="AL636" s="126"/>
      <c r="AM636" s="126"/>
      <c r="AN636" s="126"/>
      <c r="AO636" s="126"/>
      <c r="AP636" s="126"/>
      <c r="AQ636" s="126"/>
      <c r="AR636" s="126"/>
      <c r="AS636" s="126"/>
      <c r="AT636" s="126"/>
      <c r="AU636" s="126"/>
      <c r="AV636" s="126"/>
      <c r="AW636" s="126"/>
      <c r="AX636" s="126"/>
      <c r="AY636" s="126"/>
      <c r="AZ636" s="126"/>
      <c r="BA636" s="126"/>
      <c r="BB636" s="126"/>
      <c r="BC636" s="126"/>
      <c r="BD636" s="126"/>
    </row>
    <row r="637">
      <c r="A637" s="126"/>
      <c r="B637" s="126"/>
      <c r="C637" s="126"/>
      <c r="D637" s="126"/>
      <c r="E637" s="126"/>
      <c r="F637" s="13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c r="AD637" s="126"/>
      <c r="AE637" s="126"/>
      <c r="AF637" s="126"/>
      <c r="AG637" s="126"/>
      <c r="AH637" s="126"/>
      <c r="AI637" s="126"/>
      <c r="AJ637" s="126"/>
      <c r="AK637" s="126"/>
      <c r="AL637" s="126"/>
      <c r="AM637" s="126"/>
      <c r="AN637" s="126"/>
      <c r="AO637" s="126"/>
      <c r="AP637" s="126"/>
      <c r="AQ637" s="126"/>
      <c r="AR637" s="126"/>
      <c r="AS637" s="126"/>
      <c r="AT637" s="126"/>
      <c r="AU637" s="126"/>
      <c r="AV637" s="126"/>
      <c r="AW637" s="126"/>
      <c r="AX637" s="126"/>
      <c r="AY637" s="126"/>
      <c r="AZ637" s="126"/>
      <c r="BA637" s="126"/>
      <c r="BB637" s="126"/>
      <c r="BC637" s="126"/>
      <c r="BD637" s="126"/>
    </row>
    <row r="638">
      <c r="A638" s="126"/>
      <c r="B638" s="126"/>
      <c r="C638" s="126"/>
      <c r="D638" s="126"/>
      <c r="E638" s="126"/>
      <c r="F638" s="13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c r="AD638" s="126"/>
      <c r="AE638" s="126"/>
      <c r="AF638" s="126"/>
      <c r="AG638" s="126"/>
      <c r="AH638" s="126"/>
      <c r="AI638" s="126"/>
      <c r="AJ638" s="126"/>
      <c r="AK638" s="126"/>
      <c r="AL638" s="126"/>
      <c r="AM638" s="126"/>
      <c r="AN638" s="126"/>
      <c r="AO638" s="126"/>
      <c r="AP638" s="126"/>
      <c r="AQ638" s="126"/>
      <c r="AR638" s="126"/>
      <c r="AS638" s="126"/>
      <c r="AT638" s="126"/>
      <c r="AU638" s="126"/>
      <c r="AV638" s="126"/>
      <c r="AW638" s="126"/>
      <c r="AX638" s="126"/>
      <c r="AY638" s="126"/>
      <c r="AZ638" s="126"/>
      <c r="BA638" s="126"/>
      <c r="BB638" s="126"/>
      <c r="BC638" s="126"/>
      <c r="BD638" s="126"/>
    </row>
    <row r="639">
      <c r="A639" s="126"/>
      <c r="B639" s="126"/>
      <c r="C639" s="126"/>
      <c r="D639" s="126"/>
      <c r="E639" s="126"/>
      <c r="F639" s="13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c r="AD639" s="126"/>
      <c r="AE639" s="126"/>
      <c r="AF639" s="126"/>
      <c r="AG639" s="126"/>
      <c r="AH639" s="126"/>
      <c r="AI639" s="126"/>
      <c r="AJ639" s="126"/>
      <c r="AK639" s="126"/>
      <c r="AL639" s="126"/>
      <c r="AM639" s="126"/>
      <c r="AN639" s="126"/>
      <c r="AO639" s="126"/>
      <c r="AP639" s="126"/>
      <c r="AQ639" s="126"/>
      <c r="AR639" s="126"/>
      <c r="AS639" s="126"/>
      <c r="AT639" s="126"/>
      <c r="AU639" s="126"/>
      <c r="AV639" s="126"/>
      <c r="AW639" s="126"/>
      <c r="AX639" s="126"/>
      <c r="AY639" s="126"/>
      <c r="AZ639" s="126"/>
      <c r="BA639" s="126"/>
      <c r="BB639" s="126"/>
      <c r="BC639" s="126"/>
      <c r="BD639" s="126"/>
    </row>
    <row r="640">
      <c r="A640" s="126"/>
      <c r="B640" s="126"/>
      <c r="C640" s="126"/>
      <c r="D640" s="126"/>
      <c r="E640" s="126"/>
      <c r="F640" s="13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c r="AD640" s="126"/>
      <c r="AE640" s="126"/>
      <c r="AF640" s="126"/>
      <c r="AG640" s="126"/>
      <c r="AH640" s="126"/>
      <c r="AI640" s="126"/>
      <c r="AJ640" s="126"/>
      <c r="AK640" s="126"/>
      <c r="AL640" s="126"/>
      <c r="AM640" s="126"/>
      <c r="AN640" s="126"/>
      <c r="AO640" s="126"/>
      <c r="AP640" s="126"/>
      <c r="AQ640" s="126"/>
      <c r="AR640" s="126"/>
      <c r="AS640" s="126"/>
      <c r="AT640" s="126"/>
      <c r="AU640" s="126"/>
      <c r="AV640" s="126"/>
      <c r="AW640" s="126"/>
      <c r="AX640" s="126"/>
      <c r="AY640" s="126"/>
      <c r="AZ640" s="126"/>
      <c r="BA640" s="126"/>
      <c r="BB640" s="126"/>
      <c r="BC640" s="126"/>
      <c r="BD640" s="126"/>
    </row>
    <row r="641">
      <c r="A641" s="126"/>
      <c r="B641" s="126"/>
      <c r="C641" s="126"/>
      <c r="D641" s="126"/>
      <c r="E641" s="126"/>
      <c r="F641" s="13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c r="AD641" s="126"/>
      <c r="AE641" s="126"/>
      <c r="AF641" s="126"/>
      <c r="AG641" s="126"/>
      <c r="AH641" s="126"/>
      <c r="AI641" s="126"/>
      <c r="AJ641" s="126"/>
      <c r="AK641" s="126"/>
      <c r="AL641" s="126"/>
      <c r="AM641" s="126"/>
      <c r="AN641" s="126"/>
      <c r="AO641" s="126"/>
      <c r="AP641" s="126"/>
      <c r="AQ641" s="126"/>
      <c r="AR641" s="126"/>
      <c r="AS641" s="126"/>
      <c r="AT641" s="126"/>
      <c r="AU641" s="126"/>
      <c r="AV641" s="126"/>
      <c r="AW641" s="126"/>
      <c r="AX641" s="126"/>
      <c r="AY641" s="126"/>
      <c r="AZ641" s="126"/>
      <c r="BA641" s="126"/>
      <c r="BB641" s="126"/>
      <c r="BC641" s="126"/>
      <c r="BD641" s="126"/>
    </row>
    <row r="642">
      <c r="A642" s="126"/>
      <c r="B642" s="126"/>
      <c r="C642" s="126"/>
      <c r="D642" s="126"/>
      <c r="E642" s="126"/>
      <c r="F642" s="13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c r="AD642" s="126"/>
      <c r="AE642" s="126"/>
      <c r="AF642" s="126"/>
      <c r="AG642" s="126"/>
      <c r="AH642" s="126"/>
      <c r="AI642" s="126"/>
      <c r="AJ642" s="126"/>
      <c r="AK642" s="126"/>
      <c r="AL642" s="126"/>
      <c r="AM642" s="126"/>
      <c r="AN642" s="126"/>
      <c r="AO642" s="126"/>
      <c r="AP642" s="126"/>
      <c r="AQ642" s="126"/>
      <c r="AR642" s="126"/>
      <c r="AS642" s="126"/>
      <c r="AT642" s="126"/>
      <c r="AU642" s="126"/>
      <c r="AV642" s="126"/>
      <c r="AW642" s="126"/>
      <c r="AX642" s="126"/>
      <c r="AY642" s="126"/>
      <c r="AZ642" s="126"/>
      <c r="BA642" s="126"/>
      <c r="BB642" s="126"/>
      <c r="BC642" s="126"/>
      <c r="BD642" s="126"/>
    </row>
    <row r="643">
      <c r="A643" s="126"/>
      <c r="B643" s="126"/>
      <c r="C643" s="126"/>
      <c r="D643" s="126"/>
      <c r="E643" s="126"/>
      <c r="F643" s="13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c r="AD643" s="126"/>
      <c r="AE643" s="126"/>
      <c r="AF643" s="126"/>
      <c r="AG643" s="126"/>
      <c r="AH643" s="126"/>
      <c r="AI643" s="126"/>
      <c r="AJ643" s="126"/>
      <c r="AK643" s="126"/>
      <c r="AL643" s="126"/>
      <c r="AM643" s="126"/>
      <c r="AN643" s="126"/>
      <c r="AO643" s="126"/>
      <c r="AP643" s="126"/>
      <c r="AQ643" s="126"/>
      <c r="AR643" s="126"/>
      <c r="AS643" s="126"/>
      <c r="AT643" s="126"/>
      <c r="AU643" s="126"/>
      <c r="AV643" s="126"/>
      <c r="AW643" s="126"/>
      <c r="AX643" s="126"/>
      <c r="AY643" s="126"/>
      <c r="AZ643" s="126"/>
      <c r="BA643" s="126"/>
      <c r="BB643" s="126"/>
      <c r="BC643" s="126"/>
      <c r="BD643" s="126"/>
    </row>
    <row r="644">
      <c r="A644" s="126"/>
      <c r="B644" s="126"/>
      <c r="C644" s="126"/>
      <c r="D644" s="126"/>
      <c r="E644" s="126"/>
      <c r="F644" s="13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126"/>
      <c r="AP644" s="126"/>
      <c r="AQ644" s="126"/>
      <c r="AR644" s="126"/>
      <c r="AS644" s="126"/>
      <c r="AT644" s="126"/>
      <c r="AU644" s="126"/>
      <c r="AV644" s="126"/>
      <c r="AW644" s="126"/>
      <c r="AX644" s="126"/>
      <c r="AY644" s="126"/>
      <c r="AZ644" s="126"/>
      <c r="BA644" s="126"/>
      <c r="BB644" s="126"/>
      <c r="BC644" s="126"/>
      <c r="BD644" s="126"/>
    </row>
    <row r="645">
      <c r="A645" s="126"/>
      <c r="B645" s="126"/>
      <c r="C645" s="126"/>
      <c r="D645" s="126"/>
      <c r="E645" s="126"/>
      <c r="F645" s="13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c r="AD645" s="126"/>
      <c r="AE645" s="126"/>
      <c r="AF645" s="126"/>
      <c r="AG645" s="126"/>
      <c r="AH645" s="126"/>
      <c r="AI645" s="126"/>
      <c r="AJ645" s="126"/>
      <c r="AK645" s="126"/>
      <c r="AL645" s="126"/>
      <c r="AM645" s="126"/>
      <c r="AN645" s="126"/>
      <c r="AO645" s="126"/>
      <c r="AP645" s="126"/>
      <c r="AQ645" s="126"/>
      <c r="AR645" s="126"/>
      <c r="AS645" s="126"/>
      <c r="AT645" s="126"/>
      <c r="AU645" s="126"/>
      <c r="AV645" s="126"/>
      <c r="AW645" s="126"/>
      <c r="AX645" s="126"/>
      <c r="AY645" s="126"/>
      <c r="AZ645" s="126"/>
      <c r="BA645" s="126"/>
      <c r="BB645" s="126"/>
      <c r="BC645" s="126"/>
      <c r="BD645" s="126"/>
    </row>
    <row r="646">
      <c r="A646" s="126"/>
      <c r="B646" s="126"/>
      <c r="C646" s="126"/>
      <c r="D646" s="126"/>
      <c r="E646" s="126"/>
      <c r="F646" s="13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c r="AD646" s="126"/>
      <c r="AE646" s="126"/>
      <c r="AF646" s="126"/>
      <c r="AG646" s="126"/>
      <c r="AH646" s="126"/>
      <c r="AI646" s="126"/>
      <c r="AJ646" s="126"/>
      <c r="AK646" s="126"/>
      <c r="AL646" s="126"/>
      <c r="AM646" s="126"/>
      <c r="AN646" s="126"/>
      <c r="AO646" s="126"/>
      <c r="AP646" s="126"/>
      <c r="AQ646" s="126"/>
      <c r="AR646" s="126"/>
      <c r="AS646" s="126"/>
      <c r="AT646" s="126"/>
      <c r="AU646" s="126"/>
      <c r="AV646" s="126"/>
      <c r="AW646" s="126"/>
      <c r="AX646" s="126"/>
      <c r="AY646" s="126"/>
      <c r="AZ646" s="126"/>
      <c r="BA646" s="126"/>
      <c r="BB646" s="126"/>
      <c r="BC646" s="126"/>
      <c r="BD646" s="126"/>
    </row>
    <row r="647">
      <c r="A647" s="126"/>
      <c r="B647" s="126"/>
      <c r="C647" s="126"/>
      <c r="D647" s="126"/>
      <c r="E647" s="126"/>
      <c r="F647" s="13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c r="AD647" s="126"/>
      <c r="AE647" s="126"/>
      <c r="AF647" s="126"/>
      <c r="AG647" s="126"/>
      <c r="AH647" s="126"/>
      <c r="AI647" s="126"/>
      <c r="AJ647" s="126"/>
      <c r="AK647" s="126"/>
      <c r="AL647" s="126"/>
      <c r="AM647" s="126"/>
      <c r="AN647" s="126"/>
      <c r="AO647" s="126"/>
      <c r="AP647" s="126"/>
      <c r="AQ647" s="126"/>
      <c r="AR647" s="126"/>
      <c r="AS647" s="126"/>
      <c r="AT647" s="126"/>
      <c r="AU647" s="126"/>
      <c r="AV647" s="126"/>
      <c r="AW647" s="126"/>
      <c r="AX647" s="126"/>
      <c r="AY647" s="126"/>
      <c r="AZ647" s="126"/>
      <c r="BA647" s="126"/>
      <c r="BB647" s="126"/>
      <c r="BC647" s="126"/>
      <c r="BD647" s="126"/>
    </row>
    <row r="648">
      <c r="A648" s="126"/>
      <c r="B648" s="126"/>
      <c r="C648" s="126"/>
      <c r="D648" s="126"/>
      <c r="E648" s="126"/>
      <c r="F648" s="13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126"/>
      <c r="AP648" s="126"/>
      <c r="AQ648" s="126"/>
      <c r="AR648" s="126"/>
      <c r="AS648" s="126"/>
      <c r="AT648" s="126"/>
      <c r="AU648" s="126"/>
      <c r="AV648" s="126"/>
      <c r="AW648" s="126"/>
      <c r="AX648" s="126"/>
      <c r="AY648" s="126"/>
      <c r="AZ648" s="126"/>
      <c r="BA648" s="126"/>
      <c r="BB648" s="126"/>
      <c r="BC648" s="126"/>
      <c r="BD648" s="126"/>
    </row>
    <row r="649">
      <c r="A649" s="126"/>
      <c r="B649" s="126"/>
      <c r="C649" s="126"/>
      <c r="D649" s="126"/>
      <c r="E649" s="126"/>
      <c r="F649" s="13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c r="AD649" s="126"/>
      <c r="AE649" s="126"/>
      <c r="AF649" s="126"/>
      <c r="AG649" s="126"/>
      <c r="AH649" s="126"/>
      <c r="AI649" s="126"/>
      <c r="AJ649" s="126"/>
      <c r="AK649" s="126"/>
      <c r="AL649" s="126"/>
      <c r="AM649" s="126"/>
      <c r="AN649" s="126"/>
      <c r="AO649" s="126"/>
      <c r="AP649" s="126"/>
      <c r="AQ649" s="126"/>
      <c r="AR649" s="126"/>
      <c r="AS649" s="126"/>
      <c r="AT649" s="126"/>
      <c r="AU649" s="126"/>
      <c r="AV649" s="126"/>
      <c r="AW649" s="126"/>
      <c r="AX649" s="126"/>
      <c r="AY649" s="126"/>
      <c r="AZ649" s="126"/>
      <c r="BA649" s="126"/>
      <c r="BB649" s="126"/>
      <c r="BC649" s="126"/>
      <c r="BD649" s="126"/>
    </row>
    <row r="650">
      <c r="A650" s="126"/>
      <c r="B650" s="126"/>
      <c r="C650" s="126"/>
      <c r="D650" s="126"/>
      <c r="E650" s="126"/>
      <c r="F650" s="13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c r="AD650" s="126"/>
      <c r="AE650" s="126"/>
      <c r="AF650" s="126"/>
      <c r="AG650" s="126"/>
      <c r="AH650" s="126"/>
      <c r="AI650" s="126"/>
      <c r="AJ650" s="126"/>
      <c r="AK650" s="126"/>
      <c r="AL650" s="126"/>
      <c r="AM650" s="126"/>
      <c r="AN650" s="126"/>
      <c r="AO650" s="126"/>
      <c r="AP650" s="126"/>
      <c r="AQ650" s="126"/>
      <c r="AR650" s="126"/>
      <c r="AS650" s="126"/>
      <c r="AT650" s="126"/>
      <c r="AU650" s="126"/>
      <c r="AV650" s="126"/>
      <c r="AW650" s="126"/>
      <c r="AX650" s="126"/>
      <c r="AY650" s="126"/>
      <c r="AZ650" s="126"/>
      <c r="BA650" s="126"/>
      <c r="BB650" s="126"/>
      <c r="BC650" s="126"/>
      <c r="BD650" s="126"/>
    </row>
    <row r="651">
      <c r="A651" s="126"/>
      <c r="B651" s="126"/>
      <c r="C651" s="126"/>
      <c r="D651" s="126"/>
      <c r="E651" s="126"/>
      <c r="F651" s="13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c r="AD651" s="126"/>
      <c r="AE651" s="126"/>
      <c r="AF651" s="126"/>
      <c r="AG651" s="126"/>
      <c r="AH651" s="126"/>
      <c r="AI651" s="126"/>
      <c r="AJ651" s="126"/>
      <c r="AK651" s="126"/>
      <c r="AL651" s="126"/>
      <c r="AM651" s="126"/>
      <c r="AN651" s="126"/>
      <c r="AO651" s="126"/>
      <c r="AP651" s="126"/>
      <c r="AQ651" s="126"/>
      <c r="AR651" s="126"/>
      <c r="AS651" s="126"/>
      <c r="AT651" s="126"/>
      <c r="AU651" s="126"/>
      <c r="AV651" s="126"/>
      <c r="AW651" s="126"/>
      <c r="AX651" s="126"/>
      <c r="AY651" s="126"/>
      <c r="AZ651" s="126"/>
      <c r="BA651" s="126"/>
      <c r="BB651" s="126"/>
      <c r="BC651" s="126"/>
      <c r="BD651" s="126"/>
    </row>
    <row r="652">
      <c r="A652" s="126"/>
      <c r="B652" s="126"/>
      <c r="C652" s="126"/>
      <c r="D652" s="126"/>
      <c r="E652" s="126"/>
      <c r="F652" s="13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c r="AD652" s="126"/>
      <c r="AE652" s="126"/>
      <c r="AF652" s="126"/>
      <c r="AG652" s="126"/>
      <c r="AH652" s="126"/>
      <c r="AI652" s="126"/>
      <c r="AJ652" s="126"/>
      <c r="AK652" s="126"/>
      <c r="AL652" s="126"/>
      <c r="AM652" s="126"/>
      <c r="AN652" s="126"/>
      <c r="AO652" s="126"/>
      <c r="AP652" s="126"/>
      <c r="AQ652" s="126"/>
      <c r="AR652" s="126"/>
      <c r="AS652" s="126"/>
      <c r="AT652" s="126"/>
      <c r="AU652" s="126"/>
      <c r="AV652" s="126"/>
      <c r="AW652" s="126"/>
      <c r="AX652" s="126"/>
      <c r="AY652" s="126"/>
      <c r="AZ652" s="126"/>
      <c r="BA652" s="126"/>
      <c r="BB652" s="126"/>
      <c r="BC652" s="126"/>
      <c r="BD652" s="126"/>
    </row>
    <row r="653">
      <c r="A653" s="126"/>
      <c r="B653" s="126"/>
      <c r="C653" s="126"/>
      <c r="D653" s="126"/>
      <c r="E653" s="126"/>
      <c r="F653" s="13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c r="AD653" s="126"/>
      <c r="AE653" s="126"/>
      <c r="AF653" s="126"/>
      <c r="AG653" s="126"/>
      <c r="AH653" s="126"/>
      <c r="AI653" s="126"/>
      <c r="AJ653" s="126"/>
      <c r="AK653" s="126"/>
      <c r="AL653" s="126"/>
      <c r="AM653" s="126"/>
      <c r="AN653" s="126"/>
      <c r="AO653" s="126"/>
      <c r="AP653" s="126"/>
      <c r="AQ653" s="126"/>
      <c r="AR653" s="126"/>
      <c r="AS653" s="126"/>
      <c r="AT653" s="126"/>
      <c r="AU653" s="126"/>
      <c r="AV653" s="126"/>
      <c r="AW653" s="126"/>
      <c r="AX653" s="126"/>
      <c r="AY653" s="126"/>
      <c r="AZ653" s="126"/>
      <c r="BA653" s="126"/>
      <c r="BB653" s="126"/>
      <c r="BC653" s="126"/>
      <c r="BD653" s="126"/>
    </row>
    <row r="654">
      <c r="A654" s="126"/>
      <c r="B654" s="126"/>
      <c r="C654" s="126"/>
      <c r="D654" s="126"/>
      <c r="E654" s="126"/>
      <c r="F654" s="13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c r="AD654" s="126"/>
      <c r="AE654" s="126"/>
      <c r="AF654" s="126"/>
      <c r="AG654" s="126"/>
      <c r="AH654" s="126"/>
      <c r="AI654" s="126"/>
      <c r="AJ654" s="126"/>
      <c r="AK654" s="126"/>
      <c r="AL654" s="126"/>
      <c r="AM654" s="126"/>
      <c r="AN654" s="126"/>
      <c r="AO654" s="126"/>
      <c r="AP654" s="126"/>
      <c r="AQ654" s="126"/>
      <c r="AR654" s="126"/>
      <c r="AS654" s="126"/>
      <c r="AT654" s="126"/>
      <c r="AU654" s="126"/>
      <c r="AV654" s="126"/>
      <c r="AW654" s="126"/>
      <c r="AX654" s="126"/>
      <c r="AY654" s="126"/>
      <c r="AZ654" s="126"/>
      <c r="BA654" s="126"/>
      <c r="BB654" s="126"/>
      <c r="BC654" s="126"/>
      <c r="BD654" s="126"/>
    </row>
    <row r="655">
      <c r="A655" s="126"/>
      <c r="B655" s="126"/>
      <c r="C655" s="126"/>
      <c r="D655" s="126"/>
      <c r="E655" s="126"/>
      <c r="F655" s="13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c r="AD655" s="126"/>
      <c r="AE655" s="126"/>
      <c r="AF655" s="126"/>
      <c r="AG655" s="126"/>
      <c r="AH655" s="126"/>
      <c r="AI655" s="126"/>
      <c r="AJ655" s="126"/>
      <c r="AK655" s="126"/>
      <c r="AL655" s="126"/>
      <c r="AM655" s="126"/>
      <c r="AN655" s="126"/>
      <c r="AO655" s="126"/>
      <c r="AP655" s="126"/>
      <c r="AQ655" s="126"/>
      <c r="AR655" s="126"/>
      <c r="AS655" s="126"/>
      <c r="AT655" s="126"/>
      <c r="AU655" s="126"/>
      <c r="AV655" s="126"/>
      <c r="AW655" s="126"/>
      <c r="AX655" s="126"/>
      <c r="AY655" s="126"/>
      <c r="AZ655" s="126"/>
      <c r="BA655" s="126"/>
      <c r="BB655" s="126"/>
      <c r="BC655" s="126"/>
      <c r="BD655" s="126"/>
    </row>
    <row r="656">
      <c r="A656" s="126"/>
      <c r="B656" s="126"/>
      <c r="C656" s="126"/>
      <c r="D656" s="126"/>
      <c r="E656" s="126"/>
      <c r="F656" s="13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c r="AD656" s="126"/>
      <c r="AE656" s="126"/>
      <c r="AF656" s="126"/>
      <c r="AG656" s="126"/>
      <c r="AH656" s="126"/>
      <c r="AI656" s="126"/>
      <c r="AJ656" s="126"/>
      <c r="AK656" s="126"/>
      <c r="AL656" s="126"/>
      <c r="AM656" s="126"/>
      <c r="AN656" s="126"/>
      <c r="AO656" s="126"/>
      <c r="AP656" s="126"/>
      <c r="AQ656" s="126"/>
      <c r="AR656" s="126"/>
      <c r="AS656" s="126"/>
      <c r="AT656" s="126"/>
      <c r="AU656" s="126"/>
      <c r="AV656" s="126"/>
      <c r="AW656" s="126"/>
      <c r="AX656" s="126"/>
      <c r="AY656" s="126"/>
      <c r="AZ656" s="126"/>
      <c r="BA656" s="126"/>
      <c r="BB656" s="126"/>
      <c r="BC656" s="126"/>
      <c r="BD656" s="126"/>
    </row>
    <row r="657">
      <c r="A657" s="126"/>
      <c r="B657" s="126"/>
      <c r="C657" s="126"/>
      <c r="D657" s="126"/>
      <c r="E657" s="126"/>
      <c r="F657" s="13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126"/>
      <c r="AP657" s="126"/>
      <c r="AQ657" s="126"/>
      <c r="AR657" s="126"/>
      <c r="AS657" s="126"/>
      <c r="AT657" s="126"/>
      <c r="AU657" s="126"/>
      <c r="AV657" s="126"/>
      <c r="AW657" s="126"/>
      <c r="AX657" s="126"/>
      <c r="AY657" s="126"/>
      <c r="AZ657" s="126"/>
      <c r="BA657" s="126"/>
      <c r="BB657" s="126"/>
      <c r="BC657" s="126"/>
      <c r="BD657" s="126"/>
    </row>
    <row r="658">
      <c r="A658" s="126"/>
      <c r="B658" s="126"/>
      <c r="C658" s="126"/>
      <c r="D658" s="126"/>
      <c r="E658" s="126"/>
      <c r="F658" s="13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c r="AD658" s="126"/>
      <c r="AE658" s="126"/>
      <c r="AF658" s="126"/>
      <c r="AG658" s="126"/>
      <c r="AH658" s="126"/>
      <c r="AI658" s="126"/>
      <c r="AJ658" s="126"/>
      <c r="AK658" s="126"/>
      <c r="AL658" s="126"/>
      <c r="AM658" s="126"/>
      <c r="AN658" s="126"/>
      <c r="AO658" s="126"/>
      <c r="AP658" s="126"/>
      <c r="AQ658" s="126"/>
      <c r="AR658" s="126"/>
      <c r="AS658" s="126"/>
      <c r="AT658" s="126"/>
      <c r="AU658" s="126"/>
      <c r="AV658" s="126"/>
      <c r="AW658" s="126"/>
      <c r="AX658" s="126"/>
      <c r="AY658" s="126"/>
      <c r="AZ658" s="126"/>
      <c r="BA658" s="126"/>
      <c r="BB658" s="126"/>
      <c r="BC658" s="126"/>
      <c r="BD658" s="126"/>
    </row>
    <row r="659">
      <c r="A659" s="126"/>
      <c r="B659" s="126"/>
      <c r="C659" s="126"/>
      <c r="D659" s="126"/>
      <c r="E659" s="126"/>
      <c r="F659" s="13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c r="AD659" s="126"/>
      <c r="AE659" s="126"/>
      <c r="AF659" s="126"/>
      <c r="AG659" s="126"/>
      <c r="AH659" s="126"/>
      <c r="AI659" s="126"/>
      <c r="AJ659" s="126"/>
      <c r="AK659" s="126"/>
      <c r="AL659" s="126"/>
      <c r="AM659" s="126"/>
      <c r="AN659" s="126"/>
      <c r="AO659" s="126"/>
      <c r="AP659" s="126"/>
      <c r="AQ659" s="126"/>
      <c r="AR659" s="126"/>
      <c r="AS659" s="126"/>
      <c r="AT659" s="126"/>
      <c r="AU659" s="126"/>
      <c r="AV659" s="126"/>
      <c r="AW659" s="126"/>
      <c r="AX659" s="126"/>
      <c r="AY659" s="126"/>
      <c r="AZ659" s="126"/>
      <c r="BA659" s="126"/>
      <c r="BB659" s="126"/>
      <c r="BC659" s="126"/>
      <c r="BD659" s="126"/>
    </row>
    <row r="660">
      <c r="A660" s="126"/>
      <c r="B660" s="126"/>
      <c r="C660" s="126"/>
      <c r="D660" s="126"/>
      <c r="E660" s="126"/>
      <c r="F660" s="13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c r="AD660" s="126"/>
      <c r="AE660" s="126"/>
      <c r="AF660" s="126"/>
      <c r="AG660" s="126"/>
      <c r="AH660" s="126"/>
      <c r="AI660" s="126"/>
      <c r="AJ660" s="126"/>
      <c r="AK660" s="126"/>
      <c r="AL660" s="126"/>
      <c r="AM660" s="126"/>
      <c r="AN660" s="126"/>
      <c r="AO660" s="126"/>
      <c r="AP660" s="126"/>
      <c r="AQ660" s="126"/>
      <c r="AR660" s="126"/>
      <c r="AS660" s="126"/>
      <c r="AT660" s="126"/>
      <c r="AU660" s="126"/>
      <c r="AV660" s="126"/>
      <c r="AW660" s="126"/>
      <c r="AX660" s="126"/>
      <c r="AY660" s="126"/>
      <c r="AZ660" s="126"/>
      <c r="BA660" s="126"/>
      <c r="BB660" s="126"/>
      <c r="BC660" s="126"/>
      <c r="BD660" s="126"/>
    </row>
    <row r="661">
      <c r="A661" s="126"/>
      <c r="B661" s="126"/>
      <c r="C661" s="126"/>
      <c r="D661" s="126"/>
      <c r="E661" s="126"/>
      <c r="F661" s="13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c r="AD661" s="126"/>
      <c r="AE661" s="126"/>
      <c r="AF661" s="126"/>
      <c r="AG661" s="126"/>
      <c r="AH661" s="126"/>
      <c r="AI661" s="126"/>
      <c r="AJ661" s="126"/>
      <c r="AK661" s="126"/>
      <c r="AL661" s="126"/>
      <c r="AM661" s="126"/>
      <c r="AN661" s="126"/>
      <c r="AO661" s="126"/>
      <c r="AP661" s="126"/>
      <c r="AQ661" s="126"/>
      <c r="AR661" s="126"/>
      <c r="AS661" s="126"/>
      <c r="AT661" s="126"/>
      <c r="AU661" s="126"/>
      <c r="AV661" s="126"/>
      <c r="AW661" s="126"/>
      <c r="AX661" s="126"/>
      <c r="AY661" s="126"/>
      <c r="AZ661" s="126"/>
      <c r="BA661" s="126"/>
      <c r="BB661" s="126"/>
      <c r="BC661" s="126"/>
      <c r="BD661" s="126"/>
    </row>
    <row r="662">
      <c r="A662" s="126"/>
      <c r="B662" s="126"/>
      <c r="C662" s="126"/>
      <c r="D662" s="126"/>
      <c r="E662" s="126"/>
      <c r="F662" s="13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c r="BA662" s="126"/>
      <c r="BB662" s="126"/>
      <c r="BC662" s="126"/>
      <c r="BD662" s="126"/>
    </row>
    <row r="663">
      <c r="A663" s="126"/>
      <c r="B663" s="126"/>
      <c r="C663" s="126"/>
      <c r="D663" s="126"/>
      <c r="E663" s="126"/>
      <c r="F663" s="13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c r="AD663" s="126"/>
      <c r="AE663" s="126"/>
      <c r="AF663" s="126"/>
      <c r="AG663" s="126"/>
      <c r="AH663" s="126"/>
      <c r="AI663" s="126"/>
      <c r="AJ663" s="126"/>
      <c r="AK663" s="126"/>
      <c r="AL663" s="126"/>
      <c r="AM663" s="126"/>
      <c r="AN663" s="126"/>
      <c r="AO663" s="126"/>
      <c r="AP663" s="126"/>
      <c r="AQ663" s="126"/>
      <c r="AR663" s="126"/>
      <c r="AS663" s="126"/>
      <c r="AT663" s="126"/>
      <c r="AU663" s="126"/>
      <c r="AV663" s="126"/>
      <c r="AW663" s="126"/>
      <c r="AX663" s="126"/>
      <c r="AY663" s="126"/>
      <c r="AZ663" s="126"/>
      <c r="BA663" s="126"/>
      <c r="BB663" s="126"/>
      <c r="BC663" s="126"/>
      <c r="BD663" s="126"/>
    </row>
    <row r="664">
      <c r="A664" s="126"/>
      <c r="B664" s="126"/>
      <c r="C664" s="126"/>
      <c r="D664" s="126"/>
      <c r="E664" s="126"/>
      <c r="F664" s="13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c r="AD664" s="126"/>
      <c r="AE664" s="126"/>
      <c r="AF664" s="126"/>
      <c r="AG664" s="126"/>
      <c r="AH664" s="126"/>
      <c r="AI664" s="126"/>
      <c r="AJ664" s="126"/>
      <c r="AK664" s="126"/>
      <c r="AL664" s="126"/>
      <c r="AM664" s="126"/>
      <c r="AN664" s="126"/>
      <c r="AO664" s="126"/>
      <c r="AP664" s="126"/>
      <c r="AQ664" s="126"/>
      <c r="AR664" s="126"/>
      <c r="AS664" s="126"/>
      <c r="AT664" s="126"/>
      <c r="AU664" s="126"/>
      <c r="AV664" s="126"/>
      <c r="AW664" s="126"/>
      <c r="AX664" s="126"/>
      <c r="AY664" s="126"/>
      <c r="AZ664" s="126"/>
      <c r="BA664" s="126"/>
      <c r="BB664" s="126"/>
      <c r="BC664" s="126"/>
      <c r="BD664" s="126"/>
    </row>
    <row r="665">
      <c r="A665" s="126"/>
      <c r="B665" s="126"/>
      <c r="C665" s="126"/>
      <c r="D665" s="126"/>
      <c r="E665" s="126"/>
      <c r="F665" s="13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c r="AD665" s="126"/>
      <c r="AE665" s="126"/>
      <c r="AF665" s="126"/>
      <c r="AG665" s="126"/>
      <c r="AH665" s="126"/>
      <c r="AI665" s="126"/>
      <c r="AJ665" s="126"/>
      <c r="AK665" s="126"/>
      <c r="AL665" s="126"/>
      <c r="AM665" s="126"/>
      <c r="AN665" s="126"/>
      <c r="AO665" s="126"/>
      <c r="AP665" s="126"/>
      <c r="AQ665" s="126"/>
      <c r="AR665" s="126"/>
      <c r="AS665" s="126"/>
      <c r="AT665" s="126"/>
      <c r="AU665" s="126"/>
      <c r="AV665" s="126"/>
      <c r="AW665" s="126"/>
      <c r="AX665" s="126"/>
      <c r="AY665" s="126"/>
      <c r="AZ665" s="126"/>
      <c r="BA665" s="126"/>
      <c r="BB665" s="126"/>
      <c r="BC665" s="126"/>
      <c r="BD665" s="126"/>
    </row>
    <row r="666">
      <c r="A666" s="126"/>
      <c r="B666" s="126"/>
      <c r="C666" s="126"/>
      <c r="D666" s="126"/>
      <c r="E666" s="126"/>
      <c r="F666" s="13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c r="AD666" s="126"/>
      <c r="AE666" s="126"/>
      <c r="AF666" s="126"/>
      <c r="AG666" s="126"/>
      <c r="AH666" s="126"/>
      <c r="AI666" s="126"/>
      <c r="AJ666" s="126"/>
      <c r="AK666" s="126"/>
      <c r="AL666" s="126"/>
      <c r="AM666" s="126"/>
      <c r="AN666" s="126"/>
      <c r="AO666" s="126"/>
      <c r="AP666" s="126"/>
      <c r="AQ666" s="126"/>
      <c r="AR666" s="126"/>
      <c r="AS666" s="126"/>
      <c r="AT666" s="126"/>
      <c r="AU666" s="126"/>
      <c r="AV666" s="126"/>
      <c r="AW666" s="126"/>
      <c r="AX666" s="126"/>
      <c r="AY666" s="126"/>
      <c r="AZ666" s="126"/>
      <c r="BA666" s="126"/>
      <c r="BB666" s="126"/>
      <c r="BC666" s="126"/>
      <c r="BD666" s="126"/>
    </row>
    <row r="667">
      <c r="A667" s="126"/>
      <c r="B667" s="126"/>
      <c r="C667" s="126"/>
      <c r="D667" s="126"/>
      <c r="E667" s="126"/>
      <c r="F667" s="13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c r="AD667" s="126"/>
      <c r="AE667" s="126"/>
      <c r="AF667" s="126"/>
      <c r="AG667" s="126"/>
      <c r="AH667" s="126"/>
      <c r="AI667" s="126"/>
      <c r="AJ667" s="126"/>
      <c r="AK667" s="126"/>
      <c r="AL667" s="126"/>
      <c r="AM667" s="126"/>
      <c r="AN667" s="126"/>
      <c r="AO667" s="126"/>
      <c r="AP667" s="126"/>
      <c r="AQ667" s="126"/>
      <c r="AR667" s="126"/>
      <c r="AS667" s="126"/>
      <c r="AT667" s="126"/>
      <c r="AU667" s="126"/>
      <c r="AV667" s="126"/>
      <c r="AW667" s="126"/>
      <c r="AX667" s="126"/>
      <c r="AY667" s="126"/>
      <c r="AZ667" s="126"/>
      <c r="BA667" s="126"/>
      <c r="BB667" s="126"/>
      <c r="BC667" s="126"/>
      <c r="BD667" s="126"/>
    </row>
    <row r="668">
      <c r="A668" s="126"/>
      <c r="B668" s="126"/>
      <c r="C668" s="126"/>
      <c r="D668" s="126"/>
      <c r="E668" s="126"/>
      <c r="F668" s="13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c r="AD668" s="126"/>
      <c r="AE668" s="126"/>
      <c r="AF668" s="126"/>
      <c r="AG668" s="126"/>
      <c r="AH668" s="126"/>
      <c r="AI668" s="126"/>
      <c r="AJ668" s="126"/>
      <c r="AK668" s="126"/>
      <c r="AL668" s="126"/>
      <c r="AM668" s="126"/>
      <c r="AN668" s="126"/>
      <c r="AO668" s="126"/>
      <c r="AP668" s="126"/>
      <c r="AQ668" s="126"/>
      <c r="AR668" s="126"/>
      <c r="AS668" s="126"/>
      <c r="AT668" s="126"/>
      <c r="AU668" s="126"/>
      <c r="AV668" s="126"/>
      <c r="AW668" s="126"/>
      <c r="AX668" s="126"/>
      <c r="AY668" s="126"/>
      <c r="AZ668" s="126"/>
      <c r="BA668" s="126"/>
      <c r="BB668" s="126"/>
      <c r="BC668" s="126"/>
      <c r="BD668" s="126"/>
    </row>
    <row r="669">
      <c r="A669" s="126"/>
      <c r="B669" s="126"/>
      <c r="C669" s="126"/>
      <c r="D669" s="126"/>
      <c r="E669" s="126"/>
      <c r="F669" s="13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126"/>
      <c r="AP669" s="126"/>
      <c r="AQ669" s="126"/>
      <c r="AR669" s="126"/>
      <c r="AS669" s="126"/>
      <c r="AT669" s="126"/>
      <c r="AU669" s="126"/>
      <c r="AV669" s="126"/>
      <c r="AW669" s="126"/>
      <c r="AX669" s="126"/>
      <c r="AY669" s="126"/>
      <c r="AZ669" s="126"/>
      <c r="BA669" s="126"/>
      <c r="BB669" s="126"/>
      <c r="BC669" s="126"/>
      <c r="BD669" s="126"/>
    </row>
    <row r="670">
      <c r="A670" s="126"/>
      <c r="B670" s="126"/>
      <c r="C670" s="126"/>
      <c r="D670" s="126"/>
      <c r="E670" s="126"/>
      <c r="F670" s="13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c r="AD670" s="126"/>
      <c r="AE670" s="126"/>
      <c r="AF670" s="126"/>
      <c r="AG670" s="126"/>
      <c r="AH670" s="126"/>
      <c r="AI670" s="126"/>
      <c r="AJ670" s="126"/>
      <c r="AK670" s="126"/>
      <c r="AL670" s="126"/>
      <c r="AM670" s="126"/>
      <c r="AN670" s="126"/>
      <c r="AO670" s="126"/>
      <c r="AP670" s="126"/>
      <c r="AQ670" s="126"/>
      <c r="AR670" s="126"/>
      <c r="AS670" s="126"/>
      <c r="AT670" s="126"/>
      <c r="AU670" s="126"/>
      <c r="AV670" s="126"/>
      <c r="AW670" s="126"/>
      <c r="AX670" s="126"/>
      <c r="AY670" s="126"/>
      <c r="AZ670" s="126"/>
      <c r="BA670" s="126"/>
      <c r="BB670" s="126"/>
      <c r="BC670" s="126"/>
      <c r="BD670" s="126"/>
    </row>
    <row r="671">
      <c r="A671" s="126"/>
      <c r="B671" s="126"/>
      <c r="C671" s="126"/>
      <c r="D671" s="126"/>
      <c r="E671" s="126"/>
      <c r="F671" s="13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c r="AD671" s="126"/>
      <c r="AE671" s="126"/>
      <c r="AF671" s="126"/>
      <c r="AG671" s="126"/>
      <c r="AH671" s="126"/>
      <c r="AI671" s="126"/>
      <c r="AJ671" s="126"/>
      <c r="AK671" s="126"/>
      <c r="AL671" s="126"/>
      <c r="AM671" s="126"/>
      <c r="AN671" s="126"/>
      <c r="AO671" s="126"/>
      <c r="AP671" s="126"/>
      <c r="AQ671" s="126"/>
      <c r="AR671" s="126"/>
      <c r="AS671" s="126"/>
      <c r="AT671" s="126"/>
      <c r="AU671" s="126"/>
      <c r="AV671" s="126"/>
      <c r="AW671" s="126"/>
      <c r="AX671" s="126"/>
      <c r="AY671" s="126"/>
      <c r="AZ671" s="126"/>
      <c r="BA671" s="126"/>
      <c r="BB671" s="126"/>
      <c r="BC671" s="126"/>
      <c r="BD671" s="126"/>
    </row>
    <row r="672">
      <c r="A672" s="126"/>
      <c r="B672" s="126"/>
      <c r="C672" s="126"/>
      <c r="D672" s="126"/>
      <c r="E672" s="126"/>
      <c r="F672" s="13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c r="AD672" s="126"/>
      <c r="AE672" s="126"/>
      <c r="AF672" s="126"/>
      <c r="AG672" s="126"/>
      <c r="AH672" s="126"/>
      <c r="AI672" s="126"/>
      <c r="AJ672" s="126"/>
      <c r="AK672" s="126"/>
      <c r="AL672" s="126"/>
      <c r="AM672" s="126"/>
      <c r="AN672" s="126"/>
      <c r="AO672" s="126"/>
      <c r="AP672" s="126"/>
      <c r="AQ672" s="126"/>
      <c r="AR672" s="126"/>
      <c r="AS672" s="126"/>
      <c r="AT672" s="126"/>
      <c r="AU672" s="126"/>
      <c r="AV672" s="126"/>
      <c r="AW672" s="126"/>
      <c r="AX672" s="126"/>
      <c r="AY672" s="126"/>
      <c r="AZ672" s="126"/>
      <c r="BA672" s="126"/>
      <c r="BB672" s="126"/>
      <c r="BC672" s="126"/>
      <c r="BD672" s="126"/>
    </row>
    <row r="673">
      <c r="A673" s="126"/>
      <c r="B673" s="126"/>
      <c r="C673" s="126"/>
      <c r="D673" s="126"/>
      <c r="E673" s="126"/>
      <c r="F673" s="13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c r="AD673" s="126"/>
      <c r="AE673" s="126"/>
      <c r="AF673" s="126"/>
      <c r="AG673" s="126"/>
      <c r="AH673" s="126"/>
      <c r="AI673" s="126"/>
      <c r="AJ673" s="126"/>
      <c r="AK673" s="126"/>
      <c r="AL673" s="126"/>
      <c r="AM673" s="126"/>
      <c r="AN673" s="126"/>
      <c r="AO673" s="126"/>
      <c r="AP673" s="126"/>
      <c r="AQ673" s="126"/>
      <c r="AR673" s="126"/>
      <c r="AS673" s="126"/>
      <c r="AT673" s="126"/>
      <c r="AU673" s="126"/>
      <c r="AV673" s="126"/>
      <c r="AW673" s="126"/>
      <c r="AX673" s="126"/>
      <c r="AY673" s="126"/>
      <c r="AZ673" s="126"/>
      <c r="BA673" s="126"/>
      <c r="BB673" s="126"/>
      <c r="BC673" s="126"/>
      <c r="BD673" s="126"/>
    </row>
    <row r="674">
      <c r="A674" s="126"/>
      <c r="B674" s="126"/>
      <c r="C674" s="126"/>
      <c r="D674" s="126"/>
      <c r="E674" s="126"/>
      <c r="F674" s="13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c r="AD674" s="126"/>
      <c r="AE674" s="126"/>
      <c r="AF674" s="126"/>
      <c r="AG674" s="126"/>
      <c r="AH674" s="126"/>
      <c r="AI674" s="126"/>
      <c r="AJ674" s="126"/>
      <c r="AK674" s="126"/>
      <c r="AL674" s="126"/>
      <c r="AM674" s="126"/>
      <c r="AN674" s="126"/>
      <c r="AO674" s="126"/>
      <c r="AP674" s="126"/>
      <c r="AQ674" s="126"/>
      <c r="AR674" s="126"/>
      <c r="AS674" s="126"/>
      <c r="AT674" s="126"/>
      <c r="AU674" s="126"/>
      <c r="AV674" s="126"/>
      <c r="AW674" s="126"/>
      <c r="AX674" s="126"/>
      <c r="AY674" s="126"/>
      <c r="AZ674" s="126"/>
      <c r="BA674" s="126"/>
      <c r="BB674" s="126"/>
      <c r="BC674" s="126"/>
      <c r="BD674" s="126"/>
    </row>
    <row r="675">
      <c r="A675" s="126"/>
      <c r="B675" s="126"/>
      <c r="C675" s="126"/>
      <c r="D675" s="126"/>
      <c r="E675" s="126"/>
      <c r="F675" s="13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c r="AD675" s="126"/>
      <c r="AE675" s="126"/>
      <c r="AF675" s="126"/>
      <c r="AG675" s="126"/>
      <c r="AH675" s="126"/>
      <c r="AI675" s="126"/>
      <c r="AJ675" s="126"/>
      <c r="AK675" s="126"/>
      <c r="AL675" s="126"/>
      <c r="AM675" s="126"/>
      <c r="AN675" s="126"/>
      <c r="AO675" s="126"/>
      <c r="AP675" s="126"/>
      <c r="AQ675" s="126"/>
      <c r="AR675" s="126"/>
      <c r="AS675" s="126"/>
      <c r="AT675" s="126"/>
      <c r="AU675" s="126"/>
      <c r="AV675" s="126"/>
      <c r="AW675" s="126"/>
      <c r="AX675" s="126"/>
      <c r="AY675" s="126"/>
      <c r="AZ675" s="126"/>
      <c r="BA675" s="126"/>
      <c r="BB675" s="126"/>
      <c r="BC675" s="126"/>
      <c r="BD675" s="126"/>
    </row>
    <row r="676">
      <c r="A676" s="126"/>
      <c r="B676" s="126"/>
      <c r="C676" s="126"/>
      <c r="D676" s="126"/>
      <c r="E676" s="126"/>
      <c r="F676" s="13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c r="AD676" s="126"/>
      <c r="AE676" s="126"/>
      <c r="AF676" s="126"/>
      <c r="AG676" s="126"/>
      <c r="AH676" s="126"/>
      <c r="AI676" s="126"/>
      <c r="AJ676" s="126"/>
      <c r="AK676" s="126"/>
      <c r="AL676" s="126"/>
      <c r="AM676" s="126"/>
      <c r="AN676" s="126"/>
      <c r="AO676" s="126"/>
      <c r="AP676" s="126"/>
      <c r="AQ676" s="126"/>
      <c r="AR676" s="126"/>
      <c r="AS676" s="126"/>
      <c r="AT676" s="126"/>
      <c r="AU676" s="126"/>
      <c r="AV676" s="126"/>
      <c r="AW676" s="126"/>
      <c r="AX676" s="126"/>
      <c r="AY676" s="126"/>
      <c r="AZ676" s="126"/>
      <c r="BA676" s="126"/>
      <c r="BB676" s="126"/>
      <c r="BC676" s="126"/>
      <c r="BD676" s="126"/>
    </row>
    <row r="677">
      <c r="A677" s="126"/>
      <c r="B677" s="126"/>
      <c r="C677" s="126"/>
      <c r="D677" s="126"/>
      <c r="E677" s="126"/>
      <c r="F677" s="13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c r="AD677" s="126"/>
      <c r="AE677" s="126"/>
      <c r="AF677" s="126"/>
      <c r="AG677" s="126"/>
      <c r="AH677" s="126"/>
      <c r="AI677" s="126"/>
      <c r="AJ677" s="126"/>
      <c r="AK677" s="126"/>
      <c r="AL677" s="126"/>
      <c r="AM677" s="126"/>
      <c r="AN677" s="126"/>
      <c r="AO677" s="126"/>
      <c r="AP677" s="126"/>
      <c r="AQ677" s="126"/>
      <c r="AR677" s="126"/>
      <c r="AS677" s="126"/>
      <c r="AT677" s="126"/>
      <c r="AU677" s="126"/>
      <c r="AV677" s="126"/>
      <c r="AW677" s="126"/>
      <c r="AX677" s="126"/>
      <c r="AY677" s="126"/>
      <c r="AZ677" s="126"/>
      <c r="BA677" s="126"/>
      <c r="BB677" s="126"/>
      <c r="BC677" s="126"/>
      <c r="BD677" s="126"/>
    </row>
    <row r="678">
      <c r="A678" s="126"/>
      <c r="B678" s="126"/>
      <c r="C678" s="126"/>
      <c r="D678" s="126"/>
      <c r="E678" s="126"/>
      <c r="F678" s="13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c r="AD678" s="126"/>
      <c r="AE678" s="126"/>
      <c r="AF678" s="126"/>
      <c r="AG678" s="126"/>
      <c r="AH678" s="126"/>
      <c r="AI678" s="126"/>
      <c r="AJ678" s="126"/>
      <c r="AK678" s="126"/>
      <c r="AL678" s="126"/>
      <c r="AM678" s="126"/>
      <c r="AN678" s="126"/>
      <c r="AO678" s="126"/>
      <c r="AP678" s="126"/>
      <c r="AQ678" s="126"/>
      <c r="AR678" s="126"/>
      <c r="AS678" s="126"/>
      <c r="AT678" s="126"/>
      <c r="AU678" s="126"/>
      <c r="AV678" s="126"/>
      <c r="AW678" s="126"/>
      <c r="AX678" s="126"/>
      <c r="AY678" s="126"/>
      <c r="AZ678" s="126"/>
      <c r="BA678" s="126"/>
      <c r="BB678" s="126"/>
      <c r="BC678" s="126"/>
      <c r="BD678" s="126"/>
    </row>
    <row r="679">
      <c r="A679" s="126"/>
      <c r="B679" s="126"/>
      <c r="C679" s="126"/>
      <c r="D679" s="126"/>
      <c r="E679" s="126"/>
      <c r="F679" s="13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c r="AD679" s="126"/>
      <c r="AE679" s="126"/>
      <c r="AF679" s="126"/>
      <c r="AG679" s="126"/>
      <c r="AH679" s="126"/>
      <c r="AI679" s="126"/>
      <c r="AJ679" s="126"/>
      <c r="AK679" s="126"/>
      <c r="AL679" s="126"/>
      <c r="AM679" s="126"/>
      <c r="AN679" s="126"/>
      <c r="AO679" s="126"/>
      <c r="AP679" s="126"/>
      <c r="AQ679" s="126"/>
      <c r="AR679" s="126"/>
      <c r="AS679" s="126"/>
      <c r="AT679" s="126"/>
      <c r="AU679" s="126"/>
      <c r="AV679" s="126"/>
      <c r="AW679" s="126"/>
      <c r="AX679" s="126"/>
      <c r="AY679" s="126"/>
      <c r="AZ679" s="126"/>
      <c r="BA679" s="126"/>
      <c r="BB679" s="126"/>
      <c r="BC679" s="126"/>
      <c r="BD679" s="126"/>
    </row>
    <row r="680">
      <c r="A680" s="126"/>
      <c r="B680" s="126"/>
      <c r="C680" s="126"/>
      <c r="D680" s="126"/>
      <c r="E680" s="126"/>
      <c r="F680" s="13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c r="AD680" s="126"/>
      <c r="AE680" s="126"/>
      <c r="AF680" s="126"/>
      <c r="AG680" s="126"/>
      <c r="AH680" s="126"/>
      <c r="AI680" s="126"/>
      <c r="AJ680" s="126"/>
      <c r="AK680" s="126"/>
      <c r="AL680" s="126"/>
      <c r="AM680" s="126"/>
      <c r="AN680" s="126"/>
      <c r="AO680" s="126"/>
      <c r="AP680" s="126"/>
      <c r="AQ680" s="126"/>
      <c r="AR680" s="126"/>
      <c r="AS680" s="126"/>
      <c r="AT680" s="126"/>
      <c r="AU680" s="126"/>
      <c r="AV680" s="126"/>
      <c r="AW680" s="126"/>
      <c r="AX680" s="126"/>
      <c r="AY680" s="126"/>
      <c r="AZ680" s="126"/>
      <c r="BA680" s="126"/>
      <c r="BB680" s="126"/>
      <c r="BC680" s="126"/>
      <c r="BD680" s="126"/>
    </row>
    <row r="681">
      <c r="A681" s="126"/>
      <c r="B681" s="126"/>
      <c r="C681" s="126"/>
      <c r="D681" s="126"/>
      <c r="E681" s="126"/>
      <c r="F681" s="13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c r="AD681" s="126"/>
      <c r="AE681" s="126"/>
      <c r="AF681" s="126"/>
      <c r="AG681" s="126"/>
      <c r="AH681" s="126"/>
      <c r="AI681" s="126"/>
      <c r="AJ681" s="126"/>
      <c r="AK681" s="126"/>
      <c r="AL681" s="126"/>
      <c r="AM681" s="126"/>
      <c r="AN681" s="126"/>
      <c r="AO681" s="126"/>
      <c r="AP681" s="126"/>
      <c r="AQ681" s="126"/>
      <c r="AR681" s="126"/>
      <c r="AS681" s="126"/>
      <c r="AT681" s="126"/>
      <c r="AU681" s="126"/>
      <c r="AV681" s="126"/>
      <c r="AW681" s="126"/>
      <c r="AX681" s="126"/>
      <c r="AY681" s="126"/>
      <c r="AZ681" s="126"/>
      <c r="BA681" s="126"/>
      <c r="BB681" s="126"/>
      <c r="BC681" s="126"/>
      <c r="BD681" s="126"/>
    </row>
    <row r="682">
      <c r="A682" s="126"/>
      <c r="B682" s="126"/>
      <c r="C682" s="126"/>
      <c r="D682" s="126"/>
      <c r="E682" s="126"/>
      <c r="F682" s="13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c r="AD682" s="126"/>
      <c r="AE682" s="126"/>
      <c r="AF682" s="126"/>
      <c r="AG682" s="126"/>
      <c r="AH682" s="126"/>
      <c r="AI682" s="126"/>
      <c r="AJ682" s="126"/>
      <c r="AK682" s="126"/>
      <c r="AL682" s="126"/>
      <c r="AM682" s="126"/>
      <c r="AN682" s="126"/>
      <c r="AO682" s="126"/>
      <c r="AP682" s="126"/>
      <c r="AQ682" s="126"/>
      <c r="AR682" s="126"/>
      <c r="AS682" s="126"/>
      <c r="AT682" s="126"/>
      <c r="AU682" s="126"/>
      <c r="AV682" s="126"/>
      <c r="AW682" s="126"/>
      <c r="AX682" s="126"/>
      <c r="AY682" s="126"/>
      <c r="AZ682" s="126"/>
      <c r="BA682" s="126"/>
      <c r="BB682" s="126"/>
      <c r="BC682" s="126"/>
      <c r="BD682" s="126"/>
    </row>
    <row r="683">
      <c r="A683" s="126"/>
      <c r="B683" s="126"/>
      <c r="C683" s="126"/>
      <c r="D683" s="126"/>
      <c r="E683" s="126"/>
      <c r="F683" s="13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c r="AD683" s="126"/>
      <c r="AE683" s="126"/>
      <c r="AF683" s="126"/>
      <c r="AG683" s="126"/>
      <c r="AH683" s="126"/>
      <c r="AI683" s="126"/>
      <c r="AJ683" s="126"/>
      <c r="AK683" s="126"/>
      <c r="AL683" s="126"/>
      <c r="AM683" s="126"/>
      <c r="AN683" s="126"/>
      <c r="AO683" s="126"/>
      <c r="AP683" s="126"/>
      <c r="AQ683" s="126"/>
      <c r="AR683" s="126"/>
      <c r="AS683" s="126"/>
      <c r="AT683" s="126"/>
      <c r="AU683" s="126"/>
      <c r="AV683" s="126"/>
      <c r="AW683" s="126"/>
      <c r="AX683" s="126"/>
      <c r="AY683" s="126"/>
      <c r="AZ683" s="126"/>
      <c r="BA683" s="126"/>
      <c r="BB683" s="126"/>
      <c r="BC683" s="126"/>
      <c r="BD683" s="126"/>
    </row>
    <row r="684">
      <c r="A684" s="126"/>
      <c r="B684" s="126"/>
      <c r="C684" s="126"/>
      <c r="D684" s="126"/>
      <c r="E684" s="126"/>
      <c r="F684" s="13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c r="AD684" s="126"/>
      <c r="AE684" s="126"/>
      <c r="AF684" s="126"/>
      <c r="AG684" s="126"/>
      <c r="AH684" s="126"/>
      <c r="AI684" s="126"/>
      <c r="AJ684" s="126"/>
      <c r="AK684" s="126"/>
      <c r="AL684" s="126"/>
      <c r="AM684" s="126"/>
      <c r="AN684" s="126"/>
      <c r="AO684" s="126"/>
      <c r="AP684" s="126"/>
      <c r="AQ684" s="126"/>
      <c r="AR684" s="126"/>
      <c r="AS684" s="126"/>
      <c r="AT684" s="126"/>
      <c r="AU684" s="126"/>
      <c r="AV684" s="126"/>
      <c r="AW684" s="126"/>
      <c r="AX684" s="126"/>
      <c r="AY684" s="126"/>
      <c r="AZ684" s="126"/>
      <c r="BA684" s="126"/>
      <c r="BB684" s="126"/>
      <c r="BC684" s="126"/>
      <c r="BD684" s="126"/>
    </row>
    <row r="685">
      <c r="A685" s="126"/>
      <c r="B685" s="126"/>
      <c r="C685" s="126"/>
      <c r="D685" s="126"/>
      <c r="E685" s="126"/>
      <c r="F685" s="13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c r="AD685" s="126"/>
      <c r="AE685" s="126"/>
      <c r="AF685" s="126"/>
      <c r="AG685" s="126"/>
      <c r="AH685" s="126"/>
      <c r="AI685" s="126"/>
      <c r="AJ685" s="126"/>
      <c r="AK685" s="126"/>
      <c r="AL685" s="126"/>
      <c r="AM685" s="126"/>
      <c r="AN685" s="126"/>
      <c r="AO685" s="126"/>
      <c r="AP685" s="126"/>
      <c r="AQ685" s="126"/>
      <c r="AR685" s="126"/>
      <c r="AS685" s="126"/>
      <c r="AT685" s="126"/>
      <c r="AU685" s="126"/>
      <c r="AV685" s="126"/>
      <c r="AW685" s="126"/>
      <c r="AX685" s="126"/>
      <c r="AY685" s="126"/>
      <c r="AZ685" s="126"/>
      <c r="BA685" s="126"/>
      <c r="BB685" s="126"/>
      <c r="BC685" s="126"/>
      <c r="BD685" s="126"/>
    </row>
    <row r="686">
      <c r="A686" s="126"/>
      <c r="B686" s="126"/>
      <c r="C686" s="126"/>
      <c r="D686" s="126"/>
      <c r="E686" s="126"/>
      <c r="F686" s="13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c r="AD686" s="126"/>
      <c r="AE686" s="126"/>
      <c r="AF686" s="126"/>
      <c r="AG686" s="126"/>
      <c r="AH686" s="126"/>
      <c r="AI686" s="126"/>
      <c r="AJ686" s="126"/>
      <c r="AK686" s="126"/>
      <c r="AL686" s="126"/>
      <c r="AM686" s="126"/>
      <c r="AN686" s="126"/>
      <c r="AO686" s="126"/>
      <c r="AP686" s="126"/>
      <c r="AQ686" s="126"/>
      <c r="AR686" s="126"/>
      <c r="AS686" s="126"/>
      <c r="AT686" s="126"/>
      <c r="AU686" s="126"/>
      <c r="AV686" s="126"/>
      <c r="AW686" s="126"/>
      <c r="AX686" s="126"/>
      <c r="AY686" s="126"/>
      <c r="AZ686" s="126"/>
      <c r="BA686" s="126"/>
      <c r="BB686" s="126"/>
      <c r="BC686" s="126"/>
      <c r="BD686" s="126"/>
    </row>
    <row r="687">
      <c r="A687" s="126"/>
      <c r="B687" s="126"/>
      <c r="C687" s="126"/>
      <c r="D687" s="126"/>
      <c r="E687" s="126"/>
      <c r="F687" s="13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c r="AD687" s="126"/>
      <c r="AE687" s="126"/>
      <c r="AF687" s="126"/>
      <c r="AG687" s="126"/>
      <c r="AH687" s="126"/>
      <c r="AI687" s="126"/>
      <c r="AJ687" s="126"/>
      <c r="AK687" s="126"/>
      <c r="AL687" s="126"/>
      <c r="AM687" s="126"/>
      <c r="AN687" s="126"/>
      <c r="AO687" s="126"/>
      <c r="AP687" s="126"/>
      <c r="AQ687" s="126"/>
      <c r="AR687" s="126"/>
      <c r="AS687" s="126"/>
      <c r="AT687" s="126"/>
      <c r="AU687" s="126"/>
      <c r="AV687" s="126"/>
      <c r="AW687" s="126"/>
      <c r="AX687" s="126"/>
      <c r="AY687" s="126"/>
      <c r="AZ687" s="126"/>
      <c r="BA687" s="126"/>
      <c r="BB687" s="126"/>
      <c r="BC687" s="126"/>
      <c r="BD687" s="126"/>
    </row>
    <row r="688">
      <c r="A688" s="126"/>
      <c r="B688" s="126"/>
      <c r="C688" s="126"/>
      <c r="D688" s="126"/>
      <c r="E688" s="126"/>
      <c r="F688" s="13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c r="AD688" s="126"/>
      <c r="AE688" s="126"/>
      <c r="AF688" s="126"/>
      <c r="AG688" s="126"/>
      <c r="AH688" s="126"/>
      <c r="AI688" s="126"/>
      <c r="AJ688" s="126"/>
      <c r="AK688" s="126"/>
      <c r="AL688" s="126"/>
      <c r="AM688" s="126"/>
      <c r="AN688" s="126"/>
      <c r="AO688" s="126"/>
      <c r="AP688" s="126"/>
      <c r="AQ688" s="126"/>
      <c r="AR688" s="126"/>
      <c r="AS688" s="126"/>
      <c r="AT688" s="126"/>
      <c r="AU688" s="126"/>
      <c r="AV688" s="126"/>
      <c r="AW688" s="126"/>
      <c r="AX688" s="126"/>
      <c r="AY688" s="126"/>
      <c r="AZ688" s="126"/>
      <c r="BA688" s="126"/>
      <c r="BB688" s="126"/>
      <c r="BC688" s="126"/>
      <c r="BD688" s="126"/>
    </row>
    <row r="689">
      <c r="A689" s="126"/>
      <c r="B689" s="126"/>
      <c r="C689" s="126"/>
      <c r="D689" s="126"/>
      <c r="E689" s="126"/>
      <c r="F689" s="13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c r="AD689" s="126"/>
      <c r="AE689" s="126"/>
      <c r="AF689" s="126"/>
      <c r="AG689" s="126"/>
      <c r="AH689" s="126"/>
      <c r="AI689" s="126"/>
      <c r="AJ689" s="126"/>
      <c r="AK689" s="126"/>
      <c r="AL689" s="126"/>
      <c r="AM689" s="126"/>
      <c r="AN689" s="126"/>
      <c r="AO689" s="126"/>
      <c r="AP689" s="126"/>
      <c r="AQ689" s="126"/>
      <c r="AR689" s="126"/>
      <c r="AS689" s="126"/>
      <c r="AT689" s="126"/>
      <c r="AU689" s="126"/>
      <c r="AV689" s="126"/>
      <c r="AW689" s="126"/>
      <c r="AX689" s="126"/>
      <c r="AY689" s="126"/>
      <c r="AZ689" s="126"/>
      <c r="BA689" s="126"/>
      <c r="BB689" s="126"/>
      <c r="BC689" s="126"/>
      <c r="BD689" s="126"/>
    </row>
    <row r="690">
      <c r="A690" s="126"/>
      <c r="B690" s="126"/>
      <c r="C690" s="126"/>
      <c r="D690" s="126"/>
      <c r="E690" s="126"/>
      <c r="F690" s="13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c r="AD690" s="126"/>
      <c r="AE690" s="126"/>
      <c r="AF690" s="126"/>
      <c r="AG690" s="126"/>
      <c r="AH690" s="126"/>
      <c r="AI690" s="126"/>
      <c r="AJ690" s="126"/>
      <c r="AK690" s="126"/>
      <c r="AL690" s="126"/>
      <c r="AM690" s="126"/>
      <c r="AN690" s="126"/>
      <c r="AO690" s="126"/>
      <c r="AP690" s="126"/>
      <c r="AQ690" s="126"/>
      <c r="AR690" s="126"/>
      <c r="AS690" s="126"/>
      <c r="AT690" s="126"/>
      <c r="AU690" s="126"/>
      <c r="AV690" s="126"/>
      <c r="AW690" s="126"/>
      <c r="AX690" s="126"/>
      <c r="AY690" s="126"/>
      <c r="AZ690" s="126"/>
      <c r="BA690" s="126"/>
      <c r="BB690" s="126"/>
      <c r="BC690" s="126"/>
      <c r="BD690" s="126"/>
    </row>
    <row r="691">
      <c r="A691" s="126"/>
      <c r="B691" s="126"/>
      <c r="C691" s="126"/>
      <c r="D691" s="126"/>
      <c r="E691" s="126"/>
      <c r="F691" s="13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c r="AD691" s="126"/>
      <c r="AE691" s="126"/>
      <c r="AF691" s="126"/>
      <c r="AG691" s="126"/>
      <c r="AH691" s="126"/>
      <c r="AI691" s="126"/>
      <c r="AJ691" s="126"/>
      <c r="AK691" s="126"/>
      <c r="AL691" s="126"/>
      <c r="AM691" s="126"/>
      <c r="AN691" s="126"/>
      <c r="AO691" s="126"/>
      <c r="AP691" s="126"/>
      <c r="AQ691" s="126"/>
      <c r="AR691" s="126"/>
      <c r="AS691" s="126"/>
      <c r="AT691" s="126"/>
      <c r="AU691" s="126"/>
      <c r="AV691" s="126"/>
      <c r="AW691" s="126"/>
      <c r="AX691" s="126"/>
      <c r="AY691" s="126"/>
      <c r="AZ691" s="126"/>
      <c r="BA691" s="126"/>
      <c r="BB691" s="126"/>
      <c r="BC691" s="126"/>
      <c r="BD691" s="126"/>
    </row>
    <row r="692">
      <c r="A692" s="126"/>
      <c r="B692" s="126"/>
      <c r="C692" s="126"/>
      <c r="D692" s="126"/>
      <c r="E692" s="126"/>
      <c r="F692" s="13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c r="AD692" s="126"/>
      <c r="AE692" s="126"/>
      <c r="AF692" s="126"/>
      <c r="AG692" s="126"/>
      <c r="AH692" s="126"/>
      <c r="AI692" s="126"/>
      <c r="AJ692" s="126"/>
      <c r="AK692" s="126"/>
      <c r="AL692" s="126"/>
      <c r="AM692" s="126"/>
      <c r="AN692" s="126"/>
      <c r="AO692" s="126"/>
      <c r="AP692" s="126"/>
      <c r="AQ692" s="126"/>
      <c r="AR692" s="126"/>
      <c r="AS692" s="126"/>
      <c r="AT692" s="126"/>
      <c r="AU692" s="126"/>
      <c r="AV692" s="126"/>
      <c r="AW692" s="126"/>
      <c r="AX692" s="126"/>
      <c r="AY692" s="126"/>
      <c r="AZ692" s="126"/>
      <c r="BA692" s="126"/>
      <c r="BB692" s="126"/>
      <c r="BC692" s="126"/>
      <c r="BD692" s="126"/>
    </row>
    <row r="693">
      <c r="A693" s="126"/>
      <c r="B693" s="126"/>
      <c r="C693" s="126"/>
      <c r="D693" s="126"/>
      <c r="E693" s="126"/>
      <c r="F693" s="13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c r="AD693" s="126"/>
      <c r="AE693" s="126"/>
      <c r="AF693" s="126"/>
      <c r="AG693" s="126"/>
      <c r="AH693" s="126"/>
      <c r="AI693" s="126"/>
      <c r="AJ693" s="126"/>
      <c r="AK693" s="126"/>
      <c r="AL693" s="126"/>
      <c r="AM693" s="126"/>
      <c r="AN693" s="126"/>
      <c r="AO693" s="126"/>
      <c r="AP693" s="126"/>
      <c r="AQ693" s="126"/>
      <c r="AR693" s="126"/>
      <c r="AS693" s="126"/>
      <c r="AT693" s="126"/>
      <c r="AU693" s="126"/>
      <c r="AV693" s="126"/>
      <c r="AW693" s="126"/>
      <c r="AX693" s="126"/>
      <c r="AY693" s="126"/>
      <c r="AZ693" s="126"/>
      <c r="BA693" s="126"/>
      <c r="BB693" s="126"/>
      <c r="BC693" s="126"/>
      <c r="BD693" s="126"/>
    </row>
    <row r="694">
      <c r="A694" s="126"/>
      <c r="B694" s="126"/>
      <c r="C694" s="126"/>
      <c r="D694" s="126"/>
      <c r="E694" s="126"/>
      <c r="F694" s="13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c r="AD694" s="126"/>
      <c r="AE694" s="126"/>
      <c r="AF694" s="126"/>
      <c r="AG694" s="126"/>
      <c r="AH694" s="126"/>
      <c r="AI694" s="126"/>
      <c r="AJ694" s="126"/>
      <c r="AK694" s="126"/>
      <c r="AL694" s="126"/>
      <c r="AM694" s="126"/>
      <c r="AN694" s="126"/>
      <c r="AO694" s="126"/>
      <c r="AP694" s="126"/>
      <c r="AQ694" s="126"/>
      <c r="AR694" s="126"/>
      <c r="AS694" s="126"/>
      <c r="AT694" s="126"/>
      <c r="AU694" s="126"/>
      <c r="AV694" s="126"/>
      <c r="AW694" s="126"/>
      <c r="AX694" s="126"/>
      <c r="AY694" s="126"/>
      <c r="AZ694" s="126"/>
      <c r="BA694" s="126"/>
      <c r="BB694" s="126"/>
      <c r="BC694" s="126"/>
      <c r="BD694" s="126"/>
    </row>
    <row r="695">
      <c r="A695" s="126"/>
      <c r="B695" s="126"/>
      <c r="C695" s="126"/>
      <c r="D695" s="126"/>
      <c r="E695" s="126"/>
      <c r="F695" s="13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c r="AD695" s="126"/>
      <c r="AE695" s="126"/>
      <c r="AF695" s="126"/>
      <c r="AG695" s="126"/>
      <c r="AH695" s="126"/>
      <c r="AI695" s="126"/>
      <c r="AJ695" s="126"/>
      <c r="AK695" s="126"/>
      <c r="AL695" s="126"/>
      <c r="AM695" s="126"/>
      <c r="AN695" s="126"/>
      <c r="AO695" s="126"/>
      <c r="AP695" s="126"/>
      <c r="AQ695" s="126"/>
      <c r="AR695" s="126"/>
      <c r="AS695" s="126"/>
      <c r="AT695" s="126"/>
      <c r="AU695" s="126"/>
      <c r="AV695" s="126"/>
      <c r="AW695" s="126"/>
      <c r="AX695" s="126"/>
      <c r="AY695" s="126"/>
      <c r="AZ695" s="126"/>
      <c r="BA695" s="126"/>
      <c r="BB695" s="126"/>
      <c r="BC695" s="126"/>
      <c r="BD695" s="126"/>
    </row>
    <row r="696">
      <c r="A696" s="126"/>
      <c r="B696" s="126"/>
      <c r="C696" s="126"/>
      <c r="D696" s="126"/>
      <c r="E696" s="126"/>
      <c r="F696" s="13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c r="AD696" s="126"/>
      <c r="AE696" s="126"/>
      <c r="AF696" s="126"/>
      <c r="AG696" s="126"/>
      <c r="AH696" s="126"/>
      <c r="AI696" s="126"/>
      <c r="AJ696" s="126"/>
      <c r="AK696" s="126"/>
      <c r="AL696" s="126"/>
      <c r="AM696" s="126"/>
      <c r="AN696" s="126"/>
      <c r="AO696" s="126"/>
      <c r="AP696" s="126"/>
      <c r="AQ696" s="126"/>
      <c r="AR696" s="126"/>
      <c r="AS696" s="126"/>
      <c r="AT696" s="126"/>
      <c r="AU696" s="126"/>
      <c r="AV696" s="126"/>
      <c r="AW696" s="126"/>
      <c r="AX696" s="126"/>
      <c r="AY696" s="126"/>
      <c r="AZ696" s="126"/>
      <c r="BA696" s="126"/>
      <c r="BB696" s="126"/>
      <c r="BC696" s="126"/>
      <c r="BD696" s="126"/>
    </row>
    <row r="697">
      <c r="A697" s="126"/>
      <c r="B697" s="126"/>
      <c r="C697" s="126"/>
      <c r="D697" s="126"/>
      <c r="E697" s="126"/>
      <c r="F697" s="13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c r="BC697" s="126"/>
      <c r="BD697" s="126"/>
    </row>
    <row r="698">
      <c r="A698" s="126"/>
      <c r="B698" s="126"/>
      <c r="C698" s="126"/>
      <c r="D698" s="126"/>
      <c r="E698" s="126"/>
      <c r="F698" s="13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c r="BC698" s="126"/>
      <c r="BD698" s="126"/>
    </row>
    <row r="699">
      <c r="A699" s="126"/>
      <c r="B699" s="126"/>
      <c r="C699" s="126"/>
      <c r="D699" s="126"/>
      <c r="E699" s="126"/>
      <c r="F699" s="13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c r="BC699" s="126"/>
      <c r="BD699" s="126"/>
    </row>
    <row r="700">
      <c r="A700" s="126"/>
      <c r="B700" s="126"/>
      <c r="C700" s="126"/>
      <c r="D700" s="126"/>
      <c r="E700" s="126"/>
      <c r="F700" s="13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c r="BC700" s="126"/>
      <c r="BD700" s="126"/>
    </row>
    <row r="701">
      <c r="A701" s="126"/>
      <c r="B701" s="126"/>
      <c r="C701" s="126"/>
      <c r="D701" s="126"/>
      <c r="E701" s="126"/>
      <c r="F701" s="13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c r="BC701" s="126"/>
      <c r="BD701" s="126"/>
    </row>
    <row r="702">
      <c r="A702" s="126"/>
      <c r="B702" s="126"/>
      <c r="C702" s="126"/>
      <c r="D702" s="126"/>
      <c r="E702" s="126"/>
      <c r="F702" s="13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c r="AD702" s="126"/>
      <c r="AE702" s="126"/>
      <c r="AF702" s="126"/>
      <c r="AG702" s="126"/>
      <c r="AH702" s="126"/>
      <c r="AI702" s="126"/>
      <c r="AJ702" s="126"/>
      <c r="AK702" s="126"/>
      <c r="AL702" s="126"/>
      <c r="AM702" s="126"/>
      <c r="AN702" s="126"/>
      <c r="AO702" s="126"/>
      <c r="AP702" s="126"/>
      <c r="AQ702" s="126"/>
      <c r="AR702" s="126"/>
      <c r="AS702" s="126"/>
      <c r="AT702" s="126"/>
      <c r="AU702" s="126"/>
      <c r="AV702" s="126"/>
      <c r="AW702" s="126"/>
      <c r="AX702" s="126"/>
      <c r="AY702" s="126"/>
      <c r="AZ702" s="126"/>
      <c r="BA702" s="126"/>
      <c r="BB702" s="126"/>
      <c r="BC702" s="126"/>
      <c r="BD702" s="126"/>
    </row>
    <row r="703">
      <c r="A703" s="126"/>
      <c r="B703" s="126"/>
      <c r="C703" s="126"/>
      <c r="D703" s="126"/>
      <c r="E703" s="126"/>
      <c r="F703" s="13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c r="BC703" s="126"/>
      <c r="BD703" s="126"/>
    </row>
    <row r="704">
      <c r="A704" s="126"/>
      <c r="B704" s="126"/>
      <c r="C704" s="126"/>
      <c r="D704" s="126"/>
      <c r="E704" s="126"/>
      <c r="F704" s="13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c r="AD704" s="126"/>
      <c r="AE704" s="126"/>
      <c r="AF704" s="126"/>
      <c r="AG704" s="126"/>
      <c r="AH704" s="126"/>
      <c r="AI704" s="126"/>
      <c r="AJ704" s="126"/>
      <c r="AK704" s="126"/>
      <c r="AL704" s="126"/>
      <c r="AM704" s="126"/>
      <c r="AN704" s="126"/>
      <c r="AO704" s="126"/>
      <c r="AP704" s="126"/>
      <c r="AQ704" s="126"/>
      <c r="AR704" s="126"/>
      <c r="AS704" s="126"/>
      <c r="AT704" s="126"/>
      <c r="AU704" s="126"/>
      <c r="AV704" s="126"/>
      <c r="AW704" s="126"/>
      <c r="AX704" s="126"/>
      <c r="AY704" s="126"/>
      <c r="AZ704" s="126"/>
      <c r="BA704" s="126"/>
      <c r="BB704" s="126"/>
      <c r="BC704" s="126"/>
      <c r="BD704" s="126"/>
    </row>
    <row r="705">
      <c r="A705" s="126"/>
      <c r="B705" s="126"/>
      <c r="C705" s="126"/>
      <c r="D705" s="126"/>
      <c r="E705" s="126"/>
      <c r="F705" s="13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c r="AD705" s="126"/>
      <c r="AE705" s="126"/>
      <c r="AF705" s="126"/>
      <c r="AG705" s="126"/>
      <c r="AH705" s="126"/>
      <c r="AI705" s="126"/>
      <c r="AJ705" s="126"/>
      <c r="AK705" s="126"/>
      <c r="AL705" s="126"/>
      <c r="AM705" s="126"/>
      <c r="AN705" s="126"/>
      <c r="AO705" s="126"/>
      <c r="AP705" s="126"/>
      <c r="AQ705" s="126"/>
      <c r="AR705" s="126"/>
      <c r="AS705" s="126"/>
      <c r="AT705" s="126"/>
      <c r="AU705" s="126"/>
      <c r="AV705" s="126"/>
      <c r="AW705" s="126"/>
      <c r="AX705" s="126"/>
      <c r="AY705" s="126"/>
      <c r="AZ705" s="126"/>
      <c r="BA705" s="126"/>
      <c r="BB705" s="126"/>
      <c r="BC705" s="126"/>
      <c r="BD705" s="126"/>
    </row>
    <row r="706">
      <c r="A706" s="126"/>
      <c r="B706" s="126"/>
      <c r="C706" s="126"/>
      <c r="D706" s="126"/>
      <c r="E706" s="126"/>
      <c r="F706" s="13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c r="AD706" s="126"/>
      <c r="AE706" s="126"/>
      <c r="AF706" s="126"/>
      <c r="AG706" s="126"/>
      <c r="AH706" s="126"/>
      <c r="AI706" s="126"/>
      <c r="AJ706" s="126"/>
      <c r="AK706" s="126"/>
      <c r="AL706" s="126"/>
      <c r="AM706" s="126"/>
      <c r="AN706" s="126"/>
      <c r="AO706" s="126"/>
      <c r="AP706" s="126"/>
      <c r="AQ706" s="126"/>
      <c r="AR706" s="126"/>
      <c r="AS706" s="126"/>
      <c r="AT706" s="126"/>
      <c r="AU706" s="126"/>
      <c r="AV706" s="126"/>
      <c r="AW706" s="126"/>
      <c r="AX706" s="126"/>
      <c r="AY706" s="126"/>
      <c r="AZ706" s="126"/>
      <c r="BA706" s="126"/>
      <c r="BB706" s="126"/>
      <c r="BC706" s="126"/>
      <c r="BD706" s="126"/>
    </row>
    <row r="707">
      <c r="A707" s="126"/>
      <c r="B707" s="126"/>
      <c r="C707" s="126"/>
      <c r="D707" s="126"/>
      <c r="E707" s="126"/>
      <c r="F707" s="13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c r="AD707" s="126"/>
      <c r="AE707" s="126"/>
      <c r="AF707" s="126"/>
      <c r="AG707" s="126"/>
      <c r="AH707" s="126"/>
      <c r="AI707" s="126"/>
      <c r="AJ707" s="126"/>
      <c r="AK707" s="126"/>
      <c r="AL707" s="126"/>
      <c r="AM707" s="126"/>
      <c r="AN707" s="126"/>
      <c r="AO707" s="126"/>
      <c r="AP707" s="126"/>
      <c r="AQ707" s="126"/>
      <c r="AR707" s="126"/>
      <c r="AS707" s="126"/>
      <c r="AT707" s="126"/>
      <c r="AU707" s="126"/>
      <c r="AV707" s="126"/>
      <c r="AW707" s="126"/>
      <c r="AX707" s="126"/>
      <c r="AY707" s="126"/>
      <c r="AZ707" s="126"/>
      <c r="BA707" s="126"/>
      <c r="BB707" s="126"/>
      <c r="BC707" s="126"/>
      <c r="BD707" s="126"/>
    </row>
    <row r="708">
      <c r="A708" s="126"/>
      <c r="B708" s="126"/>
      <c r="C708" s="126"/>
      <c r="D708" s="126"/>
      <c r="E708" s="126"/>
      <c r="F708" s="13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c r="AD708" s="126"/>
      <c r="AE708" s="126"/>
      <c r="AF708" s="126"/>
      <c r="AG708" s="126"/>
      <c r="AH708" s="126"/>
      <c r="AI708" s="126"/>
      <c r="AJ708" s="126"/>
      <c r="AK708" s="126"/>
      <c r="AL708" s="126"/>
      <c r="AM708" s="126"/>
      <c r="AN708" s="126"/>
      <c r="AO708" s="126"/>
      <c r="AP708" s="126"/>
      <c r="AQ708" s="126"/>
      <c r="AR708" s="126"/>
      <c r="AS708" s="126"/>
      <c r="AT708" s="126"/>
      <c r="AU708" s="126"/>
      <c r="AV708" s="126"/>
      <c r="AW708" s="126"/>
      <c r="AX708" s="126"/>
      <c r="AY708" s="126"/>
      <c r="AZ708" s="126"/>
      <c r="BA708" s="126"/>
      <c r="BB708" s="126"/>
      <c r="BC708" s="126"/>
      <c r="BD708" s="126"/>
    </row>
    <row r="709">
      <c r="A709" s="126"/>
      <c r="B709" s="126"/>
      <c r="C709" s="126"/>
      <c r="D709" s="126"/>
      <c r="E709" s="126"/>
      <c r="F709" s="13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c r="AD709" s="126"/>
      <c r="AE709" s="126"/>
      <c r="AF709" s="126"/>
      <c r="AG709" s="126"/>
      <c r="AH709" s="126"/>
      <c r="AI709" s="126"/>
      <c r="AJ709" s="126"/>
      <c r="AK709" s="126"/>
      <c r="AL709" s="126"/>
      <c r="AM709" s="126"/>
      <c r="AN709" s="126"/>
      <c r="AO709" s="126"/>
      <c r="AP709" s="126"/>
      <c r="AQ709" s="126"/>
      <c r="AR709" s="126"/>
      <c r="AS709" s="126"/>
      <c r="AT709" s="126"/>
      <c r="AU709" s="126"/>
      <c r="AV709" s="126"/>
      <c r="AW709" s="126"/>
      <c r="AX709" s="126"/>
      <c r="AY709" s="126"/>
      <c r="AZ709" s="126"/>
      <c r="BA709" s="126"/>
      <c r="BB709" s="126"/>
      <c r="BC709" s="126"/>
      <c r="BD709" s="126"/>
    </row>
    <row r="710">
      <c r="A710" s="126"/>
      <c r="B710" s="126"/>
      <c r="C710" s="126"/>
      <c r="D710" s="126"/>
      <c r="E710" s="126"/>
      <c r="F710" s="13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c r="AD710" s="126"/>
      <c r="AE710" s="126"/>
      <c r="AF710" s="126"/>
      <c r="AG710" s="126"/>
      <c r="AH710" s="126"/>
      <c r="AI710" s="126"/>
      <c r="AJ710" s="126"/>
      <c r="AK710" s="126"/>
      <c r="AL710" s="126"/>
      <c r="AM710" s="126"/>
      <c r="AN710" s="126"/>
      <c r="AO710" s="126"/>
      <c r="AP710" s="126"/>
      <c r="AQ710" s="126"/>
      <c r="AR710" s="126"/>
      <c r="AS710" s="126"/>
      <c r="AT710" s="126"/>
      <c r="AU710" s="126"/>
      <c r="AV710" s="126"/>
      <c r="AW710" s="126"/>
      <c r="AX710" s="126"/>
      <c r="AY710" s="126"/>
      <c r="AZ710" s="126"/>
      <c r="BA710" s="126"/>
      <c r="BB710" s="126"/>
      <c r="BC710" s="126"/>
      <c r="BD710" s="126"/>
    </row>
    <row r="711">
      <c r="A711" s="126"/>
      <c r="B711" s="126"/>
      <c r="C711" s="126"/>
      <c r="D711" s="126"/>
      <c r="E711" s="126"/>
      <c r="F711" s="13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c r="AD711" s="126"/>
      <c r="AE711" s="126"/>
      <c r="AF711" s="126"/>
      <c r="AG711" s="126"/>
      <c r="AH711" s="126"/>
      <c r="AI711" s="126"/>
      <c r="AJ711" s="126"/>
      <c r="AK711" s="126"/>
      <c r="AL711" s="126"/>
      <c r="AM711" s="126"/>
      <c r="AN711" s="126"/>
      <c r="AO711" s="126"/>
      <c r="AP711" s="126"/>
      <c r="AQ711" s="126"/>
      <c r="AR711" s="126"/>
      <c r="AS711" s="126"/>
      <c r="AT711" s="126"/>
      <c r="AU711" s="126"/>
      <c r="AV711" s="126"/>
      <c r="AW711" s="126"/>
      <c r="AX711" s="126"/>
      <c r="AY711" s="126"/>
      <c r="AZ711" s="126"/>
      <c r="BA711" s="126"/>
      <c r="BB711" s="126"/>
      <c r="BC711" s="126"/>
      <c r="BD711" s="126"/>
    </row>
    <row r="712">
      <c r="A712" s="126"/>
      <c r="B712" s="126"/>
      <c r="C712" s="126"/>
      <c r="D712" s="126"/>
      <c r="E712" s="126"/>
      <c r="F712" s="13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c r="AD712" s="126"/>
      <c r="AE712" s="126"/>
      <c r="AF712" s="126"/>
      <c r="AG712" s="126"/>
      <c r="AH712" s="126"/>
      <c r="AI712" s="126"/>
      <c r="AJ712" s="126"/>
      <c r="AK712" s="126"/>
      <c r="AL712" s="126"/>
      <c r="AM712" s="126"/>
      <c r="AN712" s="126"/>
      <c r="AO712" s="126"/>
      <c r="AP712" s="126"/>
      <c r="AQ712" s="126"/>
      <c r="AR712" s="126"/>
      <c r="AS712" s="126"/>
      <c r="AT712" s="126"/>
      <c r="AU712" s="126"/>
      <c r="AV712" s="126"/>
      <c r="AW712" s="126"/>
      <c r="AX712" s="126"/>
      <c r="AY712" s="126"/>
      <c r="AZ712" s="126"/>
      <c r="BA712" s="126"/>
      <c r="BB712" s="126"/>
      <c r="BC712" s="126"/>
      <c r="BD712" s="126"/>
    </row>
    <row r="713">
      <c r="A713" s="126"/>
      <c r="B713" s="126"/>
      <c r="C713" s="126"/>
      <c r="D713" s="126"/>
      <c r="E713" s="126"/>
      <c r="F713" s="13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c r="AD713" s="126"/>
      <c r="AE713" s="126"/>
      <c r="AF713" s="126"/>
      <c r="AG713" s="126"/>
      <c r="AH713" s="126"/>
      <c r="AI713" s="126"/>
      <c r="AJ713" s="126"/>
      <c r="AK713" s="126"/>
      <c r="AL713" s="126"/>
      <c r="AM713" s="126"/>
      <c r="AN713" s="126"/>
      <c r="AO713" s="126"/>
      <c r="AP713" s="126"/>
      <c r="AQ713" s="126"/>
      <c r="AR713" s="126"/>
      <c r="AS713" s="126"/>
      <c r="AT713" s="126"/>
      <c r="AU713" s="126"/>
      <c r="AV713" s="126"/>
      <c r="AW713" s="126"/>
      <c r="AX713" s="126"/>
      <c r="AY713" s="126"/>
      <c r="AZ713" s="126"/>
      <c r="BA713" s="126"/>
      <c r="BB713" s="126"/>
      <c r="BC713" s="126"/>
      <c r="BD713" s="126"/>
    </row>
    <row r="714">
      <c r="A714" s="126"/>
      <c r="B714" s="126"/>
      <c r="C714" s="126"/>
      <c r="D714" s="126"/>
      <c r="E714" s="126"/>
      <c r="F714" s="13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c r="AD714" s="126"/>
      <c r="AE714" s="126"/>
      <c r="AF714" s="126"/>
      <c r="AG714" s="126"/>
      <c r="AH714" s="126"/>
      <c r="AI714" s="126"/>
      <c r="AJ714" s="126"/>
      <c r="AK714" s="126"/>
      <c r="AL714" s="126"/>
      <c r="AM714" s="126"/>
      <c r="AN714" s="126"/>
      <c r="AO714" s="126"/>
      <c r="AP714" s="126"/>
      <c r="AQ714" s="126"/>
      <c r="AR714" s="126"/>
      <c r="AS714" s="126"/>
      <c r="AT714" s="126"/>
      <c r="AU714" s="126"/>
      <c r="AV714" s="126"/>
      <c r="AW714" s="126"/>
      <c r="AX714" s="126"/>
      <c r="AY714" s="126"/>
      <c r="AZ714" s="126"/>
      <c r="BA714" s="126"/>
      <c r="BB714" s="126"/>
      <c r="BC714" s="126"/>
      <c r="BD714" s="126"/>
    </row>
    <row r="715">
      <c r="A715" s="126"/>
      <c r="B715" s="126"/>
      <c r="C715" s="126"/>
      <c r="D715" s="126"/>
      <c r="E715" s="126"/>
      <c r="F715" s="13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c r="AD715" s="126"/>
      <c r="AE715" s="126"/>
      <c r="AF715" s="126"/>
      <c r="AG715" s="126"/>
      <c r="AH715" s="126"/>
      <c r="AI715" s="126"/>
      <c r="AJ715" s="126"/>
      <c r="AK715" s="126"/>
      <c r="AL715" s="126"/>
      <c r="AM715" s="126"/>
      <c r="AN715" s="126"/>
      <c r="AO715" s="126"/>
      <c r="AP715" s="126"/>
      <c r="AQ715" s="126"/>
      <c r="AR715" s="126"/>
      <c r="AS715" s="126"/>
      <c r="AT715" s="126"/>
      <c r="AU715" s="126"/>
      <c r="AV715" s="126"/>
      <c r="AW715" s="126"/>
      <c r="AX715" s="126"/>
      <c r="AY715" s="126"/>
      <c r="AZ715" s="126"/>
      <c r="BA715" s="126"/>
      <c r="BB715" s="126"/>
      <c r="BC715" s="126"/>
      <c r="BD715" s="126"/>
    </row>
    <row r="716">
      <c r="A716" s="126"/>
      <c r="B716" s="126"/>
      <c r="C716" s="126"/>
      <c r="D716" s="126"/>
      <c r="E716" s="126"/>
      <c r="F716" s="13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c r="AD716" s="126"/>
      <c r="AE716" s="126"/>
      <c r="AF716" s="126"/>
      <c r="AG716" s="126"/>
      <c r="AH716" s="126"/>
      <c r="AI716" s="126"/>
      <c r="AJ716" s="126"/>
      <c r="AK716" s="126"/>
      <c r="AL716" s="126"/>
      <c r="AM716" s="126"/>
      <c r="AN716" s="126"/>
      <c r="AO716" s="126"/>
      <c r="AP716" s="126"/>
      <c r="AQ716" s="126"/>
      <c r="AR716" s="126"/>
      <c r="AS716" s="126"/>
      <c r="AT716" s="126"/>
      <c r="AU716" s="126"/>
      <c r="AV716" s="126"/>
      <c r="AW716" s="126"/>
      <c r="AX716" s="126"/>
      <c r="AY716" s="126"/>
      <c r="AZ716" s="126"/>
      <c r="BA716" s="126"/>
      <c r="BB716" s="126"/>
      <c r="BC716" s="126"/>
      <c r="BD716" s="126"/>
    </row>
    <row r="717">
      <c r="A717" s="126"/>
      <c r="B717" s="126"/>
      <c r="C717" s="126"/>
      <c r="D717" s="126"/>
      <c r="E717" s="126"/>
      <c r="F717" s="13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c r="AD717" s="126"/>
      <c r="AE717" s="126"/>
      <c r="AF717" s="126"/>
      <c r="AG717" s="126"/>
      <c r="AH717" s="126"/>
      <c r="AI717" s="126"/>
      <c r="AJ717" s="126"/>
      <c r="AK717" s="126"/>
      <c r="AL717" s="126"/>
      <c r="AM717" s="126"/>
      <c r="AN717" s="126"/>
      <c r="AO717" s="126"/>
      <c r="AP717" s="126"/>
      <c r="AQ717" s="126"/>
      <c r="AR717" s="126"/>
      <c r="AS717" s="126"/>
      <c r="AT717" s="126"/>
      <c r="AU717" s="126"/>
      <c r="AV717" s="126"/>
      <c r="AW717" s="126"/>
      <c r="AX717" s="126"/>
      <c r="AY717" s="126"/>
      <c r="AZ717" s="126"/>
      <c r="BA717" s="126"/>
      <c r="BB717" s="126"/>
      <c r="BC717" s="126"/>
      <c r="BD717" s="126"/>
    </row>
    <row r="718">
      <c r="A718" s="126"/>
      <c r="B718" s="126"/>
      <c r="C718" s="126"/>
      <c r="D718" s="126"/>
      <c r="E718" s="126"/>
      <c r="F718" s="13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c r="AD718" s="126"/>
      <c r="AE718" s="126"/>
      <c r="AF718" s="126"/>
      <c r="AG718" s="126"/>
      <c r="AH718" s="126"/>
      <c r="AI718" s="126"/>
      <c r="AJ718" s="126"/>
      <c r="AK718" s="126"/>
      <c r="AL718" s="126"/>
      <c r="AM718" s="126"/>
      <c r="AN718" s="126"/>
      <c r="AO718" s="126"/>
      <c r="AP718" s="126"/>
      <c r="AQ718" s="126"/>
      <c r="AR718" s="126"/>
      <c r="AS718" s="126"/>
      <c r="AT718" s="126"/>
      <c r="AU718" s="126"/>
      <c r="AV718" s="126"/>
      <c r="AW718" s="126"/>
      <c r="AX718" s="126"/>
      <c r="AY718" s="126"/>
      <c r="AZ718" s="126"/>
      <c r="BA718" s="126"/>
      <c r="BB718" s="126"/>
      <c r="BC718" s="126"/>
      <c r="BD718" s="126"/>
    </row>
    <row r="719">
      <c r="A719" s="126"/>
      <c r="B719" s="126"/>
      <c r="C719" s="126"/>
      <c r="D719" s="126"/>
      <c r="E719" s="126"/>
      <c r="F719" s="13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c r="AD719" s="126"/>
      <c r="AE719" s="126"/>
      <c r="AF719" s="126"/>
      <c r="AG719" s="126"/>
      <c r="AH719" s="126"/>
      <c r="AI719" s="126"/>
      <c r="AJ719" s="126"/>
      <c r="AK719" s="126"/>
      <c r="AL719" s="126"/>
      <c r="AM719" s="126"/>
      <c r="AN719" s="126"/>
      <c r="AO719" s="126"/>
      <c r="AP719" s="126"/>
      <c r="AQ719" s="126"/>
      <c r="AR719" s="126"/>
      <c r="AS719" s="126"/>
      <c r="AT719" s="126"/>
      <c r="AU719" s="126"/>
      <c r="AV719" s="126"/>
      <c r="AW719" s="126"/>
      <c r="AX719" s="126"/>
      <c r="AY719" s="126"/>
      <c r="AZ719" s="126"/>
      <c r="BA719" s="126"/>
      <c r="BB719" s="126"/>
      <c r="BC719" s="126"/>
      <c r="BD719" s="126"/>
    </row>
    <row r="720">
      <c r="A720" s="126"/>
      <c r="B720" s="126"/>
      <c r="C720" s="126"/>
      <c r="D720" s="126"/>
      <c r="E720" s="126"/>
      <c r="F720" s="13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c r="AD720" s="126"/>
      <c r="AE720" s="126"/>
      <c r="AF720" s="126"/>
      <c r="AG720" s="126"/>
      <c r="AH720" s="126"/>
      <c r="AI720" s="126"/>
      <c r="AJ720" s="126"/>
      <c r="AK720" s="126"/>
      <c r="AL720" s="126"/>
      <c r="AM720" s="126"/>
      <c r="AN720" s="126"/>
      <c r="AO720" s="126"/>
      <c r="AP720" s="126"/>
      <c r="AQ720" s="126"/>
      <c r="AR720" s="126"/>
      <c r="AS720" s="126"/>
      <c r="AT720" s="126"/>
      <c r="AU720" s="126"/>
      <c r="AV720" s="126"/>
      <c r="AW720" s="126"/>
      <c r="AX720" s="126"/>
      <c r="AY720" s="126"/>
      <c r="AZ720" s="126"/>
      <c r="BA720" s="126"/>
      <c r="BB720" s="126"/>
      <c r="BC720" s="126"/>
      <c r="BD720" s="126"/>
    </row>
    <row r="721">
      <c r="A721" s="126"/>
      <c r="B721" s="126"/>
      <c r="C721" s="126"/>
      <c r="D721" s="126"/>
      <c r="E721" s="126"/>
      <c r="F721" s="13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c r="AD721" s="126"/>
      <c r="AE721" s="126"/>
      <c r="AF721" s="126"/>
      <c r="AG721" s="126"/>
      <c r="AH721" s="126"/>
      <c r="AI721" s="126"/>
      <c r="AJ721" s="126"/>
      <c r="AK721" s="126"/>
      <c r="AL721" s="126"/>
      <c r="AM721" s="126"/>
      <c r="AN721" s="126"/>
      <c r="AO721" s="126"/>
      <c r="AP721" s="126"/>
      <c r="AQ721" s="126"/>
      <c r="AR721" s="126"/>
      <c r="AS721" s="126"/>
      <c r="AT721" s="126"/>
      <c r="AU721" s="126"/>
      <c r="AV721" s="126"/>
      <c r="AW721" s="126"/>
      <c r="AX721" s="126"/>
      <c r="AY721" s="126"/>
      <c r="AZ721" s="126"/>
      <c r="BA721" s="126"/>
      <c r="BB721" s="126"/>
      <c r="BC721" s="126"/>
      <c r="BD721" s="126"/>
    </row>
    <row r="722">
      <c r="A722" s="126"/>
      <c r="B722" s="126"/>
      <c r="C722" s="126"/>
      <c r="D722" s="126"/>
      <c r="E722" s="126"/>
      <c r="F722" s="13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c r="AD722" s="126"/>
      <c r="AE722" s="126"/>
      <c r="AF722" s="126"/>
      <c r="AG722" s="126"/>
      <c r="AH722" s="126"/>
      <c r="AI722" s="126"/>
      <c r="AJ722" s="126"/>
      <c r="AK722" s="126"/>
      <c r="AL722" s="126"/>
      <c r="AM722" s="126"/>
      <c r="AN722" s="126"/>
      <c r="AO722" s="126"/>
      <c r="AP722" s="126"/>
      <c r="AQ722" s="126"/>
      <c r="AR722" s="126"/>
      <c r="AS722" s="126"/>
      <c r="AT722" s="126"/>
      <c r="AU722" s="126"/>
      <c r="AV722" s="126"/>
      <c r="AW722" s="126"/>
      <c r="AX722" s="126"/>
      <c r="AY722" s="126"/>
      <c r="AZ722" s="126"/>
      <c r="BA722" s="126"/>
      <c r="BB722" s="126"/>
      <c r="BC722" s="126"/>
      <c r="BD722" s="126"/>
    </row>
    <row r="723">
      <c r="A723" s="126"/>
      <c r="B723" s="126"/>
      <c r="C723" s="126"/>
      <c r="D723" s="126"/>
      <c r="E723" s="126"/>
      <c r="F723" s="13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c r="AD723" s="126"/>
      <c r="AE723" s="126"/>
      <c r="AF723" s="126"/>
      <c r="AG723" s="126"/>
      <c r="AH723" s="126"/>
      <c r="AI723" s="126"/>
      <c r="AJ723" s="126"/>
      <c r="AK723" s="126"/>
      <c r="AL723" s="126"/>
      <c r="AM723" s="126"/>
      <c r="AN723" s="126"/>
      <c r="AO723" s="126"/>
      <c r="AP723" s="126"/>
      <c r="AQ723" s="126"/>
      <c r="AR723" s="126"/>
      <c r="AS723" s="126"/>
      <c r="AT723" s="126"/>
      <c r="AU723" s="126"/>
      <c r="AV723" s="126"/>
      <c r="AW723" s="126"/>
      <c r="AX723" s="126"/>
      <c r="AY723" s="126"/>
      <c r="AZ723" s="126"/>
      <c r="BA723" s="126"/>
      <c r="BB723" s="126"/>
      <c r="BC723" s="126"/>
      <c r="BD723" s="126"/>
    </row>
    <row r="724">
      <c r="A724" s="126"/>
      <c r="B724" s="126"/>
      <c r="C724" s="126"/>
      <c r="D724" s="126"/>
      <c r="E724" s="126"/>
      <c r="F724" s="13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c r="AD724" s="126"/>
      <c r="AE724" s="126"/>
      <c r="AF724" s="126"/>
      <c r="AG724" s="126"/>
      <c r="AH724" s="126"/>
      <c r="AI724" s="126"/>
      <c r="AJ724" s="126"/>
      <c r="AK724" s="126"/>
      <c r="AL724" s="126"/>
      <c r="AM724" s="126"/>
      <c r="AN724" s="126"/>
      <c r="AO724" s="126"/>
      <c r="AP724" s="126"/>
      <c r="AQ724" s="126"/>
      <c r="AR724" s="126"/>
      <c r="AS724" s="126"/>
      <c r="AT724" s="126"/>
      <c r="AU724" s="126"/>
      <c r="AV724" s="126"/>
      <c r="AW724" s="126"/>
      <c r="AX724" s="126"/>
      <c r="AY724" s="126"/>
      <c r="AZ724" s="126"/>
      <c r="BA724" s="126"/>
      <c r="BB724" s="126"/>
      <c r="BC724" s="126"/>
      <c r="BD724" s="126"/>
    </row>
    <row r="725">
      <c r="A725" s="126"/>
      <c r="B725" s="126"/>
      <c r="C725" s="126"/>
      <c r="D725" s="126"/>
      <c r="E725" s="126"/>
      <c r="F725" s="13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c r="AD725" s="126"/>
      <c r="AE725" s="126"/>
      <c r="AF725" s="126"/>
      <c r="AG725" s="126"/>
      <c r="AH725" s="126"/>
      <c r="AI725" s="126"/>
      <c r="AJ725" s="126"/>
      <c r="AK725" s="126"/>
      <c r="AL725" s="126"/>
      <c r="AM725" s="126"/>
      <c r="AN725" s="126"/>
      <c r="AO725" s="126"/>
      <c r="AP725" s="126"/>
      <c r="AQ725" s="126"/>
      <c r="AR725" s="126"/>
      <c r="AS725" s="126"/>
      <c r="AT725" s="126"/>
      <c r="AU725" s="126"/>
      <c r="AV725" s="126"/>
      <c r="AW725" s="126"/>
      <c r="AX725" s="126"/>
      <c r="AY725" s="126"/>
      <c r="AZ725" s="126"/>
      <c r="BA725" s="126"/>
      <c r="BB725" s="126"/>
      <c r="BC725" s="126"/>
      <c r="BD725" s="126"/>
    </row>
    <row r="726">
      <c r="A726" s="126"/>
      <c r="B726" s="126"/>
      <c r="C726" s="126"/>
      <c r="D726" s="126"/>
      <c r="E726" s="126"/>
      <c r="F726" s="13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c r="AD726" s="126"/>
      <c r="AE726" s="126"/>
      <c r="AF726" s="126"/>
      <c r="AG726" s="126"/>
      <c r="AH726" s="126"/>
      <c r="AI726" s="126"/>
      <c r="AJ726" s="126"/>
      <c r="AK726" s="126"/>
      <c r="AL726" s="126"/>
      <c r="AM726" s="126"/>
      <c r="AN726" s="126"/>
      <c r="AO726" s="126"/>
      <c r="AP726" s="126"/>
      <c r="AQ726" s="126"/>
      <c r="AR726" s="126"/>
      <c r="AS726" s="126"/>
      <c r="AT726" s="126"/>
      <c r="AU726" s="126"/>
      <c r="AV726" s="126"/>
      <c r="AW726" s="126"/>
      <c r="AX726" s="126"/>
      <c r="AY726" s="126"/>
      <c r="AZ726" s="126"/>
      <c r="BA726" s="126"/>
      <c r="BB726" s="126"/>
      <c r="BC726" s="126"/>
      <c r="BD726" s="126"/>
    </row>
    <row r="727">
      <c r="A727" s="126"/>
      <c r="B727" s="126"/>
      <c r="C727" s="126"/>
      <c r="D727" s="126"/>
      <c r="E727" s="126"/>
      <c r="F727" s="13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c r="AD727" s="126"/>
      <c r="AE727" s="126"/>
      <c r="AF727" s="126"/>
      <c r="AG727" s="126"/>
      <c r="AH727" s="126"/>
      <c r="AI727" s="126"/>
      <c r="AJ727" s="126"/>
      <c r="AK727" s="126"/>
      <c r="AL727" s="126"/>
      <c r="AM727" s="126"/>
      <c r="AN727" s="126"/>
      <c r="AO727" s="126"/>
      <c r="AP727" s="126"/>
      <c r="AQ727" s="126"/>
      <c r="AR727" s="126"/>
      <c r="AS727" s="126"/>
      <c r="AT727" s="126"/>
      <c r="AU727" s="126"/>
      <c r="AV727" s="126"/>
      <c r="AW727" s="126"/>
      <c r="AX727" s="126"/>
      <c r="AY727" s="126"/>
      <c r="AZ727" s="126"/>
      <c r="BA727" s="126"/>
      <c r="BB727" s="126"/>
      <c r="BC727" s="126"/>
      <c r="BD727" s="126"/>
    </row>
    <row r="728">
      <c r="A728" s="126"/>
      <c r="B728" s="126"/>
      <c r="C728" s="126"/>
      <c r="D728" s="126"/>
      <c r="E728" s="126"/>
      <c r="F728" s="13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row>
    <row r="729">
      <c r="A729" s="126"/>
      <c r="B729" s="126"/>
      <c r="C729" s="126"/>
      <c r="D729" s="126"/>
      <c r="E729" s="126"/>
      <c r="F729" s="13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row>
    <row r="730">
      <c r="A730" s="126"/>
      <c r="B730" s="126"/>
      <c r="C730" s="126"/>
      <c r="D730" s="126"/>
      <c r="E730" s="126"/>
      <c r="F730" s="13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row>
    <row r="731">
      <c r="A731" s="126"/>
      <c r="B731" s="126"/>
      <c r="C731" s="126"/>
      <c r="D731" s="126"/>
      <c r="E731" s="126"/>
      <c r="F731" s="13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row>
    <row r="732">
      <c r="A732" s="126"/>
      <c r="B732" s="126"/>
      <c r="C732" s="126"/>
      <c r="D732" s="126"/>
      <c r="E732" s="126"/>
      <c r="F732" s="13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row>
    <row r="733">
      <c r="A733" s="126"/>
      <c r="B733" s="126"/>
      <c r="C733" s="126"/>
      <c r="D733" s="126"/>
      <c r="E733" s="126"/>
      <c r="F733" s="13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row>
    <row r="734">
      <c r="A734" s="126"/>
      <c r="B734" s="126"/>
      <c r="C734" s="126"/>
      <c r="D734" s="126"/>
      <c r="E734" s="126"/>
      <c r="F734" s="13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row>
    <row r="735">
      <c r="A735" s="126"/>
      <c r="B735" s="126"/>
      <c r="C735" s="126"/>
      <c r="D735" s="126"/>
      <c r="E735" s="126"/>
      <c r="F735" s="13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row>
    <row r="736">
      <c r="A736" s="126"/>
      <c r="B736" s="126"/>
      <c r="C736" s="126"/>
      <c r="D736" s="126"/>
      <c r="E736" s="126"/>
      <c r="F736" s="13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row>
    <row r="737">
      <c r="A737" s="126"/>
      <c r="B737" s="126"/>
      <c r="C737" s="126"/>
      <c r="D737" s="126"/>
      <c r="E737" s="126"/>
      <c r="F737" s="13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c r="BC737" s="126"/>
      <c r="BD737" s="126"/>
    </row>
    <row r="738">
      <c r="A738" s="126"/>
      <c r="B738" s="126"/>
      <c r="C738" s="126"/>
      <c r="D738" s="126"/>
      <c r="E738" s="126"/>
      <c r="F738" s="13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c r="BC738" s="126"/>
      <c r="BD738" s="126"/>
    </row>
    <row r="739">
      <c r="A739" s="126"/>
      <c r="B739" s="126"/>
      <c r="C739" s="126"/>
      <c r="D739" s="126"/>
      <c r="E739" s="126"/>
      <c r="F739" s="13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c r="BC739" s="126"/>
      <c r="BD739" s="126"/>
    </row>
    <row r="740">
      <c r="A740" s="126"/>
      <c r="B740" s="126"/>
      <c r="C740" s="126"/>
      <c r="D740" s="126"/>
      <c r="E740" s="126"/>
      <c r="F740" s="13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c r="BC740" s="126"/>
      <c r="BD740" s="126"/>
    </row>
    <row r="741">
      <c r="A741" s="126"/>
      <c r="B741" s="126"/>
      <c r="C741" s="126"/>
      <c r="D741" s="126"/>
      <c r="E741" s="126"/>
      <c r="F741" s="13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c r="BC741" s="126"/>
      <c r="BD741" s="126"/>
    </row>
    <row r="742">
      <c r="A742" s="126"/>
      <c r="B742" s="126"/>
      <c r="C742" s="126"/>
      <c r="D742" s="126"/>
      <c r="E742" s="126"/>
      <c r="F742" s="13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c r="BC742" s="126"/>
      <c r="BD742" s="126"/>
    </row>
    <row r="743">
      <c r="A743" s="126"/>
      <c r="B743" s="126"/>
      <c r="C743" s="126"/>
      <c r="D743" s="126"/>
      <c r="E743" s="126"/>
      <c r="F743" s="13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c r="BC743" s="126"/>
      <c r="BD743" s="126"/>
    </row>
    <row r="744">
      <c r="A744" s="126"/>
      <c r="B744" s="126"/>
      <c r="C744" s="126"/>
      <c r="D744" s="126"/>
      <c r="E744" s="126"/>
      <c r="F744" s="13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c r="BC744" s="126"/>
      <c r="BD744" s="126"/>
    </row>
    <row r="745">
      <c r="A745" s="126"/>
      <c r="B745" s="126"/>
      <c r="C745" s="126"/>
      <c r="D745" s="126"/>
      <c r="E745" s="126"/>
      <c r="F745" s="13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c r="BC745" s="126"/>
      <c r="BD745" s="126"/>
    </row>
    <row r="746">
      <c r="A746" s="126"/>
      <c r="B746" s="126"/>
      <c r="C746" s="126"/>
      <c r="D746" s="126"/>
      <c r="E746" s="126"/>
      <c r="F746" s="13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c r="BC746" s="126"/>
      <c r="BD746" s="126"/>
    </row>
    <row r="747">
      <c r="A747" s="126"/>
      <c r="B747" s="126"/>
      <c r="C747" s="126"/>
      <c r="D747" s="126"/>
      <c r="E747" s="126"/>
      <c r="F747" s="13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c r="AD747" s="126"/>
      <c r="AE747" s="126"/>
      <c r="AF747" s="126"/>
      <c r="AG747" s="126"/>
      <c r="AH747" s="126"/>
      <c r="AI747" s="126"/>
      <c r="AJ747" s="126"/>
      <c r="AK747" s="126"/>
      <c r="AL747" s="126"/>
      <c r="AM747" s="126"/>
      <c r="AN747" s="126"/>
      <c r="AO747" s="126"/>
      <c r="AP747" s="126"/>
      <c r="AQ747" s="126"/>
      <c r="AR747" s="126"/>
      <c r="AS747" s="126"/>
      <c r="AT747" s="126"/>
      <c r="AU747" s="126"/>
      <c r="AV747" s="126"/>
      <c r="AW747" s="126"/>
      <c r="AX747" s="126"/>
      <c r="AY747" s="126"/>
      <c r="AZ747" s="126"/>
      <c r="BA747" s="126"/>
      <c r="BB747" s="126"/>
      <c r="BC747" s="126"/>
      <c r="BD747" s="126"/>
    </row>
    <row r="748">
      <c r="A748" s="126"/>
      <c r="B748" s="126"/>
      <c r="C748" s="126"/>
      <c r="D748" s="126"/>
      <c r="E748" s="126"/>
      <c r="F748" s="13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c r="BC748" s="126"/>
      <c r="BD748" s="126"/>
    </row>
    <row r="749">
      <c r="A749" s="126"/>
      <c r="B749" s="126"/>
      <c r="C749" s="126"/>
      <c r="D749" s="126"/>
      <c r="E749" s="126"/>
      <c r="F749" s="13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c r="BC749" s="126"/>
      <c r="BD749" s="126"/>
    </row>
    <row r="750">
      <c r="A750" s="126"/>
      <c r="B750" s="126"/>
      <c r="C750" s="126"/>
      <c r="D750" s="126"/>
      <c r="E750" s="126"/>
      <c r="F750" s="13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c r="BC750" s="126"/>
      <c r="BD750" s="126"/>
    </row>
    <row r="751">
      <c r="A751" s="126"/>
      <c r="B751" s="126"/>
      <c r="C751" s="126"/>
      <c r="D751" s="126"/>
      <c r="E751" s="126"/>
      <c r="F751" s="13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c r="AD751" s="126"/>
      <c r="AE751" s="126"/>
      <c r="AF751" s="126"/>
      <c r="AG751" s="126"/>
      <c r="AH751" s="126"/>
      <c r="AI751" s="126"/>
      <c r="AJ751" s="126"/>
      <c r="AK751" s="126"/>
      <c r="AL751" s="126"/>
      <c r="AM751" s="126"/>
      <c r="AN751" s="126"/>
      <c r="AO751" s="126"/>
      <c r="AP751" s="126"/>
      <c r="AQ751" s="126"/>
      <c r="AR751" s="126"/>
      <c r="AS751" s="126"/>
      <c r="AT751" s="126"/>
      <c r="AU751" s="126"/>
      <c r="AV751" s="126"/>
      <c r="AW751" s="126"/>
      <c r="AX751" s="126"/>
      <c r="AY751" s="126"/>
      <c r="AZ751" s="126"/>
      <c r="BA751" s="126"/>
      <c r="BB751" s="126"/>
      <c r="BC751" s="126"/>
      <c r="BD751" s="126"/>
    </row>
    <row r="752">
      <c r="A752" s="126"/>
      <c r="B752" s="126"/>
      <c r="C752" s="126"/>
      <c r="D752" s="126"/>
      <c r="E752" s="126"/>
      <c r="F752" s="13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c r="AD752" s="126"/>
      <c r="AE752" s="126"/>
      <c r="AF752" s="126"/>
      <c r="AG752" s="126"/>
      <c r="AH752" s="126"/>
      <c r="AI752" s="126"/>
      <c r="AJ752" s="126"/>
      <c r="AK752" s="126"/>
      <c r="AL752" s="126"/>
      <c r="AM752" s="126"/>
      <c r="AN752" s="126"/>
      <c r="AO752" s="126"/>
      <c r="AP752" s="126"/>
      <c r="AQ752" s="126"/>
      <c r="AR752" s="126"/>
      <c r="AS752" s="126"/>
      <c r="AT752" s="126"/>
      <c r="AU752" s="126"/>
      <c r="AV752" s="126"/>
      <c r="AW752" s="126"/>
      <c r="AX752" s="126"/>
      <c r="AY752" s="126"/>
      <c r="AZ752" s="126"/>
      <c r="BA752" s="126"/>
      <c r="BB752" s="126"/>
      <c r="BC752" s="126"/>
      <c r="BD752" s="126"/>
    </row>
    <row r="753">
      <c r="A753" s="126"/>
      <c r="B753" s="126"/>
      <c r="C753" s="126"/>
      <c r="D753" s="126"/>
      <c r="E753" s="126"/>
      <c r="F753" s="13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c r="AD753" s="126"/>
      <c r="AE753" s="126"/>
      <c r="AF753" s="126"/>
      <c r="AG753" s="126"/>
      <c r="AH753" s="126"/>
      <c r="AI753" s="126"/>
      <c r="AJ753" s="126"/>
      <c r="AK753" s="126"/>
      <c r="AL753" s="126"/>
      <c r="AM753" s="126"/>
      <c r="AN753" s="126"/>
      <c r="AO753" s="126"/>
      <c r="AP753" s="126"/>
      <c r="AQ753" s="126"/>
      <c r="AR753" s="126"/>
      <c r="AS753" s="126"/>
      <c r="AT753" s="126"/>
      <c r="AU753" s="126"/>
      <c r="AV753" s="126"/>
      <c r="AW753" s="126"/>
      <c r="AX753" s="126"/>
      <c r="AY753" s="126"/>
      <c r="AZ753" s="126"/>
      <c r="BA753" s="126"/>
      <c r="BB753" s="126"/>
      <c r="BC753" s="126"/>
      <c r="BD753" s="126"/>
    </row>
    <row r="754">
      <c r="A754" s="126"/>
      <c r="B754" s="126"/>
      <c r="C754" s="126"/>
      <c r="D754" s="126"/>
      <c r="E754" s="126"/>
      <c r="F754" s="13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c r="AD754" s="126"/>
      <c r="AE754" s="126"/>
      <c r="AF754" s="126"/>
      <c r="AG754" s="126"/>
      <c r="AH754" s="126"/>
      <c r="AI754" s="126"/>
      <c r="AJ754" s="126"/>
      <c r="AK754" s="126"/>
      <c r="AL754" s="126"/>
      <c r="AM754" s="126"/>
      <c r="AN754" s="126"/>
      <c r="AO754" s="126"/>
      <c r="AP754" s="126"/>
      <c r="AQ754" s="126"/>
      <c r="AR754" s="126"/>
      <c r="AS754" s="126"/>
      <c r="AT754" s="126"/>
      <c r="AU754" s="126"/>
      <c r="AV754" s="126"/>
      <c r="AW754" s="126"/>
      <c r="AX754" s="126"/>
      <c r="AY754" s="126"/>
      <c r="AZ754" s="126"/>
      <c r="BA754" s="126"/>
      <c r="BB754" s="126"/>
      <c r="BC754" s="126"/>
      <c r="BD754" s="126"/>
    </row>
    <row r="755">
      <c r="A755" s="126"/>
      <c r="B755" s="126"/>
      <c r="C755" s="126"/>
      <c r="D755" s="126"/>
      <c r="E755" s="126"/>
      <c r="F755" s="13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c r="BC755" s="126"/>
      <c r="BD755" s="126"/>
    </row>
    <row r="756">
      <c r="A756" s="126"/>
      <c r="B756" s="126"/>
      <c r="C756" s="126"/>
      <c r="D756" s="126"/>
      <c r="E756" s="126"/>
      <c r="F756" s="13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c r="BC756" s="126"/>
      <c r="BD756" s="126"/>
    </row>
    <row r="757">
      <c r="A757" s="126"/>
      <c r="B757" s="126"/>
      <c r="C757" s="126"/>
      <c r="D757" s="126"/>
      <c r="E757" s="126"/>
      <c r="F757" s="13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c r="BC757" s="126"/>
      <c r="BD757" s="126"/>
    </row>
    <row r="758">
      <c r="A758" s="126"/>
      <c r="B758" s="126"/>
      <c r="C758" s="126"/>
      <c r="D758" s="126"/>
      <c r="E758" s="126"/>
      <c r="F758" s="13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c r="AD758" s="126"/>
      <c r="AE758" s="126"/>
      <c r="AF758" s="126"/>
      <c r="AG758" s="126"/>
      <c r="AH758" s="126"/>
      <c r="AI758" s="126"/>
      <c r="AJ758" s="126"/>
      <c r="AK758" s="126"/>
      <c r="AL758" s="126"/>
      <c r="AM758" s="126"/>
      <c r="AN758" s="126"/>
      <c r="AO758" s="126"/>
      <c r="AP758" s="126"/>
      <c r="AQ758" s="126"/>
      <c r="AR758" s="126"/>
      <c r="AS758" s="126"/>
      <c r="AT758" s="126"/>
      <c r="AU758" s="126"/>
      <c r="AV758" s="126"/>
      <c r="AW758" s="126"/>
      <c r="AX758" s="126"/>
      <c r="AY758" s="126"/>
      <c r="AZ758" s="126"/>
      <c r="BA758" s="126"/>
      <c r="BB758" s="126"/>
      <c r="BC758" s="126"/>
      <c r="BD758" s="126"/>
    </row>
    <row r="759">
      <c r="A759" s="126"/>
      <c r="B759" s="126"/>
      <c r="C759" s="126"/>
      <c r="D759" s="126"/>
      <c r="E759" s="126"/>
      <c r="F759" s="13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c r="AD759" s="126"/>
      <c r="AE759" s="126"/>
      <c r="AF759" s="126"/>
      <c r="AG759" s="126"/>
      <c r="AH759" s="126"/>
      <c r="AI759" s="126"/>
      <c r="AJ759" s="126"/>
      <c r="AK759" s="126"/>
      <c r="AL759" s="126"/>
      <c r="AM759" s="126"/>
      <c r="AN759" s="126"/>
      <c r="AO759" s="126"/>
      <c r="AP759" s="126"/>
      <c r="AQ759" s="126"/>
      <c r="AR759" s="126"/>
      <c r="AS759" s="126"/>
      <c r="AT759" s="126"/>
      <c r="AU759" s="126"/>
      <c r="AV759" s="126"/>
      <c r="AW759" s="126"/>
      <c r="AX759" s="126"/>
      <c r="AY759" s="126"/>
      <c r="AZ759" s="126"/>
      <c r="BA759" s="126"/>
      <c r="BB759" s="126"/>
      <c r="BC759" s="126"/>
      <c r="BD759" s="126"/>
    </row>
    <row r="760">
      <c r="A760" s="126"/>
      <c r="B760" s="126"/>
      <c r="C760" s="126"/>
      <c r="D760" s="126"/>
      <c r="E760" s="126"/>
      <c r="F760" s="13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c r="AD760" s="126"/>
      <c r="AE760" s="126"/>
      <c r="AF760" s="126"/>
      <c r="AG760" s="126"/>
      <c r="AH760" s="126"/>
      <c r="AI760" s="126"/>
      <c r="AJ760" s="126"/>
      <c r="AK760" s="126"/>
      <c r="AL760" s="126"/>
      <c r="AM760" s="126"/>
      <c r="AN760" s="126"/>
      <c r="AO760" s="126"/>
      <c r="AP760" s="126"/>
      <c r="AQ760" s="126"/>
      <c r="AR760" s="126"/>
      <c r="AS760" s="126"/>
      <c r="AT760" s="126"/>
      <c r="AU760" s="126"/>
      <c r="AV760" s="126"/>
      <c r="AW760" s="126"/>
      <c r="AX760" s="126"/>
      <c r="AY760" s="126"/>
      <c r="AZ760" s="126"/>
      <c r="BA760" s="126"/>
      <c r="BB760" s="126"/>
      <c r="BC760" s="126"/>
      <c r="BD760" s="126"/>
    </row>
    <row r="761">
      <c r="A761" s="126"/>
      <c r="B761" s="126"/>
      <c r="C761" s="126"/>
      <c r="D761" s="126"/>
      <c r="E761" s="126"/>
      <c r="F761" s="13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c r="AD761" s="126"/>
      <c r="AE761" s="126"/>
      <c r="AF761" s="126"/>
      <c r="AG761" s="126"/>
      <c r="AH761" s="126"/>
      <c r="AI761" s="126"/>
      <c r="AJ761" s="126"/>
      <c r="AK761" s="126"/>
      <c r="AL761" s="126"/>
      <c r="AM761" s="126"/>
      <c r="AN761" s="126"/>
      <c r="AO761" s="126"/>
      <c r="AP761" s="126"/>
      <c r="AQ761" s="126"/>
      <c r="AR761" s="126"/>
      <c r="AS761" s="126"/>
      <c r="AT761" s="126"/>
      <c r="AU761" s="126"/>
      <c r="AV761" s="126"/>
      <c r="AW761" s="126"/>
      <c r="AX761" s="126"/>
      <c r="AY761" s="126"/>
      <c r="AZ761" s="126"/>
      <c r="BA761" s="126"/>
      <c r="BB761" s="126"/>
      <c r="BC761" s="126"/>
      <c r="BD761" s="126"/>
    </row>
    <row r="762">
      <c r="A762" s="126"/>
      <c r="B762" s="126"/>
      <c r="C762" s="126"/>
      <c r="D762" s="126"/>
      <c r="E762" s="126"/>
      <c r="F762" s="13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c r="AD762" s="126"/>
      <c r="AE762" s="126"/>
      <c r="AF762" s="126"/>
      <c r="AG762" s="126"/>
      <c r="AH762" s="126"/>
      <c r="AI762" s="126"/>
      <c r="AJ762" s="126"/>
      <c r="AK762" s="126"/>
      <c r="AL762" s="126"/>
      <c r="AM762" s="126"/>
      <c r="AN762" s="126"/>
      <c r="AO762" s="126"/>
      <c r="AP762" s="126"/>
      <c r="AQ762" s="126"/>
      <c r="AR762" s="126"/>
      <c r="AS762" s="126"/>
      <c r="AT762" s="126"/>
      <c r="AU762" s="126"/>
      <c r="AV762" s="126"/>
      <c r="AW762" s="126"/>
      <c r="AX762" s="126"/>
      <c r="AY762" s="126"/>
      <c r="AZ762" s="126"/>
      <c r="BA762" s="126"/>
      <c r="BB762" s="126"/>
      <c r="BC762" s="126"/>
      <c r="BD762" s="126"/>
    </row>
    <row r="763">
      <c r="A763" s="126"/>
      <c r="B763" s="126"/>
      <c r="C763" s="126"/>
      <c r="D763" s="126"/>
      <c r="E763" s="126"/>
      <c r="F763" s="13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126"/>
      <c r="AP763" s="126"/>
      <c r="AQ763" s="126"/>
      <c r="AR763" s="126"/>
      <c r="AS763" s="126"/>
      <c r="AT763" s="126"/>
      <c r="AU763" s="126"/>
      <c r="AV763" s="126"/>
      <c r="AW763" s="126"/>
      <c r="AX763" s="126"/>
      <c r="AY763" s="126"/>
      <c r="AZ763" s="126"/>
      <c r="BA763" s="126"/>
      <c r="BB763" s="126"/>
      <c r="BC763" s="126"/>
      <c r="BD763" s="126"/>
    </row>
    <row r="764">
      <c r="A764" s="126"/>
      <c r="B764" s="126"/>
      <c r="C764" s="126"/>
      <c r="D764" s="126"/>
      <c r="E764" s="126"/>
      <c r="F764" s="13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c r="AD764" s="126"/>
      <c r="AE764" s="126"/>
      <c r="AF764" s="126"/>
      <c r="AG764" s="126"/>
      <c r="AH764" s="126"/>
      <c r="AI764" s="126"/>
      <c r="AJ764" s="126"/>
      <c r="AK764" s="126"/>
      <c r="AL764" s="126"/>
      <c r="AM764" s="126"/>
      <c r="AN764" s="126"/>
      <c r="AO764" s="126"/>
      <c r="AP764" s="126"/>
      <c r="AQ764" s="126"/>
      <c r="AR764" s="126"/>
      <c r="AS764" s="126"/>
      <c r="AT764" s="126"/>
      <c r="AU764" s="126"/>
      <c r="AV764" s="126"/>
      <c r="AW764" s="126"/>
      <c r="AX764" s="126"/>
      <c r="AY764" s="126"/>
      <c r="AZ764" s="126"/>
      <c r="BA764" s="126"/>
      <c r="BB764" s="126"/>
      <c r="BC764" s="126"/>
      <c r="BD764" s="126"/>
    </row>
    <row r="765">
      <c r="A765" s="126"/>
      <c r="B765" s="126"/>
      <c r="C765" s="126"/>
      <c r="D765" s="126"/>
      <c r="E765" s="126"/>
      <c r="F765" s="13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c r="AD765" s="126"/>
      <c r="AE765" s="126"/>
      <c r="AF765" s="126"/>
      <c r="AG765" s="126"/>
      <c r="AH765" s="126"/>
      <c r="AI765" s="126"/>
      <c r="AJ765" s="126"/>
      <c r="AK765" s="126"/>
      <c r="AL765" s="126"/>
      <c r="AM765" s="126"/>
      <c r="AN765" s="126"/>
      <c r="AO765" s="126"/>
      <c r="AP765" s="126"/>
      <c r="AQ765" s="126"/>
      <c r="AR765" s="126"/>
      <c r="AS765" s="126"/>
      <c r="AT765" s="126"/>
      <c r="AU765" s="126"/>
      <c r="AV765" s="126"/>
      <c r="AW765" s="126"/>
      <c r="AX765" s="126"/>
      <c r="AY765" s="126"/>
      <c r="AZ765" s="126"/>
      <c r="BA765" s="126"/>
      <c r="BB765" s="126"/>
      <c r="BC765" s="126"/>
      <c r="BD765" s="126"/>
    </row>
    <row r="766">
      <c r="A766" s="126"/>
      <c r="B766" s="126"/>
      <c r="C766" s="126"/>
      <c r="D766" s="126"/>
      <c r="E766" s="126"/>
      <c r="F766" s="13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c r="AD766" s="126"/>
      <c r="AE766" s="126"/>
      <c r="AF766" s="126"/>
      <c r="AG766" s="126"/>
      <c r="AH766" s="126"/>
      <c r="AI766" s="126"/>
      <c r="AJ766" s="126"/>
      <c r="AK766" s="126"/>
      <c r="AL766" s="126"/>
      <c r="AM766" s="126"/>
      <c r="AN766" s="126"/>
      <c r="AO766" s="126"/>
      <c r="AP766" s="126"/>
      <c r="AQ766" s="126"/>
      <c r="AR766" s="126"/>
      <c r="AS766" s="126"/>
      <c r="AT766" s="126"/>
      <c r="AU766" s="126"/>
      <c r="AV766" s="126"/>
      <c r="AW766" s="126"/>
      <c r="AX766" s="126"/>
      <c r="AY766" s="126"/>
      <c r="AZ766" s="126"/>
      <c r="BA766" s="126"/>
      <c r="BB766" s="126"/>
      <c r="BC766" s="126"/>
      <c r="BD766" s="126"/>
    </row>
    <row r="767">
      <c r="A767" s="126"/>
      <c r="B767" s="126"/>
      <c r="C767" s="126"/>
      <c r="D767" s="126"/>
      <c r="E767" s="126"/>
      <c r="F767" s="13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c r="AD767" s="126"/>
      <c r="AE767" s="126"/>
      <c r="AF767" s="126"/>
      <c r="AG767" s="126"/>
      <c r="AH767" s="126"/>
      <c r="AI767" s="126"/>
      <c r="AJ767" s="126"/>
      <c r="AK767" s="126"/>
      <c r="AL767" s="126"/>
      <c r="AM767" s="126"/>
      <c r="AN767" s="126"/>
      <c r="AO767" s="126"/>
      <c r="AP767" s="126"/>
      <c r="AQ767" s="126"/>
      <c r="AR767" s="126"/>
      <c r="AS767" s="126"/>
      <c r="AT767" s="126"/>
      <c r="AU767" s="126"/>
      <c r="AV767" s="126"/>
      <c r="AW767" s="126"/>
      <c r="AX767" s="126"/>
      <c r="AY767" s="126"/>
      <c r="AZ767" s="126"/>
      <c r="BA767" s="126"/>
      <c r="BB767" s="126"/>
      <c r="BC767" s="126"/>
      <c r="BD767" s="126"/>
    </row>
    <row r="768">
      <c r="A768" s="126"/>
      <c r="B768" s="126"/>
      <c r="C768" s="126"/>
      <c r="D768" s="126"/>
      <c r="E768" s="126"/>
      <c r="F768" s="13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c r="AD768" s="126"/>
      <c r="AE768" s="126"/>
      <c r="AF768" s="126"/>
      <c r="AG768" s="126"/>
      <c r="AH768" s="126"/>
      <c r="AI768" s="126"/>
      <c r="AJ768" s="126"/>
      <c r="AK768" s="126"/>
      <c r="AL768" s="126"/>
      <c r="AM768" s="126"/>
      <c r="AN768" s="126"/>
      <c r="AO768" s="126"/>
      <c r="AP768" s="126"/>
      <c r="AQ768" s="126"/>
      <c r="AR768" s="126"/>
      <c r="AS768" s="126"/>
      <c r="AT768" s="126"/>
      <c r="AU768" s="126"/>
      <c r="AV768" s="126"/>
      <c r="AW768" s="126"/>
      <c r="AX768" s="126"/>
      <c r="AY768" s="126"/>
      <c r="AZ768" s="126"/>
      <c r="BA768" s="126"/>
      <c r="BB768" s="126"/>
      <c r="BC768" s="126"/>
      <c r="BD768" s="126"/>
    </row>
    <row r="769">
      <c r="A769" s="126"/>
      <c r="B769" s="126"/>
      <c r="C769" s="126"/>
      <c r="D769" s="126"/>
      <c r="E769" s="126"/>
      <c r="F769" s="13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c r="AD769" s="126"/>
      <c r="AE769" s="126"/>
      <c r="AF769" s="126"/>
      <c r="AG769" s="126"/>
      <c r="AH769" s="126"/>
      <c r="AI769" s="126"/>
      <c r="AJ769" s="126"/>
      <c r="AK769" s="126"/>
      <c r="AL769" s="126"/>
      <c r="AM769" s="126"/>
      <c r="AN769" s="126"/>
      <c r="AO769" s="126"/>
      <c r="AP769" s="126"/>
      <c r="AQ769" s="126"/>
      <c r="AR769" s="126"/>
      <c r="AS769" s="126"/>
      <c r="AT769" s="126"/>
      <c r="AU769" s="126"/>
      <c r="AV769" s="126"/>
      <c r="AW769" s="126"/>
      <c r="AX769" s="126"/>
      <c r="AY769" s="126"/>
      <c r="AZ769" s="126"/>
      <c r="BA769" s="126"/>
      <c r="BB769" s="126"/>
      <c r="BC769" s="126"/>
      <c r="BD769" s="126"/>
    </row>
    <row r="770">
      <c r="A770" s="126"/>
      <c r="B770" s="126"/>
      <c r="C770" s="126"/>
      <c r="D770" s="126"/>
      <c r="E770" s="126"/>
      <c r="F770" s="13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c r="AD770" s="126"/>
      <c r="AE770" s="126"/>
      <c r="AF770" s="126"/>
      <c r="AG770" s="126"/>
      <c r="AH770" s="126"/>
      <c r="AI770" s="126"/>
      <c r="AJ770" s="126"/>
      <c r="AK770" s="126"/>
      <c r="AL770" s="126"/>
      <c r="AM770" s="126"/>
      <c r="AN770" s="126"/>
      <c r="AO770" s="126"/>
      <c r="AP770" s="126"/>
      <c r="AQ770" s="126"/>
      <c r="AR770" s="126"/>
      <c r="AS770" s="126"/>
      <c r="AT770" s="126"/>
      <c r="AU770" s="126"/>
      <c r="AV770" s="126"/>
      <c r="AW770" s="126"/>
      <c r="AX770" s="126"/>
      <c r="AY770" s="126"/>
      <c r="AZ770" s="126"/>
      <c r="BA770" s="126"/>
      <c r="BB770" s="126"/>
      <c r="BC770" s="126"/>
      <c r="BD770" s="126"/>
    </row>
    <row r="771">
      <c r="A771" s="126"/>
      <c r="B771" s="126"/>
      <c r="C771" s="126"/>
      <c r="D771" s="126"/>
      <c r="E771" s="126"/>
      <c r="F771" s="13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c r="AD771" s="126"/>
      <c r="AE771" s="126"/>
      <c r="AF771" s="126"/>
      <c r="AG771" s="126"/>
      <c r="AH771" s="126"/>
      <c r="AI771" s="126"/>
      <c r="AJ771" s="126"/>
      <c r="AK771" s="126"/>
      <c r="AL771" s="126"/>
      <c r="AM771" s="126"/>
      <c r="AN771" s="126"/>
      <c r="AO771" s="126"/>
      <c r="AP771" s="126"/>
      <c r="AQ771" s="126"/>
      <c r="AR771" s="126"/>
      <c r="AS771" s="126"/>
      <c r="AT771" s="126"/>
      <c r="AU771" s="126"/>
      <c r="AV771" s="126"/>
      <c r="AW771" s="126"/>
      <c r="AX771" s="126"/>
      <c r="AY771" s="126"/>
      <c r="AZ771" s="126"/>
      <c r="BA771" s="126"/>
      <c r="BB771" s="126"/>
      <c r="BC771" s="126"/>
      <c r="BD771" s="126"/>
    </row>
    <row r="772">
      <c r="A772" s="126"/>
      <c r="B772" s="126"/>
      <c r="C772" s="126"/>
      <c r="D772" s="126"/>
      <c r="E772" s="126"/>
      <c r="F772" s="13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c r="AD772" s="126"/>
      <c r="AE772" s="126"/>
      <c r="AF772" s="126"/>
      <c r="AG772" s="126"/>
      <c r="AH772" s="126"/>
      <c r="AI772" s="126"/>
      <c r="AJ772" s="126"/>
      <c r="AK772" s="126"/>
      <c r="AL772" s="126"/>
      <c r="AM772" s="126"/>
      <c r="AN772" s="126"/>
      <c r="AO772" s="126"/>
      <c r="AP772" s="126"/>
      <c r="AQ772" s="126"/>
      <c r="AR772" s="126"/>
      <c r="AS772" s="126"/>
      <c r="AT772" s="126"/>
      <c r="AU772" s="126"/>
      <c r="AV772" s="126"/>
      <c r="AW772" s="126"/>
      <c r="AX772" s="126"/>
      <c r="AY772" s="126"/>
      <c r="AZ772" s="126"/>
      <c r="BA772" s="126"/>
      <c r="BB772" s="126"/>
      <c r="BC772" s="126"/>
      <c r="BD772" s="126"/>
    </row>
    <row r="773">
      <c r="A773" s="126"/>
      <c r="B773" s="126"/>
      <c r="C773" s="126"/>
      <c r="D773" s="126"/>
      <c r="E773" s="126"/>
      <c r="F773" s="13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c r="AD773" s="126"/>
      <c r="AE773" s="126"/>
      <c r="AF773" s="126"/>
      <c r="AG773" s="126"/>
      <c r="AH773" s="126"/>
      <c r="AI773" s="126"/>
      <c r="AJ773" s="126"/>
      <c r="AK773" s="126"/>
      <c r="AL773" s="126"/>
      <c r="AM773" s="126"/>
      <c r="AN773" s="126"/>
      <c r="AO773" s="126"/>
      <c r="AP773" s="126"/>
      <c r="AQ773" s="126"/>
      <c r="AR773" s="126"/>
      <c r="AS773" s="126"/>
      <c r="AT773" s="126"/>
      <c r="AU773" s="126"/>
      <c r="AV773" s="126"/>
      <c r="AW773" s="126"/>
      <c r="AX773" s="126"/>
      <c r="AY773" s="126"/>
      <c r="AZ773" s="126"/>
      <c r="BA773" s="126"/>
      <c r="BB773" s="126"/>
      <c r="BC773" s="126"/>
      <c r="BD773" s="126"/>
    </row>
    <row r="774">
      <c r="A774" s="126"/>
      <c r="B774" s="126"/>
      <c r="C774" s="126"/>
      <c r="D774" s="126"/>
      <c r="E774" s="126"/>
      <c r="F774" s="13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c r="AD774" s="126"/>
      <c r="AE774" s="126"/>
      <c r="AF774" s="126"/>
      <c r="AG774" s="126"/>
      <c r="AH774" s="126"/>
      <c r="AI774" s="126"/>
      <c r="AJ774" s="126"/>
      <c r="AK774" s="126"/>
      <c r="AL774" s="126"/>
      <c r="AM774" s="126"/>
      <c r="AN774" s="126"/>
      <c r="AO774" s="126"/>
      <c r="AP774" s="126"/>
      <c r="AQ774" s="126"/>
      <c r="AR774" s="126"/>
      <c r="AS774" s="126"/>
      <c r="AT774" s="126"/>
      <c r="AU774" s="126"/>
      <c r="AV774" s="126"/>
      <c r="AW774" s="126"/>
      <c r="AX774" s="126"/>
      <c r="AY774" s="126"/>
      <c r="AZ774" s="126"/>
      <c r="BA774" s="126"/>
      <c r="BB774" s="126"/>
      <c r="BC774" s="126"/>
      <c r="BD774" s="126"/>
    </row>
    <row r="775">
      <c r="A775" s="126"/>
      <c r="B775" s="126"/>
      <c r="C775" s="126"/>
      <c r="D775" s="126"/>
      <c r="E775" s="126"/>
      <c r="F775" s="13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c r="AD775" s="126"/>
      <c r="AE775" s="126"/>
      <c r="AF775" s="126"/>
      <c r="AG775" s="126"/>
      <c r="AH775" s="126"/>
      <c r="AI775" s="126"/>
      <c r="AJ775" s="126"/>
      <c r="AK775" s="126"/>
      <c r="AL775" s="126"/>
      <c r="AM775" s="126"/>
      <c r="AN775" s="126"/>
      <c r="AO775" s="126"/>
      <c r="AP775" s="126"/>
      <c r="AQ775" s="126"/>
      <c r="AR775" s="126"/>
      <c r="AS775" s="126"/>
      <c r="AT775" s="126"/>
      <c r="AU775" s="126"/>
      <c r="AV775" s="126"/>
      <c r="AW775" s="126"/>
      <c r="AX775" s="126"/>
      <c r="AY775" s="126"/>
      <c r="AZ775" s="126"/>
      <c r="BA775" s="126"/>
      <c r="BB775" s="126"/>
      <c r="BC775" s="126"/>
      <c r="BD775" s="126"/>
    </row>
    <row r="776">
      <c r="A776" s="126"/>
      <c r="B776" s="126"/>
      <c r="C776" s="126"/>
      <c r="D776" s="126"/>
      <c r="E776" s="126"/>
      <c r="F776" s="13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c r="AD776" s="126"/>
      <c r="AE776" s="126"/>
      <c r="AF776" s="126"/>
      <c r="AG776" s="126"/>
      <c r="AH776" s="126"/>
      <c r="AI776" s="126"/>
      <c r="AJ776" s="126"/>
      <c r="AK776" s="126"/>
      <c r="AL776" s="126"/>
      <c r="AM776" s="126"/>
      <c r="AN776" s="126"/>
      <c r="AO776" s="126"/>
      <c r="AP776" s="126"/>
      <c r="AQ776" s="126"/>
      <c r="AR776" s="126"/>
      <c r="AS776" s="126"/>
      <c r="AT776" s="126"/>
      <c r="AU776" s="126"/>
      <c r="AV776" s="126"/>
      <c r="AW776" s="126"/>
      <c r="AX776" s="126"/>
      <c r="AY776" s="126"/>
      <c r="AZ776" s="126"/>
      <c r="BA776" s="126"/>
      <c r="BB776" s="126"/>
      <c r="BC776" s="126"/>
      <c r="BD776" s="126"/>
    </row>
    <row r="777">
      <c r="A777" s="126"/>
      <c r="B777" s="126"/>
      <c r="C777" s="126"/>
      <c r="D777" s="126"/>
      <c r="E777" s="126"/>
      <c r="F777" s="13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c r="AD777" s="126"/>
      <c r="AE777" s="126"/>
      <c r="AF777" s="126"/>
      <c r="AG777" s="126"/>
      <c r="AH777" s="126"/>
      <c r="AI777" s="126"/>
      <c r="AJ777" s="126"/>
      <c r="AK777" s="126"/>
      <c r="AL777" s="126"/>
      <c r="AM777" s="126"/>
      <c r="AN777" s="126"/>
      <c r="AO777" s="126"/>
      <c r="AP777" s="126"/>
      <c r="AQ777" s="126"/>
      <c r="AR777" s="126"/>
      <c r="AS777" s="126"/>
      <c r="AT777" s="126"/>
      <c r="AU777" s="126"/>
      <c r="AV777" s="126"/>
      <c r="AW777" s="126"/>
      <c r="AX777" s="126"/>
      <c r="AY777" s="126"/>
      <c r="AZ777" s="126"/>
      <c r="BA777" s="126"/>
      <c r="BB777" s="126"/>
      <c r="BC777" s="126"/>
      <c r="BD777" s="126"/>
    </row>
    <row r="778">
      <c r="A778" s="126"/>
      <c r="B778" s="126"/>
      <c r="C778" s="126"/>
      <c r="D778" s="126"/>
      <c r="E778" s="126"/>
      <c r="F778" s="13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c r="AD778" s="126"/>
      <c r="AE778" s="126"/>
      <c r="AF778" s="126"/>
      <c r="AG778" s="126"/>
      <c r="AH778" s="126"/>
      <c r="AI778" s="126"/>
      <c r="AJ778" s="126"/>
      <c r="AK778" s="126"/>
      <c r="AL778" s="126"/>
      <c r="AM778" s="126"/>
      <c r="AN778" s="126"/>
      <c r="AO778" s="126"/>
      <c r="AP778" s="126"/>
      <c r="AQ778" s="126"/>
      <c r="AR778" s="126"/>
      <c r="AS778" s="126"/>
      <c r="AT778" s="126"/>
      <c r="AU778" s="126"/>
      <c r="AV778" s="126"/>
      <c r="AW778" s="126"/>
      <c r="AX778" s="126"/>
      <c r="AY778" s="126"/>
      <c r="AZ778" s="126"/>
      <c r="BA778" s="126"/>
      <c r="BB778" s="126"/>
      <c r="BC778" s="126"/>
      <c r="BD778" s="126"/>
    </row>
    <row r="779">
      <c r="A779" s="126"/>
      <c r="B779" s="126"/>
      <c r="C779" s="126"/>
      <c r="D779" s="126"/>
      <c r="E779" s="126"/>
      <c r="F779" s="13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126"/>
      <c r="AP779" s="126"/>
      <c r="AQ779" s="126"/>
      <c r="AR779" s="126"/>
      <c r="AS779" s="126"/>
      <c r="AT779" s="126"/>
      <c r="AU779" s="126"/>
      <c r="AV779" s="126"/>
      <c r="AW779" s="126"/>
      <c r="AX779" s="126"/>
      <c r="AY779" s="126"/>
      <c r="AZ779" s="126"/>
      <c r="BA779" s="126"/>
      <c r="BB779" s="126"/>
      <c r="BC779" s="126"/>
      <c r="BD779" s="126"/>
    </row>
    <row r="780">
      <c r="A780" s="126"/>
      <c r="B780" s="126"/>
      <c r="C780" s="126"/>
      <c r="D780" s="126"/>
      <c r="E780" s="126"/>
      <c r="F780" s="13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c r="AD780" s="126"/>
      <c r="AE780" s="126"/>
      <c r="AF780" s="126"/>
      <c r="AG780" s="126"/>
      <c r="AH780" s="126"/>
      <c r="AI780" s="126"/>
      <c r="AJ780" s="126"/>
      <c r="AK780" s="126"/>
      <c r="AL780" s="126"/>
      <c r="AM780" s="126"/>
      <c r="AN780" s="126"/>
      <c r="AO780" s="126"/>
      <c r="AP780" s="126"/>
      <c r="AQ780" s="126"/>
      <c r="AR780" s="126"/>
      <c r="AS780" s="126"/>
      <c r="AT780" s="126"/>
      <c r="AU780" s="126"/>
      <c r="AV780" s="126"/>
      <c r="AW780" s="126"/>
      <c r="AX780" s="126"/>
      <c r="AY780" s="126"/>
      <c r="AZ780" s="126"/>
      <c r="BA780" s="126"/>
      <c r="BB780" s="126"/>
      <c r="BC780" s="126"/>
      <c r="BD780" s="126"/>
    </row>
    <row r="781">
      <c r="A781" s="126"/>
      <c r="B781" s="126"/>
      <c r="C781" s="126"/>
      <c r="D781" s="126"/>
      <c r="E781" s="126"/>
      <c r="F781" s="13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126"/>
      <c r="AP781" s="126"/>
      <c r="AQ781" s="126"/>
      <c r="AR781" s="126"/>
      <c r="AS781" s="126"/>
      <c r="AT781" s="126"/>
      <c r="AU781" s="126"/>
      <c r="AV781" s="126"/>
      <c r="AW781" s="126"/>
      <c r="AX781" s="126"/>
      <c r="AY781" s="126"/>
      <c r="AZ781" s="126"/>
      <c r="BA781" s="126"/>
      <c r="BB781" s="126"/>
      <c r="BC781" s="126"/>
      <c r="BD781" s="126"/>
    </row>
    <row r="782">
      <c r="A782" s="126"/>
      <c r="B782" s="126"/>
      <c r="C782" s="126"/>
      <c r="D782" s="126"/>
      <c r="E782" s="126"/>
      <c r="F782" s="13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126"/>
      <c r="AP782" s="126"/>
      <c r="AQ782" s="126"/>
      <c r="AR782" s="126"/>
      <c r="AS782" s="126"/>
      <c r="AT782" s="126"/>
      <c r="AU782" s="126"/>
      <c r="AV782" s="126"/>
      <c r="AW782" s="126"/>
      <c r="AX782" s="126"/>
      <c r="AY782" s="126"/>
      <c r="AZ782" s="126"/>
      <c r="BA782" s="126"/>
      <c r="BB782" s="126"/>
      <c r="BC782" s="126"/>
      <c r="BD782" s="126"/>
    </row>
    <row r="783">
      <c r="A783" s="126"/>
      <c r="B783" s="126"/>
      <c r="C783" s="126"/>
      <c r="D783" s="126"/>
      <c r="E783" s="126"/>
      <c r="F783" s="13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c r="AD783" s="126"/>
      <c r="AE783" s="126"/>
      <c r="AF783" s="126"/>
      <c r="AG783" s="126"/>
      <c r="AH783" s="126"/>
      <c r="AI783" s="126"/>
      <c r="AJ783" s="126"/>
      <c r="AK783" s="126"/>
      <c r="AL783" s="126"/>
      <c r="AM783" s="126"/>
      <c r="AN783" s="126"/>
      <c r="AO783" s="126"/>
      <c r="AP783" s="126"/>
      <c r="AQ783" s="126"/>
      <c r="AR783" s="126"/>
      <c r="AS783" s="126"/>
      <c r="AT783" s="126"/>
      <c r="AU783" s="126"/>
      <c r="AV783" s="126"/>
      <c r="AW783" s="126"/>
      <c r="AX783" s="126"/>
      <c r="AY783" s="126"/>
      <c r="AZ783" s="126"/>
      <c r="BA783" s="126"/>
      <c r="BB783" s="126"/>
      <c r="BC783" s="126"/>
      <c r="BD783" s="126"/>
    </row>
    <row r="784">
      <c r="A784" s="126"/>
      <c r="B784" s="126"/>
      <c r="C784" s="126"/>
      <c r="D784" s="126"/>
      <c r="E784" s="126"/>
      <c r="F784" s="13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c r="AD784" s="126"/>
      <c r="AE784" s="126"/>
      <c r="AF784" s="126"/>
      <c r="AG784" s="126"/>
      <c r="AH784" s="126"/>
      <c r="AI784" s="126"/>
      <c r="AJ784" s="126"/>
      <c r="AK784" s="126"/>
      <c r="AL784" s="126"/>
      <c r="AM784" s="126"/>
      <c r="AN784" s="126"/>
      <c r="AO784" s="126"/>
      <c r="AP784" s="126"/>
      <c r="AQ784" s="126"/>
      <c r="AR784" s="126"/>
      <c r="AS784" s="126"/>
      <c r="AT784" s="126"/>
      <c r="AU784" s="126"/>
      <c r="AV784" s="126"/>
      <c r="AW784" s="126"/>
      <c r="AX784" s="126"/>
      <c r="AY784" s="126"/>
      <c r="AZ784" s="126"/>
      <c r="BA784" s="126"/>
      <c r="BB784" s="126"/>
      <c r="BC784" s="126"/>
      <c r="BD784" s="126"/>
    </row>
    <row r="785">
      <c r="A785" s="126"/>
      <c r="B785" s="126"/>
      <c r="C785" s="126"/>
      <c r="D785" s="126"/>
      <c r="E785" s="126"/>
      <c r="F785" s="13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c r="AD785" s="126"/>
      <c r="AE785" s="126"/>
      <c r="AF785" s="126"/>
      <c r="AG785" s="126"/>
      <c r="AH785" s="126"/>
      <c r="AI785" s="126"/>
      <c r="AJ785" s="126"/>
      <c r="AK785" s="126"/>
      <c r="AL785" s="126"/>
      <c r="AM785" s="126"/>
      <c r="AN785" s="126"/>
      <c r="AO785" s="126"/>
      <c r="AP785" s="126"/>
      <c r="AQ785" s="126"/>
      <c r="AR785" s="126"/>
      <c r="AS785" s="126"/>
      <c r="AT785" s="126"/>
      <c r="AU785" s="126"/>
      <c r="AV785" s="126"/>
      <c r="AW785" s="126"/>
      <c r="AX785" s="126"/>
      <c r="AY785" s="126"/>
      <c r="AZ785" s="126"/>
      <c r="BA785" s="126"/>
      <c r="BB785" s="126"/>
      <c r="BC785" s="126"/>
      <c r="BD785" s="126"/>
    </row>
    <row r="786">
      <c r="A786" s="126"/>
      <c r="B786" s="126"/>
      <c r="C786" s="126"/>
      <c r="D786" s="126"/>
      <c r="E786" s="126"/>
      <c r="F786" s="13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c r="AD786" s="126"/>
      <c r="AE786" s="126"/>
      <c r="AF786" s="126"/>
      <c r="AG786" s="126"/>
      <c r="AH786" s="126"/>
      <c r="AI786" s="126"/>
      <c r="AJ786" s="126"/>
      <c r="AK786" s="126"/>
      <c r="AL786" s="126"/>
      <c r="AM786" s="126"/>
      <c r="AN786" s="126"/>
      <c r="AO786" s="126"/>
      <c r="AP786" s="126"/>
      <c r="AQ786" s="126"/>
      <c r="AR786" s="126"/>
      <c r="AS786" s="126"/>
      <c r="AT786" s="126"/>
      <c r="AU786" s="126"/>
      <c r="AV786" s="126"/>
      <c r="AW786" s="126"/>
      <c r="AX786" s="126"/>
      <c r="AY786" s="126"/>
      <c r="AZ786" s="126"/>
      <c r="BA786" s="126"/>
      <c r="BB786" s="126"/>
      <c r="BC786" s="126"/>
      <c r="BD786" s="126"/>
    </row>
    <row r="787">
      <c r="A787" s="126"/>
      <c r="B787" s="126"/>
      <c r="C787" s="126"/>
      <c r="D787" s="126"/>
      <c r="E787" s="126"/>
      <c r="F787" s="13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c r="AD787" s="126"/>
      <c r="AE787" s="126"/>
      <c r="AF787" s="126"/>
      <c r="AG787" s="126"/>
      <c r="AH787" s="126"/>
      <c r="AI787" s="126"/>
      <c r="AJ787" s="126"/>
      <c r="AK787" s="126"/>
      <c r="AL787" s="126"/>
      <c r="AM787" s="126"/>
      <c r="AN787" s="126"/>
      <c r="AO787" s="126"/>
      <c r="AP787" s="126"/>
      <c r="AQ787" s="126"/>
      <c r="AR787" s="126"/>
      <c r="AS787" s="126"/>
      <c r="AT787" s="126"/>
      <c r="AU787" s="126"/>
      <c r="AV787" s="126"/>
      <c r="AW787" s="126"/>
      <c r="AX787" s="126"/>
      <c r="AY787" s="126"/>
      <c r="AZ787" s="126"/>
      <c r="BA787" s="126"/>
      <c r="BB787" s="126"/>
      <c r="BC787" s="126"/>
      <c r="BD787" s="126"/>
    </row>
    <row r="788">
      <c r="A788" s="126"/>
      <c r="B788" s="126"/>
      <c r="C788" s="126"/>
      <c r="D788" s="126"/>
      <c r="E788" s="126"/>
      <c r="F788" s="13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c r="AD788" s="126"/>
      <c r="AE788" s="126"/>
      <c r="AF788" s="126"/>
      <c r="AG788" s="126"/>
      <c r="AH788" s="126"/>
      <c r="AI788" s="126"/>
      <c r="AJ788" s="126"/>
      <c r="AK788" s="126"/>
      <c r="AL788" s="126"/>
      <c r="AM788" s="126"/>
      <c r="AN788" s="126"/>
      <c r="AO788" s="126"/>
      <c r="AP788" s="126"/>
      <c r="AQ788" s="126"/>
      <c r="AR788" s="126"/>
      <c r="AS788" s="126"/>
      <c r="AT788" s="126"/>
      <c r="AU788" s="126"/>
      <c r="AV788" s="126"/>
      <c r="AW788" s="126"/>
      <c r="AX788" s="126"/>
      <c r="AY788" s="126"/>
      <c r="AZ788" s="126"/>
      <c r="BA788" s="126"/>
      <c r="BB788" s="126"/>
      <c r="BC788" s="126"/>
      <c r="BD788" s="126"/>
    </row>
    <row r="789">
      <c r="A789" s="126"/>
      <c r="B789" s="126"/>
      <c r="C789" s="126"/>
      <c r="D789" s="126"/>
      <c r="E789" s="126"/>
      <c r="F789" s="13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c r="AD789" s="126"/>
      <c r="AE789" s="126"/>
      <c r="AF789" s="126"/>
      <c r="AG789" s="126"/>
      <c r="AH789" s="126"/>
      <c r="AI789" s="126"/>
      <c r="AJ789" s="126"/>
      <c r="AK789" s="126"/>
      <c r="AL789" s="126"/>
      <c r="AM789" s="126"/>
      <c r="AN789" s="126"/>
      <c r="AO789" s="126"/>
      <c r="AP789" s="126"/>
      <c r="AQ789" s="126"/>
      <c r="AR789" s="126"/>
      <c r="AS789" s="126"/>
      <c r="AT789" s="126"/>
      <c r="AU789" s="126"/>
      <c r="AV789" s="126"/>
      <c r="AW789" s="126"/>
      <c r="AX789" s="126"/>
      <c r="AY789" s="126"/>
      <c r="AZ789" s="126"/>
      <c r="BA789" s="126"/>
      <c r="BB789" s="126"/>
      <c r="BC789" s="126"/>
      <c r="BD789" s="126"/>
    </row>
    <row r="790">
      <c r="A790" s="126"/>
      <c r="B790" s="126"/>
      <c r="C790" s="126"/>
      <c r="D790" s="126"/>
      <c r="E790" s="126"/>
      <c r="F790" s="13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c r="AD790" s="126"/>
      <c r="AE790" s="126"/>
      <c r="AF790" s="126"/>
      <c r="AG790" s="126"/>
      <c r="AH790" s="126"/>
      <c r="AI790" s="126"/>
      <c r="AJ790" s="126"/>
      <c r="AK790" s="126"/>
      <c r="AL790" s="126"/>
      <c r="AM790" s="126"/>
      <c r="AN790" s="126"/>
      <c r="AO790" s="126"/>
      <c r="AP790" s="126"/>
      <c r="AQ790" s="126"/>
      <c r="AR790" s="126"/>
      <c r="AS790" s="126"/>
      <c r="AT790" s="126"/>
      <c r="AU790" s="126"/>
      <c r="AV790" s="126"/>
      <c r="AW790" s="126"/>
      <c r="AX790" s="126"/>
      <c r="AY790" s="126"/>
      <c r="AZ790" s="126"/>
      <c r="BA790" s="126"/>
      <c r="BB790" s="126"/>
      <c r="BC790" s="126"/>
      <c r="BD790" s="126"/>
    </row>
    <row r="791">
      <c r="A791" s="126"/>
      <c r="B791" s="126"/>
      <c r="C791" s="126"/>
      <c r="D791" s="126"/>
      <c r="E791" s="126"/>
      <c r="F791" s="13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c r="AD791" s="126"/>
      <c r="AE791" s="126"/>
      <c r="AF791" s="126"/>
      <c r="AG791" s="126"/>
      <c r="AH791" s="126"/>
      <c r="AI791" s="126"/>
      <c r="AJ791" s="126"/>
      <c r="AK791" s="126"/>
      <c r="AL791" s="126"/>
      <c r="AM791" s="126"/>
      <c r="AN791" s="126"/>
      <c r="AO791" s="126"/>
      <c r="AP791" s="126"/>
      <c r="AQ791" s="126"/>
      <c r="AR791" s="126"/>
      <c r="AS791" s="126"/>
      <c r="AT791" s="126"/>
      <c r="AU791" s="126"/>
      <c r="AV791" s="126"/>
      <c r="AW791" s="126"/>
      <c r="AX791" s="126"/>
      <c r="AY791" s="126"/>
      <c r="AZ791" s="126"/>
      <c r="BA791" s="126"/>
      <c r="BB791" s="126"/>
      <c r="BC791" s="126"/>
      <c r="BD791" s="126"/>
    </row>
    <row r="792">
      <c r="A792" s="126"/>
      <c r="B792" s="126"/>
      <c r="C792" s="126"/>
      <c r="D792" s="126"/>
      <c r="E792" s="126"/>
      <c r="F792" s="13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c r="AD792" s="126"/>
      <c r="AE792" s="126"/>
      <c r="AF792" s="126"/>
      <c r="AG792" s="126"/>
      <c r="AH792" s="126"/>
      <c r="AI792" s="126"/>
      <c r="AJ792" s="126"/>
      <c r="AK792" s="126"/>
      <c r="AL792" s="126"/>
      <c r="AM792" s="126"/>
      <c r="AN792" s="126"/>
      <c r="AO792" s="126"/>
      <c r="AP792" s="126"/>
      <c r="AQ792" s="126"/>
      <c r="AR792" s="126"/>
      <c r="AS792" s="126"/>
      <c r="AT792" s="126"/>
      <c r="AU792" s="126"/>
      <c r="AV792" s="126"/>
      <c r="AW792" s="126"/>
      <c r="AX792" s="126"/>
      <c r="AY792" s="126"/>
      <c r="AZ792" s="126"/>
      <c r="BA792" s="126"/>
      <c r="BB792" s="126"/>
      <c r="BC792" s="126"/>
      <c r="BD792" s="126"/>
    </row>
    <row r="793">
      <c r="A793" s="126"/>
      <c r="B793" s="126"/>
      <c r="C793" s="126"/>
      <c r="D793" s="126"/>
      <c r="E793" s="126"/>
      <c r="F793" s="13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c r="AD793" s="126"/>
      <c r="AE793" s="126"/>
      <c r="AF793" s="126"/>
      <c r="AG793" s="126"/>
      <c r="AH793" s="126"/>
      <c r="AI793" s="126"/>
      <c r="AJ793" s="126"/>
      <c r="AK793" s="126"/>
      <c r="AL793" s="126"/>
      <c r="AM793" s="126"/>
      <c r="AN793" s="126"/>
      <c r="AO793" s="126"/>
      <c r="AP793" s="126"/>
      <c r="AQ793" s="126"/>
      <c r="AR793" s="126"/>
      <c r="AS793" s="126"/>
      <c r="AT793" s="126"/>
      <c r="AU793" s="126"/>
      <c r="AV793" s="126"/>
      <c r="AW793" s="126"/>
      <c r="AX793" s="126"/>
      <c r="AY793" s="126"/>
      <c r="AZ793" s="126"/>
      <c r="BA793" s="126"/>
      <c r="BB793" s="126"/>
      <c r="BC793" s="126"/>
      <c r="BD793" s="126"/>
    </row>
    <row r="794">
      <c r="A794" s="126"/>
      <c r="B794" s="126"/>
      <c r="C794" s="126"/>
      <c r="D794" s="126"/>
      <c r="E794" s="126"/>
      <c r="F794" s="13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row>
    <row r="795">
      <c r="A795" s="126"/>
      <c r="B795" s="126"/>
      <c r="C795" s="126"/>
      <c r="D795" s="126"/>
      <c r="E795" s="126"/>
      <c r="F795" s="13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row>
    <row r="796">
      <c r="A796" s="126"/>
      <c r="B796" s="126"/>
      <c r="C796" s="126"/>
      <c r="D796" s="126"/>
      <c r="E796" s="126"/>
      <c r="F796" s="13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c r="BC796" s="126"/>
      <c r="BD796" s="126"/>
    </row>
    <row r="797">
      <c r="A797" s="126"/>
      <c r="B797" s="126"/>
      <c r="C797" s="126"/>
      <c r="D797" s="126"/>
      <c r="E797" s="126"/>
      <c r="F797" s="13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row>
    <row r="798">
      <c r="A798" s="126"/>
      <c r="B798" s="126"/>
      <c r="C798" s="126"/>
      <c r="D798" s="126"/>
      <c r="E798" s="126"/>
      <c r="F798" s="13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c r="BC798" s="126"/>
      <c r="BD798" s="126"/>
    </row>
    <row r="799">
      <c r="A799" s="126"/>
      <c r="B799" s="126"/>
      <c r="C799" s="126"/>
      <c r="D799" s="126"/>
      <c r="E799" s="126"/>
      <c r="F799" s="13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row>
    <row r="800">
      <c r="A800" s="126"/>
      <c r="B800" s="126"/>
      <c r="C800" s="126"/>
      <c r="D800" s="126"/>
      <c r="E800" s="126"/>
      <c r="F800" s="13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c r="BC800" s="126"/>
      <c r="BD800" s="126"/>
    </row>
    <row r="801">
      <c r="A801" s="126"/>
      <c r="B801" s="126"/>
      <c r="C801" s="126"/>
      <c r="D801" s="126"/>
      <c r="E801" s="126"/>
      <c r="F801" s="13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row>
    <row r="802">
      <c r="A802" s="126"/>
      <c r="B802" s="126"/>
      <c r="C802" s="126"/>
      <c r="D802" s="126"/>
      <c r="E802" s="126"/>
      <c r="F802" s="13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c r="BC802" s="126"/>
      <c r="BD802" s="126"/>
    </row>
    <row r="803">
      <c r="A803" s="126"/>
      <c r="B803" s="126"/>
      <c r="C803" s="126"/>
      <c r="D803" s="126"/>
      <c r="E803" s="126"/>
      <c r="F803" s="13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row>
    <row r="804">
      <c r="A804" s="126"/>
      <c r="B804" s="126"/>
      <c r="C804" s="126"/>
      <c r="D804" s="126"/>
      <c r="E804" s="126"/>
      <c r="F804" s="13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c r="BC804" s="126"/>
      <c r="BD804" s="126"/>
    </row>
    <row r="805">
      <c r="A805" s="126"/>
      <c r="B805" s="126"/>
      <c r="C805" s="126"/>
      <c r="D805" s="126"/>
      <c r="E805" s="126"/>
      <c r="F805" s="13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row>
    <row r="806">
      <c r="A806" s="126"/>
      <c r="B806" s="126"/>
      <c r="C806" s="126"/>
      <c r="D806" s="126"/>
      <c r="E806" s="126"/>
      <c r="F806" s="13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c r="BC806" s="126"/>
      <c r="BD806" s="126"/>
    </row>
    <row r="807">
      <c r="A807" s="126"/>
      <c r="B807" s="126"/>
      <c r="C807" s="126"/>
      <c r="D807" s="126"/>
      <c r="E807" s="126"/>
      <c r="F807" s="13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row>
    <row r="808">
      <c r="A808" s="126"/>
      <c r="B808" s="126"/>
      <c r="C808" s="126"/>
      <c r="D808" s="126"/>
      <c r="E808" s="126"/>
      <c r="F808" s="13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c r="BC808" s="126"/>
      <c r="BD808" s="126"/>
    </row>
    <row r="809">
      <c r="A809" s="126"/>
      <c r="B809" s="126"/>
      <c r="C809" s="126"/>
      <c r="D809" s="126"/>
      <c r="E809" s="126"/>
      <c r="F809" s="13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row>
    <row r="810">
      <c r="A810" s="126"/>
      <c r="B810" s="126"/>
      <c r="C810" s="126"/>
      <c r="D810" s="126"/>
      <c r="E810" s="126"/>
      <c r="F810" s="13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c r="BC810" s="126"/>
      <c r="BD810" s="126"/>
    </row>
    <row r="811">
      <c r="A811" s="126"/>
      <c r="B811" s="126"/>
      <c r="C811" s="126"/>
      <c r="D811" s="126"/>
      <c r="E811" s="126"/>
      <c r="F811" s="13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row>
    <row r="812">
      <c r="A812" s="126"/>
      <c r="B812" s="126"/>
      <c r="C812" s="126"/>
      <c r="D812" s="126"/>
      <c r="E812" s="126"/>
      <c r="F812" s="13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c r="BC812" s="126"/>
      <c r="BD812" s="126"/>
    </row>
    <row r="813">
      <c r="A813" s="126"/>
      <c r="B813" s="126"/>
      <c r="C813" s="126"/>
      <c r="D813" s="126"/>
      <c r="E813" s="126"/>
      <c r="F813" s="13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row>
    <row r="814">
      <c r="A814" s="126"/>
      <c r="B814" s="126"/>
      <c r="C814" s="126"/>
      <c r="D814" s="126"/>
      <c r="E814" s="126"/>
      <c r="F814" s="13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c r="BC814" s="126"/>
      <c r="BD814" s="126"/>
    </row>
    <row r="815">
      <c r="A815" s="126"/>
      <c r="B815" s="126"/>
      <c r="C815" s="126"/>
      <c r="D815" s="126"/>
      <c r="E815" s="126"/>
      <c r="F815" s="13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row>
    <row r="816">
      <c r="A816" s="126"/>
      <c r="B816" s="126"/>
      <c r="C816" s="126"/>
      <c r="D816" s="126"/>
      <c r="E816" s="126"/>
      <c r="F816" s="13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row>
    <row r="817">
      <c r="A817" s="126"/>
      <c r="B817" s="126"/>
      <c r="C817" s="126"/>
      <c r="D817" s="126"/>
      <c r="E817" s="126"/>
      <c r="F817" s="13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row>
    <row r="818">
      <c r="A818" s="126"/>
      <c r="B818" s="126"/>
      <c r="C818" s="126"/>
      <c r="D818" s="126"/>
      <c r="E818" s="126"/>
      <c r="F818" s="13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c r="BC818" s="126"/>
      <c r="BD818" s="126"/>
    </row>
    <row r="819">
      <c r="A819" s="126"/>
      <c r="B819" s="126"/>
      <c r="C819" s="126"/>
      <c r="D819" s="126"/>
      <c r="E819" s="126"/>
      <c r="F819" s="13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row>
    <row r="820">
      <c r="A820" s="126"/>
      <c r="B820" s="126"/>
      <c r="C820" s="126"/>
      <c r="D820" s="126"/>
      <c r="E820" s="126"/>
      <c r="F820" s="13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c r="BC820" s="126"/>
      <c r="BD820" s="126"/>
    </row>
    <row r="821">
      <c r="A821" s="126"/>
      <c r="B821" s="126"/>
      <c r="C821" s="126"/>
      <c r="D821" s="126"/>
      <c r="E821" s="126"/>
      <c r="F821" s="13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row>
    <row r="822">
      <c r="A822" s="126"/>
      <c r="B822" s="126"/>
      <c r="C822" s="126"/>
      <c r="D822" s="126"/>
      <c r="E822" s="126"/>
      <c r="F822" s="13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c r="BC822" s="126"/>
      <c r="BD822" s="126"/>
    </row>
    <row r="823">
      <c r="A823" s="126"/>
      <c r="B823" s="126"/>
      <c r="C823" s="126"/>
      <c r="D823" s="126"/>
      <c r="E823" s="126"/>
      <c r="F823" s="13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row>
    <row r="824">
      <c r="A824" s="126"/>
      <c r="B824" s="126"/>
      <c r="C824" s="126"/>
      <c r="D824" s="126"/>
      <c r="E824" s="126"/>
      <c r="F824" s="13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c r="BC824" s="126"/>
      <c r="BD824" s="126"/>
    </row>
    <row r="825">
      <c r="A825" s="126"/>
      <c r="B825" s="126"/>
      <c r="C825" s="126"/>
      <c r="D825" s="126"/>
      <c r="E825" s="126"/>
      <c r="F825" s="13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row>
    <row r="826">
      <c r="A826" s="126"/>
      <c r="B826" s="126"/>
      <c r="C826" s="126"/>
      <c r="D826" s="126"/>
      <c r="E826" s="126"/>
      <c r="F826" s="13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c r="BC826" s="126"/>
      <c r="BD826" s="126"/>
    </row>
    <row r="827">
      <c r="A827" s="126"/>
      <c r="B827" s="126"/>
      <c r="C827" s="126"/>
      <c r="D827" s="126"/>
      <c r="E827" s="126"/>
      <c r="F827" s="13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row>
    <row r="828">
      <c r="A828" s="126"/>
      <c r="B828" s="126"/>
      <c r="C828" s="126"/>
      <c r="D828" s="126"/>
      <c r="E828" s="126"/>
      <c r="F828" s="13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row>
    <row r="829">
      <c r="A829" s="126"/>
      <c r="B829" s="126"/>
      <c r="C829" s="126"/>
      <c r="D829" s="126"/>
      <c r="E829" s="126"/>
      <c r="F829" s="13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row>
    <row r="830">
      <c r="A830" s="126"/>
      <c r="B830" s="126"/>
      <c r="C830" s="126"/>
      <c r="D830" s="126"/>
      <c r="E830" s="126"/>
      <c r="F830" s="13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row>
    <row r="831">
      <c r="A831" s="126"/>
      <c r="B831" s="126"/>
      <c r="C831" s="126"/>
      <c r="D831" s="126"/>
      <c r="E831" s="126"/>
      <c r="F831" s="13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row>
    <row r="832">
      <c r="A832" s="126"/>
      <c r="B832" s="126"/>
      <c r="C832" s="126"/>
      <c r="D832" s="126"/>
      <c r="E832" s="126"/>
      <c r="F832" s="13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row>
    <row r="833">
      <c r="A833" s="126"/>
      <c r="B833" s="126"/>
      <c r="C833" s="126"/>
      <c r="D833" s="126"/>
      <c r="E833" s="126"/>
      <c r="F833" s="13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row>
    <row r="834">
      <c r="A834" s="126"/>
      <c r="B834" s="126"/>
      <c r="C834" s="126"/>
      <c r="D834" s="126"/>
      <c r="E834" s="126"/>
      <c r="F834" s="13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row>
    <row r="835">
      <c r="A835" s="126"/>
      <c r="B835" s="126"/>
      <c r="C835" s="126"/>
      <c r="D835" s="126"/>
      <c r="E835" s="126"/>
      <c r="F835" s="13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row>
    <row r="836">
      <c r="A836" s="126"/>
      <c r="B836" s="126"/>
      <c r="C836" s="126"/>
      <c r="D836" s="126"/>
      <c r="E836" s="126"/>
      <c r="F836" s="13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row>
    <row r="837">
      <c r="A837" s="126"/>
      <c r="B837" s="126"/>
      <c r="C837" s="126"/>
      <c r="D837" s="126"/>
      <c r="E837" s="126"/>
      <c r="F837" s="13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c r="BC837" s="126"/>
      <c r="BD837" s="126"/>
    </row>
    <row r="838">
      <c r="A838" s="126"/>
      <c r="B838" s="126"/>
      <c r="C838" s="126"/>
      <c r="D838" s="126"/>
      <c r="E838" s="126"/>
      <c r="F838" s="13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c r="BC838" s="126"/>
      <c r="BD838" s="126"/>
    </row>
    <row r="839">
      <c r="A839" s="126"/>
      <c r="B839" s="126"/>
      <c r="C839" s="126"/>
      <c r="D839" s="126"/>
      <c r="E839" s="126"/>
      <c r="F839" s="13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c r="AD839" s="126"/>
      <c r="AE839" s="126"/>
      <c r="AF839" s="126"/>
      <c r="AG839" s="126"/>
      <c r="AH839" s="126"/>
      <c r="AI839" s="126"/>
      <c r="AJ839" s="126"/>
      <c r="AK839" s="126"/>
      <c r="AL839" s="126"/>
      <c r="AM839" s="126"/>
      <c r="AN839" s="126"/>
      <c r="AO839" s="126"/>
      <c r="AP839" s="126"/>
      <c r="AQ839" s="126"/>
      <c r="AR839" s="126"/>
      <c r="AS839" s="126"/>
      <c r="AT839" s="126"/>
      <c r="AU839" s="126"/>
      <c r="AV839" s="126"/>
      <c r="AW839" s="126"/>
      <c r="AX839" s="126"/>
      <c r="AY839" s="126"/>
      <c r="AZ839" s="126"/>
      <c r="BA839" s="126"/>
      <c r="BB839" s="126"/>
      <c r="BC839" s="126"/>
      <c r="BD839" s="126"/>
    </row>
    <row r="840">
      <c r="A840" s="126"/>
      <c r="B840" s="126"/>
      <c r="C840" s="126"/>
      <c r="D840" s="126"/>
      <c r="E840" s="126"/>
      <c r="F840" s="13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c r="AD840" s="126"/>
      <c r="AE840" s="126"/>
      <c r="AF840" s="126"/>
      <c r="AG840" s="126"/>
      <c r="AH840" s="126"/>
      <c r="AI840" s="126"/>
      <c r="AJ840" s="126"/>
      <c r="AK840" s="126"/>
      <c r="AL840" s="126"/>
      <c r="AM840" s="126"/>
      <c r="AN840" s="126"/>
      <c r="AO840" s="126"/>
      <c r="AP840" s="126"/>
      <c r="AQ840" s="126"/>
      <c r="AR840" s="126"/>
      <c r="AS840" s="126"/>
      <c r="AT840" s="126"/>
      <c r="AU840" s="126"/>
      <c r="AV840" s="126"/>
      <c r="AW840" s="126"/>
      <c r="AX840" s="126"/>
      <c r="AY840" s="126"/>
      <c r="AZ840" s="126"/>
      <c r="BA840" s="126"/>
      <c r="BB840" s="126"/>
      <c r="BC840" s="126"/>
      <c r="BD840" s="126"/>
    </row>
    <row r="841">
      <c r="A841" s="126"/>
      <c r="B841" s="126"/>
      <c r="C841" s="126"/>
      <c r="D841" s="126"/>
      <c r="E841" s="126"/>
      <c r="F841" s="13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c r="AD841" s="126"/>
      <c r="AE841" s="126"/>
      <c r="AF841" s="126"/>
      <c r="AG841" s="126"/>
      <c r="AH841" s="126"/>
      <c r="AI841" s="126"/>
      <c r="AJ841" s="126"/>
      <c r="AK841" s="126"/>
      <c r="AL841" s="126"/>
      <c r="AM841" s="126"/>
      <c r="AN841" s="126"/>
      <c r="AO841" s="126"/>
      <c r="AP841" s="126"/>
      <c r="AQ841" s="126"/>
      <c r="AR841" s="126"/>
      <c r="AS841" s="126"/>
      <c r="AT841" s="126"/>
      <c r="AU841" s="126"/>
      <c r="AV841" s="126"/>
      <c r="AW841" s="126"/>
      <c r="AX841" s="126"/>
      <c r="AY841" s="126"/>
      <c r="AZ841" s="126"/>
      <c r="BA841" s="126"/>
      <c r="BB841" s="126"/>
      <c r="BC841" s="126"/>
      <c r="BD841" s="126"/>
    </row>
    <row r="842">
      <c r="A842" s="126"/>
      <c r="B842" s="126"/>
      <c r="C842" s="126"/>
      <c r="D842" s="126"/>
      <c r="E842" s="126"/>
      <c r="F842" s="13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c r="AD842" s="126"/>
      <c r="AE842" s="126"/>
      <c r="AF842" s="126"/>
      <c r="AG842" s="126"/>
      <c r="AH842" s="126"/>
      <c r="AI842" s="126"/>
      <c r="AJ842" s="126"/>
      <c r="AK842" s="126"/>
      <c r="AL842" s="126"/>
      <c r="AM842" s="126"/>
      <c r="AN842" s="126"/>
      <c r="AO842" s="126"/>
      <c r="AP842" s="126"/>
      <c r="AQ842" s="126"/>
      <c r="AR842" s="126"/>
      <c r="AS842" s="126"/>
      <c r="AT842" s="126"/>
      <c r="AU842" s="126"/>
      <c r="AV842" s="126"/>
      <c r="AW842" s="126"/>
      <c r="AX842" s="126"/>
      <c r="AY842" s="126"/>
      <c r="AZ842" s="126"/>
      <c r="BA842" s="126"/>
      <c r="BB842" s="126"/>
      <c r="BC842" s="126"/>
      <c r="BD842" s="126"/>
    </row>
    <row r="843">
      <c r="A843" s="126"/>
      <c r="B843" s="126"/>
      <c r="C843" s="126"/>
      <c r="D843" s="126"/>
      <c r="E843" s="126"/>
      <c r="F843" s="13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c r="AD843" s="126"/>
      <c r="AE843" s="126"/>
      <c r="AF843" s="126"/>
      <c r="AG843" s="126"/>
      <c r="AH843" s="126"/>
      <c r="AI843" s="126"/>
      <c r="AJ843" s="126"/>
      <c r="AK843" s="126"/>
      <c r="AL843" s="126"/>
      <c r="AM843" s="126"/>
      <c r="AN843" s="126"/>
      <c r="AO843" s="126"/>
      <c r="AP843" s="126"/>
      <c r="AQ843" s="126"/>
      <c r="AR843" s="126"/>
      <c r="AS843" s="126"/>
      <c r="AT843" s="126"/>
      <c r="AU843" s="126"/>
      <c r="AV843" s="126"/>
      <c r="AW843" s="126"/>
      <c r="AX843" s="126"/>
      <c r="AY843" s="126"/>
      <c r="AZ843" s="126"/>
      <c r="BA843" s="126"/>
      <c r="BB843" s="126"/>
      <c r="BC843" s="126"/>
      <c r="BD843" s="126"/>
    </row>
    <row r="844">
      <c r="A844" s="126"/>
      <c r="B844" s="126"/>
      <c r="C844" s="126"/>
      <c r="D844" s="126"/>
      <c r="E844" s="126"/>
      <c r="F844" s="13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c r="AD844" s="126"/>
      <c r="AE844" s="126"/>
      <c r="AF844" s="126"/>
      <c r="AG844" s="126"/>
      <c r="AH844" s="126"/>
      <c r="AI844" s="126"/>
      <c r="AJ844" s="126"/>
      <c r="AK844" s="126"/>
      <c r="AL844" s="126"/>
      <c r="AM844" s="126"/>
      <c r="AN844" s="126"/>
      <c r="AO844" s="126"/>
      <c r="AP844" s="126"/>
      <c r="AQ844" s="126"/>
      <c r="AR844" s="126"/>
      <c r="AS844" s="126"/>
      <c r="AT844" s="126"/>
      <c r="AU844" s="126"/>
      <c r="AV844" s="126"/>
      <c r="AW844" s="126"/>
      <c r="AX844" s="126"/>
      <c r="AY844" s="126"/>
      <c r="AZ844" s="126"/>
      <c r="BA844" s="126"/>
      <c r="BB844" s="126"/>
      <c r="BC844" s="126"/>
      <c r="BD844" s="126"/>
    </row>
    <row r="845">
      <c r="A845" s="126"/>
      <c r="B845" s="126"/>
      <c r="C845" s="126"/>
      <c r="D845" s="126"/>
      <c r="E845" s="126"/>
      <c r="F845" s="13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c r="AD845" s="126"/>
      <c r="AE845" s="126"/>
      <c r="AF845" s="126"/>
      <c r="AG845" s="126"/>
      <c r="AH845" s="126"/>
      <c r="AI845" s="126"/>
      <c r="AJ845" s="126"/>
      <c r="AK845" s="126"/>
      <c r="AL845" s="126"/>
      <c r="AM845" s="126"/>
      <c r="AN845" s="126"/>
      <c r="AO845" s="126"/>
      <c r="AP845" s="126"/>
      <c r="AQ845" s="126"/>
      <c r="AR845" s="126"/>
      <c r="AS845" s="126"/>
      <c r="AT845" s="126"/>
      <c r="AU845" s="126"/>
      <c r="AV845" s="126"/>
      <c r="AW845" s="126"/>
      <c r="AX845" s="126"/>
      <c r="AY845" s="126"/>
      <c r="AZ845" s="126"/>
      <c r="BA845" s="126"/>
      <c r="BB845" s="126"/>
      <c r="BC845" s="126"/>
      <c r="BD845" s="126"/>
    </row>
    <row r="846">
      <c r="A846" s="126"/>
      <c r="B846" s="126"/>
      <c r="C846" s="126"/>
      <c r="D846" s="126"/>
      <c r="E846" s="126"/>
      <c r="F846" s="13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c r="AD846" s="126"/>
      <c r="AE846" s="126"/>
      <c r="AF846" s="126"/>
      <c r="AG846" s="126"/>
      <c r="AH846" s="126"/>
      <c r="AI846" s="126"/>
      <c r="AJ846" s="126"/>
      <c r="AK846" s="126"/>
      <c r="AL846" s="126"/>
      <c r="AM846" s="126"/>
      <c r="AN846" s="126"/>
      <c r="AO846" s="126"/>
      <c r="AP846" s="126"/>
      <c r="AQ846" s="126"/>
      <c r="AR846" s="126"/>
      <c r="AS846" s="126"/>
      <c r="AT846" s="126"/>
      <c r="AU846" s="126"/>
      <c r="AV846" s="126"/>
      <c r="AW846" s="126"/>
      <c r="AX846" s="126"/>
      <c r="AY846" s="126"/>
      <c r="AZ846" s="126"/>
      <c r="BA846" s="126"/>
      <c r="BB846" s="126"/>
      <c r="BC846" s="126"/>
      <c r="BD846" s="126"/>
    </row>
    <row r="847">
      <c r="A847" s="126"/>
      <c r="B847" s="126"/>
      <c r="C847" s="126"/>
      <c r="D847" s="126"/>
      <c r="E847" s="126"/>
      <c r="F847" s="13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c r="AD847" s="126"/>
      <c r="AE847" s="126"/>
      <c r="AF847" s="126"/>
      <c r="AG847" s="126"/>
      <c r="AH847" s="126"/>
      <c r="AI847" s="126"/>
      <c r="AJ847" s="126"/>
      <c r="AK847" s="126"/>
      <c r="AL847" s="126"/>
      <c r="AM847" s="126"/>
      <c r="AN847" s="126"/>
      <c r="AO847" s="126"/>
      <c r="AP847" s="126"/>
      <c r="AQ847" s="126"/>
      <c r="AR847" s="126"/>
      <c r="AS847" s="126"/>
      <c r="AT847" s="126"/>
      <c r="AU847" s="126"/>
      <c r="AV847" s="126"/>
      <c r="AW847" s="126"/>
      <c r="AX847" s="126"/>
      <c r="AY847" s="126"/>
      <c r="AZ847" s="126"/>
      <c r="BA847" s="126"/>
      <c r="BB847" s="126"/>
      <c r="BC847" s="126"/>
      <c r="BD847" s="126"/>
    </row>
    <row r="848">
      <c r="A848" s="126"/>
      <c r="B848" s="126"/>
      <c r="C848" s="126"/>
      <c r="D848" s="126"/>
      <c r="E848" s="126"/>
      <c r="F848" s="13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c r="AD848" s="126"/>
      <c r="AE848" s="126"/>
      <c r="AF848" s="126"/>
      <c r="AG848" s="126"/>
      <c r="AH848" s="126"/>
      <c r="AI848" s="126"/>
      <c r="AJ848" s="126"/>
      <c r="AK848" s="126"/>
      <c r="AL848" s="126"/>
      <c r="AM848" s="126"/>
      <c r="AN848" s="126"/>
      <c r="AO848" s="126"/>
      <c r="AP848" s="126"/>
      <c r="AQ848" s="126"/>
      <c r="AR848" s="126"/>
      <c r="AS848" s="126"/>
      <c r="AT848" s="126"/>
      <c r="AU848" s="126"/>
      <c r="AV848" s="126"/>
      <c r="AW848" s="126"/>
      <c r="AX848" s="126"/>
      <c r="AY848" s="126"/>
      <c r="AZ848" s="126"/>
      <c r="BA848" s="126"/>
      <c r="BB848" s="126"/>
      <c r="BC848" s="126"/>
      <c r="BD848" s="126"/>
    </row>
    <row r="849">
      <c r="A849" s="126"/>
      <c r="B849" s="126"/>
      <c r="C849" s="126"/>
      <c r="D849" s="126"/>
      <c r="E849" s="126"/>
      <c r="F849" s="13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c r="AD849" s="126"/>
      <c r="AE849" s="126"/>
      <c r="AF849" s="126"/>
      <c r="AG849" s="126"/>
      <c r="AH849" s="126"/>
      <c r="AI849" s="126"/>
      <c r="AJ849" s="126"/>
      <c r="AK849" s="126"/>
      <c r="AL849" s="126"/>
      <c r="AM849" s="126"/>
      <c r="AN849" s="126"/>
      <c r="AO849" s="126"/>
      <c r="AP849" s="126"/>
      <c r="AQ849" s="126"/>
      <c r="AR849" s="126"/>
      <c r="AS849" s="126"/>
      <c r="AT849" s="126"/>
      <c r="AU849" s="126"/>
      <c r="AV849" s="126"/>
      <c r="AW849" s="126"/>
      <c r="AX849" s="126"/>
      <c r="AY849" s="126"/>
      <c r="AZ849" s="126"/>
      <c r="BA849" s="126"/>
      <c r="BB849" s="126"/>
      <c r="BC849" s="126"/>
      <c r="BD849" s="126"/>
    </row>
    <row r="850">
      <c r="A850" s="126"/>
      <c r="B850" s="126"/>
      <c r="C850" s="126"/>
      <c r="D850" s="126"/>
      <c r="E850" s="126"/>
      <c r="F850" s="13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c r="AD850" s="126"/>
      <c r="AE850" s="126"/>
      <c r="AF850" s="126"/>
      <c r="AG850" s="126"/>
      <c r="AH850" s="126"/>
      <c r="AI850" s="126"/>
      <c r="AJ850" s="126"/>
      <c r="AK850" s="126"/>
      <c r="AL850" s="126"/>
      <c r="AM850" s="126"/>
      <c r="AN850" s="126"/>
      <c r="AO850" s="126"/>
      <c r="AP850" s="126"/>
      <c r="AQ850" s="126"/>
      <c r="AR850" s="126"/>
      <c r="AS850" s="126"/>
      <c r="AT850" s="126"/>
      <c r="AU850" s="126"/>
      <c r="AV850" s="126"/>
      <c r="AW850" s="126"/>
      <c r="AX850" s="126"/>
      <c r="AY850" s="126"/>
      <c r="AZ850" s="126"/>
      <c r="BA850" s="126"/>
      <c r="BB850" s="126"/>
      <c r="BC850" s="126"/>
      <c r="BD850" s="126"/>
    </row>
    <row r="851">
      <c r="A851" s="126"/>
      <c r="B851" s="126"/>
      <c r="C851" s="126"/>
      <c r="D851" s="126"/>
      <c r="E851" s="126"/>
      <c r="F851" s="13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c r="AD851" s="126"/>
      <c r="AE851" s="126"/>
      <c r="AF851" s="126"/>
      <c r="AG851" s="126"/>
      <c r="AH851" s="126"/>
      <c r="AI851" s="126"/>
      <c r="AJ851" s="126"/>
      <c r="AK851" s="126"/>
      <c r="AL851" s="126"/>
      <c r="AM851" s="126"/>
      <c r="AN851" s="126"/>
      <c r="AO851" s="126"/>
      <c r="AP851" s="126"/>
      <c r="AQ851" s="126"/>
      <c r="AR851" s="126"/>
      <c r="AS851" s="126"/>
      <c r="AT851" s="126"/>
      <c r="AU851" s="126"/>
      <c r="AV851" s="126"/>
      <c r="AW851" s="126"/>
      <c r="AX851" s="126"/>
      <c r="AY851" s="126"/>
      <c r="AZ851" s="126"/>
      <c r="BA851" s="126"/>
      <c r="BB851" s="126"/>
      <c r="BC851" s="126"/>
      <c r="BD851" s="126"/>
    </row>
    <row r="852">
      <c r="A852" s="126"/>
      <c r="B852" s="126"/>
      <c r="C852" s="126"/>
      <c r="D852" s="126"/>
      <c r="E852" s="126"/>
      <c r="F852" s="13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c r="AD852" s="126"/>
      <c r="AE852" s="126"/>
      <c r="AF852" s="126"/>
      <c r="AG852" s="126"/>
      <c r="AH852" s="126"/>
      <c r="AI852" s="126"/>
      <c r="AJ852" s="126"/>
      <c r="AK852" s="126"/>
      <c r="AL852" s="126"/>
      <c r="AM852" s="126"/>
      <c r="AN852" s="126"/>
      <c r="AO852" s="126"/>
      <c r="AP852" s="126"/>
      <c r="AQ852" s="126"/>
      <c r="AR852" s="126"/>
      <c r="AS852" s="126"/>
      <c r="AT852" s="126"/>
      <c r="AU852" s="126"/>
      <c r="AV852" s="126"/>
      <c r="AW852" s="126"/>
      <c r="AX852" s="126"/>
      <c r="AY852" s="126"/>
      <c r="AZ852" s="126"/>
      <c r="BA852" s="126"/>
      <c r="BB852" s="126"/>
      <c r="BC852" s="126"/>
      <c r="BD852" s="126"/>
    </row>
    <row r="853">
      <c r="A853" s="126"/>
      <c r="B853" s="126"/>
      <c r="C853" s="126"/>
      <c r="D853" s="126"/>
      <c r="E853" s="126"/>
      <c r="F853" s="13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c r="AD853" s="126"/>
      <c r="AE853" s="126"/>
      <c r="AF853" s="126"/>
      <c r="AG853" s="126"/>
      <c r="AH853" s="126"/>
      <c r="AI853" s="126"/>
      <c r="AJ853" s="126"/>
      <c r="AK853" s="126"/>
      <c r="AL853" s="126"/>
      <c r="AM853" s="126"/>
      <c r="AN853" s="126"/>
      <c r="AO853" s="126"/>
      <c r="AP853" s="126"/>
      <c r="AQ853" s="126"/>
      <c r="AR853" s="126"/>
      <c r="AS853" s="126"/>
      <c r="AT853" s="126"/>
      <c r="AU853" s="126"/>
      <c r="AV853" s="126"/>
      <c r="AW853" s="126"/>
      <c r="AX853" s="126"/>
      <c r="AY853" s="126"/>
      <c r="AZ853" s="126"/>
      <c r="BA853" s="126"/>
      <c r="BB853" s="126"/>
      <c r="BC853" s="126"/>
      <c r="BD853" s="126"/>
    </row>
    <row r="854">
      <c r="A854" s="126"/>
      <c r="B854" s="126"/>
      <c r="C854" s="126"/>
      <c r="D854" s="126"/>
      <c r="E854" s="126"/>
      <c r="F854" s="13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c r="AD854" s="126"/>
      <c r="AE854" s="126"/>
      <c r="AF854" s="126"/>
      <c r="AG854" s="126"/>
      <c r="AH854" s="126"/>
      <c r="AI854" s="126"/>
      <c r="AJ854" s="126"/>
      <c r="AK854" s="126"/>
      <c r="AL854" s="126"/>
      <c r="AM854" s="126"/>
      <c r="AN854" s="126"/>
      <c r="AO854" s="126"/>
      <c r="AP854" s="126"/>
      <c r="AQ854" s="126"/>
      <c r="AR854" s="126"/>
      <c r="AS854" s="126"/>
      <c r="AT854" s="126"/>
      <c r="AU854" s="126"/>
      <c r="AV854" s="126"/>
      <c r="AW854" s="126"/>
      <c r="AX854" s="126"/>
      <c r="AY854" s="126"/>
      <c r="AZ854" s="126"/>
      <c r="BA854" s="126"/>
      <c r="BB854" s="126"/>
      <c r="BC854" s="126"/>
      <c r="BD854" s="126"/>
    </row>
    <row r="855">
      <c r="A855" s="126"/>
      <c r="B855" s="126"/>
      <c r="C855" s="126"/>
      <c r="D855" s="126"/>
      <c r="E855" s="126"/>
      <c r="F855" s="13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c r="AD855" s="126"/>
      <c r="AE855" s="126"/>
      <c r="AF855" s="126"/>
      <c r="AG855" s="126"/>
      <c r="AH855" s="126"/>
      <c r="AI855" s="126"/>
      <c r="AJ855" s="126"/>
      <c r="AK855" s="126"/>
      <c r="AL855" s="126"/>
      <c r="AM855" s="126"/>
      <c r="AN855" s="126"/>
      <c r="AO855" s="126"/>
      <c r="AP855" s="126"/>
      <c r="AQ855" s="126"/>
      <c r="AR855" s="126"/>
      <c r="AS855" s="126"/>
      <c r="AT855" s="126"/>
      <c r="AU855" s="126"/>
      <c r="AV855" s="126"/>
      <c r="AW855" s="126"/>
      <c r="AX855" s="126"/>
      <c r="AY855" s="126"/>
      <c r="AZ855" s="126"/>
      <c r="BA855" s="126"/>
      <c r="BB855" s="126"/>
      <c r="BC855" s="126"/>
      <c r="BD855" s="126"/>
    </row>
    <row r="856">
      <c r="A856" s="126"/>
      <c r="B856" s="126"/>
      <c r="C856" s="126"/>
      <c r="D856" s="126"/>
      <c r="E856" s="126"/>
      <c r="F856" s="13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c r="AD856" s="126"/>
      <c r="AE856" s="126"/>
      <c r="AF856" s="126"/>
      <c r="AG856" s="126"/>
      <c r="AH856" s="126"/>
      <c r="AI856" s="126"/>
      <c r="AJ856" s="126"/>
      <c r="AK856" s="126"/>
      <c r="AL856" s="126"/>
      <c r="AM856" s="126"/>
      <c r="AN856" s="126"/>
      <c r="AO856" s="126"/>
      <c r="AP856" s="126"/>
      <c r="AQ856" s="126"/>
      <c r="AR856" s="126"/>
      <c r="AS856" s="126"/>
      <c r="AT856" s="126"/>
      <c r="AU856" s="126"/>
      <c r="AV856" s="126"/>
      <c r="AW856" s="126"/>
      <c r="AX856" s="126"/>
      <c r="AY856" s="126"/>
      <c r="AZ856" s="126"/>
      <c r="BA856" s="126"/>
      <c r="BB856" s="126"/>
      <c r="BC856" s="126"/>
      <c r="BD856" s="126"/>
    </row>
    <row r="857">
      <c r="A857" s="126"/>
      <c r="B857" s="126"/>
      <c r="C857" s="126"/>
      <c r="D857" s="126"/>
      <c r="E857" s="126"/>
      <c r="F857" s="13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c r="AD857" s="126"/>
      <c r="AE857" s="126"/>
      <c r="AF857" s="126"/>
      <c r="AG857" s="126"/>
      <c r="AH857" s="126"/>
      <c r="AI857" s="126"/>
      <c r="AJ857" s="126"/>
      <c r="AK857" s="126"/>
      <c r="AL857" s="126"/>
      <c r="AM857" s="126"/>
      <c r="AN857" s="126"/>
      <c r="AO857" s="126"/>
      <c r="AP857" s="126"/>
      <c r="AQ857" s="126"/>
      <c r="AR857" s="126"/>
      <c r="AS857" s="126"/>
      <c r="AT857" s="126"/>
      <c r="AU857" s="126"/>
      <c r="AV857" s="126"/>
      <c r="AW857" s="126"/>
      <c r="AX857" s="126"/>
      <c r="AY857" s="126"/>
      <c r="AZ857" s="126"/>
      <c r="BA857" s="126"/>
      <c r="BB857" s="126"/>
      <c r="BC857" s="126"/>
      <c r="BD857" s="126"/>
    </row>
    <row r="858">
      <c r="A858" s="126"/>
      <c r="B858" s="126"/>
      <c r="C858" s="126"/>
      <c r="D858" s="126"/>
      <c r="E858" s="126"/>
      <c r="F858" s="13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c r="AD858" s="126"/>
      <c r="AE858" s="126"/>
      <c r="AF858" s="126"/>
      <c r="AG858" s="126"/>
      <c r="AH858" s="126"/>
      <c r="AI858" s="126"/>
      <c r="AJ858" s="126"/>
      <c r="AK858" s="126"/>
      <c r="AL858" s="126"/>
      <c r="AM858" s="126"/>
      <c r="AN858" s="126"/>
      <c r="AO858" s="126"/>
      <c r="AP858" s="126"/>
      <c r="AQ858" s="126"/>
      <c r="AR858" s="126"/>
      <c r="AS858" s="126"/>
      <c r="AT858" s="126"/>
      <c r="AU858" s="126"/>
      <c r="AV858" s="126"/>
      <c r="AW858" s="126"/>
      <c r="AX858" s="126"/>
      <c r="AY858" s="126"/>
      <c r="AZ858" s="126"/>
      <c r="BA858" s="126"/>
      <c r="BB858" s="126"/>
      <c r="BC858" s="126"/>
      <c r="BD858" s="126"/>
    </row>
    <row r="859">
      <c r="A859" s="126"/>
      <c r="B859" s="126"/>
      <c r="C859" s="126"/>
      <c r="D859" s="126"/>
      <c r="E859" s="126"/>
      <c r="F859" s="13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126"/>
      <c r="AP859" s="126"/>
      <c r="AQ859" s="126"/>
      <c r="AR859" s="126"/>
      <c r="AS859" s="126"/>
      <c r="AT859" s="126"/>
      <c r="AU859" s="126"/>
      <c r="AV859" s="126"/>
      <c r="AW859" s="126"/>
      <c r="AX859" s="126"/>
      <c r="AY859" s="126"/>
      <c r="AZ859" s="126"/>
      <c r="BA859" s="126"/>
      <c r="BB859" s="126"/>
      <c r="BC859" s="126"/>
      <c r="BD859" s="126"/>
    </row>
    <row r="860">
      <c r="A860" s="126"/>
      <c r="B860" s="126"/>
      <c r="C860" s="126"/>
      <c r="D860" s="126"/>
      <c r="E860" s="126"/>
      <c r="F860" s="13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c r="AD860" s="126"/>
      <c r="AE860" s="126"/>
      <c r="AF860" s="126"/>
      <c r="AG860" s="126"/>
      <c r="AH860" s="126"/>
      <c r="AI860" s="126"/>
      <c r="AJ860" s="126"/>
      <c r="AK860" s="126"/>
      <c r="AL860" s="126"/>
      <c r="AM860" s="126"/>
      <c r="AN860" s="126"/>
      <c r="AO860" s="126"/>
      <c r="AP860" s="126"/>
      <c r="AQ860" s="126"/>
      <c r="AR860" s="126"/>
      <c r="AS860" s="126"/>
      <c r="AT860" s="126"/>
      <c r="AU860" s="126"/>
      <c r="AV860" s="126"/>
      <c r="AW860" s="126"/>
      <c r="AX860" s="126"/>
      <c r="AY860" s="126"/>
      <c r="AZ860" s="126"/>
      <c r="BA860" s="126"/>
      <c r="BB860" s="126"/>
      <c r="BC860" s="126"/>
      <c r="BD860" s="126"/>
    </row>
    <row r="861">
      <c r="A861" s="126"/>
      <c r="B861" s="126"/>
      <c r="C861" s="126"/>
      <c r="D861" s="126"/>
      <c r="E861" s="126"/>
      <c r="F861" s="13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126"/>
      <c r="AP861" s="126"/>
      <c r="AQ861" s="126"/>
      <c r="AR861" s="126"/>
      <c r="AS861" s="126"/>
      <c r="AT861" s="126"/>
      <c r="AU861" s="126"/>
      <c r="AV861" s="126"/>
      <c r="AW861" s="126"/>
      <c r="AX861" s="126"/>
      <c r="AY861" s="126"/>
      <c r="AZ861" s="126"/>
      <c r="BA861" s="126"/>
      <c r="BB861" s="126"/>
      <c r="BC861" s="126"/>
      <c r="BD861" s="126"/>
    </row>
    <row r="862">
      <c r="A862" s="126"/>
      <c r="B862" s="126"/>
      <c r="C862" s="126"/>
      <c r="D862" s="126"/>
      <c r="E862" s="126"/>
      <c r="F862" s="13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c r="AD862" s="126"/>
      <c r="AE862" s="126"/>
      <c r="AF862" s="126"/>
      <c r="AG862" s="126"/>
      <c r="AH862" s="126"/>
      <c r="AI862" s="126"/>
      <c r="AJ862" s="126"/>
      <c r="AK862" s="126"/>
      <c r="AL862" s="126"/>
      <c r="AM862" s="126"/>
      <c r="AN862" s="126"/>
      <c r="AO862" s="126"/>
      <c r="AP862" s="126"/>
      <c r="AQ862" s="126"/>
      <c r="AR862" s="126"/>
      <c r="AS862" s="126"/>
      <c r="AT862" s="126"/>
      <c r="AU862" s="126"/>
      <c r="AV862" s="126"/>
      <c r="AW862" s="126"/>
      <c r="AX862" s="126"/>
      <c r="AY862" s="126"/>
      <c r="AZ862" s="126"/>
      <c r="BA862" s="126"/>
      <c r="BB862" s="126"/>
      <c r="BC862" s="126"/>
      <c r="BD862" s="126"/>
    </row>
    <row r="863">
      <c r="A863" s="126"/>
      <c r="B863" s="126"/>
      <c r="C863" s="126"/>
      <c r="D863" s="126"/>
      <c r="E863" s="126"/>
      <c r="F863" s="13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c r="AD863" s="126"/>
      <c r="AE863" s="126"/>
      <c r="AF863" s="126"/>
      <c r="AG863" s="126"/>
      <c r="AH863" s="126"/>
      <c r="AI863" s="126"/>
      <c r="AJ863" s="126"/>
      <c r="AK863" s="126"/>
      <c r="AL863" s="126"/>
      <c r="AM863" s="126"/>
      <c r="AN863" s="126"/>
      <c r="AO863" s="126"/>
      <c r="AP863" s="126"/>
      <c r="AQ863" s="126"/>
      <c r="AR863" s="126"/>
      <c r="AS863" s="126"/>
      <c r="AT863" s="126"/>
      <c r="AU863" s="126"/>
      <c r="AV863" s="126"/>
      <c r="AW863" s="126"/>
      <c r="AX863" s="126"/>
      <c r="AY863" s="126"/>
      <c r="AZ863" s="126"/>
      <c r="BA863" s="126"/>
      <c r="BB863" s="126"/>
      <c r="BC863" s="126"/>
      <c r="BD863" s="126"/>
    </row>
    <row r="864">
      <c r="A864" s="126"/>
      <c r="B864" s="126"/>
      <c r="C864" s="126"/>
      <c r="D864" s="126"/>
      <c r="E864" s="126"/>
      <c r="F864" s="13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c r="AD864" s="126"/>
      <c r="AE864" s="126"/>
      <c r="AF864" s="126"/>
      <c r="AG864" s="126"/>
      <c r="AH864" s="126"/>
      <c r="AI864" s="126"/>
      <c r="AJ864" s="126"/>
      <c r="AK864" s="126"/>
      <c r="AL864" s="126"/>
      <c r="AM864" s="126"/>
      <c r="AN864" s="126"/>
      <c r="AO864" s="126"/>
      <c r="AP864" s="126"/>
      <c r="AQ864" s="126"/>
      <c r="AR864" s="126"/>
      <c r="AS864" s="126"/>
      <c r="AT864" s="126"/>
      <c r="AU864" s="126"/>
      <c r="AV864" s="126"/>
      <c r="AW864" s="126"/>
      <c r="AX864" s="126"/>
      <c r="AY864" s="126"/>
      <c r="AZ864" s="126"/>
      <c r="BA864" s="126"/>
      <c r="BB864" s="126"/>
      <c r="BC864" s="126"/>
      <c r="BD864" s="126"/>
    </row>
    <row r="865">
      <c r="A865" s="126"/>
      <c r="B865" s="126"/>
      <c r="C865" s="126"/>
      <c r="D865" s="126"/>
      <c r="E865" s="126"/>
      <c r="F865" s="13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c r="AD865" s="126"/>
      <c r="AE865" s="126"/>
      <c r="AF865" s="126"/>
      <c r="AG865" s="126"/>
      <c r="AH865" s="126"/>
      <c r="AI865" s="126"/>
      <c r="AJ865" s="126"/>
      <c r="AK865" s="126"/>
      <c r="AL865" s="126"/>
      <c r="AM865" s="126"/>
      <c r="AN865" s="126"/>
      <c r="AO865" s="126"/>
      <c r="AP865" s="126"/>
      <c r="AQ865" s="126"/>
      <c r="AR865" s="126"/>
      <c r="AS865" s="126"/>
      <c r="AT865" s="126"/>
      <c r="AU865" s="126"/>
      <c r="AV865" s="126"/>
      <c r="AW865" s="126"/>
      <c r="AX865" s="126"/>
      <c r="AY865" s="126"/>
      <c r="AZ865" s="126"/>
      <c r="BA865" s="126"/>
      <c r="BB865" s="126"/>
      <c r="BC865" s="126"/>
      <c r="BD865" s="126"/>
    </row>
    <row r="866">
      <c r="A866" s="126"/>
      <c r="B866" s="126"/>
      <c r="C866" s="126"/>
      <c r="D866" s="126"/>
      <c r="E866" s="126"/>
      <c r="F866" s="13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c r="AD866" s="126"/>
      <c r="AE866" s="126"/>
      <c r="AF866" s="126"/>
      <c r="AG866" s="126"/>
      <c r="AH866" s="126"/>
      <c r="AI866" s="126"/>
      <c r="AJ866" s="126"/>
      <c r="AK866" s="126"/>
      <c r="AL866" s="126"/>
      <c r="AM866" s="126"/>
      <c r="AN866" s="126"/>
      <c r="AO866" s="126"/>
      <c r="AP866" s="126"/>
      <c r="AQ866" s="126"/>
      <c r="AR866" s="126"/>
      <c r="AS866" s="126"/>
      <c r="AT866" s="126"/>
      <c r="AU866" s="126"/>
      <c r="AV866" s="126"/>
      <c r="AW866" s="126"/>
      <c r="AX866" s="126"/>
      <c r="AY866" s="126"/>
      <c r="AZ866" s="126"/>
      <c r="BA866" s="126"/>
      <c r="BB866" s="126"/>
      <c r="BC866" s="126"/>
      <c r="BD866" s="126"/>
    </row>
    <row r="867">
      <c r="A867" s="126"/>
      <c r="B867" s="126"/>
      <c r="C867" s="126"/>
      <c r="D867" s="126"/>
      <c r="E867" s="126"/>
      <c r="F867" s="13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c r="AD867" s="126"/>
      <c r="AE867" s="126"/>
      <c r="AF867" s="126"/>
      <c r="AG867" s="126"/>
      <c r="AH867" s="126"/>
      <c r="AI867" s="126"/>
      <c r="AJ867" s="126"/>
      <c r="AK867" s="126"/>
      <c r="AL867" s="126"/>
      <c r="AM867" s="126"/>
      <c r="AN867" s="126"/>
      <c r="AO867" s="126"/>
      <c r="AP867" s="126"/>
      <c r="AQ867" s="126"/>
      <c r="AR867" s="126"/>
      <c r="AS867" s="126"/>
      <c r="AT867" s="126"/>
      <c r="AU867" s="126"/>
      <c r="AV867" s="126"/>
      <c r="AW867" s="126"/>
      <c r="AX867" s="126"/>
      <c r="AY867" s="126"/>
      <c r="AZ867" s="126"/>
      <c r="BA867" s="126"/>
      <c r="BB867" s="126"/>
      <c r="BC867" s="126"/>
      <c r="BD867" s="126"/>
    </row>
    <row r="868">
      <c r="A868" s="126"/>
      <c r="B868" s="126"/>
      <c r="C868" s="126"/>
      <c r="D868" s="126"/>
      <c r="E868" s="126"/>
      <c r="F868" s="13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c r="AD868" s="126"/>
      <c r="AE868" s="126"/>
      <c r="AF868" s="126"/>
      <c r="AG868" s="126"/>
      <c r="AH868" s="126"/>
      <c r="AI868" s="126"/>
      <c r="AJ868" s="126"/>
      <c r="AK868" s="126"/>
      <c r="AL868" s="126"/>
      <c r="AM868" s="126"/>
      <c r="AN868" s="126"/>
      <c r="AO868" s="126"/>
      <c r="AP868" s="126"/>
      <c r="AQ868" s="126"/>
      <c r="AR868" s="126"/>
      <c r="AS868" s="126"/>
      <c r="AT868" s="126"/>
      <c r="AU868" s="126"/>
      <c r="AV868" s="126"/>
      <c r="AW868" s="126"/>
      <c r="AX868" s="126"/>
      <c r="AY868" s="126"/>
      <c r="AZ868" s="126"/>
      <c r="BA868" s="126"/>
      <c r="BB868" s="126"/>
      <c r="BC868" s="126"/>
      <c r="BD868" s="126"/>
    </row>
    <row r="869">
      <c r="A869" s="126"/>
      <c r="B869" s="126"/>
      <c r="C869" s="126"/>
      <c r="D869" s="126"/>
      <c r="E869" s="126"/>
      <c r="F869" s="13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c r="AD869" s="126"/>
      <c r="AE869" s="126"/>
      <c r="AF869" s="126"/>
      <c r="AG869" s="126"/>
      <c r="AH869" s="126"/>
      <c r="AI869" s="126"/>
      <c r="AJ869" s="126"/>
      <c r="AK869" s="126"/>
      <c r="AL869" s="126"/>
      <c r="AM869" s="126"/>
      <c r="AN869" s="126"/>
      <c r="AO869" s="126"/>
      <c r="AP869" s="126"/>
      <c r="AQ869" s="126"/>
      <c r="AR869" s="126"/>
      <c r="AS869" s="126"/>
      <c r="AT869" s="126"/>
      <c r="AU869" s="126"/>
      <c r="AV869" s="126"/>
      <c r="AW869" s="126"/>
      <c r="AX869" s="126"/>
      <c r="AY869" s="126"/>
      <c r="AZ869" s="126"/>
      <c r="BA869" s="126"/>
      <c r="BB869" s="126"/>
      <c r="BC869" s="126"/>
      <c r="BD869" s="126"/>
    </row>
    <row r="870">
      <c r="A870" s="126"/>
      <c r="B870" s="126"/>
      <c r="C870" s="126"/>
      <c r="D870" s="126"/>
      <c r="E870" s="126"/>
      <c r="F870" s="13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126"/>
      <c r="AP870" s="126"/>
      <c r="AQ870" s="126"/>
      <c r="AR870" s="126"/>
      <c r="AS870" s="126"/>
      <c r="AT870" s="126"/>
      <c r="AU870" s="126"/>
      <c r="AV870" s="126"/>
      <c r="AW870" s="126"/>
      <c r="AX870" s="126"/>
      <c r="AY870" s="126"/>
      <c r="AZ870" s="126"/>
      <c r="BA870" s="126"/>
      <c r="BB870" s="126"/>
      <c r="BC870" s="126"/>
      <c r="BD870" s="126"/>
    </row>
    <row r="871">
      <c r="A871" s="126"/>
      <c r="B871" s="126"/>
      <c r="C871" s="126"/>
      <c r="D871" s="126"/>
      <c r="E871" s="126"/>
      <c r="F871" s="13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c r="AD871" s="126"/>
      <c r="AE871" s="126"/>
      <c r="AF871" s="126"/>
      <c r="AG871" s="126"/>
      <c r="AH871" s="126"/>
      <c r="AI871" s="126"/>
      <c r="AJ871" s="126"/>
      <c r="AK871" s="126"/>
      <c r="AL871" s="126"/>
      <c r="AM871" s="126"/>
      <c r="AN871" s="126"/>
      <c r="AO871" s="126"/>
      <c r="AP871" s="126"/>
      <c r="AQ871" s="126"/>
      <c r="AR871" s="126"/>
      <c r="AS871" s="126"/>
      <c r="AT871" s="126"/>
      <c r="AU871" s="126"/>
      <c r="AV871" s="126"/>
      <c r="AW871" s="126"/>
      <c r="AX871" s="126"/>
      <c r="AY871" s="126"/>
      <c r="AZ871" s="126"/>
      <c r="BA871" s="126"/>
      <c r="BB871" s="126"/>
      <c r="BC871" s="126"/>
      <c r="BD871" s="126"/>
    </row>
    <row r="872">
      <c r="A872" s="126"/>
      <c r="B872" s="126"/>
      <c r="C872" s="126"/>
      <c r="D872" s="126"/>
      <c r="E872" s="126"/>
      <c r="F872" s="13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c r="AD872" s="126"/>
      <c r="AE872" s="126"/>
      <c r="AF872" s="126"/>
      <c r="AG872" s="126"/>
      <c r="AH872" s="126"/>
      <c r="AI872" s="126"/>
      <c r="AJ872" s="126"/>
      <c r="AK872" s="126"/>
      <c r="AL872" s="126"/>
      <c r="AM872" s="126"/>
      <c r="AN872" s="126"/>
      <c r="AO872" s="126"/>
      <c r="AP872" s="126"/>
      <c r="AQ872" s="126"/>
      <c r="AR872" s="126"/>
      <c r="AS872" s="126"/>
      <c r="AT872" s="126"/>
      <c r="AU872" s="126"/>
      <c r="AV872" s="126"/>
      <c r="AW872" s="126"/>
      <c r="AX872" s="126"/>
      <c r="AY872" s="126"/>
      <c r="AZ872" s="126"/>
      <c r="BA872" s="126"/>
      <c r="BB872" s="126"/>
      <c r="BC872" s="126"/>
      <c r="BD872" s="126"/>
    </row>
    <row r="873">
      <c r="A873" s="126"/>
      <c r="B873" s="126"/>
      <c r="C873" s="126"/>
      <c r="D873" s="126"/>
      <c r="E873" s="126"/>
      <c r="F873" s="13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c r="AD873" s="126"/>
      <c r="AE873" s="126"/>
      <c r="AF873" s="126"/>
      <c r="AG873" s="126"/>
      <c r="AH873" s="126"/>
      <c r="AI873" s="126"/>
      <c r="AJ873" s="126"/>
      <c r="AK873" s="126"/>
      <c r="AL873" s="126"/>
      <c r="AM873" s="126"/>
      <c r="AN873" s="126"/>
      <c r="AO873" s="126"/>
      <c r="AP873" s="126"/>
      <c r="AQ873" s="126"/>
      <c r="AR873" s="126"/>
      <c r="AS873" s="126"/>
      <c r="AT873" s="126"/>
      <c r="AU873" s="126"/>
      <c r="AV873" s="126"/>
      <c r="AW873" s="126"/>
      <c r="AX873" s="126"/>
      <c r="AY873" s="126"/>
      <c r="AZ873" s="126"/>
      <c r="BA873" s="126"/>
      <c r="BB873" s="126"/>
      <c r="BC873" s="126"/>
      <c r="BD873" s="126"/>
    </row>
    <row r="874">
      <c r="A874" s="126"/>
      <c r="B874" s="126"/>
      <c r="C874" s="126"/>
      <c r="D874" s="126"/>
      <c r="E874" s="126"/>
      <c r="F874" s="13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c r="AD874" s="126"/>
      <c r="AE874" s="126"/>
      <c r="AF874" s="126"/>
      <c r="AG874" s="126"/>
      <c r="AH874" s="126"/>
      <c r="AI874" s="126"/>
      <c r="AJ874" s="126"/>
      <c r="AK874" s="126"/>
      <c r="AL874" s="126"/>
      <c r="AM874" s="126"/>
      <c r="AN874" s="126"/>
      <c r="AO874" s="126"/>
      <c r="AP874" s="126"/>
      <c r="AQ874" s="126"/>
      <c r="AR874" s="126"/>
      <c r="AS874" s="126"/>
      <c r="AT874" s="126"/>
      <c r="AU874" s="126"/>
      <c r="AV874" s="126"/>
      <c r="AW874" s="126"/>
      <c r="AX874" s="126"/>
      <c r="AY874" s="126"/>
      <c r="AZ874" s="126"/>
      <c r="BA874" s="126"/>
      <c r="BB874" s="126"/>
      <c r="BC874" s="126"/>
      <c r="BD874" s="126"/>
    </row>
    <row r="875">
      <c r="A875" s="126"/>
      <c r="B875" s="126"/>
      <c r="C875" s="126"/>
      <c r="D875" s="126"/>
      <c r="E875" s="126"/>
      <c r="F875" s="13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c r="AD875" s="126"/>
      <c r="AE875" s="126"/>
      <c r="AF875" s="126"/>
      <c r="AG875" s="126"/>
      <c r="AH875" s="126"/>
      <c r="AI875" s="126"/>
      <c r="AJ875" s="126"/>
      <c r="AK875" s="126"/>
      <c r="AL875" s="126"/>
      <c r="AM875" s="126"/>
      <c r="AN875" s="126"/>
      <c r="AO875" s="126"/>
      <c r="AP875" s="126"/>
      <c r="AQ875" s="126"/>
      <c r="AR875" s="126"/>
      <c r="AS875" s="126"/>
      <c r="AT875" s="126"/>
      <c r="AU875" s="126"/>
      <c r="AV875" s="126"/>
      <c r="AW875" s="126"/>
      <c r="AX875" s="126"/>
      <c r="AY875" s="126"/>
      <c r="AZ875" s="126"/>
      <c r="BA875" s="126"/>
      <c r="BB875" s="126"/>
      <c r="BC875" s="126"/>
      <c r="BD875" s="126"/>
    </row>
    <row r="876">
      <c r="A876" s="126"/>
      <c r="B876" s="126"/>
      <c r="C876" s="126"/>
      <c r="D876" s="126"/>
      <c r="E876" s="126"/>
      <c r="F876" s="13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c r="BC876" s="126"/>
      <c r="BD876" s="126"/>
    </row>
    <row r="877">
      <c r="A877" s="126"/>
      <c r="B877" s="126"/>
      <c r="C877" s="126"/>
      <c r="D877" s="126"/>
      <c r="E877" s="126"/>
      <c r="F877" s="13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c r="BC877" s="126"/>
      <c r="BD877" s="126"/>
    </row>
    <row r="878">
      <c r="A878" s="126"/>
      <c r="B878" s="126"/>
      <c r="C878" s="126"/>
      <c r="D878" s="126"/>
      <c r="E878" s="126"/>
      <c r="F878" s="13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c r="BC878" s="126"/>
      <c r="BD878" s="126"/>
    </row>
    <row r="879">
      <c r="A879" s="126"/>
      <c r="B879" s="126"/>
      <c r="C879" s="126"/>
      <c r="D879" s="126"/>
      <c r="E879" s="126"/>
      <c r="F879" s="13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c r="AD879" s="126"/>
      <c r="AE879" s="126"/>
      <c r="AF879" s="126"/>
      <c r="AG879" s="126"/>
      <c r="AH879" s="126"/>
      <c r="AI879" s="126"/>
      <c r="AJ879" s="126"/>
      <c r="AK879" s="126"/>
      <c r="AL879" s="126"/>
      <c r="AM879" s="126"/>
      <c r="AN879" s="126"/>
      <c r="AO879" s="126"/>
      <c r="AP879" s="126"/>
      <c r="AQ879" s="126"/>
      <c r="AR879" s="126"/>
      <c r="AS879" s="126"/>
      <c r="AT879" s="126"/>
      <c r="AU879" s="126"/>
      <c r="AV879" s="126"/>
      <c r="AW879" s="126"/>
      <c r="AX879" s="126"/>
      <c r="AY879" s="126"/>
      <c r="AZ879" s="126"/>
      <c r="BA879" s="126"/>
      <c r="BB879" s="126"/>
      <c r="BC879" s="126"/>
      <c r="BD879" s="126"/>
    </row>
    <row r="880">
      <c r="A880" s="126"/>
      <c r="B880" s="126"/>
      <c r="C880" s="126"/>
      <c r="D880" s="126"/>
      <c r="E880" s="126"/>
      <c r="F880" s="13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c r="AD880" s="126"/>
      <c r="AE880" s="126"/>
      <c r="AF880" s="126"/>
      <c r="AG880" s="126"/>
      <c r="AH880" s="126"/>
      <c r="AI880" s="126"/>
      <c r="AJ880" s="126"/>
      <c r="AK880" s="126"/>
      <c r="AL880" s="126"/>
      <c r="AM880" s="126"/>
      <c r="AN880" s="126"/>
      <c r="AO880" s="126"/>
      <c r="AP880" s="126"/>
      <c r="AQ880" s="126"/>
      <c r="AR880" s="126"/>
      <c r="AS880" s="126"/>
      <c r="AT880" s="126"/>
      <c r="AU880" s="126"/>
      <c r="AV880" s="126"/>
      <c r="AW880" s="126"/>
      <c r="AX880" s="126"/>
      <c r="AY880" s="126"/>
      <c r="AZ880" s="126"/>
      <c r="BA880" s="126"/>
      <c r="BB880" s="126"/>
      <c r="BC880" s="126"/>
      <c r="BD880" s="126"/>
    </row>
    <row r="881">
      <c r="A881" s="126"/>
      <c r="B881" s="126"/>
      <c r="C881" s="126"/>
      <c r="D881" s="126"/>
      <c r="E881" s="126"/>
      <c r="F881" s="13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c r="AD881" s="126"/>
      <c r="AE881" s="126"/>
      <c r="AF881" s="126"/>
      <c r="AG881" s="126"/>
      <c r="AH881" s="126"/>
      <c r="AI881" s="126"/>
      <c r="AJ881" s="126"/>
      <c r="AK881" s="126"/>
      <c r="AL881" s="126"/>
      <c r="AM881" s="126"/>
      <c r="AN881" s="126"/>
      <c r="AO881" s="126"/>
      <c r="AP881" s="126"/>
      <c r="AQ881" s="126"/>
      <c r="AR881" s="126"/>
      <c r="AS881" s="126"/>
      <c r="AT881" s="126"/>
      <c r="AU881" s="126"/>
      <c r="AV881" s="126"/>
      <c r="AW881" s="126"/>
      <c r="AX881" s="126"/>
      <c r="AY881" s="126"/>
      <c r="AZ881" s="126"/>
      <c r="BA881" s="126"/>
      <c r="BB881" s="126"/>
      <c r="BC881" s="126"/>
      <c r="BD881" s="126"/>
    </row>
    <row r="882">
      <c r="A882" s="126"/>
      <c r="B882" s="126"/>
      <c r="C882" s="126"/>
      <c r="D882" s="126"/>
      <c r="E882" s="126"/>
      <c r="F882" s="13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c r="AD882" s="126"/>
      <c r="AE882" s="126"/>
      <c r="AF882" s="126"/>
      <c r="AG882" s="126"/>
      <c r="AH882" s="126"/>
      <c r="AI882" s="126"/>
      <c r="AJ882" s="126"/>
      <c r="AK882" s="126"/>
      <c r="AL882" s="126"/>
      <c r="AM882" s="126"/>
      <c r="AN882" s="126"/>
      <c r="AO882" s="126"/>
      <c r="AP882" s="126"/>
      <c r="AQ882" s="126"/>
      <c r="AR882" s="126"/>
      <c r="AS882" s="126"/>
      <c r="AT882" s="126"/>
      <c r="AU882" s="126"/>
      <c r="AV882" s="126"/>
      <c r="AW882" s="126"/>
      <c r="AX882" s="126"/>
      <c r="AY882" s="126"/>
      <c r="AZ882" s="126"/>
      <c r="BA882" s="126"/>
      <c r="BB882" s="126"/>
      <c r="BC882" s="126"/>
      <c r="BD882" s="126"/>
    </row>
    <row r="883">
      <c r="A883" s="126"/>
      <c r="B883" s="126"/>
      <c r="C883" s="126"/>
      <c r="D883" s="126"/>
      <c r="E883" s="126"/>
      <c r="F883" s="13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c r="AD883" s="126"/>
      <c r="AE883" s="126"/>
      <c r="AF883" s="126"/>
      <c r="AG883" s="126"/>
      <c r="AH883" s="126"/>
      <c r="AI883" s="126"/>
      <c r="AJ883" s="126"/>
      <c r="AK883" s="126"/>
      <c r="AL883" s="126"/>
      <c r="AM883" s="126"/>
      <c r="AN883" s="126"/>
      <c r="AO883" s="126"/>
      <c r="AP883" s="126"/>
      <c r="AQ883" s="126"/>
      <c r="AR883" s="126"/>
      <c r="AS883" s="126"/>
      <c r="AT883" s="126"/>
      <c r="AU883" s="126"/>
      <c r="AV883" s="126"/>
      <c r="AW883" s="126"/>
      <c r="AX883" s="126"/>
      <c r="AY883" s="126"/>
      <c r="AZ883" s="126"/>
      <c r="BA883" s="126"/>
      <c r="BB883" s="126"/>
      <c r="BC883" s="126"/>
      <c r="BD883" s="126"/>
    </row>
    <row r="884">
      <c r="A884" s="126"/>
      <c r="B884" s="126"/>
      <c r="C884" s="126"/>
      <c r="D884" s="126"/>
      <c r="E884" s="126"/>
      <c r="F884" s="13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c r="AD884" s="126"/>
      <c r="AE884" s="126"/>
      <c r="AF884" s="126"/>
      <c r="AG884" s="126"/>
      <c r="AH884" s="126"/>
      <c r="AI884" s="126"/>
      <c r="AJ884" s="126"/>
      <c r="AK884" s="126"/>
      <c r="AL884" s="126"/>
      <c r="AM884" s="126"/>
      <c r="AN884" s="126"/>
      <c r="AO884" s="126"/>
      <c r="AP884" s="126"/>
      <c r="AQ884" s="126"/>
      <c r="AR884" s="126"/>
      <c r="AS884" s="126"/>
      <c r="AT884" s="126"/>
      <c r="AU884" s="126"/>
      <c r="AV884" s="126"/>
      <c r="AW884" s="126"/>
      <c r="AX884" s="126"/>
      <c r="AY884" s="126"/>
      <c r="AZ884" s="126"/>
      <c r="BA884" s="126"/>
      <c r="BB884" s="126"/>
      <c r="BC884" s="126"/>
      <c r="BD884" s="126"/>
    </row>
    <row r="885">
      <c r="A885" s="126"/>
      <c r="B885" s="126"/>
      <c r="C885" s="126"/>
      <c r="D885" s="126"/>
      <c r="E885" s="126"/>
      <c r="F885" s="13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c r="AD885" s="126"/>
      <c r="AE885" s="126"/>
      <c r="AF885" s="126"/>
      <c r="AG885" s="126"/>
      <c r="AH885" s="126"/>
      <c r="AI885" s="126"/>
      <c r="AJ885" s="126"/>
      <c r="AK885" s="126"/>
      <c r="AL885" s="126"/>
      <c r="AM885" s="126"/>
      <c r="AN885" s="126"/>
      <c r="AO885" s="126"/>
      <c r="AP885" s="126"/>
      <c r="AQ885" s="126"/>
      <c r="AR885" s="126"/>
      <c r="AS885" s="126"/>
      <c r="AT885" s="126"/>
      <c r="AU885" s="126"/>
      <c r="AV885" s="126"/>
      <c r="AW885" s="126"/>
      <c r="AX885" s="126"/>
      <c r="AY885" s="126"/>
      <c r="AZ885" s="126"/>
      <c r="BA885" s="126"/>
      <c r="BB885" s="126"/>
      <c r="BC885" s="126"/>
      <c r="BD885" s="126"/>
    </row>
    <row r="886">
      <c r="A886" s="126"/>
      <c r="B886" s="126"/>
      <c r="C886" s="126"/>
      <c r="D886" s="126"/>
      <c r="E886" s="126"/>
      <c r="F886" s="13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c r="AD886" s="126"/>
      <c r="AE886" s="126"/>
      <c r="AF886" s="126"/>
      <c r="AG886" s="126"/>
      <c r="AH886" s="126"/>
      <c r="AI886" s="126"/>
      <c r="AJ886" s="126"/>
      <c r="AK886" s="126"/>
      <c r="AL886" s="126"/>
      <c r="AM886" s="126"/>
      <c r="AN886" s="126"/>
      <c r="AO886" s="126"/>
      <c r="AP886" s="126"/>
      <c r="AQ886" s="126"/>
      <c r="AR886" s="126"/>
      <c r="AS886" s="126"/>
      <c r="AT886" s="126"/>
      <c r="AU886" s="126"/>
      <c r="AV886" s="126"/>
      <c r="AW886" s="126"/>
      <c r="AX886" s="126"/>
      <c r="AY886" s="126"/>
      <c r="AZ886" s="126"/>
      <c r="BA886" s="126"/>
      <c r="BB886" s="126"/>
      <c r="BC886" s="126"/>
      <c r="BD886" s="126"/>
    </row>
    <row r="887">
      <c r="A887" s="126"/>
      <c r="B887" s="126"/>
      <c r="C887" s="126"/>
      <c r="D887" s="126"/>
      <c r="E887" s="126"/>
      <c r="F887" s="13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c r="AD887" s="126"/>
      <c r="AE887" s="126"/>
      <c r="AF887" s="126"/>
      <c r="AG887" s="126"/>
      <c r="AH887" s="126"/>
      <c r="AI887" s="126"/>
      <c r="AJ887" s="126"/>
      <c r="AK887" s="126"/>
      <c r="AL887" s="126"/>
      <c r="AM887" s="126"/>
      <c r="AN887" s="126"/>
      <c r="AO887" s="126"/>
      <c r="AP887" s="126"/>
      <c r="AQ887" s="126"/>
      <c r="AR887" s="126"/>
      <c r="AS887" s="126"/>
      <c r="AT887" s="126"/>
      <c r="AU887" s="126"/>
      <c r="AV887" s="126"/>
      <c r="AW887" s="126"/>
      <c r="AX887" s="126"/>
      <c r="AY887" s="126"/>
      <c r="AZ887" s="126"/>
      <c r="BA887" s="126"/>
      <c r="BB887" s="126"/>
      <c r="BC887" s="126"/>
      <c r="BD887" s="126"/>
    </row>
    <row r="888">
      <c r="A888" s="126"/>
      <c r="B888" s="126"/>
      <c r="C888" s="126"/>
      <c r="D888" s="126"/>
      <c r="E888" s="126"/>
      <c r="F888" s="13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c r="AD888" s="126"/>
      <c r="AE888" s="126"/>
      <c r="AF888" s="126"/>
      <c r="AG888" s="126"/>
      <c r="AH888" s="126"/>
      <c r="AI888" s="126"/>
      <c r="AJ888" s="126"/>
      <c r="AK888" s="126"/>
      <c r="AL888" s="126"/>
      <c r="AM888" s="126"/>
      <c r="AN888" s="126"/>
      <c r="AO888" s="126"/>
      <c r="AP888" s="126"/>
      <c r="AQ888" s="126"/>
      <c r="AR888" s="126"/>
      <c r="AS888" s="126"/>
      <c r="AT888" s="126"/>
      <c r="AU888" s="126"/>
      <c r="AV888" s="126"/>
      <c r="AW888" s="126"/>
      <c r="AX888" s="126"/>
      <c r="AY888" s="126"/>
      <c r="AZ888" s="126"/>
      <c r="BA888" s="126"/>
      <c r="BB888" s="126"/>
      <c r="BC888" s="126"/>
      <c r="BD888" s="126"/>
    </row>
    <row r="889">
      <c r="A889" s="126"/>
      <c r="B889" s="126"/>
      <c r="C889" s="126"/>
      <c r="D889" s="126"/>
      <c r="E889" s="126"/>
      <c r="F889" s="13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126"/>
      <c r="AP889" s="126"/>
      <c r="AQ889" s="126"/>
      <c r="AR889" s="126"/>
      <c r="AS889" s="126"/>
      <c r="AT889" s="126"/>
      <c r="AU889" s="126"/>
      <c r="AV889" s="126"/>
      <c r="AW889" s="126"/>
      <c r="AX889" s="126"/>
      <c r="AY889" s="126"/>
      <c r="AZ889" s="126"/>
      <c r="BA889" s="126"/>
      <c r="BB889" s="126"/>
      <c r="BC889" s="126"/>
      <c r="BD889" s="126"/>
    </row>
    <row r="890">
      <c r="A890" s="126"/>
      <c r="B890" s="126"/>
      <c r="C890" s="126"/>
      <c r="D890" s="126"/>
      <c r="E890" s="126"/>
      <c r="F890" s="13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c r="AD890" s="126"/>
      <c r="AE890" s="126"/>
      <c r="AF890" s="126"/>
      <c r="AG890" s="126"/>
      <c r="AH890" s="126"/>
      <c r="AI890" s="126"/>
      <c r="AJ890" s="126"/>
      <c r="AK890" s="126"/>
      <c r="AL890" s="126"/>
      <c r="AM890" s="126"/>
      <c r="AN890" s="126"/>
      <c r="AO890" s="126"/>
      <c r="AP890" s="126"/>
      <c r="AQ890" s="126"/>
      <c r="AR890" s="126"/>
      <c r="AS890" s="126"/>
      <c r="AT890" s="126"/>
      <c r="AU890" s="126"/>
      <c r="AV890" s="126"/>
      <c r="AW890" s="126"/>
      <c r="AX890" s="126"/>
      <c r="AY890" s="126"/>
      <c r="AZ890" s="126"/>
      <c r="BA890" s="126"/>
      <c r="BB890" s="126"/>
      <c r="BC890" s="126"/>
      <c r="BD890" s="126"/>
    </row>
    <row r="891">
      <c r="A891" s="126"/>
      <c r="B891" s="126"/>
      <c r="C891" s="126"/>
      <c r="D891" s="126"/>
      <c r="E891" s="126"/>
      <c r="F891" s="13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c r="AD891" s="126"/>
      <c r="AE891" s="126"/>
      <c r="AF891" s="126"/>
      <c r="AG891" s="126"/>
      <c r="AH891" s="126"/>
      <c r="AI891" s="126"/>
      <c r="AJ891" s="126"/>
      <c r="AK891" s="126"/>
      <c r="AL891" s="126"/>
      <c r="AM891" s="126"/>
      <c r="AN891" s="126"/>
      <c r="AO891" s="126"/>
      <c r="AP891" s="126"/>
      <c r="AQ891" s="126"/>
      <c r="AR891" s="126"/>
      <c r="AS891" s="126"/>
      <c r="AT891" s="126"/>
      <c r="AU891" s="126"/>
      <c r="AV891" s="126"/>
      <c r="AW891" s="126"/>
      <c r="AX891" s="126"/>
      <c r="AY891" s="126"/>
      <c r="AZ891" s="126"/>
      <c r="BA891" s="126"/>
      <c r="BB891" s="126"/>
      <c r="BC891" s="126"/>
      <c r="BD891" s="126"/>
    </row>
    <row r="892">
      <c r="A892" s="126"/>
      <c r="B892" s="126"/>
      <c r="C892" s="126"/>
      <c r="D892" s="126"/>
      <c r="E892" s="126"/>
      <c r="F892" s="13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c r="AD892" s="126"/>
      <c r="AE892" s="126"/>
      <c r="AF892" s="126"/>
      <c r="AG892" s="126"/>
      <c r="AH892" s="126"/>
      <c r="AI892" s="126"/>
      <c r="AJ892" s="126"/>
      <c r="AK892" s="126"/>
      <c r="AL892" s="126"/>
      <c r="AM892" s="126"/>
      <c r="AN892" s="126"/>
      <c r="AO892" s="126"/>
      <c r="AP892" s="126"/>
      <c r="AQ892" s="126"/>
      <c r="AR892" s="126"/>
      <c r="AS892" s="126"/>
      <c r="AT892" s="126"/>
      <c r="AU892" s="126"/>
      <c r="AV892" s="126"/>
      <c r="AW892" s="126"/>
      <c r="AX892" s="126"/>
      <c r="AY892" s="126"/>
      <c r="AZ892" s="126"/>
      <c r="BA892" s="126"/>
      <c r="BB892" s="126"/>
      <c r="BC892" s="126"/>
      <c r="BD892" s="126"/>
    </row>
    <row r="893">
      <c r="A893" s="126"/>
      <c r="B893" s="126"/>
      <c r="C893" s="126"/>
      <c r="D893" s="126"/>
      <c r="E893" s="126"/>
      <c r="F893" s="13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c r="AD893" s="126"/>
      <c r="AE893" s="126"/>
      <c r="AF893" s="126"/>
      <c r="AG893" s="126"/>
      <c r="AH893" s="126"/>
      <c r="AI893" s="126"/>
      <c r="AJ893" s="126"/>
      <c r="AK893" s="126"/>
      <c r="AL893" s="126"/>
      <c r="AM893" s="126"/>
      <c r="AN893" s="126"/>
      <c r="AO893" s="126"/>
      <c r="AP893" s="126"/>
      <c r="AQ893" s="126"/>
      <c r="AR893" s="126"/>
      <c r="AS893" s="126"/>
      <c r="AT893" s="126"/>
      <c r="AU893" s="126"/>
      <c r="AV893" s="126"/>
      <c r="AW893" s="126"/>
      <c r="AX893" s="126"/>
      <c r="AY893" s="126"/>
      <c r="AZ893" s="126"/>
      <c r="BA893" s="126"/>
      <c r="BB893" s="126"/>
      <c r="BC893" s="126"/>
      <c r="BD893" s="126"/>
    </row>
    <row r="894">
      <c r="A894" s="126"/>
      <c r="B894" s="126"/>
      <c r="C894" s="126"/>
      <c r="D894" s="126"/>
      <c r="E894" s="126"/>
      <c r="F894" s="13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c r="AD894" s="126"/>
      <c r="AE894" s="126"/>
      <c r="AF894" s="126"/>
      <c r="AG894" s="126"/>
      <c r="AH894" s="126"/>
      <c r="AI894" s="126"/>
      <c r="AJ894" s="126"/>
      <c r="AK894" s="126"/>
      <c r="AL894" s="126"/>
      <c r="AM894" s="126"/>
      <c r="AN894" s="126"/>
      <c r="AO894" s="126"/>
      <c r="AP894" s="126"/>
      <c r="AQ894" s="126"/>
      <c r="AR894" s="126"/>
      <c r="AS894" s="126"/>
      <c r="AT894" s="126"/>
      <c r="AU894" s="126"/>
      <c r="AV894" s="126"/>
      <c r="AW894" s="126"/>
      <c r="AX894" s="126"/>
      <c r="AY894" s="126"/>
      <c r="AZ894" s="126"/>
      <c r="BA894" s="126"/>
      <c r="BB894" s="126"/>
      <c r="BC894" s="126"/>
      <c r="BD894" s="126"/>
    </row>
    <row r="895">
      <c r="A895" s="126"/>
      <c r="B895" s="126"/>
      <c r="C895" s="126"/>
      <c r="D895" s="126"/>
      <c r="E895" s="126"/>
      <c r="F895" s="13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c r="AD895" s="126"/>
      <c r="AE895" s="126"/>
      <c r="AF895" s="126"/>
      <c r="AG895" s="126"/>
      <c r="AH895" s="126"/>
      <c r="AI895" s="126"/>
      <c r="AJ895" s="126"/>
      <c r="AK895" s="126"/>
      <c r="AL895" s="126"/>
      <c r="AM895" s="126"/>
      <c r="AN895" s="126"/>
      <c r="AO895" s="126"/>
      <c r="AP895" s="126"/>
      <c r="AQ895" s="126"/>
      <c r="AR895" s="126"/>
      <c r="AS895" s="126"/>
      <c r="AT895" s="126"/>
      <c r="AU895" s="126"/>
      <c r="AV895" s="126"/>
      <c r="AW895" s="126"/>
      <c r="AX895" s="126"/>
      <c r="AY895" s="126"/>
      <c r="AZ895" s="126"/>
      <c r="BA895" s="126"/>
      <c r="BB895" s="126"/>
      <c r="BC895" s="126"/>
      <c r="BD895" s="126"/>
    </row>
    <row r="896">
      <c r="A896" s="126"/>
      <c r="B896" s="126"/>
      <c r="C896" s="126"/>
      <c r="D896" s="126"/>
      <c r="E896" s="126"/>
      <c r="F896" s="13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c r="AD896" s="126"/>
      <c r="AE896" s="126"/>
      <c r="AF896" s="126"/>
      <c r="AG896" s="126"/>
      <c r="AH896" s="126"/>
      <c r="AI896" s="126"/>
      <c r="AJ896" s="126"/>
      <c r="AK896" s="126"/>
      <c r="AL896" s="126"/>
      <c r="AM896" s="126"/>
      <c r="AN896" s="126"/>
      <c r="AO896" s="126"/>
      <c r="AP896" s="126"/>
      <c r="AQ896" s="126"/>
      <c r="AR896" s="126"/>
      <c r="AS896" s="126"/>
      <c r="AT896" s="126"/>
      <c r="AU896" s="126"/>
      <c r="AV896" s="126"/>
      <c r="AW896" s="126"/>
      <c r="AX896" s="126"/>
      <c r="AY896" s="126"/>
      <c r="AZ896" s="126"/>
      <c r="BA896" s="126"/>
      <c r="BB896" s="126"/>
      <c r="BC896" s="126"/>
      <c r="BD896" s="126"/>
    </row>
    <row r="897">
      <c r="A897" s="126"/>
      <c r="B897" s="126"/>
      <c r="C897" s="126"/>
      <c r="D897" s="126"/>
      <c r="E897" s="126"/>
      <c r="F897" s="13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c r="AD897" s="126"/>
      <c r="AE897" s="126"/>
      <c r="AF897" s="126"/>
      <c r="AG897" s="126"/>
      <c r="AH897" s="126"/>
      <c r="AI897" s="126"/>
      <c r="AJ897" s="126"/>
      <c r="AK897" s="126"/>
      <c r="AL897" s="126"/>
      <c r="AM897" s="126"/>
      <c r="AN897" s="126"/>
      <c r="AO897" s="126"/>
      <c r="AP897" s="126"/>
      <c r="AQ897" s="126"/>
      <c r="AR897" s="126"/>
      <c r="AS897" s="126"/>
      <c r="AT897" s="126"/>
      <c r="AU897" s="126"/>
      <c r="AV897" s="126"/>
      <c r="AW897" s="126"/>
      <c r="AX897" s="126"/>
      <c r="AY897" s="126"/>
      <c r="AZ897" s="126"/>
      <c r="BA897" s="126"/>
      <c r="BB897" s="126"/>
      <c r="BC897" s="126"/>
      <c r="BD897" s="126"/>
    </row>
    <row r="898">
      <c r="A898" s="126"/>
      <c r="B898" s="126"/>
      <c r="C898" s="126"/>
      <c r="D898" s="126"/>
      <c r="E898" s="126"/>
      <c r="F898" s="13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c r="AD898" s="126"/>
      <c r="AE898" s="126"/>
      <c r="AF898" s="126"/>
      <c r="AG898" s="126"/>
      <c r="AH898" s="126"/>
      <c r="AI898" s="126"/>
      <c r="AJ898" s="126"/>
      <c r="AK898" s="126"/>
      <c r="AL898" s="126"/>
      <c r="AM898" s="126"/>
      <c r="AN898" s="126"/>
      <c r="AO898" s="126"/>
      <c r="AP898" s="126"/>
      <c r="AQ898" s="126"/>
      <c r="AR898" s="126"/>
      <c r="AS898" s="126"/>
      <c r="AT898" s="126"/>
      <c r="AU898" s="126"/>
      <c r="AV898" s="126"/>
      <c r="AW898" s="126"/>
      <c r="AX898" s="126"/>
      <c r="AY898" s="126"/>
      <c r="AZ898" s="126"/>
      <c r="BA898" s="126"/>
      <c r="BB898" s="126"/>
      <c r="BC898" s="126"/>
      <c r="BD898" s="126"/>
    </row>
    <row r="899">
      <c r="A899" s="126"/>
      <c r="B899" s="126"/>
      <c r="C899" s="126"/>
      <c r="D899" s="126"/>
      <c r="E899" s="126"/>
      <c r="F899" s="13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c r="AD899" s="126"/>
      <c r="AE899" s="126"/>
      <c r="AF899" s="126"/>
      <c r="AG899" s="126"/>
      <c r="AH899" s="126"/>
      <c r="AI899" s="126"/>
      <c r="AJ899" s="126"/>
      <c r="AK899" s="126"/>
      <c r="AL899" s="126"/>
      <c r="AM899" s="126"/>
      <c r="AN899" s="126"/>
      <c r="AO899" s="126"/>
      <c r="AP899" s="126"/>
      <c r="AQ899" s="126"/>
      <c r="AR899" s="126"/>
      <c r="AS899" s="126"/>
      <c r="AT899" s="126"/>
      <c r="AU899" s="126"/>
      <c r="AV899" s="126"/>
      <c r="AW899" s="126"/>
      <c r="AX899" s="126"/>
      <c r="AY899" s="126"/>
      <c r="AZ899" s="126"/>
      <c r="BA899" s="126"/>
      <c r="BB899" s="126"/>
      <c r="BC899" s="126"/>
      <c r="BD899" s="126"/>
    </row>
    <row r="900">
      <c r="A900" s="126"/>
      <c r="B900" s="126"/>
      <c r="C900" s="126"/>
      <c r="D900" s="126"/>
      <c r="E900" s="126"/>
      <c r="F900" s="13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c r="BC900" s="126"/>
      <c r="BD900" s="126"/>
    </row>
    <row r="901">
      <c r="A901" s="126"/>
      <c r="B901" s="126"/>
      <c r="C901" s="126"/>
      <c r="D901" s="126"/>
      <c r="E901" s="126"/>
      <c r="F901" s="13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c r="BC901" s="126"/>
      <c r="BD901" s="126"/>
    </row>
    <row r="902">
      <c r="A902" s="126"/>
      <c r="B902" s="126"/>
      <c r="C902" s="126"/>
      <c r="D902" s="126"/>
      <c r="E902" s="126"/>
      <c r="F902" s="13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c r="BC902" s="126"/>
      <c r="BD902" s="126"/>
    </row>
    <row r="903">
      <c r="A903" s="126"/>
      <c r="B903" s="126"/>
      <c r="C903" s="126"/>
      <c r="D903" s="126"/>
      <c r="E903" s="126"/>
      <c r="F903" s="13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c r="AD903" s="126"/>
      <c r="AE903" s="126"/>
      <c r="AF903" s="126"/>
      <c r="AG903" s="126"/>
      <c r="AH903" s="126"/>
      <c r="AI903" s="126"/>
      <c r="AJ903" s="126"/>
      <c r="AK903" s="126"/>
      <c r="AL903" s="126"/>
      <c r="AM903" s="126"/>
      <c r="AN903" s="126"/>
      <c r="AO903" s="126"/>
      <c r="AP903" s="126"/>
      <c r="AQ903" s="126"/>
      <c r="AR903" s="126"/>
      <c r="AS903" s="126"/>
      <c r="AT903" s="126"/>
      <c r="AU903" s="126"/>
      <c r="AV903" s="126"/>
      <c r="AW903" s="126"/>
      <c r="AX903" s="126"/>
      <c r="AY903" s="126"/>
      <c r="AZ903" s="126"/>
      <c r="BA903" s="126"/>
      <c r="BB903" s="126"/>
      <c r="BC903" s="126"/>
      <c r="BD903" s="126"/>
    </row>
    <row r="904">
      <c r="A904" s="126"/>
      <c r="B904" s="126"/>
      <c r="C904" s="126"/>
      <c r="D904" s="126"/>
      <c r="E904" s="126"/>
      <c r="F904" s="13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c r="AD904" s="126"/>
      <c r="AE904" s="126"/>
      <c r="AF904" s="126"/>
      <c r="AG904" s="126"/>
      <c r="AH904" s="126"/>
      <c r="AI904" s="126"/>
      <c r="AJ904" s="126"/>
      <c r="AK904" s="126"/>
      <c r="AL904" s="126"/>
      <c r="AM904" s="126"/>
      <c r="AN904" s="126"/>
      <c r="AO904" s="126"/>
      <c r="AP904" s="126"/>
      <c r="AQ904" s="126"/>
      <c r="AR904" s="126"/>
      <c r="AS904" s="126"/>
      <c r="AT904" s="126"/>
      <c r="AU904" s="126"/>
      <c r="AV904" s="126"/>
      <c r="AW904" s="126"/>
      <c r="AX904" s="126"/>
      <c r="AY904" s="126"/>
      <c r="AZ904" s="126"/>
      <c r="BA904" s="126"/>
      <c r="BB904" s="126"/>
      <c r="BC904" s="126"/>
      <c r="BD904" s="126"/>
    </row>
    <row r="905">
      <c r="A905" s="126"/>
      <c r="B905" s="126"/>
      <c r="C905" s="126"/>
      <c r="D905" s="126"/>
      <c r="E905" s="126"/>
      <c r="F905" s="13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c r="AD905" s="126"/>
      <c r="AE905" s="126"/>
      <c r="AF905" s="126"/>
      <c r="AG905" s="126"/>
      <c r="AH905" s="126"/>
      <c r="AI905" s="126"/>
      <c r="AJ905" s="126"/>
      <c r="AK905" s="126"/>
      <c r="AL905" s="126"/>
      <c r="AM905" s="126"/>
      <c r="AN905" s="126"/>
      <c r="AO905" s="126"/>
      <c r="AP905" s="126"/>
      <c r="AQ905" s="126"/>
      <c r="AR905" s="126"/>
      <c r="AS905" s="126"/>
      <c r="AT905" s="126"/>
      <c r="AU905" s="126"/>
      <c r="AV905" s="126"/>
      <c r="AW905" s="126"/>
      <c r="AX905" s="126"/>
      <c r="AY905" s="126"/>
      <c r="AZ905" s="126"/>
      <c r="BA905" s="126"/>
      <c r="BB905" s="126"/>
      <c r="BC905" s="126"/>
      <c r="BD905" s="126"/>
    </row>
    <row r="906">
      <c r="A906" s="126"/>
      <c r="B906" s="126"/>
      <c r="C906" s="126"/>
      <c r="D906" s="126"/>
      <c r="E906" s="126"/>
      <c r="F906" s="13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row>
    <row r="907">
      <c r="A907" s="126"/>
      <c r="B907" s="126"/>
      <c r="C907" s="126"/>
      <c r="D907" s="126"/>
      <c r="E907" s="126"/>
      <c r="F907" s="13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row>
    <row r="908">
      <c r="A908" s="126"/>
      <c r="B908" s="126"/>
      <c r="C908" s="126"/>
      <c r="D908" s="126"/>
      <c r="E908" s="126"/>
      <c r="F908" s="13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row>
    <row r="909">
      <c r="A909" s="126"/>
      <c r="B909" s="126"/>
      <c r="C909" s="126"/>
      <c r="D909" s="126"/>
      <c r="E909" s="126"/>
      <c r="F909" s="13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row>
    <row r="910">
      <c r="A910" s="126"/>
      <c r="B910" s="126"/>
      <c r="C910" s="126"/>
      <c r="D910" s="126"/>
      <c r="E910" s="126"/>
      <c r="F910" s="13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row>
    <row r="911">
      <c r="A911" s="126"/>
      <c r="B911" s="126"/>
      <c r="C911" s="126"/>
      <c r="D911" s="126"/>
      <c r="E911" s="126"/>
      <c r="F911" s="13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row>
    <row r="912">
      <c r="A912" s="126"/>
      <c r="B912" s="126"/>
      <c r="C912" s="126"/>
      <c r="D912" s="126"/>
      <c r="E912" s="126"/>
      <c r="F912" s="13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row>
    <row r="913">
      <c r="A913" s="126"/>
      <c r="B913" s="126"/>
      <c r="C913" s="126"/>
      <c r="D913" s="126"/>
      <c r="E913" s="126"/>
      <c r="F913" s="13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row>
    <row r="914">
      <c r="A914" s="126"/>
      <c r="B914" s="126"/>
      <c r="C914" s="126"/>
      <c r="D914" s="126"/>
      <c r="E914" s="126"/>
      <c r="F914" s="13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row>
    <row r="915">
      <c r="A915" s="126"/>
      <c r="B915" s="126"/>
      <c r="C915" s="126"/>
      <c r="D915" s="126"/>
      <c r="E915" s="126"/>
      <c r="F915" s="13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row>
    <row r="916">
      <c r="A916" s="126"/>
      <c r="B916" s="126"/>
      <c r="C916" s="126"/>
      <c r="D916" s="126"/>
      <c r="E916" s="126"/>
      <c r="F916" s="13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row>
    <row r="917">
      <c r="A917" s="126"/>
      <c r="B917" s="126"/>
      <c r="C917" s="126"/>
      <c r="D917" s="126"/>
      <c r="E917" s="126"/>
      <c r="F917" s="13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row>
    <row r="918">
      <c r="A918" s="126"/>
      <c r="B918" s="126"/>
      <c r="C918" s="126"/>
      <c r="D918" s="126"/>
      <c r="E918" s="126"/>
      <c r="F918" s="13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c r="AD918" s="126"/>
      <c r="AE918" s="126"/>
      <c r="AF918" s="126"/>
      <c r="AG918" s="126"/>
      <c r="AH918" s="126"/>
      <c r="AI918" s="126"/>
      <c r="AJ918" s="126"/>
      <c r="AK918" s="126"/>
      <c r="AL918" s="126"/>
      <c r="AM918" s="126"/>
      <c r="AN918" s="126"/>
      <c r="AO918" s="126"/>
      <c r="AP918" s="126"/>
      <c r="AQ918" s="126"/>
      <c r="AR918" s="126"/>
      <c r="AS918" s="126"/>
      <c r="AT918" s="126"/>
      <c r="AU918" s="126"/>
      <c r="AV918" s="126"/>
      <c r="AW918" s="126"/>
      <c r="AX918" s="126"/>
      <c r="AY918" s="126"/>
      <c r="AZ918" s="126"/>
      <c r="BA918" s="126"/>
      <c r="BB918" s="126"/>
      <c r="BC918" s="126"/>
      <c r="BD918" s="126"/>
    </row>
    <row r="919">
      <c r="A919" s="126"/>
      <c r="B919" s="126"/>
      <c r="C919" s="126"/>
      <c r="D919" s="126"/>
      <c r="E919" s="126"/>
      <c r="F919" s="13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c r="AD919" s="126"/>
      <c r="AE919" s="126"/>
      <c r="AF919" s="126"/>
      <c r="AG919" s="126"/>
      <c r="AH919" s="126"/>
      <c r="AI919" s="126"/>
      <c r="AJ919" s="126"/>
      <c r="AK919" s="126"/>
      <c r="AL919" s="126"/>
      <c r="AM919" s="126"/>
      <c r="AN919" s="126"/>
      <c r="AO919" s="126"/>
      <c r="AP919" s="126"/>
      <c r="AQ919" s="126"/>
      <c r="AR919" s="126"/>
      <c r="AS919" s="126"/>
      <c r="AT919" s="126"/>
      <c r="AU919" s="126"/>
      <c r="AV919" s="126"/>
      <c r="AW919" s="126"/>
      <c r="AX919" s="126"/>
      <c r="AY919" s="126"/>
      <c r="AZ919" s="126"/>
      <c r="BA919" s="126"/>
      <c r="BB919" s="126"/>
      <c r="BC919" s="126"/>
      <c r="BD919" s="126"/>
    </row>
    <row r="920">
      <c r="A920" s="126"/>
      <c r="B920" s="126"/>
      <c r="C920" s="126"/>
      <c r="D920" s="126"/>
      <c r="E920" s="126"/>
      <c r="F920" s="13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row>
    <row r="921">
      <c r="A921" s="126"/>
      <c r="B921" s="126"/>
      <c r="C921" s="126"/>
      <c r="D921" s="126"/>
      <c r="E921" s="126"/>
      <c r="F921" s="13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row>
    <row r="922">
      <c r="A922" s="126"/>
      <c r="B922" s="126"/>
      <c r="C922" s="126"/>
      <c r="D922" s="126"/>
      <c r="E922" s="126"/>
      <c r="F922" s="13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c r="AD922" s="126"/>
      <c r="AE922" s="126"/>
      <c r="AF922" s="126"/>
      <c r="AG922" s="126"/>
      <c r="AH922" s="126"/>
      <c r="AI922" s="126"/>
      <c r="AJ922" s="126"/>
      <c r="AK922" s="126"/>
      <c r="AL922" s="126"/>
      <c r="AM922" s="126"/>
      <c r="AN922" s="126"/>
      <c r="AO922" s="126"/>
      <c r="AP922" s="126"/>
      <c r="AQ922" s="126"/>
      <c r="AR922" s="126"/>
      <c r="AS922" s="126"/>
      <c r="AT922" s="126"/>
      <c r="AU922" s="126"/>
      <c r="AV922" s="126"/>
      <c r="AW922" s="126"/>
      <c r="AX922" s="126"/>
      <c r="AY922" s="126"/>
      <c r="AZ922" s="126"/>
      <c r="BA922" s="126"/>
      <c r="BB922" s="126"/>
      <c r="BC922" s="126"/>
      <c r="BD922" s="126"/>
    </row>
    <row r="923">
      <c r="A923" s="126"/>
      <c r="B923" s="126"/>
      <c r="C923" s="126"/>
      <c r="D923" s="126"/>
      <c r="E923" s="126"/>
      <c r="F923" s="13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c r="AD923" s="126"/>
      <c r="AE923" s="126"/>
      <c r="AF923" s="126"/>
      <c r="AG923" s="126"/>
      <c r="AH923" s="126"/>
      <c r="AI923" s="126"/>
      <c r="AJ923" s="126"/>
      <c r="AK923" s="126"/>
      <c r="AL923" s="126"/>
      <c r="AM923" s="126"/>
      <c r="AN923" s="126"/>
      <c r="AO923" s="126"/>
      <c r="AP923" s="126"/>
      <c r="AQ923" s="126"/>
      <c r="AR923" s="126"/>
      <c r="AS923" s="126"/>
      <c r="AT923" s="126"/>
      <c r="AU923" s="126"/>
      <c r="AV923" s="126"/>
      <c r="AW923" s="126"/>
      <c r="AX923" s="126"/>
      <c r="AY923" s="126"/>
      <c r="AZ923" s="126"/>
      <c r="BA923" s="126"/>
      <c r="BB923" s="126"/>
      <c r="BC923" s="126"/>
      <c r="BD923" s="126"/>
    </row>
    <row r="924">
      <c r="A924" s="126"/>
      <c r="B924" s="126"/>
      <c r="C924" s="126"/>
      <c r="D924" s="126"/>
      <c r="E924" s="126"/>
      <c r="F924" s="13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c r="AD924" s="126"/>
      <c r="AE924" s="126"/>
      <c r="AF924" s="126"/>
      <c r="AG924" s="126"/>
      <c r="AH924" s="126"/>
      <c r="AI924" s="126"/>
      <c r="AJ924" s="126"/>
      <c r="AK924" s="126"/>
      <c r="AL924" s="126"/>
      <c r="AM924" s="126"/>
      <c r="AN924" s="126"/>
      <c r="AO924" s="126"/>
      <c r="AP924" s="126"/>
      <c r="AQ924" s="126"/>
      <c r="AR924" s="126"/>
      <c r="AS924" s="126"/>
      <c r="AT924" s="126"/>
      <c r="AU924" s="126"/>
      <c r="AV924" s="126"/>
      <c r="AW924" s="126"/>
      <c r="AX924" s="126"/>
      <c r="AY924" s="126"/>
      <c r="AZ924" s="126"/>
      <c r="BA924" s="126"/>
      <c r="BB924" s="126"/>
      <c r="BC924" s="126"/>
      <c r="BD924" s="126"/>
    </row>
    <row r="925">
      <c r="A925" s="126"/>
      <c r="B925" s="126"/>
      <c r="C925" s="126"/>
      <c r="D925" s="126"/>
      <c r="E925" s="126"/>
      <c r="F925" s="13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c r="AD925" s="126"/>
      <c r="AE925" s="126"/>
      <c r="AF925" s="126"/>
      <c r="AG925" s="126"/>
      <c r="AH925" s="126"/>
      <c r="AI925" s="126"/>
      <c r="AJ925" s="126"/>
      <c r="AK925" s="126"/>
      <c r="AL925" s="126"/>
      <c r="AM925" s="126"/>
      <c r="AN925" s="126"/>
      <c r="AO925" s="126"/>
      <c r="AP925" s="126"/>
      <c r="AQ925" s="126"/>
      <c r="AR925" s="126"/>
      <c r="AS925" s="126"/>
      <c r="AT925" s="126"/>
      <c r="AU925" s="126"/>
      <c r="AV925" s="126"/>
      <c r="AW925" s="126"/>
      <c r="AX925" s="126"/>
      <c r="AY925" s="126"/>
      <c r="AZ925" s="126"/>
      <c r="BA925" s="126"/>
      <c r="BB925" s="126"/>
      <c r="BC925" s="126"/>
      <c r="BD925" s="126"/>
    </row>
    <row r="926">
      <c r="A926" s="126"/>
      <c r="B926" s="126"/>
      <c r="C926" s="126"/>
      <c r="D926" s="126"/>
      <c r="E926" s="126"/>
      <c r="F926" s="13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c r="AD926" s="126"/>
      <c r="AE926" s="126"/>
      <c r="AF926" s="126"/>
      <c r="AG926" s="126"/>
      <c r="AH926" s="126"/>
      <c r="AI926" s="126"/>
      <c r="AJ926" s="126"/>
      <c r="AK926" s="126"/>
      <c r="AL926" s="126"/>
      <c r="AM926" s="126"/>
      <c r="AN926" s="126"/>
      <c r="AO926" s="126"/>
      <c r="AP926" s="126"/>
      <c r="AQ926" s="126"/>
      <c r="AR926" s="126"/>
      <c r="AS926" s="126"/>
      <c r="AT926" s="126"/>
      <c r="AU926" s="126"/>
      <c r="AV926" s="126"/>
      <c r="AW926" s="126"/>
      <c r="AX926" s="126"/>
      <c r="AY926" s="126"/>
      <c r="AZ926" s="126"/>
      <c r="BA926" s="126"/>
      <c r="BB926" s="126"/>
      <c r="BC926" s="126"/>
      <c r="BD926" s="126"/>
    </row>
    <row r="927">
      <c r="A927" s="126"/>
      <c r="B927" s="126"/>
      <c r="C927" s="126"/>
      <c r="D927" s="126"/>
      <c r="E927" s="126"/>
      <c r="F927" s="13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c r="AD927" s="126"/>
      <c r="AE927" s="126"/>
      <c r="AF927" s="126"/>
      <c r="AG927" s="126"/>
      <c r="AH927" s="126"/>
      <c r="AI927" s="126"/>
      <c r="AJ927" s="126"/>
      <c r="AK927" s="126"/>
      <c r="AL927" s="126"/>
      <c r="AM927" s="126"/>
      <c r="AN927" s="126"/>
      <c r="AO927" s="126"/>
      <c r="AP927" s="126"/>
      <c r="AQ927" s="126"/>
      <c r="AR927" s="126"/>
      <c r="AS927" s="126"/>
      <c r="AT927" s="126"/>
      <c r="AU927" s="126"/>
      <c r="AV927" s="126"/>
      <c r="AW927" s="126"/>
      <c r="AX927" s="126"/>
      <c r="AY927" s="126"/>
      <c r="AZ927" s="126"/>
      <c r="BA927" s="126"/>
      <c r="BB927" s="126"/>
      <c r="BC927" s="126"/>
      <c r="BD927" s="126"/>
    </row>
    <row r="928">
      <c r="A928" s="126"/>
      <c r="B928" s="126"/>
      <c r="C928" s="126"/>
      <c r="D928" s="126"/>
      <c r="E928" s="126"/>
      <c r="F928" s="13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c r="AD928" s="126"/>
      <c r="AE928" s="126"/>
      <c r="AF928" s="126"/>
      <c r="AG928" s="126"/>
      <c r="AH928" s="126"/>
      <c r="AI928" s="126"/>
      <c r="AJ928" s="126"/>
      <c r="AK928" s="126"/>
      <c r="AL928" s="126"/>
      <c r="AM928" s="126"/>
      <c r="AN928" s="126"/>
      <c r="AO928" s="126"/>
      <c r="AP928" s="126"/>
      <c r="AQ928" s="126"/>
      <c r="AR928" s="126"/>
      <c r="AS928" s="126"/>
      <c r="AT928" s="126"/>
      <c r="AU928" s="126"/>
      <c r="AV928" s="126"/>
      <c r="AW928" s="126"/>
      <c r="AX928" s="126"/>
      <c r="AY928" s="126"/>
      <c r="AZ928" s="126"/>
      <c r="BA928" s="126"/>
      <c r="BB928" s="126"/>
      <c r="BC928" s="126"/>
      <c r="BD928" s="126"/>
    </row>
    <row r="929">
      <c r="A929" s="126"/>
      <c r="B929" s="126"/>
      <c r="C929" s="126"/>
      <c r="D929" s="126"/>
      <c r="E929" s="126"/>
      <c r="F929" s="13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c r="AD929" s="126"/>
      <c r="AE929" s="126"/>
      <c r="AF929" s="126"/>
      <c r="AG929" s="126"/>
      <c r="AH929" s="126"/>
      <c r="AI929" s="126"/>
      <c r="AJ929" s="126"/>
      <c r="AK929" s="126"/>
      <c r="AL929" s="126"/>
      <c r="AM929" s="126"/>
      <c r="AN929" s="126"/>
      <c r="AO929" s="126"/>
      <c r="AP929" s="126"/>
      <c r="AQ929" s="126"/>
      <c r="AR929" s="126"/>
      <c r="AS929" s="126"/>
      <c r="AT929" s="126"/>
      <c r="AU929" s="126"/>
      <c r="AV929" s="126"/>
      <c r="AW929" s="126"/>
      <c r="AX929" s="126"/>
      <c r="AY929" s="126"/>
      <c r="AZ929" s="126"/>
      <c r="BA929" s="126"/>
      <c r="BB929" s="126"/>
      <c r="BC929" s="126"/>
      <c r="BD929" s="126"/>
    </row>
    <row r="930">
      <c r="A930" s="126"/>
      <c r="B930" s="126"/>
      <c r="C930" s="126"/>
      <c r="D930" s="126"/>
      <c r="E930" s="126"/>
      <c r="F930" s="13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c r="AD930" s="126"/>
      <c r="AE930" s="126"/>
      <c r="AF930" s="126"/>
      <c r="AG930" s="126"/>
      <c r="AH930" s="126"/>
      <c r="AI930" s="126"/>
      <c r="AJ930" s="126"/>
      <c r="AK930" s="126"/>
      <c r="AL930" s="126"/>
      <c r="AM930" s="126"/>
      <c r="AN930" s="126"/>
      <c r="AO930" s="126"/>
      <c r="AP930" s="126"/>
      <c r="AQ930" s="126"/>
      <c r="AR930" s="126"/>
      <c r="AS930" s="126"/>
      <c r="AT930" s="126"/>
      <c r="AU930" s="126"/>
      <c r="AV930" s="126"/>
      <c r="AW930" s="126"/>
      <c r="AX930" s="126"/>
      <c r="AY930" s="126"/>
      <c r="AZ930" s="126"/>
      <c r="BA930" s="126"/>
      <c r="BB930" s="126"/>
      <c r="BC930" s="126"/>
      <c r="BD930" s="126"/>
    </row>
    <row r="931">
      <c r="A931" s="126"/>
      <c r="B931" s="126"/>
      <c r="C931" s="126"/>
      <c r="D931" s="126"/>
      <c r="E931" s="126"/>
      <c r="F931" s="13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c r="AD931" s="126"/>
      <c r="AE931" s="126"/>
      <c r="AF931" s="126"/>
      <c r="AG931" s="126"/>
      <c r="AH931" s="126"/>
      <c r="AI931" s="126"/>
      <c r="AJ931" s="126"/>
      <c r="AK931" s="126"/>
      <c r="AL931" s="126"/>
      <c r="AM931" s="126"/>
      <c r="AN931" s="126"/>
      <c r="AO931" s="126"/>
      <c r="AP931" s="126"/>
      <c r="AQ931" s="126"/>
      <c r="AR931" s="126"/>
      <c r="AS931" s="126"/>
      <c r="AT931" s="126"/>
      <c r="AU931" s="126"/>
      <c r="AV931" s="126"/>
      <c r="AW931" s="126"/>
      <c r="AX931" s="126"/>
      <c r="AY931" s="126"/>
      <c r="AZ931" s="126"/>
      <c r="BA931" s="126"/>
      <c r="BB931" s="126"/>
      <c r="BC931" s="126"/>
      <c r="BD931" s="126"/>
    </row>
    <row r="932">
      <c r="A932" s="126"/>
      <c r="B932" s="126"/>
      <c r="C932" s="126"/>
      <c r="D932" s="126"/>
      <c r="E932" s="126"/>
      <c r="F932" s="13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c r="AD932" s="126"/>
      <c r="AE932" s="126"/>
      <c r="AF932" s="126"/>
      <c r="AG932" s="126"/>
      <c r="AH932" s="126"/>
      <c r="AI932" s="126"/>
      <c r="AJ932" s="126"/>
      <c r="AK932" s="126"/>
      <c r="AL932" s="126"/>
      <c r="AM932" s="126"/>
      <c r="AN932" s="126"/>
      <c r="AO932" s="126"/>
      <c r="AP932" s="126"/>
      <c r="AQ932" s="126"/>
      <c r="AR932" s="126"/>
      <c r="AS932" s="126"/>
      <c r="AT932" s="126"/>
      <c r="AU932" s="126"/>
      <c r="AV932" s="126"/>
      <c r="AW932" s="126"/>
      <c r="AX932" s="126"/>
      <c r="AY932" s="126"/>
      <c r="AZ932" s="126"/>
      <c r="BA932" s="126"/>
      <c r="BB932" s="126"/>
      <c r="BC932" s="126"/>
      <c r="BD932" s="126"/>
    </row>
    <row r="933">
      <c r="A933" s="126"/>
      <c r="B933" s="126"/>
      <c r="C933" s="126"/>
      <c r="D933" s="126"/>
      <c r="E933" s="126"/>
      <c r="F933" s="13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c r="AD933" s="126"/>
      <c r="AE933" s="126"/>
      <c r="AF933" s="126"/>
      <c r="AG933" s="126"/>
      <c r="AH933" s="126"/>
      <c r="AI933" s="126"/>
      <c r="AJ933" s="126"/>
      <c r="AK933" s="126"/>
      <c r="AL933" s="126"/>
      <c r="AM933" s="126"/>
      <c r="AN933" s="126"/>
      <c r="AO933" s="126"/>
      <c r="AP933" s="126"/>
      <c r="AQ933" s="126"/>
      <c r="AR933" s="126"/>
      <c r="AS933" s="126"/>
      <c r="AT933" s="126"/>
      <c r="AU933" s="126"/>
      <c r="AV933" s="126"/>
      <c r="AW933" s="126"/>
      <c r="AX933" s="126"/>
      <c r="AY933" s="126"/>
      <c r="AZ933" s="126"/>
      <c r="BA933" s="126"/>
      <c r="BB933" s="126"/>
      <c r="BC933" s="126"/>
      <c r="BD933" s="126"/>
    </row>
    <row r="934">
      <c r="A934" s="126"/>
      <c r="B934" s="126"/>
      <c r="C934" s="126"/>
      <c r="D934" s="126"/>
      <c r="E934" s="126"/>
      <c r="F934" s="13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c r="AD934" s="126"/>
      <c r="AE934" s="126"/>
      <c r="AF934" s="126"/>
      <c r="AG934" s="126"/>
      <c r="AH934" s="126"/>
      <c r="AI934" s="126"/>
      <c r="AJ934" s="126"/>
      <c r="AK934" s="126"/>
      <c r="AL934" s="126"/>
      <c r="AM934" s="126"/>
      <c r="AN934" s="126"/>
      <c r="AO934" s="126"/>
      <c r="AP934" s="126"/>
      <c r="AQ934" s="126"/>
      <c r="AR934" s="126"/>
      <c r="AS934" s="126"/>
      <c r="AT934" s="126"/>
      <c r="AU934" s="126"/>
      <c r="AV934" s="126"/>
      <c r="AW934" s="126"/>
      <c r="AX934" s="126"/>
      <c r="AY934" s="126"/>
      <c r="AZ934" s="126"/>
      <c r="BA934" s="126"/>
      <c r="BB934" s="126"/>
      <c r="BC934" s="126"/>
      <c r="BD934" s="126"/>
    </row>
    <row r="935">
      <c r="A935" s="126"/>
      <c r="B935" s="126"/>
      <c r="C935" s="126"/>
      <c r="D935" s="126"/>
      <c r="E935" s="126"/>
      <c r="F935" s="13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c r="AD935" s="126"/>
      <c r="AE935" s="126"/>
      <c r="AF935" s="126"/>
      <c r="AG935" s="126"/>
      <c r="AH935" s="126"/>
      <c r="AI935" s="126"/>
      <c r="AJ935" s="126"/>
      <c r="AK935" s="126"/>
      <c r="AL935" s="126"/>
      <c r="AM935" s="126"/>
      <c r="AN935" s="126"/>
      <c r="AO935" s="126"/>
      <c r="AP935" s="126"/>
      <c r="AQ935" s="126"/>
      <c r="AR935" s="126"/>
      <c r="AS935" s="126"/>
      <c r="AT935" s="126"/>
      <c r="AU935" s="126"/>
      <c r="AV935" s="126"/>
      <c r="AW935" s="126"/>
      <c r="AX935" s="126"/>
      <c r="AY935" s="126"/>
      <c r="AZ935" s="126"/>
      <c r="BA935" s="126"/>
      <c r="BB935" s="126"/>
      <c r="BC935" s="126"/>
      <c r="BD935" s="126"/>
    </row>
    <row r="936">
      <c r="A936" s="126"/>
      <c r="B936" s="126"/>
      <c r="C936" s="126"/>
      <c r="D936" s="126"/>
      <c r="E936" s="126"/>
      <c r="F936" s="13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c r="AD936" s="126"/>
      <c r="AE936" s="126"/>
      <c r="AF936" s="126"/>
      <c r="AG936" s="126"/>
      <c r="AH936" s="126"/>
      <c r="AI936" s="126"/>
      <c r="AJ936" s="126"/>
      <c r="AK936" s="126"/>
      <c r="AL936" s="126"/>
      <c r="AM936" s="126"/>
      <c r="AN936" s="126"/>
      <c r="AO936" s="126"/>
      <c r="AP936" s="126"/>
      <c r="AQ936" s="126"/>
      <c r="AR936" s="126"/>
      <c r="AS936" s="126"/>
      <c r="AT936" s="126"/>
      <c r="AU936" s="126"/>
      <c r="AV936" s="126"/>
      <c r="AW936" s="126"/>
      <c r="AX936" s="126"/>
      <c r="AY936" s="126"/>
      <c r="AZ936" s="126"/>
      <c r="BA936" s="126"/>
      <c r="BB936" s="126"/>
      <c r="BC936" s="126"/>
      <c r="BD936" s="126"/>
    </row>
    <row r="937">
      <c r="A937" s="126"/>
      <c r="B937" s="126"/>
      <c r="C937" s="126"/>
      <c r="D937" s="126"/>
      <c r="E937" s="126"/>
      <c r="F937" s="13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c r="AD937" s="126"/>
      <c r="AE937" s="126"/>
      <c r="AF937" s="126"/>
      <c r="AG937" s="126"/>
      <c r="AH937" s="126"/>
      <c r="AI937" s="126"/>
      <c r="AJ937" s="126"/>
      <c r="AK937" s="126"/>
      <c r="AL937" s="126"/>
      <c r="AM937" s="126"/>
      <c r="AN937" s="126"/>
      <c r="AO937" s="126"/>
      <c r="AP937" s="126"/>
      <c r="AQ937" s="126"/>
      <c r="AR937" s="126"/>
      <c r="AS937" s="126"/>
      <c r="AT937" s="126"/>
      <c r="AU937" s="126"/>
      <c r="AV937" s="126"/>
      <c r="AW937" s="126"/>
      <c r="AX937" s="126"/>
      <c r="AY937" s="126"/>
      <c r="AZ937" s="126"/>
      <c r="BA937" s="126"/>
      <c r="BB937" s="126"/>
      <c r="BC937" s="126"/>
      <c r="BD937" s="126"/>
    </row>
    <row r="938">
      <c r="A938" s="126"/>
      <c r="B938" s="126"/>
      <c r="C938" s="126"/>
      <c r="D938" s="126"/>
      <c r="E938" s="126"/>
      <c r="F938" s="13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c r="AD938" s="126"/>
      <c r="AE938" s="126"/>
      <c r="AF938" s="126"/>
      <c r="AG938" s="126"/>
      <c r="AH938" s="126"/>
      <c r="AI938" s="126"/>
      <c r="AJ938" s="126"/>
      <c r="AK938" s="126"/>
      <c r="AL938" s="126"/>
      <c r="AM938" s="126"/>
      <c r="AN938" s="126"/>
      <c r="AO938" s="126"/>
      <c r="AP938" s="126"/>
      <c r="AQ938" s="126"/>
      <c r="AR938" s="126"/>
      <c r="AS938" s="126"/>
      <c r="AT938" s="126"/>
      <c r="AU938" s="126"/>
      <c r="AV938" s="126"/>
      <c r="AW938" s="126"/>
      <c r="AX938" s="126"/>
      <c r="AY938" s="126"/>
      <c r="AZ938" s="126"/>
      <c r="BA938" s="126"/>
      <c r="BB938" s="126"/>
      <c r="BC938" s="126"/>
      <c r="BD938" s="126"/>
    </row>
    <row r="939">
      <c r="A939" s="126"/>
      <c r="B939" s="126"/>
      <c r="C939" s="126"/>
      <c r="D939" s="126"/>
      <c r="E939" s="126"/>
      <c r="F939" s="13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c r="AD939" s="126"/>
      <c r="AE939" s="126"/>
      <c r="AF939" s="126"/>
      <c r="AG939" s="126"/>
      <c r="AH939" s="126"/>
      <c r="AI939" s="126"/>
      <c r="AJ939" s="126"/>
      <c r="AK939" s="126"/>
      <c r="AL939" s="126"/>
      <c r="AM939" s="126"/>
      <c r="AN939" s="126"/>
      <c r="AO939" s="126"/>
      <c r="AP939" s="126"/>
      <c r="AQ939" s="126"/>
      <c r="AR939" s="126"/>
      <c r="AS939" s="126"/>
      <c r="AT939" s="126"/>
      <c r="AU939" s="126"/>
      <c r="AV939" s="126"/>
      <c r="AW939" s="126"/>
      <c r="AX939" s="126"/>
      <c r="AY939" s="126"/>
      <c r="AZ939" s="126"/>
      <c r="BA939" s="126"/>
      <c r="BB939" s="126"/>
      <c r="BC939" s="126"/>
      <c r="BD939" s="126"/>
    </row>
    <row r="940">
      <c r="A940" s="126"/>
      <c r="B940" s="126"/>
      <c r="C940" s="126"/>
      <c r="D940" s="126"/>
      <c r="E940" s="126"/>
      <c r="F940" s="13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c r="AD940" s="126"/>
      <c r="AE940" s="126"/>
      <c r="AF940" s="126"/>
      <c r="AG940" s="126"/>
      <c r="AH940" s="126"/>
      <c r="AI940" s="126"/>
      <c r="AJ940" s="126"/>
      <c r="AK940" s="126"/>
      <c r="AL940" s="126"/>
      <c r="AM940" s="126"/>
      <c r="AN940" s="126"/>
      <c r="AO940" s="126"/>
      <c r="AP940" s="126"/>
      <c r="AQ940" s="126"/>
      <c r="AR940" s="126"/>
      <c r="AS940" s="126"/>
      <c r="AT940" s="126"/>
      <c r="AU940" s="126"/>
      <c r="AV940" s="126"/>
      <c r="AW940" s="126"/>
      <c r="AX940" s="126"/>
      <c r="AY940" s="126"/>
      <c r="AZ940" s="126"/>
      <c r="BA940" s="126"/>
      <c r="BB940" s="126"/>
      <c r="BC940" s="126"/>
      <c r="BD940" s="126"/>
    </row>
    <row r="941">
      <c r="A941" s="126"/>
      <c r="B941" s="126"/>
      <c r="C941" s="126"/>
      <c r="D941" s="126"/>
      <c r="E941" s="126"/>
      <c r="F941" s="13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c r="AD941" s="126"/>
      <c r="AE941" s="126"/>
      <c r="AF941" s="126"/>
      <c r="AG941" s="126"/>
      <c r="AH941" s="126"/>
      <c r="AI941" s="126"/>
      <c r="AJ941" s="126"/>
      <c r="AK941" s="126"/>
      <c r="AL941" s="126"/>
      <c r="AM941" s="126"/>
      <c r="AN941" s="126"/>
      <c r="AO941" s="126"/>
      <c r="AP941" s="126"/>
      <c r="AQ941" s="126"/>
      <c r="AR941" s="126"/>
      <c r="AS941" s="126"/>
      <c r="AT941" s="126"/>
      <c r="AU941" s="126"/>
      <c r="AV941" s="126"/>
      <c r="AW941" s="126"/>
      <c r="AX941" s="126"/>
      <c r="AY941" s="126"/>
      <c r="AZ941" s="126"/>
      <c r="BA941" s="126"/>
      <c r="BB941" s="126"/>
      <c r="BC941" s="126"/>
      <c r="BD941" s="126"/>
    </row>
    <row r="942">
      <c r="A942" s="126"/>
      <c r="B942" s="126"/>
      <c r="C942" s="126"/>
      <c r="D942" s="126"/>
      <c r="E942" s="126"/>
      <c r="F942" s="13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c r="AD942" s="126"/>
      <c r="AE942" s="126"/>
      <c r="AF942" s="126"/>
      <c r="AG942" s="126"/>
      <c r="AH942" s="126"/>
      <c r="AI942" s="126"/>
      <c r="AJ942" s="126"/>
      <c r="AK942" s="126"/>
      <c r="AL942" s="126"/>
      <c r="AM942" s="126"/>
      <c r="AN942" s="126"/>
      <c r="AO942" s="126"/>
      <c r="AP942" s="126"/>
      <c r="AQ942" s="126"/>
      <c r="AR942" s="126"/>
      <c r="AS942" s="126"/>
      <c r="AT942" s="126"/>
      <c r="AU942" s="126"/>
      <c r="AV942" s="126"/>
      <c r="AW942" s="126"/>
      <c r="AX942" s="126"/>
      <c r="AY942" s="126"/>
      <c r="AZ942" s="126"/>
      <c r="BA942" s="126"/>
      <c r="BB942" s="126"/>
      <c r="BC942" s="126"/>
      <c r="BD942" s="126"/>
    </row>
    <row r="943">
      <c r="A943" s="126"/>
      <c r="B943" s="126"/>
      <c r="C943" s="126"/>
      <c r="D943" s="126"/>
      <c r="E943" s="126"/>
      <c r="F943" s="13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c r="AD943" s="126"/>
      <c r="AE943" s="126"/>
      <c r="AF943" s="126"/>
      <c r="AG943" s="126"/>
      <c r="AH943" s="126"/>
      <c r="AI943" s="126"/>
      <c r="AJ943" s="126"/>
      <c r="AK943" s="126"/>
      <c r="AL943" s="126"/>
      <c r="AM943" s="126"/>
      <c r="AN943" s="126"/>
      <c r="AO943" s="126"/>
      <c r="AP943" s="126"/>
      <c r="AQ943" s="126"/>
      <c r="AR943" s="126"/>
      <c r="AS943" s="126"/>
      <c r="AT943" s="126"/>
      <c r="AU943" s="126"/>
      <c r="AV943" s="126"/>
      <c r="AW943" s="126"/>
      <c r="AX943" s="126"/>
      <c r="AY943" s="126"/>
      <c r="AZ943" s="126"/>
      <c r="BA943" s="126"/>
      <c r="BB943" s="126"/>
      <c r="BC943" s="126"/>
      <c r="BD943" s="126"/>
    </row>
    <row r="944">
      <c r="A944" s="126"/>
      <c r="B944" s="126"/>
      <c r="C944" s="126"/>
      <c r="D944" s="126"/>
      <c r="E944" s="126"/>
      <c r="F944" s="13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c r="AD944" s="126"/>
      <c r="AE944" s="126"/>
      <c r="AF944" s="126"/>
      <c r="AG944" s="126"/>
      <c r="AH944" s="126"/>
      <c r="AI944" s="126"/>
      <c r="AJ944" s="126"/>
      <c r="AK944" s="126"/>
      <c r="AL944" s="126"/>
      <c r="AM944" s="126"/>
      <c r="AN944" s="126"/>
      <c r="AO944" s="126"/>
      <c r="AP944" s="126"/>
      <c r="AQ944" s="126"/>
      <c r="AR944" s="126"/>
      <c r="AS944" s="126"/>
      <c r="AT944" s="126"/>
      <c r="AU944" s="126"/>
      <c r="AV944" s="126"/>
      <c r="AW944" s="126"/>
      <c r="AX944" s="126"/>
      <c r="AY944" s="126"/>
      <c r="AZ944" s="126"/>
      <c r="BA944" s="126"/>
      <c r="BB944" s="126"/>
      <c r="BC944" s="126"/>
      <c r="BD944" s="126"/>
    </row>
    <row r="945">
      <c r="A945" s="126"/>
      <c r="B945" s="126"/>
      <c r="C945" s="126"/>
      <c r="D945" s="126"/>
      <c r="E945" s="126"/>
      <c r="F945" s="13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c r="AD945" s="126"/>
      <c r="AE945" s="126"/>
      <c r="AF945" s="126"/>
      <c r="AG945" s="126"/>
      <c r="AH945" s="126"/>
      <c r="AI945" s="126"/>
      <c r="AJ945" s="126"/>
      <c r="AK945" s="126"/>
      <c r="AL945" s="126"/>
      <c r="AM945" s="126"/>
      <c r="AN945" s="126"/>
      <c r="AO945" s="126"/>
      <c r="AP945" s="126"/>
      <c r="AQ945" s="126"/>
      <c r="AR945" s="126"/>
      <c r="AS945" s="126"/>
      <c r="AT945" s="126"/>
      <c r="AU945" s="126"/>
      <c r="AV945" s="126"/>
      <c r="AW945" s="126"/>
      <c r="AX945" s="126"/>
      <c r="AY945" s="126"/>
      <c r="AZ945" s="126"/>
      <c r="BA945" s="126"/>
      <c r="BB945" s="126"/>
      <c r="BC945" s="126"/>
      <c r="BD945" s="126"/>
    </row>
    <row r="946">
      <c r="A946" s="126"/>
      <c r="B946" s="126"/>
      <c r="C946" s="126"/>
      <c r="D946" s="126"/>
      <c r="E946" s="126"/>
      <c r="F946" s="13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c r="AD946" s="126"/>
      <c r="AE946" s="126"/>
      <c r="AF946" s="126"/>
      <c r="AG946" s="126"/>
      <c r="AH946" s="126"/>
      <c r="AI946" s="126"/>
      <c r="AJ946" s="126"/>
      <c r="AK946" s="126"/>
      <c r="AL946" s="126"/>
      <c r="AM946" s="126"/>
      <c r="AN946" s="126"/>
      <c r="AO946" s="126"/>
      <c r="AP946" s="126"/>
      <c r="AQ946" s="126"/>
      <c r="AR946" s="126"/>
      <c r="AS946" s="126"/>
      <c r="AT946" s="126"/>
      <c r="AU946" s="126"/>
      <c r="AV946" s="126"/>
      <c r="AW946" s="126"/>
      <c r="AX946" s="126"/>
      <c r="AY946" s="126"/>
      <c r="AZ946" s="126"/>
      <c r="BA946" s="126"/>
      <c r="BB946" s="126"/>
      <c r="BC946" s="126"/>
      <c r="BD946" s="126"/>
    </row>
    <row r="947">
      <c r="A947" s="126"/>
      <c r="B947" s="126"/>
      <c r="C947" s="126"/>
      <c r="D947" s="126"/>
      <c r="E947" s="126"/>
      <c r="F947" s="13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c r="AD947" s="126"/>
      <c r="AE947" s="126"/>
      <c r="AF947" s="126"/>
      <c r="AG947" s="126"/>
      <c r="AH947" s="126"/>
      <c r="AI947" s="126"/>
      <c r="AJ947" s="126"/>
      <c r="AK947" s="126"/>
      <c r="AL947" s="126"/>
      <c r="AM947" s="126"/>
      <c r="AN947" s="126"/>
      <c r="AO947" s="126"/>
      <c r="AP947" s="126"/>
      <c r="AQ947" s="126"/>
      <c r="AR947" s="126"/>
      <c r="AS947" s="126"/>
      <c r="AT947" s="126"/>
      <c r="AU947" s="126"/>
      <c r="AV947" s="126"/>
      <c r="AW947" s="126"/>
      <c r="AX947" s="126"/>
      <c r="AY947" s="126"/>
      <c r="AZ947" s="126"/>
      <c r="BA947" s="126"/>
      <c r="BB947" s="126"/>
      <c r="BC947" s="126"/>
      <c r="BD947" s="126"/>
    </row>
    <row r="948">
      <c r="A948" s="126"/>
      <c r="B948" s="126"/>
      <c r="C948" s="126"/>
      <c r="D948" s="126"/>
      <c r="E948" s="126"/>
      <c r="F948" s="13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c r="AD948" s="126"/>
      <c r="AE948" s="126"/>
      <c r="AF948" s="126"/>
      <c r="AG948" s="126"/>
      <c r="AH948" s="126"/>
      <c r="AI948" s="126"/>
      <c r="AJ948" s="126"/>
      <c r="AK948" s="126"/>
      <c r="AL948" s="126"/>
      <c r="AM948" s="126"/>
      <c r="AN948" s="126"/>
      <c r="AO948" s="126"/>
      <c r="AP948" s="126"/>
      <c r="AQ948" s="126"/>
      <c r="AR948" s="126"/>
      <c r="AS948" s="126"/>
      <c r="AT948" s="126"/>
      <c r="AU948" s="126"/>
      <c r="AV948" s="126"/>
      <c r="AW948" s="126"/>
      <c r="AX948" s="126"/>
      <c r="AY948" s="126"/>
      <c r="AZ948" s="126"/>
      <c r="BA948" s="126"/>
      <c r="BB948" s="126"/>
      <c r="BC948" s="126"/>
      <c r="BD948" s="126"/>
    </row>
    <row r="949">
      <c r="A949" s="126"/>
      <c r="B949" s="126"/>
      <c r="C949" s="126"/>
      <c r="D949" s="126"/>
      <c r="E949" s="126"/>
      <c r="F949" s="13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c r="AD949" s="126"/>
      <c r="AE949" s="126"/>
      <c r="AF949" s="126"/>
      <c r="AG949" s="126"/>
      <c r="AH949" s="126"/>
      <c r="AI949" s="126"/>
      <c r="AJ949" s="126"/>
      <c r="AK949" s="126"/>
      <c r="AL949" s="126"/>
      <c r="AM949" s="126"/>
      <c r="AN949" s="126"/>
      <c r="AO949" s="126"/>
      <c r="AP949" s="126"/>
      <c r="AQ949" s="126"/>
      <c r="AR949" s="126"/>
      <c r="AS949" s="126"/>
      <c r="AT949" s="126"/>
      <c r="AU949" s="126"/>
      <c r="AV949" s="126"/>
      <c r="AW949" s="126"/>
      <c r="AX949" s="126"/>
      <c r="AY949" s="126"/>
      <c r="AZ949" s="126"/>
      <c r="BA949" s="126"/>
      <c r="BB949" s="126"/>
      <c r="BC949" s="126"/>
      <c r="BD949" s="126"/>
    </row>
    <row r="950">
      <c r="A950" s="126"/>
      <c r="B950" s="126"/>
      <c r="C950" s="126"/>
      <c r="D950" s="126"/>
      <c r="E950" s="126"/>
      <c r="F950" s="13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c r="AD950" s="126"/>
      <c r="AE950" s="126"/>
      <c r="AF950" s="126"/>
      <c r="AG950" s="126"/>
      <c r="AH950" s="126"/>
      <c r="AI950" s="126"/>
      <c r="AJ950" s="126"/>
      <c r="AK950" s="126"/>
      <c r="AL950" s="126"/>
      <c r="AM950" s="126"/>
      <c r="AN950" s="126"/>
      <c r="AO950" s="126"/>
      <c r="AP950" s="126"/>
      <c r="AQ950" s="126"/>
      <c r="AR950" s="126"/>
      <c r="AS950" s="126"/>
      <c r="AT950" s="126"/>
      <c r="AU950" s="126"/>
      <c r="AV950" s="126"/>
      <c r="AW950" s="126"/>
      <c r="AX950" s="126"/>
      <c r="AY950" s="126"/>
      <c r="AZ950" s="126"/>
      <c r="BA950" s="126"/>
      <c r="BB950" s="126"/>
      <c r="BC950" s="126"/>
      <c r="BD950" s="126"/>
    </row>
    <row r="951">
      <c r="A951" s="126"/>
      <c r="B951" s="126"/>
      <c r="C951" s="126"/>
      <c r="D951" s="126"/>
      <c r="E951" s="126"/>
      <c r="F951" s="13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c r="AD951" s="126"/>
      <c r="AE951" s="126"/>
      <c r="AF951" s="126"/>
      <c r="AG951" s="126"/>
      <c r="AH951" s="126"/>
      <c r="AI951" s="126"/>
      <c r="AJ951" s="126"/>
      <c r="AK951" s="126"/>
      <c r="AL951" s="126"/>
      <c r="AM951" s="126"/>
      <c r="AN951" s="126"/>
      <c r="AO951" s="126"/>
      <c r="AP951" s="126"/>
      <c r="AQ951" s="126"/>
      <c r="AR951" s="126"/>
      <c r="AS951" s="126"/>
      <c r="AT951" s="126"/>
      <c r="AU951" s="126"/>
      <c r="AV951" s="126"/>
      <c r="AW951" s="126"/>
      <c r="AX951" s="126"/>
      <c r="AY951" s="126"/>
      <c r="AZ951" s="126"/>
      <c r="BA951" s="126"/>
      <c r="BB951" s="126"/>
      <c r="BC951" s="126"/>
      <c r="BD951" s="126"/>
    </row>
    <row r="952">
      <c r="A952" s="126"/>
      <c r="B952" s="126"/>
      <c r="C952" s="126"/>
      <c r="D952" s="126"/>
      <c r="E952" s="126"/>
      <c r="F952" s="13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c r="AD952" s="126"/>
      <c r="AE952" s="126"/>
      <c r="AF952" s="126"/>
      <c r="AG952" s="126"/>
      <c r="AH952" s="126"/>
      <c r="AI952" s="126"/>
      <c r="AJ952" s="126"/>
      <c r="AK952" s="126"/>
      <c r="AL952" s="126"/>
      <c r="AM952" s="126"/>
      <c r="AN952" s="126"/>
      <c r="AO952" s="126"/>
      <c r="AP952" s="126"/>
      <c r="AQ952" s="126"/>
      <c r="AR952" s="126"/>
      <c r="AS952" s="126"/>
      <c r="AT952" s="126"/>
      <c r="AU952" s="126"/>
      <c r="AV952" s="126"/>
      <c r="AW952" s="126"/>
      <c r="AX952" s="126"/>
      <c r="AY952" s="126"/>
      <c r="AZ952" s="126"/>
      <c r="BA952" s="126"/>
      <c r="BB952" s="126"/>
      <c r="BC952" s="126"/>
      <c r="BD952" s="126"/>
    </row>
    <row r="953">
      <c r="A953" s="126"/>
      <c r="B953" s="126"/>
      <c r="C953" s="126"/>
      <c r="D953" s="126"/>
      <c r="E953" s="126"/>
      <c r="F953" s="13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c r="AD953" s="126"/>
      <c r="AE953" s="126"/>
      <c r="AF953" s="126"/>
      <c r="AG953" s="126"/>
      <c r="AH953" s="126"/>
      <c r="AI953" s="126"/>
      <c r="AJ953" s="126"/>
      <c r="AK953" s="126"/>
      <c r="AL953" s="126"/>
      <c r="AM953" s="126"/>
      <c r="AN953" s="126"/>
      <c r="AO953" s="126"/>
      <c r="AP953" s="126"/>
      <c r="AQ953" s="126"/>
      <c r="AR953" s="126"/>
      <c r="AS953" s="126"/>
      <c r="AT953" s="126"/>
      <c r="AU953" s="126"/>
      <c r="AV953" s="126"/>
      <c r="AW953" s="126"/>
      <c r="AX953" s="126"/>
      <c r="AY953" s="126"/>
      <c r="AZ953" s="126"/>
      <c r="BA953" s="126"/>
      <c r="BB953" s="126"/>
      <c r="BC953" s="126"/>
      <c r="BD953" s="126"/>
    </row>
    <row r="954">
      <c r="A954" s="126"/>
      <c r="B954" s="126"/>
      <c r="C954" s="126"/>
      <c r="D954" s="126"/>
      <c r="E954" s="126"/>
      <c r="F954" s="13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c r="AD954" s="126"/>
      <c r="AE954" s="126"/>
      <c r="AF954" s="126"/>
      <c r="AG954" s="126"/>
      <c r="AH954" s="126"/>
      <c r="AI954" s="126"/>
      <c r="AJ954" s="126"/>
      <c r="AK954" s="126"/>
      <c r="AL954" s="126"/>
      <c r="AM954" s="126"/>
      <c r="AN954" s="126"/>
      <c r="AO954" s="126"/>
      <c r="AP954" s="126"/>
      <c r="AQ954" s="126"/>
      <c r="AR954" s="126"/>
      <c r="AS954" s="126"/>
      <c r="AT954" s="126"/>
      <c r="AU954" s="126"/>
      <c r="AV954" s="126"/>
      <c r="AW954" s="126"/>
      <c r="AX954" s="126"/>
      <c r="AY954" s="126"/>
      <c r="AZ954" s="126"/>
      <c r="BA954" s="126"/>
      <c r="BB954" s="126"/>
      <c r="BC954" s="126"/>
      <c r="BD954" s="126"/>
    </row>
    <row r="955">
      <c r="A955" s="126"/>
      <c r="B955" s="126"/>
      <c r="C955" s="126"/>
      <c r="D955" s="126"/>
      <c r="E955" s="126"/>
      <c r="F955" s="13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c r="AD955" s="126"/>
      <c r="AE955" s="126"/>
      <c r="AF955" s="126"/>
      <c r="AG955" s="126"/>
      <c r="AH955" s="126"/>
      <c r="AI955" s="126"/>
      <c r="AJ955" s="126"/>
      <c r="AK955" s="126"/>
      <c r="AL955" s="126"/>
      <c r="AM955" s="126"/>
      <c r="AN955" s="126"/>
      <c r="AO955" s="126"/>
      <c r="AP955" s="126"/>
      <c r="AQ955" s="126"/>
      <c r="AR955" s="126"/>
      <c r="AS955" s="126"/>
      <c r="AT955" s="126"/>
      <c r="AU955" s="126"/>
      <c r="AV955" s="126"/>
      <c r="AW955" s="126"/>
      <c r="AX955" s="126"/>
      <c r="AY955" s="126"/>
      <c r="AZ955" s="126"/>
      <c r="BA955" s="126"/>
      <c r="BB955" s="126"/>
      <c r="BC955" s="126"/>
      <c r="BD955" s="126"/>
    </row>
    <row r="956">
      <c r="A956" s="126"/>
      <c r="B956" s="126"/>
      <c r="C956" s="126"/>
      <c r="D956" s="126"/>
      <c r="E956" s="126"/>
      <c r="F956" s="13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c r="AD956" s="126"/>
      <c r="AE956" s="126"/>
      <c r="AF956" s="126"/>
      <c r="AG956" s="126"/>
      <c r="AH956" s="126"/>
      <c r="AI956" s="126"/>
      <c r="AJ956" s="126"/>
      <c r="AK956" s="126"/>
      <c r="AL956" s="126"/>
      <c r="AM956" s="126"/>
      <c r="AN956" s="126"/>
      <c r="AO956" s="126"/>
      <c r="AP956" s="126"/>
      <c r="AQ956" s="126"/>
      <c r="AR956" s="126"/>
      <c r="AS956" s="126"/>
      <c r="AT956" s="126"/>
      <c r="AU956" s="126"/>
      <c r="AV956" s="126"/>
      <c r="AW956" s="126"/>
      <c r="AX956" s="126"/>
      <c r="AY956" s="126"/>
      <c r="AZ956" s="126"/>
      <c r="BA956" s="126"/>
      <c r="BB956" s="126"/>
      <c r="BC956" s="126"/>
      <c r="BD956" s="126"/>
    </row>
    <row r="957">
      <c r="A957" s="126"/>
      <c r="B957" s="126"/>
      <c r="C957" s="126"/>
      <c r="D957" s="126"/>
      <c r="E957" s="126"/>
      <c r="F957" s="13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c r="AD957" s="126"/>
      <c r="AE957" s="126"/>
      <c r="AF957" s="126"/>
      <c r="AG957" s="126"/>
      <c r="AH957" s="126"/>
      <c r="AI957" s="126"/>
      <c r="AJ957" s="126"/>
      <c r="AK957" s="126"/>
      <c r="AL957" s="126"/>
      <c r="AM957" s="126"/>
      <c r="AN957" s="126"/>
      <c r="AO957" s="126"/>
      <c r="AP957" s="126"/>
      <c r="AQ957" s="126"/>
      <c r="AR957" s="126"/>
      <c r="AS957" s="126"/>
      <c r="AT957" s="126"/>
      <c r="AU957" s="126"/>
      <c r="AV957" s="126"/>
      <c r="AW957" s="126"/>
      <c r="AX957" s="126"/>
      <c r="AY957" s="126"/>
      <c r="AZ957" s="126"/>
      <c r="BA957" s="126"/>
      <c r="BB957" s="126"/>
      <c r="BC957" s="126"/>
      <c r="BD957" s="126"/>
    </row>
    <row r="958">
      <c r="A958" s="126"/>
      <c r="B958" s="126"/>
      <c r="C958" s="126"/>
      <c r="D958" s="126"/>
      <c r="E958" s="126"/>
      <c r="F958" s="13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c r="AD958" s="126"/>
      <c r="AE958" s="126"/>
      <c r="AF958" s="126"/>
      <c r="AG958" s="126"/>
      <c r="AH958" s="126"/>
      <c r="AI958" s="126"/>
      <c r="AJ958" s="126"/>
      <c r="AK958" s="126"/>
      <c r="AL958" s="126"/>
      <c r="AM958" s="126"/>
      <c r="AN958" s="126"/>
      <c r="AO958" s="126"/>
      <c r="AP958" s="126"/>
      <c r="AQ958" s="126"/>
      <c r="AR958" s="126"/>
      <c r="AS958" s="126"/>
      <c r="AT958" s="126"/>
      <c r="AU958" s="126"/>
      <c r="AV958" s="126"/>
      <c r="AW958" s="126"/>
      <c r="AX958" s="126"/>
      <c r="AY958" s="126"/>
      <c r="AZ958" s="126"/>
      <c r="BA958" s="126"/>
      <c r="BB958" s="126"/>
      <c r="BC958" s="126"/>
      <c r="BD958" s="126"/>
    </row>
    <row r="959">
      <c r="A959" s="126"/>
      <c r="B959" s="126"/>
      <c r="C959" s="126"/>
      <c r="D959" s="126"/>
      <c r="E959" s="126"/>
      <c r="F959" s="13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c r="AD959" s="126"/>
      <c r="AE959" s="126"/>
      <c r="AF959" s="126"/>
      <c r="AG959" s="126"/>
      <c r="AH959" s="126"/>
      <c r="AI959" s="126"/>
      <c r="AJ959" s="126"/>
      <c r="AK959" s="126"/>
      <c r="AL959" s="126"/>
      <c r="AM959" s="126"/>
      <c r="AN959" s="126"/>
      <c r="AO959" s="126"/>
      <c r="AP959" s="126"/>
      <c r="AQ959" s="126"/>
      <c r="AR959" s="126"/>
      <c r="AS959" s="126"/>
      <c r="AT959" s="126"/>
      <c r="AU959" s="126"/>
      <c r="AV959" s="126"/>
      <c r="AW959" s="126"/>
      <c r="AX959" s="126"/>
      <c r="AY959" s="126"/>
      <c r="AZ959" s="126"/>
      <c r="BA959" s="126"/>
      <c r="BB959" s="126"/>
      <c r="BC959" s="126"/>
      <c r="BD959" s="126"/>
    </row>
    <row r="960">
      <c r="A960" s="126"/>
      <c r="B960" s="126"/>
      <c r="C960" s="126"/>
      <c r="D960" s="126"/>
      <c r="E960" s="126"/>
      <c r="F960" s="13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c r="AD960" s="126"/>
      <c r="AE960" s="126"/>
      <c r="AF960" s="126"/>
      <c r="AG960" s="126"/>
      <c r="AH960" s="126"/>
      <c r="AI960" s="126"/>
      <c r="AJ960" s="126"/>
      <c r="AK960" s="126"/>
      <c r="AL960" s="126"/>
      <c r="AM960" s="126"/>
      <c r="AN960" s="126"/>
      <c r="AO960" s="126"/>
      <c r="AP960" s="126"/>
      <c r="AQ960" s="126"/>
      <c r="AR960" s="126"/>
      <c r="AS960" s="126"/>
      <c r="AT960" s="126"/>
      <c r="AU960" s="126"/>
      <c r="AV960" s="126"/>
      <c r="AW960" s="126"/>
      <c r="AX960" s="126"/>
      <c r="AY960" s="126"/>
      <c r="AZ960" s="126"/>
      <c r="BA960" s="126"/>
      <c r="BB960" s="126"/>
      <c r="BC960" s="126"/>
      <c r="BD960" s="126"/>
    </row>
    <row r="961">
      <c r="A961" s="126"/>
      <c r="B961" s="126"/>
      <c r="C961" s="126"/>
      <c r="D961" s="126"/>
      <c r="E961" s="126"/>
      <c r="F961" s="13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c r="AD961" s="126"/>
      <c r="AE961" s="126"/>
      <c r="AF961" s="126"/>
      <c r="AG961" s="126"/>
      <c r="AH961" s="126"/>
      <c r="AI961" s="126"/>
      <c r="AJ961" s="126"/>
      <c r="AK961" s="126"/>
      <c r="AL961" s="126"/>
      <c r="AM961" s="126"/>
      <c r="AN961" s="126"/>
      <c r="AO961" s="126"/>
      <c r="AP961" s="126"/>
      <c r="AQ961" s="126"/>
      <c r="AR961" s="126"/>
      <c r="AS961" s="126"/>
      <c r="AT961" s="126"/>
      <c r="AU961" s="126"/>
      <c r="AV961" s="126"/>
      <c r="AW961" s="126"/>
      <c r="AX961" s="126"/>
      <c r="AY961" s="126"/>
      <c r="AZ961" s="126"/>
      <c r="BA961" s="126"/>
      <c r="BB961" s="126"/>
      <c r="BC961" s="126"/>
      <c r="BD961" s="126"/>
    </row>
    <row r="962">
      <c r="A962" s="126"/>
      <c r="B962" s="126"/>
      <c r="C962" s="126"/>
      <c r="D962" s="126"/>
      <c r="E962" s="126"/>
      <c r="F962" s="13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c r="AD962" s="126"/>
      <c r="AE962" s="126"/>
      <c r="AF962" s="126"/>
      <c r="AG962" s="126"/>
      <c r="AH962" s="126"/>
      <c r="AI962" s="126"/>
      <c r="AJ962" s="126"/>
      <c r="AK962" s="126"/>
      <c r="AL962" s="126"/>
      <c r="AM962" s="126"/>
      <c r="AN962" s="126"/>
      <c r="AO962" s="126"/>
      <c r="AP962" s="126"/>
      <c r="AQ962" s="126"/>
      <c r="AR962" s="126"/>
      <c r="AS962" s="126"/>
      <c r="AT962" s="126"/>
      <c r="AU962" s="126"/>
      <c r="AV962" s="126"/>
      <c r="AW962" s="126"/>
      <c r="AX962" s="126"/>
      <c r="AY962" s="126"/>
      <c r="AZ962" s="126"/>
      <c r="BA962" s="126"/>
      <c r="BB962" s="126"/>
      <c r="BC962" s="126"/>
      <c r="BD962" s="126"/>
    </row>
    <row r="963">
      <c r="A963" s="126"/>
      <c r="B963" s="126"/>
      <c r="C963" s="126"/>
      <c r="D963" s="126"/>
      <c r="E963" s="126"/>
      <c r="F963" s="13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c r="AD963" s="126"/>
      <c r="AE963" s="126"/>
      <c r="AF963" s="126"/>
      <c r="AG963" s="126"/>
      <c r="AH963" s="126"/>
      <c r="AI963" s="126"/>
      <c r="AJ963" s="126"/>
      <c r="AK963" s="126"/>
      <c r="AL963" s="126"/>
      <c r="AM963" s="126"/>
      <c r="AN963" s="126"/>
      <c r="AO963" s="126"/>
      <c r="AP963" s="126"/>
      <c r="AQ963" s="126"/>
      <c r="AR963" s="126"/>
      <c r="AS963" s="126"/>
      <c r="AT963" s="126"/>
      <c r="AU963" s="126"/>
      <c r="AV963" s="126"/>
      <c r="AW963" s="126"/>
      <c r="AX963" s="126"/>
      <c r="AY963" s="126"/>
      <c r="AZ963" s="126"/>
      <c r="BA963" s="126"/>
      <c r="BB963" s="126"/>
      <c r="BC963" s="126"/>
      <c r="BD963" s="126"/>
    </row>
    <row r="964">
      <c r="A964" s="126"/>
      <c r="B964" s="126"/>
      <c r="C964" s="126"/>
      <c r="D964" s="126"/>
      <c r="E964" s="126"/>
      <c r="F964" s="13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c r="AD964" s="126"/>
      <c r="AE964" s="126"/>
      <c r="AF964" s="126"/>
      <c r="AG964" s="126"/>
      <c r="AH964" s="126"/>
      <c r="AI964" s="126"/>
      <c r="AJ964" s="126"/>
      <c r="AK964" s="126"/>
      <c r="AL964" s="126"/>
      <c r="AM964" s="126"/>
      <c r="AN964" s="126"/>
      <c r="AO964" s="126"/>
      <c r="AP964" s="126"/>
      <c r="AQ964" s="126"/>
      <c r="AR964" s="126"/>
      <c r="AS964" s="126"/>
      <c r="AT964" s="126"/>
      <c r="AU964" s="126"/>
      <c r="AV964" s="126"/>
      <c r="AW964" s="126"/>
      <c r="AX964" s="126"/>
      <c r="AY964" s="126"/>
      <c r="AZ964" s="126"/>
      <c r="BA964" s="126"/>
      <c r="BB964" s="126"/>
      <c r="BC964" s="126"/>
      <c r="BD964" s="126"/>
    </row>
    <row r="965">
      <c r="A965" s="126"/>
      <c r="B965" s="126"/>
      <c r="C965" s="126"/>
      <c r="D965" s="126"/>
      <c r="E965" s="126"/>
      <c r="F965" s="13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c r="AD965" s="126"/>
      <c r="AE965" s="126"/>
      <c r="AF965" s="126"/>
      <c r="AG965" s="126"/>
      <c r="AH965" s="126"/>
      <c r="AI965" s="126"/>
      <c r="AJ965" s="126"/>
      <c r="AK965" s="126"/>
      <c r="AL965" s="126"/>
      <c r="AM965" s="126"/>
      <c r="AN965" s="126"/>
      <c r="AO965" s="126"/>
      <c r="AP965" s="126"/>
      <c r="AQ965" s="126"/>
      <c r="AR965" s="126"/>
      <c r="AS965" s="126"/>
      <c r="AT965" s="126"/>
      <c r="AU965" s="126"/>
      <c r="AV965" s="126"/>
      <c r="AW965" s="126"/>
      <c r="AX965" s="126"/>
      <c r="AY965" s="126"/>
      <c r="AZ965" s="126"/>
      <c r="BA965" s="126"/>
      <c r="BB965" s="126"/>
      <c r="BC965" s="126"/>
      <c r="BD965" s="126"/>
    </row>
    <row r="966">
      <c r="A966" s="126"/>
      <c r="B966" s="126"/>
      <c r="C966" s="126"/>
      <c r="D966" s="126"/>
      <c r="E966" s="126"/>
      <c r="F966" s="13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c r="AD966" s="126"/>
      <c r="AE966" s="126"/>
      <c r="AF966" s="126"/>
      <c r="AG966" s="126"/>
      <c r="AH966" s="126"/>
      <c r="AI966" s="126"/>
      <c r="AJ966" s="126"/>
      <c r="AK966" s="126"/>
      <c r="AL966" s="126"/>
      <c r="AM966" s="126"/>
      <c r="AN966" s="126"/>
      <c r="AO966" s="126"/>
      <c r="AP966" s="126"/>
      <c r="AQ966" s="126"/>
      <c r="AR966" s="126"/>
      <c r="AS966" s="126"/>
      <c r="AT966" s="126"/>
      <c r="AU966" s="126"/>
      <c r="AV966" s="126"/>
      <c r="AW966" s="126"/>
      <c r="AX966" s="126"/>
      <c r="AY966" s="126"/>
      <c r="AZ966" s="126"/>
      <c r="BA966" s="126"/>
      <c r="BB966" s="126"/>
      <c r="BC966" s="126"/>
      <c r="BD966" s="126"/>
    </row>
    <row r="967">
      <c r="A967" s="126"/>
      <c r="B967" s="126"/>
      <c r="C967" s="126"/>
      <c r="D967" s="126"/>
      <c r="E967" s="126"/>
      <c r="F967" s="13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c r="AD967" s="126"/>
      <c r="AE967" s="126"/>
      <c r="AF967" s="126"/>
      <c r="AG967" s="126"/>
      <c r="AH967" s="126"/>
      <c r="AI967" s="126"/>
      <c r="AJ967" s="126"/>
      <c r="AK967" s="126"/>
      <c r="AL967" s="126"/>
      <c r="AM967" s="126"/>
      <c r="AN967" s="126"/>
      <c r="AO967" s="126"/>
      <c r="AP967" s="126"/>
      <c r="AQ967" s="126"/>
      <c r="AR967" s="126"/>
      <c r="AS967" s="126"/>
      <c r="AT967" s="126"/>
      <c r="AU967" s="126"/>
      <c r="AV967" s="126"/>
      <c r="AW967" s="126"/>
      <c r="AX967" s="126"/>
      <c r="AY967" s="126"/>
      <c r="AZ967" s="126"/>
      <c r="BA967" s="126"/>
      <c r="BB967" s="126"/>
      <c r="BC967" s="126"/>
      <c r="BD967" s="126"/>
    </row>
    <row r="968">
      <c r="A968" s="126"/>
      <c r="B968" s="126"/>
      <c r="C968" s="126"/>
      <c r="D968" s="126"/>
      <c r="E968" s="126"/>
      <c r="F968" s="13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c r="AD968" s="126"/>
      <c r="AE968" s="126"/>
      <c r="AF968" s="126"/>
      <c r="AG968" s="126"/>
      <c r="AH968" s="126"/>
      <c r="AI968" s="126"/>
      <c r="AJ968" s="126"/>
      <c r="AK968" s="126"/>
      <c r="AL968" s="126"/>
      <c r="AM968" s="126"/>
      <c r="AN968" s="126"/>
      <c r="AO968" s="126"/>
      <c r="AP968" s="126"/>
      <c r="AQ968" s="126"/>
      <c r="AR968" s="126"/>
      <c r="AS968" s="126"/>
      <c r="AT968" s="126"/>
      <c r="AU968" s="126"/>
      <c r="AV968" s="126"/>
      <c r="AW968" s="126"/>
      <c r="AX968" s="126"/>
      <c r="AY968" s="126"/>
      <c r="AZ968" s="126"/>
      <c r="BA968" s="126"/>
      <c r="BB968" s="126"/>
      <c r="BC968" s="126"/>
      <c r="BD968" s="126"/>
    </row>
    <row r="969">
      <c r="A969" s="126"/>
      <c r="B969" s="126"/>
      <c r="C969" s="126"/>
      <c r="D969" s="126"/>
      <c r="E969" s="126"/>
      <c r="F969" s="13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c r="AD969" s="126"/>
      <c r="AE969" s="126"/>
      <c r="AF969" s="126"/>
      <c r="AG969" s="126"/>
      <c r="AH969" s="126"/>
      <c r="AI969" s="126"/>
      <c r="AJ969" s="126"/>
      <c r="AK969" s="126"/>
      <c r="AL969" s="126"/>
      <c r="AM969" s="126"/>
      <c r="AN969" s="126"/>
      <c r="AO969" s="126"/>
      <c r="AP969" s="126"/>
      <c r="AQ969" s="126"/>
      <c r="AR969" s="126"/>
      <c r="AS969" s="126"/>
      <c r="AT969" s="126"/>
      <c r="AU969" s="126"/>
      <c r="AV969" s="126"/>
      <c r="AW969" s="126"/>
      <c r="AX969" s="126"/>
      <c r="AY969" s="126"/>
      <c r="AZ969" s="126"/>
      <c r="BA969" s="126"/>
      <c r="BB969" s="126"/>
      <c r="BC969" s="126"/>
      <c r="BD969" s="126"/>
    </row>
    <row r="970">
      <c r="A970" s="126"/>
      <c r="B970" s="126"/>
      <c r="C970" s="126"/>
      <c r="D970" s="126"/>
      <c r="E970" s="126"/>
      <c r="F970" s="13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c r="AD970" s="126"/>
      <c r="AE970" s="126"/>
      <c r="AF970" s="126"/>
      <c r="AG970" s="126"/>
      <c r="AH970" s="126"/>
      <c r="AI970" s="126"/>
      <c r="AJ970" s="126"/>
      <c r="AK970" s="126"/>
      <c r="AL970" s="126"/>
      <c r="AM970" s="126"/>
      <c r="AN970" s="126"/>
      <c r="AO970" s="126"/>
      <c r="AP970" s="126"/>
      <c r="AQ970" s="126"/>
      <c r="AR970" s="126"/>
      <c r="AS970" s="126"/>
      <c r="AT970" s="126"/>
      <c r="AU970" s="126"/>
      <c r="AV970" s="126"/>
      <c r="AW970" s="126"/>
      <c r="AX970" s="126"/>
      <c r="AY970" s="126"/>
      <c r="AZ970" s="126"/>
      <c r="BA970" s="126"/>
      <c r="BB970" s="126"/>
      <c r="BC970" s="126"/>
      <c r="BD970" s="126"/>
    </row>
    <row r="971">
      <c r="A971" s="126"/>
      <c r="B971" s="126"/>
      <c r="C971" s="126"/>
      <c r="D971" s="126"/>
      <c r="E971" s="126"/>
      <c r="F971" s="13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c r="AD971" s="126"/>
      <c r="AE971" s="126"/>
      <c r="AF971" s="126"/>
      <c r="AG971" s="126"/>
      <c r="AH971" s="126"/>
      <c r="AI971" s="126"/>
      <c r="AJ971" s="126"/>
      <c r="AK971" s="126"/>
      <c r="AL971" s="126"/>
      <c r="AM971" s="126"/>
      <c r="AN971" s="126"/>
      <c r="AO971" s="126"/>
      <c r="AP971" s="126"/>
      <c r="AQ971" s="126"/>
      <c r="AR971" s="126"/>
      <c r="AS971" s="126"/>
      <c r="AT971" s="126"/>
      <c r="AU971" s="126"/>
      <c r="AV971" s="126"/>
      <c r="AW971" s="126"/>
      <c r="AX971" s="126"/>
      <c r="AY971" s="126"/>
      <c r="AZ971" s="126"/>
      <c r="BA971" s="126"/>
      <c r="BB971" s="126"/>
      <c r="BC971" s="126"/>
      <c r="BD971" s="126"/>
    </row>
    <row r="972">
      <c r="A972" s="126"/>
      <c r="B972" s="126"/>
      <c r="C972" s="126"/>
      <c r="D972" s="126"/>
      <c r="E972" s="126"/>
      <c r="F972" s="13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c r="AD972" s="126"/>
      <c r="AE972" s="126"/>
      <c r="AF972" s="126"/>
      <c r="AG972" s="126"/>
      <c r="AH972" s="126"/>
      <c r="AI972" s="126"/>
      <c r="AJ972" s="126"/>
      <c r="AK972" s="126"/>
      <c r="AL972" s="126"/>
      <c r="AM972" s="126"/>
      <c r="AN972" s="126"/>
      <c r="AO972" s="126"/>
      <c r="AP972" s="126"/>
      <c r="AQ972" s="126"/>
      <c r="AR972" s="126"/>
      <c r="AS972" s="126"/>
      <c r="AT972" s="126"/>
      <c r="AU972" s="126"/>
      <c r="AV972" s="126"/>
      <c r="AW972" s="126"/>
      <c r="AX972" s="126"/>
      <c r="AY972" s="126"/>
      <c r="AZ972" s="126"/>
      <c r="BA972" s="126"/>
      <c r="BB972" s="126"/>
      <c r="BC972" s="126"/>
      <c r="BD972" s="126"/>
    </row>
    <row r="973">
      <c r="A973" s="126"/>
      <c r="B973" s="126"/>
      <c r="C973" s="126"/>
      <c r="D973" s="126"/>
      <c r="E973" s="126"/>
      <c r="F973" s="13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c r="AD973" s="126"/>
      <c r="AE973" s="126"/>
      <c r="AF973" s="126"/>
      <c r="AG973" s="126"/>
      <c r="AH973" s="126"/>
      <c r="AI973" s="126"/>
      <c r="AJ973" s="126"/>
      <c r="AK973" s="126"/>
      <c r="AL973" s="126"/>
      <c r="AM973" s="126"/>
      <c r="AN973" s="126"/>
      <c r="AO973" s="126"/>
      <c r="AP973" s="126"/>
      <c r="AQ973" s="126"/>
      <c r="AR973" s="126"/>
      <c r="AS973" s="126"/>
      <c r="AT973" s="126"/>
      <c r="AU973" s="126"/>
      <c r="AV973" s="126"/>
      <c r="AW973" s="126"/>
      <c r="AX973" s="126"/>
      <c r="AY973" s="126"/>
      <c r="AZ973" s="126"/>
      <c r="BA973" s="126"/>
      <c r="BB973" s="126"/>
      <c r="BC973" s="126"/>
      <c r="BD973" s="126"/>
    </row>
    <row r="974">
      <c r="A974" s="126"/>
      <c r="B974" s="126"/>
      <c r="C974" s="126"/>
      <c r="D974" s="126"/>
      <c r="E974" s="126"/>
      <c r="F974" s="13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c r="AD974" s="126"/>
      <c r="AE974" s="126"/>
      <c r="AF974" s="126"/>
      <c r="AG974" s="126"/>
      <c r="AH974" s="126"/>
      <c r="AI974" s="126"/>
      <c r="AJ974" s="126"/>
      <c r="AK974" s="126"/>
      <c r="AL974" s="126"/>
      <c r="AM974" s="126"/>
      <c r="AN974" s="126"/>
      <c r="AO974" s="126"/>
      <c r="AP974" s="126"/>
      <c r="AQ974" s="126"/>
      <c r="AR974" s="126"/>
      <c r="AS974" s="126"/>
      <c r="AT974" s="126"/>
      <c r="AU974" s="126"/>
      <c r="AV974" s="126"/>
      <c r="AW974" s="126"/>
      <c r="AX974" s="126"/>
      <c r="AY974" s="126"/>
      <c r="AZ974" s="126"/>
      <c r="BA974" s="126"/>
      <c r="BB974" s="126"/>
      <c r="BC974" s="126"/>
      <c r="BD974" s="126"/>
    </row>
    <row r="975">
      <c r="A975" s="126"/>
      <c r="B975" s="126"/>
      <c r="C975" s="126"/>
      <c r="D975" s="126"/>
      <c r="E975" s="126"/>
      <c r="F975" s="13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c r="AD975" s="126"/>
      <c r="AE975" s="126"/>
      <c r="AF975" s="126"/>
      <c r="AG975" s="126"/>
      <c r="AH975" s="126"/>
      <c r="AI975" s="126"/>
      <c r="AJ975" s="126"/>
      <c r="AK975" s="126"/>
      <c r="AL975" s="126"/>
      <c r="AM975" s="126"/>
      <c r="AN975" s="126"/>
      <c r="AO975" s="126"/>
      <c r="AP975" s="126"/>
      <c r="AQ975" s="126"/>
      <c r="AR975" s="126"/>
      <c r="AS975" s="126"/>
      <c r="AT975" s="126"/>
      <c r="AU975" s="126"/>
      <c r="AV975" s="126"/>
      <c r="AW975" s="126"/>
      <c r="AX975" s="126"/>
      <c r="AY975" s="126"/>
      <c r="AZ975" s="126"/>
      <c r="BA975" s="126"/>
      <c r="BB975" s="126"/>
      <c r="BC975" s="126"/>
      <c r="BD975" s="126"/>
    </row>
    <row r="976">
      <c r="A976" s="126"/>
      <c r="B976" s="126"/>
      <c r="C976" s="126"/>
      <c r="D976" s="126"/>
      <c r="E976" s="126"/>
      <c r="F976" s="13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c r="AD976" s="126"/>
      <c r="AE976" s="126"/>
      <c r="AF976" s="126"/>
      <c r="AG976" s="126"/>
      <c r="AH976" s="126"/>
      <c r="AI976" s="126"/>
      <c r="AJ976" s="126"/>
      <c r="AK976" s="126"/>
      <c r="AL976" s="126"/>
      <c r="AM976" s="126"/>
      <c r="AN976" s="126"/>
      <c r="AO976" s="126"/>
      <c r="AP976" s="126"/>
      <c r="AQ976" s="126"/>
      <c r="AR976" s="126"/>
      <c r="AS976" s="126"/>
      <c r="AT976" s="126"/>
      <c r="AU976" s="126"/>
      <c r="AV976" s="126"/>
      <c r="AW976" s="126"/>
      <c r="AX976" s="126"/>
      <c r="AY976" s="126"/>
      <c r="AZ976" s="126"/>
      <c r="BA976" s="126"/>
      <c r="BB976" s="126"/>
      <c r="BC976" s="126"/>
      <c r="BD976" s="126"/>
    </row>
    <row r="977">
      <c r="A977" s="126"/>
      <c r="B977" s="126"/>
      <c r="C977" s="126"/>
      <c r="D977" s="126"/>
      <c r="E977" s="126"/>
      <c r="F977" s="13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c r="AD977" s="126"/>
      <c r="AE977" s="126"/>
      <c r="AF977" s="126"/>
      <c r="AG977" s="126"/>
      <c r="AH977" s="126"/>
      <c r="AI977" s="126"/>
      <c r="AJ977" s="126"/>
      <c r="AK977" s="126"/>
      <c r="AL977" s="126"/>
      <c r="AM977" s="126"/>
      <c r="AN977" s="126"/>
      <c r="AO977" s="126"/>
      <c r="AP977" s="126"/>
      <c r="AQ977" s="126"/>
      <c r="AR977" s="126"/>
      <c r="AS977" s="126"/>
      <c r="AT977" s="126"/>
      <c r="AU977" s="126"/>
      <c r="AV977" s="126"/>
      <c r="AW977" s="126"/>
      <c r="AX977" s="126"/>
      <c r="AY977" s="126"/>
      <c r="AZ977" s="126"/>
      <c r="BA977" s="126"/>
      <c r="BB977" s="126"/>
      <c r="BC977" s="126"/>
      <c r="BD977" s="126"/>
    </row>
    <row r="978">
      <c r="A978" s="126"/>
      <c r="B978" s="126"/>
      <c r="C978" s="126"/>
      <c r="D978" s="126"/>
      <c r="E978" s="126"/>
      <c r="F978" s="13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c r="AD978" s="126"/>
      <c r="AE978" s="126"/>
      <c r="AF978" s="126"/>
      <c r="AG978" s="126"/>
      <c r="AH978" s="126"/>
      <c r="AI978" s="126"/>
      <c r="AJ978" s="126"/>
      <c r="AK978" s="126"/>
      <c r="AL978" s="126"/>
      <c r="AM978" s="126"/>
      <c r="AN978" s="126"/>
      <c r="AO978" s="126"/>
      <c r="AP978" s="126"/>
      <c r="AQ978" s="126"/>
      <c r="AR978" s="126"/>
      <c r="AS978" s="126"/>
      <c r="AT978" s="126"/>
      <c r="AU978" s="126"/>
      <c r="AV978" s="126"/>
      <c r="AW978" s="126"/>
      <c r="AX978" s="126"/>
      <c r="AY978" s="126"/>
      <c r="AZ978" s="126"/>
      <c r="BA978" s="126"/>
      <c r="BB978" s="126"/>
      <c r="BC978" s="126"/>
      <c r="BD978" s="126"/>
    </row>
    <row r="979">
      <c r="A979" s="126"/>
      <c r="B979" s="126"/>
      <c r="C979" s="126"/>
      <c r="D979" s="126"/>
      <c r="E979" s="126"/>
      <c r="F979" s="13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c r="AD979" s="126"/>
      <c r="AE979" s="126"/>
      <c r="AF979" s="126"/>
      <c r="AG979" s="126"/>
      <c r="AH979" s="126"/>
      <c r="AI979" s="126"/>
      <c r="AJ979" s="126"/>
      <c r="AK979" s="126"/>
      <c r="AL979" s="126"/>
      <c r="AM979" s="126"/>
      <c r="AN979" s="126"/>
      <c r="AO979" s="126"/>
      <c r="AP979" s="126"/>
      <c r="AQ979" s="126"/>
      <c r="AR979" s="126"/>
      <c r="AS979" s="126"/>
      <c r="AT979" s="126"/>
      <c r="AU979" s="126"/>
      <c r="AV979" s="126"/>
      <c r="AW979" s="126"/>
      <c r="AX979" s="126"/>
      <c r="AY979" s="126"/>
      <c r="AZ979" s="126"/>
      <c r="BA979" s="126"/>
      <c r="BB979" s="126"/>
      <c r="BC979" s="126"/>
      <c r="BD979" s="126"/>
    </row>
    <row r="980">
      <c r="A980" s="126"/>
      <c r="B980" s="126"/>
      <c r="C980" s="126"/>
      <c r="D980" s="126"/>
      <c r="E980" s="126"/>
      <c r="F980" s="13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c r="AD980" s="126"/>
      <c r="AE980" s="126"/>
      <c r="AF980" s="126"/>
      <c r="AG980" s="126"/>
      <c r="AH980" s="126"/>
      <c r="AI980" s="126"/>
      <c r="AJ980" s="126"/>
      <c r="AK980" s="126"/>
      <c r="AL980" s="126"/>
      <c r="AM980" s="126"/>
      <c r="AN980" s="126"/>
      <c r="AO980" s="126"/>
      <c r="AP980" s="126"/>
      <c r="AQ980" s="126"/>
      <c r="AR980" s="126"/>
      <c r="AS980" s="126"/>
      <c r="AT980" s="126"/>
      <c r="AU980" s="126"/>
      <c r="AV980" s="126"/>
      <c r="AW980" s="126"/>
      <c r="AX980" s="126"/>
      <c r="AY980" s="126"/>
      <c r="AZ980" s="126"/>
      <c r="BA980" s="126"/>
      <c r="BB980" s="126"/>
      <c r="BC980" s="126"/>
      <c r="BD980" s="126"/>
    </row>
    <row r="981">
      <c r="A981" s="126"/>
      <c r="B981" s="126"/>
      <c r="C981" s="126"/>
      <c r="D981" s="126"/>
      <c r="E981" s="126"/>
      <c r="F981" s="13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c r="AD981" s="126"/>
      <c r="AE981" s="126"/>
      <c r="AF981" s="126"/>
      <c r="AG981" s="126"/>
      <c r="AH981" s="126"/>
      <c r="AI981" s="126"/>
      <c r="AJ981" s="126"/>
      <c r="AK981" s="126"/>
      <c r="AL981" s="126"/>
      <c r="AM981" s="126"/>
      <c r="AN981" s="126"/>
      <c r="AO981" s="126"/>
      <c r="AP981" s="126"/>
      <c r="AQ981" s="126"/>
      <c r="AR981" s="126"/>
      <c r="AS981" s="126"/>
      <c r="AT981" s="126"/>
      <c r="AU981" s="126"/>
      <c r="AV981" s="126"/>
      <c r="AW981" s="126"/>
      <c r="AX981" s="126"/>
      <c r="AY981" s="126"/>
      <c r="AZ981" s="126"/>
      <c r="BA981" s="126"/>
      <c r="BB981" s="126"/>
      <c r="BC981" s="126"/>
      <c r="BD981" s="126"/>
    </row>
    <row r="982">
      <c r="A982" s="126"/>
      <c r="B982" s="126"/>
      <c r="C982" s="126"/>
      <c r="D982" s="126"/>
      <c r="E982" s="126"/>
      <c r="F982" s="13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c r="AD982" s="126"/>
      <c r="AE982" s="126"/>
      <c r="AF982" s="126"/>
      <c r="AG982" s="126"/>
      <c r="AH982" s="126"/>
      <c r="AI982" s="126"/>
      <c r="AJ982" s="126"/>
      <c r="AK982" s="126"/>
      <c r="AL982" s="126"/>
      <c r="AM982" s="126"/>
      <c r="AN982" s="126"/>
      <c r="AO982" s="126"/>
      <c r="AP982" s="126"/>
      <c r="AQ982" s="126"/>
      <c r="AR982" s="126"/>
      <c r="AS982" s="126"/>
      <c r="AT982" s="126"/>
      <c r="AU982" s="126"/>
      <c r="AV982" s="126"/>
      <c r="AW982" s="126"/>
      <c r="AX982" s="126"/>
      <c r="AY982" s="126"/>
      <c r="AZ982" s="126"/>
      <c r="BA982" s="126"/>
      <c r="BB982" s="126"/>
      <c r="BC982" s="126"/>
      <c r="BD982" s="126"/>
    </row>
    <row r="983">
      <c r="A983" s="126"/>
      <c r="B983" s="126"/>
      <c r="C983" s="126"/>
      <c r="D983" s="126"/>
      <c r="E983" s="126"/>
      <c r="F983" s="13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c r="AD983" s="126"/>
      <c r="AE983" s="126"/>
      <c r="AF983" s="126"/>
      <c r="AG983" s="126"/>
      <c r="AH983" s="126"/>
      <c r="AI983" s="126"/>
      <c r="AJ983" s="126"/>
      <c r="AK983" s="126"/>
      <c r="AL983" s="126"/>
      <c r="AM983" s="126"/>
      <c r="AN983" s="126"/>
      <c r="AO983" s="126"/>
      <c r="AP983" s="126"/>
      <c r="AQ983" s="126"/>
      <c r="AR983" s="126"/>
      <c r="AS983" s="126"/>
      <c r="AT983" s="126"/>
      <c r="AU983" s="126"/>
      <c r="AV983" s="126"/>
      <c r="AW983" s="126"/>
      <c r="AX983" s="126"/>
      <c r="AY983" s="126"/>
      <c r="AZ983" s="126"/>
      <c r="BA983" s="126"/>
      <c r="BB983" s="126"/>
      <c r="BC983" s="126"/>
      <c r="BD983" s="126"/>
    </row>
    <row r="984">
      <c r="A984" s="126"/>
      <c r="B984" s="126"/>
      <c r="C984" s="126"/>
      <c r="D984" s="126"/>
      <c r="E984" s="126"/>
      <c r="F984" s="13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c r="AD984" s="126"/>
      <c r="AE984" s="126"/>
      <c r="AF984" s="126"/>
      <c r="AG984" s="126"/>
      <c r="AH984" s="126"/>
      <c r="AI984" s="126"/>
      <c r="AJ984" s="126"/>
      <c r="AK984" s="126"/>
      <c r="AL984" s="126"/>
      <c r="AM984" s="126"/>
      <c r="AN984" s="126"/>
      <c r="AO984" s="126"/>
      <c r="AP984" s="126"/>
      <c r="AQ984" s="126"/>
      <c r="AR984" s="126"/>
      <c r="AS984" s="126"/>
      <c r="AT984" s="126"/>
      <c r="AU984" s="126"/>
      <c r="AV984" s="126"/>
      <c r="AW984" s="126"/>
      <c r="AX984" s="126"/>
      <c r="AY984" s="126"/>
      <c r="AZ984" s="126"/>
      <c r="BA984" s="126"/>
      <c r="BB984" s="126"/>
      <c r="BC984" s="126"/>
      <c r="BD984" s="126"/>
    </row>
    <row r="985">
      <c r="A985" s="126"/>
      <c r="B985" s="126"/>
      <c r="C985" s="126"/>
      <c r="D985" s="126"/>
      <c r="E985" s="126"/>
      <c r="F985" s="13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c r="AD985" s="126"/>
      <c r="AE985" s="126"/>
      <c r="AF985" s="126"/>
      <c r="AG985" s="126"/>
      <c r="AH985" s="126"/>
      <c r="AI985" s="126"/>
      <c r="AJ985" s="126"/>
      <c r="AK985" s="126"/>
      <c r="AL985" s="126"/>
      <c r="AM985" s="126"/>
      <c r="AN985" s="126"/>
      <c r="AO985" s="126"/>
      <c r="AP985" s="126"/>
      <c r="AQ985" s="126"/>
      <c r="AR985" s="126"/>
      <c r="AS985" s="126"/>
      <c r="AT985" s="126"/>
      <c r="AU985" s="126"/>
      <c r="AV985" s="126"/>
      <c r="AW985" s="126"/>
      <c r="AX985" s="126"/>
      <c r="AY985" s="126"/>
      <c r="AZ985" s="126"/>
      <c r="BA985" s="126"/>
      <c r="BB985" s="126"/>
      <c r="BC985" s="126"/>
      <c r="BD985" s="126"/>
    </row>
    <row r="986">
      <c r="A986" s="126"/>
      <c r="B986" s="126"/>
      <c r="C986" s="126"/>
      <c r="D986" s="126"/>
      <c r="E986" s="126"/>
      <c r="F986" s="13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c r="AD986" s="126"/>
      <c r="AE986" s="126"/>
      <c r="AF986" s="126"/>
      <c r="AG986" s="126"/>
      <c r="AH986" s="126"/>
      <c r="AI986" s="126"/>
      <c r="AJ986" s="126"/>
      <c r="AK986" s="126"/>
      <c r="AL986" s="126"/>
      <c r="AM986" s="126"/>
      <c r="AN986" s="126"/>
      <c r="AO986" s="126"/>
      <c r="AP986" s="126"/>
      <c r="AQ986" s="126"/>
      <c r="AR986" s="126"/>
      <c r="AS986" s="126"/>
      <c r="AT986" s="126"/>
      <c r="AU986" s="126"/>
      <c r="AV986" s="126"/>
      <c r="AW986" s="126"/>
      <c r="AX986" s="126"/>
      <c r="AY986" s="126"/>
      <c r="AZ986" s="126"/>
      <c r="BA986" s="126"/>
      <c r="BB986" s="126"/>
      <c r="BC986" s="126"/>
      <c r="BD986" s="126"/>
    </row>
    <row r="987">
      <c r="A987" s="126"/>
      <c r="B987" s="126"/>
      <c r="C987" s="126"/>
      <c r="D987" s="126"/>
      <c r="E987" s="126"/>
      <c r="F987" s="13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c r="AD987" s="126"/>
      <c r="AE987" s="126"/>
      <c r="AF987" s="126"/>
      <c r="AG987" s="126"/>
      <c r="AH987" s="126"/>
      <c r="AI987" s="126"/>
      <c r="AJ987" s="126"/>
      <c r="AK987" s="126"/>
      <c r="AL987" s="126"/>
      <c r="AM987" s="126"/>
      <c r="AN987" s="126"/>
      <c r="AO987" s="126"/>
      <c r="AP987" s="126"/>
      <c r="AQ987" s="126"/>
      <c r="AR987" s="126"/>
      <c r="AS987" s="126"/>
      <c r="AT987" s="126"/>
      <c r="AU987" s="126"/>
      <c r="AV987" s="126"/>
      <c r="AW987" s="126"/>
      <c r="AX987" s="126"/>
      <c r="AY987" s="126"/>
      <c r="AZ987" s="126"/>
      <c r="BA987" s="126"/>
      <c r="BB987" s="126"/>
      <c r="BC987" s="126"/>
      <c r="BD987" s="126"/>
    </row>
    <row r="988">
      <c r="A988" s="126"/>
      <c r="B988" s="126"/>
      <c r="C988" s="126"/>
      <c r="D988" s="126"/>
      <c r="E988" s="126"/>
      <c r="F988" s="13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c r="AD988" s="126"/>
      <c r="AE988" s="126"/>
      <c r="AF988" s="126"/>
      <c r="AG988" s="126"/>
      <c r="AH988" s="126"/>
      <c r="AI988" s="126"/>
      <c r="AJ988" s="126"/>
      <c r="AK988" s="126"/>
      <c r="AL988" s="126"/>
      <c r="AM988" s="126"/>
      <c r="AN988" s="126"/>
      <c r="AO988" s="126"/>
      <c r="AP988" s="126"/>
      <c r="AQ988" s="126"/>
      <c r="AR988" s="126"/>
      <c r="AS988" s="126"/>
      <c r="AT988" s="126"/>
      <c r="AU988" s="126"/>
      <c r="AV988" s="126"/>
      <c r="AW988" s="126"/>
      <c r="AX988" s="126"/>
      <c r="AY988" s="126"/>
      <c r="AZ988" s="126"/>
      <c r="BA988" s="126"/>
      <c r="BB988" s="126"/>
      <c r="BC988" s="126"/>
      <c r="BD988" s="126"/>
    </row>
  </sheetData>
  <mergeCells count="38">
    <mergeCell ref="AX2:AY2"/>
    <mergeCell ref="AZ2:BB2"/>
    <mergeCell ref="BC2:BD2"/>
    <mergeCell ref="AF2:AH2"/>
    <mergeCell ref="AI2:AJ2"/>
    <mergeCell ref="AK2:AM2"/>
    <mergeCell ref="AN2:AO2"/>
    <mergeCell ref="AP2:AR2"/>
    <mergeCell ref="AS2:AT2"/>
    <mergeCell ref="AU2:AW2"/>
    <mergeCell ref="D1:E2"/>
    <mergeCell ref="K2:L2"/>
    <mergeCell ref="M2:O2"/>
    <mergeCell ref="Q2:S2"/>
    <mergeCell ref="V2:X2"/>
    <mergeCell ref="AA2:AC2"/>
    <mergeCell ref="AD2:AE2"/>
    <mergeCell ref="AK8:AN8"/>
    <mergeCell ref="AP8:AS8"/>
    <mergeCell ref="AU8:AX8"/>
    <mergeCell ref="AZ8:BC8"/>
    <mergeCell ref="E8:E9"/>
    <mergeCell ref="F8:F9"/>
    <mergeCell ref="L8:O8"/>
    <mergeCell ref="Q8:T8"/>
    <mergeCell ref="V8:Y8"/>
    <mergeCell ref="AA8:AD8"/>
    <mergeCell ref="AF8:AI8"/>
    <mergeCell ref="D8:D9"/>
    <mergeCell ref="B16:E16"/>
    <mergeCell ref="B17:E17"/>
    <mergeCell ref="A5:B5"/>
    <mergeCell ref="I5:K5"/>
    <mergeCell ref="A6:B6"/>
    <mergeCell ref="I6:K6"/>
    <mergeCell ref="B8:B9"/>
    <mergeCell ref="C8:C9"/>
    <mergeCell ref="G8:J8"/>
  </mergeCells>
  <hyperlinks>
    <hyperlink display="TC_01" location="null!A1" ref="C10"/>
    <hyperlink display="TC_02" location="'FPL SA'!A1" ref="C11"/>
    <hyperlink display="TC_03" location="'Ultra Fast'!A1" ref="C12"/>
    <hyperlink display="TC_04" location="'Hyper Fast'!A1" ref="C13"/>
    <hyperlink display="TC_05" location="'Chi tiết các dịch vụ SA'!A1" ref="C14"/>
    <hyperlink display="TC_06" location="'Trang tổng hợp dịch vụ'!A1" ref="C15"/>
  </hyperlink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27.63"/>
    <col customWidth="1" min="5" max="5" width="40.38"/>
    <col customWidth="1" min="6" max="6" width="53.38"/>
    <col customWidth="1" min="7" max="7" width="8.38"/>
    <col customWidth="1" min="8" max="9" width="10.0"/>
    <col customWidth="1" min="10" max="10" width="10.75"/>
    <col customWidth="1" min="11" max="11" width="13.5"/>
    <col customWidth="1" min="12" max="12" width="14.88"/>
    <col customWidth="1" min="13" max="90" width="8.38"/>
  </cols>
  <sheetData>
    <row r="1" outlineLevel="1">
      <c r="A1" s="172"/>
      <c r="B1" s="173"/>
      <c r="C1" s="174"/>
      <c r="D1" s="175"/>
      <c r="E1" s="176"/>
      <c r="F1" s="177"/>
      <c r="G1" s="173"/>
      <c r="H1" s="173"/>
      <c r="I1" s="173"/>
      <c r="J1" s="178"/>
      <c r="K1" s="178"/>
      <c r="L1" s="179"/>
      <c r="M1" s="173"/>
      <c r="N1" s="178"/>
      <c r="O1" s="178"/>
      <c r="P1" s="179"/>
      <c r="Q1" s="173"/>
      <c r="R1" s="178"/>
      <c r="S1" s="178"/>
      <c r="T1" s="179"/>
      <c r="U1" s="173"/>
      <c r="V1" s="178"/>
      <c r="W1" s="178"/>
      <c r="X1" s="179"/>
      <c r="Y1" s="179"/>
      <c r="Z1" s="179"/>
      <c r="AA1" s="179"/>
      <c r="AB1" s="179"/>
      <c r="AC1" s="179"/>
      <c r="AD1" s="179"/>
      <c r="AE1" s="179"/>
      <c r="AF1" s="179"/>
      <c r="AG1" s="179"/>
      <c r="AH1" s="179"/>
      <c r="AI1" s="179"/>
      <c r="AJ1" s="179"/>
      <c r="AK1" s="179"/>
      <c r="AL1" s="179"/>
      <c r="AM1" s="179"/>
      <c r="AN1" s="179"/>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row>
    <row r="2" outlineLevel="1">
      <c r="A2" s="180"/>
      <c r="B2" s="181"/>
      <c r="C2" s="182"/>
      <c r="D2" s="182"/>
      <c r="E2" s="182"/>
      <c r="F2" s="183"/>
      <c r="G2" s="173"/>
      <c r="H2" s="173"/>
      <c r="I2" s="173"/>
      <c r="J2" s="178"/>
      <c r="K2" s="178"/>
      <c r="L2" s="179"/>
      <c r="M2" s="173"/>
      <c r="N2" s="178"/>
      <c r="O2" s="178"/>
      <c r="P2" s="179"/>
      <c r="Q2" s="173"/>
      <c r="R2" s="178"/>
      <c r="S2" s="178"/>
      <c r="T2" s="179"/>
      <c r="U2" s="173"/>
      <c r="V2" s="178"/>
      <c r="W2" s="178"/>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79"/>
      <c r="BY2" s="179"/>
      <c r="BZ2" s="179"/>
      <c r="CA2" s="179"/>
      <c r="CB2" s="179"/>
      <c r="CC2" s="179"/>
      <c r="CD2" s="179"/>
      <c r="CE2" s="179"/>
      <c r="CF2" s="179"/>
      <c r="CG2" s="179"/>
      <c r="CH2" s="179"/>
      <c r="CI2" s="179"/>
      <c r="CJ2" s="179"/>
      <c r="CK2" s="179"/>
      <c r="CL2" s="179"/>
    </row>
    <row r="3" outlineLevel="1">
      <c r="A3" s="184" t="s">
        <v>114</v>
      </c>
      <c r="B3" s="118"/>
      <c r="C3" s="185" t="s">
        <v>106</v>
      </c>
      <c r="D3" s="118"/>
      <c r="E3" s="186"/>
      <c r="F3" s="187"/>
      <c r="G3" s="173"/>
      <c r="H3" s="173"/>
      <c r="I3" s="173"/>
      <c r="J3" s="178"/>
      <c r="K3" s="178"/>
      <c r="L3" s="179"/>
      <c r="M3" s="173"/>
      <c r="N3" s="178"/>
      <c r="O3" s="178"/>
      <c r="P3" s="186"/>
      <c r="Q3" s="173"/>
      <c r="R3" s="178"/>
      <c r="S3" s="178"/>
      <c r="T3" s="186"/>
      <c r="U3" s="173"/>
      <c r="V3" s="178"/>
      <c r="W3" s="178"/>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c r="BS3" s="186"/>
      <c r="BT3" s="186"/>
      <c r="BU3" s="186"/>
      <c r="BV3" s="186"/>
      <c r="BW3" s="186"/>
      <c r="BX3" s="186"/>
      <c r="BY3" s="186"/>
      <c r="BZ3" s="186"/>
      <c r="CA3" s="186"/>
      <c r="CB3" s="186"/>
      <c r="CC3" s="186"/>
      <c r="CD3" s="186"/>
      <c r="CE3" s="186"/>
      <c r="CF3" s="186"/>
      <c r="CG3" s="186"/>
      <c r="CH3" s="186"/>
      <c r="CI3" s="186"/>
      <c r="CJ3" s="186"/>
      <c r="CK3" s="186"/>
      <c r="CL3" s="186"/>
    </row>
    <row r="4" outlineLevel="1">
      <c r="A4" s="184" t="s">
        <v>115</v>
      </c>
      <c r="B4" s="118"/>
      <c r="C4" s="188" t="s">
        <v>22</v>
      </c>
      <c r="D4" s="118"/>
      <c r="E4" s="186"/>
      <c r="F4" s="187"/>
      <c r="G4" s="173"/>
      <c r="H4" s="173"/>
      <c r="I4" s="173"/>
      <c r="J4" s="178"/>
      <c r="K4" s="178"/>
      <c r="L4" s="179"/>
      <c r="M4" s="173"/>
      <c r="N4" s="178"/>
      <c r="O4" s="178"/>
      <c r="P4" s="186"/>
      <c r="Q4" s="173"/>
      <c r="R4" s="178"/>
      <c r="S4" s="178"/>
      <c r="T4" s="186"/>
      <c r="U4" s="173"/>
      <c r="V4" s="178"/>
      <c r="W4" s="178"/>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6"/>
      <c r="BL4" s="186"/>
      <c r="BM4" s="186"/>
      <c r="BN4" s="186"/>
      <c r="BO4" s="186"/>
      <c r="BP4" s="186"/>
      <c r="BQ4" s="186"/>
      <c r="BR4" s="186"/>
      <c r="BS4" s="186"/>
      <c r="BT4" s="186"/>
      <c r="BU4" s="186"/>
      <c r="BV4" s="186"/>
      <c r="BW4" s="186"/>
      <c r="BX4" s="186"/>
      <c r="BY4" s="186"/>
      <c r="BZ4" s="186"/>
      <c r="CA4" s="186"/>
      <c r="CB4" s="186"/>
      <c r="CC4" s="186"/>
      <c r="CD4" s="186"/>
      <c r="CE4" s="186"/>
      <c r="CF4" s="186"/>
      <c r="CG4" s="186"/>
      <c r="CH4" s="186"/>
      <c r="CI4" s="186"/>
      <c r="CJ4" s="186"/>
      <c r="CK4" s="186"/>
      <c r="CL4" s="186"/>
    </row>
    <row r="5" outlineLevel="1">
      <c r="A5" s="189"/>
      <c r="B5" s="189"/>
      <c r="C5" s="190"/>
      <c r="D5" s="190"/>
      <c r="E5" s="191"/>
      <c r="F5" s="192"/>
      <c r="G5" s="173"/>
      <c r="H5" s="173"/>
      <c r="I5" s="173"/>
      <c r="J5" s="178"/>
      <c r="K5" s="178"/>
      <c r="L5" s="179"/>
      <c r="M5" s="173"/>
      <c r="N5" s="178"/>
      <c r="O5" s="178"/>
      <c r="P5" s="179"/>
      <c r="Q5" s="173"/>
      <c r="R5" s="178"/>
      <c r="S5" s="178"/>
      <c r="T5" s="179"/>
      <c r="U5" s="173"/>
      <c r="V5" s="178"/>
      <c r="W5" s="178"/>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c r="BK5" s="179"/>
      <c r="BL5" s="179"/>
      <c r="BM5" s="179"/>
      <c r="BN5" s="179"/>
      <c r="BO5" s="179"/>
      <c r="BP5" s="179"/>
      <c r="BQ5" s="179"/>
      <c r="BR5" s="179"/>
      <c r="BS5" s="179"/>
      <c r="BT5" s="179"/>
      <c r="BU5" s="179"/>
      <c r="BV5" s="179"/>
      <c r="BW5" s="179"/>
      <c r="BX5" s="179"/>
      <c r="BY5" s="179"/>
      <c r="BZ5" s="179"/>
      <c r="CA5" s="179"/>
      <c r="CB5" s="179"/>
      <c r="CC5" s="179"/>
      <c r="CD5" s="179"/>
      <c r="CE5" s="179"/>
      <c r="CF5" s="179"/>
      <c r="CG5" s="179"/>
      <c r="CH5" s="179"/>
      <c r="CI5" s="179"/>
      <c r="CJ5" s="179"/>
      <c r="CK5" s="179"/>
      <c r="CL5" s="179"/>
    </row>
    <row r="6" outlineLevel="1">
      <c r="A6" s="193"/>
      <c r="B6" s="193"/>
      <c r="C6" s="194"/>
      <c r="D6" s="194"/>
      <c r="E6" s="195"/>
      <c r="F6" s="192"/>
      <c r="G6" s="173"/>
      <c r="H6" s="173"/>
      <c r="I6" s="173"/>
      <c r="J6" s="178"/>
      <c r="K6" s="178"/>
      <c r="L6" s="179"/>
      <c r="M6" s="173"/>
      <c r="N6" s="178"/>
      <c r="O6" s="178"/>
      <c r="P6" s="179"/>
      <c r="Q6" s="173"/>
      <c r="R6" s="178"/>
      <c r="S6" s="178"/>
      <c r="T6" s="179"/>
      <c r="U6" s="173"/>
      <c r="V6" s="178"/>
      <c r="W6" s="178"/>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79"/>
      <c r="BY6" s="179"/>
      <c r="BZ6" s="179"/>
      <c r="CA6" s="179"/>
      <c r="CB6" s="179"/>
      <c r="CC6" s="179"/>
      <c r="CD6" s="179"/>
      <c r="CE6" s="179"/>
      <c r="CF6" s="179"/>
      <c r="CG6" s="179"/>
      <c r="CH6" s="179"/>
      <c r="CI6" s="179"/>
      <c r="CJ6" s="179"/>
      <c r="CK6" s="179"/>
      <c r="CL6" s="179"/>
    </row>
    <row r="7">
      <c r="A7" s="196" t="s">
        <v>116</v>
      </c>
      <c r="B7" s="196" t="s">
        <v>117</v>
      </c>
      <c r="C7" s="142" t="s">
        <v>118</v>
      </c>
      <c r="D7" s="142" t="s">
        <v>119</v>
      </c>
      <c r="E7" s="142" t="s">
        <v>120</v>
      </c>
      <c r="F7" s="197" t="s">
        <v>121</v>
      </c>
      <c r="G7" s="198" t="str">
        <f>Summary!G8</f>
        <v>Round 1 (09/04/2026 - 15/04/2026)</v>
      </c>
      <c r="H7" s="199"/>
      <c r="I7" s="199"/>
      <c r="J7" s="199"/>
      <c r="K7" s="199"/>
      <c r="L7" s="200"/>
      <c r="M7" s="198" t="str">
        <f>Summary!L8</f>
        <v>Round 2 (dd/mm/yyyy - dd/mm/yyyy)</v>
      </c>
      <c r="N7" s="199"/>
      <c r="O7" s="199"/>
      <c r="P7" s="200"/>
      <c r="Q7" s="201" t="str">
        <f>Summary!Q8</f>
        <v>Round 3(dd/mm/yyyy - dd/mm/yyyy)</v>
      </c>
      <c r="R7" s="144"/>
      <c r="S7" s="144"/>
      <c r="T7" s="167"/>
      <c r="U7" s="201" t="str">
        <f>Summary!V8</f>
        <v>Round 4 (dd/mm/yyyy - dd/mm/yyyy)</v>
      </c>
      <c r="V7" s="144"/>
      <c r="W7" s="144"/>
      <c r="X7" s="167"/>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row>
    <row r="8">
      <c r="A8" s="56"/>
      <c r="B8" s="56"/>
      <c r="C8" s="56"/>
      <c r="D8" s="56"/>
      <c r="E8" s="56"/>
      <c r="F8" s="56"/>
      <c r="G8" s="201" t="s">
        <v>122</v>
      </c>
      <c r="H8" s="144"/>
      <c r="I8" s="167"/>
      <c r="J8" s="203" t="s">
        <v>123</v>
      </c>
      <c r="K8" s="203" t="s">
        <v>124</v>
      </c>
      <c r="L8" s="204" t="s">
        <v>125</v>
      </c>
      <c r="M8" s="203" t="s">
        <v>122</v>
      </c>
      <c r="N8" s="203" t="s">
        <v>123</v>
      </c>
      <c r="O8" s="203" t="s">
        <v>124</v>
      </c>
      <c r="P8" s="203" t="s">
        <v>125</v>
      </c>
      <c r="Q8" s="203" t="s">
        <v>122</v>
      </c>
      <c r="R8" s="203" t="s">
        <v>123</v>
      </c>
      <c r="S8" s="203" t="s">
        <v>124</v>
      </c>
      <c r="T8" s="203" t="s">
        <v>125</v>
      </c>
      <c r="U8" s="203" t="s">
        <v>122</v>
      </c>
      <c r="V8" s="203" t="s">
        <v>123</v>
      </c>
      <c r="W8" s="203" t="s">
        <v>124</v>
      </c>
      <c r="X8" s="203" t="s">
        <v>125</v>
      </c>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row>
    <row r="9">
      <c r="A9" s="205" t="s">
        <v>126</v>
      </c>
      <c r="B9" s="144"/>
      <c r="C9" s="144"/>
      <c r="D9" s="144"/>
      <c r="E9" s="144"/>
      <c r="F9" s="167"/>
      <c r="G9" s="206" t="s">
        <v>127</v>
      </c>
      <c r="H9" s="206" t="s">
        <v>26</v>
      </c>
      <c r="I9" s="206" t="s">
        <v>128</v>
      </c>
      <c r="J9" s="154"/>
      <c r="K9" s="207"/>
      <c r="L9" s="208"/>
      <c r="M9" s="207"/>
      <c r="N9" s="207"/>
      <c r="O9" s="207"/>
      <c r="P9" s="207"/>
      <c r="Q9" s="207"/>
      <c r="R9" s="207"/>
      <c r="S9" s="207"/>
      <c r="T9" s="207"/>
      <c r="U9" s="209"/>
      <c r="V9" s="207"/>
      <c r="W9" s="207"/>
      <c r="X9" s="20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187"/>
      <c r="BW9" s="187"/>
      <c r="BX9" s="187"/>
      <c r="BY9" s="187"/>
      <c r="BZ9" s="187"/>
      <c r="CA9" s="187"/>
      <c r="CB9" s="187"/>
      <c r="CC9" s="187"/>
      <c r="CD9" s="187"/>
      <c r="CE9" s="187"/>
      <c r="CF9" s="187"/>
      <c r="CG9" s="187"/>
      <c r="CH9" s="187"/>
      <c r="CI9" s="187"/>
      <c r="CJ9" s="187"/>
      <c r="CK9" s="187"/>
      <c r="CL9" s="187"/>
    </row>
    <row r="10">
      <c r="A10" s="210" t="s">
        <v>129</v>
      </c>
      <c r="B10" s="144"/>
      <c r="C10" s="144"/>
      <c r="D10" s="144"/>
      <c r="E10" s="144"/>
      <c r="F10" s="167"/>
      <c r="G10" s="211"/>
      <c r="H10" s="211"/>
      <c r="I10" s="211"/>
      <c r="J10" s="154"/>
      <c r="K10" s="207"/>
      <c r="L10" s="208"/>
      <c r="M10" s="207"/>
      <c r="N10" s="207"/>
      <c r="O10" s="207"/>
      <c r="P10" s="207"/>
      <c r="Q10" s="207"/>
      <c r="R10" s="207"/>
      <c r="S10" s="207"/>
      <c r="T10" s="207"/>
      <c r="U10" s="209"/>
      <c r="V10" s="207"/>
      <c r="W10" s="207"/>
      <c r="X10" s="207"/>
      <c r="Y10" s="187"/>
      <c r="Z10" s="187"/>
      <c r="AA10" s="187"/>
      <c r="AB10" s="187"/>
      <c r="AC10" s="187"/>
      <c r="AD10" s="187"/>
      <c r="AE10" s="187"/>
      <c r="AF10" s="187"/>
      <c r="AG10" s="187"/>
      <c r="AH10" s="187"/>
      <c r="AI10" s="187"/>
      <c r="AJ10" s="187"/>
      <c r="AK10" s="187"/>
      <c r="AL10" s="187"/>
      <c r="AM10" s="187"/>
      <c r="AN10" s="187"/>
      <c r="AO10" s="187"/>
      <c r="AP10" s="187"/>
      <c r="AQ10" s="187"/>
      <c r="AR10" s="187"/>
      <c r="AS10" s="187"/>
      <c r="AT10" s="187"/>
      <c r="AU10" s="187"/>
      <c r="AV10" s="187"/>
      <c r="AW10" s="187"/>
      <c r="AX10" s="187"/>
      <c r="AY10" s="187"/>
      <c r="AZ10" s="187"/>
      <c r="BA10" s="187"/>
      <c r="BB10" s="187"/>
      <c r="BC10" s="187"/>
      <c r="BD10" s="187"/>
      <c r="BE10" s="187"/>
      <c r="BF10" s="187"/>
      <c r="BG10" s="187"/>
      <c r="BH10" s="187"/>
      <c r="BI10" s="187"/>
      <c r="BJ10" s="187"/>
      <c r="BK10" s="187"/>
      <c r="BL10" s="187"/>
      <c r="BM10" s="187"/>
      <c r="BN10" s="187"/>
      <c r="BO10" s="187"/>
      <c r="BP10" s="187"/>
      <c r="BQ10" s="187"/>
      <c r="BR10" s="187"/>
      <c r="BS10" s="187"/>
      <c r="BT10" s="187"/>
      <c r="BU10" s="187"/>
      <c r="BV10" s="187"/>
      <c r="BW10" s="187"/>
      <c r="BX10" s="187"/>
      <c r="BY10" s="187"/>
      <c r="BZ10" s="187"/>
      <c r="CA10" s="187"/>
      <c r="CB10" s="187"/>
      <c r="CC10" s="187"/>
      <c r="CD10" s="187"/>
      <c r="CE10" s="187"/>
      <c r="CF10" s="187"/>
      <c r="CG10" s="187"/>
      <c r="CH10" s="187"/>
      <c r="CI10" s="187"/>
      <c r="CJ10" s="187"/>
      <c r="CK10" s="187"/>
      <c r="CL10" s="187"/>
    </row>
    <row r="11">
      <c r="A11" s="212" t="s">
        <v>130</v>
      </c>
      <c r="B11" s="144"/>
      <c r="C11" s="144"/>
      <c r="D11" s="144"/>
      <c r="E11" s="144"/>
      <c r="F11" s="167"/>
      <c r="G11" s="211"/>
      <c r="H11" s="211"/>
      <c r="I11" s="211"/>
      <c r="J11" s="154"/>
      <c r="K11" s="207"/>
      <c r="L11" s="208"/>
      <c r="M11" s="207"/>
      <c r="N11" s="207"/>
      <c r="O11" s="207"/>
      <c r="P11" s="207"/>
      <c r="Q11" s="207"/>
      <c r="R11" s="207"/>
      <c r="S11" s="207"/>
      <c r="T11" s="207"/>
      <c r="U11" s="209"/>
      <c r="V11" s="207"/>
      <c r="W11" s="207"/>
      <c r="X11" s="20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7"/>
      <c r="CC11" s="187"/>
      <c r="CD11" s="187"/>
      <c r="CE11" s="187"/>
      <c r="CF11" s="187"/>
      <c r="CG11" s="187"/>
      <c r="CH11" s="187"/>
      <c r="CI11" s="187"/>
      <c r="CJ11" s="187"/>
      <c r="CK11" s="187"/>
      <c r="CL11" s="187"/>
    </row>
    <row r="12" outlineLevel="1">
      <c r="A12" s="213" t="str">
        <f t="shared" ref="A12:A14" si="1">IF(E12="","",$C$3&amp;"."&amp;COUNTA($E$12:E12)&amp;"")</f>
        <v>TC_01.1</v>
      </c>
      <c r="B12" s="214" t="s">
        <v>67</v>
      </c>
      <c r="C12" s="215" t="s">
        <v>131</v>
      </c>
      <c r="D12" s="216" t="s">
        <v>132</v>
      </c>
      <c r="E12" s="217" t="s">
        <v>133</v>
      </c>
      <c r="F12" s="218" t="s">
        <v>134</v>
      </c>
      <c r="G12" s="43" t="s">
        <v>56</v>
      </c>
      <c r="H12" s="43" t="s">
        <v>56</v>
      </c>
      <c r="I12" s="43" t="s">
        <v>56</v>
      </c>
      <c r="J12" s="211" t="s">
        <v>135</v>
      </c>
      <c r="K12" s="213"/>
      <c r="L12" s="219"/>
      <c r="M12" s="220"/>
      <c r="N12" s="213"/>
      <c r="O12" s="213"/>
      <c r="P12" s="221"/>
      <c r="Q12" s="220"/>
      <c r="R12" s="213"/>
      <c r="S12" s="213"/>
      <c r="T12" s="221"/>
      <c r="U12" s="43"/>
      <c r="V12" s="213"/>
      <c r="W12" s="213"/>
      <c r="X12" s="221"/>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row>
    <row r="13" outlineLevel="1">
      <c r="A13" s="213" t="str">
        <f t="shared" si="1"/>
        <v>TC_01.2</v>
      </c>
      <c r="B13" s="214" t="s">
        <v>67</v>
      </c>
      <c r="C13" s="223" t="s">
        <v>136</v>
      </c>
      <c r="D13" s="216" t="s">
        <v>137</v>
      </c>
      <c r="E13" s="217" t="s">
        <v>138</v>
      </c>
      <c r="F13" s="224" t="s">
        <v>139</v>
      </c>
      <c r="G13" s="43" t="s">
        <v>56</v>
      </c>
      <c r="H13" s="43" t="s">
        <v>56</v>
      </c>
      <c r="I13" s="43" t="s">
        <v>56</v>
      </c>
      <c r="J13" s="211" t="s">
        <v>135</v>
      </c>
      <c r="K13" s="213"/>
      <c r="L13" s="219"/>
      <c r="M13" s="220"/>
      <c r="N13" s="213"/>
      <c r="O13" s="213"/>
      <c r="P13" s="221"/>
      <c r="Q13" s="220"/>
      <c r="R13" s="213"/>
      <c r="S13" s="213"/>
      <c r="T13" s="221"/>
      <c r="U13" s="43"/>
      <c r="V13" s="213"/>
      <c r="W13" s="213"/>
      <c r="X13" s="221"/>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row>
    <row r="14" outlineLevel="1">
      <c r="A14" s="213" t="str">
        <f t="shared" si="1"/>
        <v>TC_01.3</v>
      </c>
      <c r="B14" s="214" t="s">
        <v>67</v>
      </c>
      <c r="C14" s="225" t="s">
        <v>140</v>
      </c>
      <c r="D14" s="216" t="s">
        <v>132</v>
      </c>
      <c r="E14" s="217" t="s">
        <v>141</v>
      </c>
      <c r="F14" s="224" t="s">
        <v>142</v>
      </c>
      <c r="G14" s="43" t="s">
        <v>56</v>
      </c>
      <c r="H14" s="43" t="s">
        <v>56</v>
      </c>
      <c r="I14" s="43" t="s">
        <v>56</v>
      </c>
      <c r="J14" s="211" t="s">
        <v>135</v>
      </c>
      <c r="K14" s="213"/>
      <c r="L14" s="219"/>
      <c r="M14" s="220"/>
      <c r="N14" s="213"/>
      <c r="O14" s="213"/>
      <c r="P14" s="221"/>
      <c r="Q14" s="220"/>
      <c r="R14" s="213"/>
      <c r="S14" s="213"/>
      <c r="T14" s="221"/>
      <c r="U14" s="43"/>
      <c r="V14" s="213"/>
      <c r="W14" s="213"/>
      <c r="X14" s="221"/>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row>
    <row r="15">
      <c r="A15" s="212" t="s">
        <v>143</v>
      </c>
      <c r="B15" s="144"/>
      <c r="C15" s="144"/>
      <c r="D15" s="144"/>
      <c r="E15" s="144"/>
      <c r="F15" s="167"/>
      <c r="G15" s="43"/>
      <c r="H15" s="43"/>
      <c r="I15" s="43"/>
      <c r="J15" s="213"/>
      <c r="K15" s="213"/>
      <c r="L15" s="219"/>
      <c r="M15" s="220"/>
      <c r="N15" s="213"/>
      <c r="O15" s="213"/>
      <c r="P15" s="221"/>
      <c r="Q15" s="220"/>
      <c r="R15" s="213"/>
      <c r="S15" s="213"/>
      <c r="T15" s="221"/>
      <c r="U15" s="43"/>
      <c r="V15" s="213"/>
      <c r="W15" s="213"/>
      <c r="X15" s="221"/>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row>
    <row r="16" outlineLevel="1">
      <c r="A16" s="213" t="str">
        <f t="shared" ref="A16:A18" si="2">IF(E16="","",$C$3&amp;"."&amp;COUNTA($E$12:E16)&amp;"")</f>
        <v>TC_01.4</v>
      </c>
      <c r="B16" s="214" t="s">
        <v>67</v>
      </c>
      <c r="C16" s="226" t="s">
        <v>144</v>
      </c>
      <c r="D16" s="216" t="s">
        <v>132</v>
      </c>
      <c r="E16" s="217" t="s">
        <v>145</v>
      </c>
      <c r="F16" s="217" t="s">
        <v>146</v>
      </c>
      <c r="G16" s="43" t="s">
        <v>56</v>
      </c>
      <c r="H16" s="43" t="s">
        <v>56</v>
      </c>
      <c r="I16" s="43" t="s">
        <v>56</v>
      </c>
      <c r="J16" s="211" t="s">
        <v>135</v>
      </c>
      <c r="K16" s="213"/>
      <c r="L16" s="46" t="s">
        <v>147</v>
      </c>
      <c r="M16" s="220"/>
      <c r="N16" s="213"/>
      <c r="O16" s="213"/>
      <c r="P16" s="221"/>
      <c r="Q16" s="220"/>
      <c r="R16" s="213"/>
      <c r="S16" s="213"/>
      <c r="T16" s="221"/>
      <c r="U16" s="43"/>
      <c r="V16" s="213"/>
      <c r="W16" s="213"/>
      <c r="X16" s="221"/>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row>
    <row r="17" outlineLevel="1">
      <c r="A17" s="213" t="str">
        <f t="shared" si="2"/>
        <v>TC_01.5</v>
      </c>
      <c r="B17" s="214" t="s">
        <v>67</v>
      </c>
      <c r="C17" s="215" t="s">
        <v>148</v>
      </c>
      <c r="D17" s="216" t="s">
        <v>149</v>
      </c>
      <c r="E17" s="217" t="s">
        <v>150</v>
      </c>
      <c r="F17" s="217" t="s">
        <v>151</v>
      </c>
      <c r="G17" s="43" t="s">
        <v>56</v>
      </c>
      <c r="H17" s="43" t="s">
        <v>56</v>
      </c>
      <c r="I17" s="43" t="s">
        <v>56</v>
      </c>
      <c r="J17" s="211" t="s">
        <v>135</v>
      </c>
      <c r="K17" s="213"/>
      <c r="L17" s="219"/>
      <c r="M17" s="220"/>
      <c r="N17" s="213"/>
      <c r="O17" s="213"/>
      <c r="P17" s="221"/>
      <c r="Q17" s="220"/>
      <c r="R17" s="213"/>
      <c r="S17" s="213"/>
      <c r="T17" s="221"/>
      <c r="U17" s="43"/>
      <c r="V17" s="213"/>
      <c r="W17" s="213"/>
      <c r="X17" s="221"/>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row>
    <row r="18" outlineLevel="1">
      <c r="A18" s="213" t="str">
        <f t="shared" si="2"/>
        <v>TC_01.6</v>
      </c>
      <c r="B18" s="214" t="s">
        <v>67</v>
      </c>
      <c r="C18" s="215" t="s">
        <v>152</v>
      </c>
      <c r="D18" s="216" t="s">
        <v>153</v>
      </c>
      <c r="E18" s="217" t="s">
        <v>154</v>
      </c>
      <c r="F18" s="217" t="s">
        <v>155</v>
      </c>
      <c r="G18" s="43" t="s">
        <v>56</v>
      </c>
      <c r="H18" s="43" t="s">
        <v>56</v>
      </c>
      <c r="I18" s="43" t="s">
        <v>56</v>
      </c>
      <c r="J18" s="211" t="s">
        <v>135</v>
      </c>
      <c r="K18" s="213"/>
      <c r="L18" s="219"/>
      <c r="M18" s="220"/>
      <c r="N18" s="213"/>
      <c r="O18" s="213"/>
      <c r="P18" s="221"/>
      <c r="Q18" s="220"/>
      <c r="R18" s="213"/>
      <c r="S18" s="213"/>
      <c r="T18" s="221"/>
      <c r="U18" s="43"/>
      <c r="V18" s="213"/>
      <c r="W18" s="213"/>
      <c r="X18" s="221"/>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row>
    <row r="19">
      <c r="A19" s="212" t="s">
        <v>156</v>
      </c>
      <c r="B19" s="144"/>
      <c r="C19" s="144"/>
      <c r="D19" s="144"/>
      <c r="E19" s="144"/>
      <c r="F19" s="167"/>
      <c r="G19" s="43"/>
      <c r="H19" s="43"/>
      <c r="I19" s="43"/>
      <c r="J19" s="213"/>
      <c r="K19" s="213"/>
      <c r="L19" s="219"/>
      <c r="M19" s="220"/>
      <c r="N19" s="213"/>
      <c r="O19" s="213"/>
      <c r="P19" s="221"/>
      <c r="Q19" s="220"/>
      <c r="R19" s="213"/>
      <c r="S19" s="213"/>
      <c r="T19" s="221"/>
      <c r="U19" s="43"/>
      <c r="V19" s="213"/>
      <c r="W19" s="213"/>
      <c r="X19" s="221"/>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row>
    <row r="20" outlineLevel="1">
      <c r="A20" s="213" t="str">
        <f t="shared" ref="A20:A24" si="3">IF(E20="","",$C$3&amp;"."&amp;COUNTA($E$9:E20)&amp;"")</f>
        <v>TC_01.7</v>
      </c>
      <c r="B20" s="211" t="s">
        <v>67</v>
      </c>
      <c r="C20" s="227" t="s">
        <v>157</v>
      </c>
      <c r="D20" s="227" t="s">
        <v>158</v>
      </c>
      <c r="E20" s="217" t="s">
        <v>159</v>
      </c>
      <c r="F20" s="227" t="s">
        <v>160</v>
      </c>
      <c r="G20" s="43" t="s">
        <v>56</v>
      </c>
      <c r="H20" s="43" t="s">
        <v>56</v>
      </c>
      <c r="I20" s="43" t="s">
        <v>56</v>
      </c>
      <c r="J20" s="211" t="s">
        <v>135</v>
      </c>
      <c r="K20" s="213"/>
      <c r="L20" s="219"/>
      <c r="M20" s="220"/>
      <c r="N20" s="213"/>
      <c r="O20" s="213"/>
      <c r="P20" s="221"/>
      <c r="Q20" s="220"/>
      <c r="R20" s="213"/>
      <c r="S20" s="213"/>
      <c r="T20" s="221"/>
      <c r="U20" s="43"/>
      <c r="V20" s="213"/>
      <c r="W20" s="213"/>
      <c r="X20" s="221"/>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row>
    <row r="21" outlineLevel="1">
      <c r="A21" s="213" t="str">
        <f t="shared" si="3"/>
        <v>TC_01.8</v>
      </c>
      <c r="B21" s="211" t="s">
        <v>67</v>
      </c>
      <c r="C21" s="227" t="s">
        <v>161</v>
      </c>
      <c r="D21" s="227" t="s">
        <v>158</v>
      </c>
      <c r="E21" s="217" t="s">
        <v>162</v>
      </c>
      <c r="F21" s="227" t="s">
        <v>163</v>
      </c>
      <c r="G21" s="43" t="s">
        <v>56</v>
      </c>
      <c r="H21" s="43" t="s">
        <v>56</v>
      </c>
      <c r="I21" s="43" t="s">
        <v>56</v>
      </c>
      <c r="J21" s="211" t="s">
        <v>135</v>
      </c>
      <c r="K21" s="213"/>
      <c r="L21" s="219"/>
      <c r="M21" s="220"/>
      <c r="N21" s="213"/>
      <c r="O21" s="213"/>
      <c r="P21" s="221"/>
      <c r="Q21" s="220"/>
      <c r="R21" s="213"/>
      <c r="S21" s="213"/>
      <c r="T21" s="221"/>
      <c r="U21" s="43"/>
      <c r="V21" s="213"/>
      <c r="W21" s="213"/>
      <c r="X21" s="221"/>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row>
    <row r="22" outlineLevel="1">
      <c r="A22" s="213" t="str">
        <f t="shared" si="3"/>
        <v>TC_01.9</v>
      </c>
      <c r="B22" s="211" t="s">
        <v>67</v>
      </c>
      <c r="C22" s="227" t="s">
        <v>164</v>
      </c>
      <c r="D22" s="227" t="s">
        <v>158</v>
      </c>
      <c r="E22" s="217" t="s">
        <v>165</v>
      </c>
      <c r="F22" s="227" t="s">
        <v>166</v>
      </c>
      <c r="G22" s="43" t="s">
        <v>56</v>
      </c>
      <c r="H22" s="43" t="s">
        <v>56</v>
      </c>
      <c r="I22" s="43" t="s">
        <v>56</v>
      </c>
      <c r="J22" s="211" t="s">
        <v>135</v>
      </c>
      <c r="K22" s="213"/>
      <c r="L22" s="219"/>
      <c r="M22" s="220"/>
      <c r="N22" s="213"/>
      <c r="O22" s="213"/>
      <c r="P22" s="221"/>
      <c r="Q22" s="220"/>
      <c r="R22" s="213"/>
      <c r="S22" s="213"/>
      <c r="T22" s="221"/>
      <c r="U22" s="43"/>
      <c r="V22" s="213"/>
      <c r="W22" s="213"/>
      <c r="X22" s="221"/>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row>
    <row r="23" outlineLevel="1">
      <c r="A23" s="213" t="str">
        <f t="shared" si="3"/>
        <v>TC_01.10</v>
      </c>
      <c r="B23" s="211" t="s">
        <v>67</v>
      </c>
      <c r="C23" s="227" t="s">
        <v>167</v>
      </c>
      <c r="D23" s="227" t="s">
        <v>158</v>
      </c>
      <c r="E23" s="217" t="s">
        <v>168</v>
      </c>
      <c r="F23" s="227" t="s">
        <v>169</v>
      </c>
      <c r="G23" s="43" t="s">
        <v>56</v>
      </c>
      <c r="H23" s="43" t="s">
        <v>56</v>
      </c>
      <c r="I23" s="43" t="s">
        <v>56</v>
      </c>
      <c r="J23" s="211" t="s">
        <v>135</v>
      </c>
      <c r="K23" s="211"/>
      <c r="L23" s="211" t="s">
        <v>170</v>
      </c>
      <c r="M23" s="220"/>
      <c r="N23" s="213"/>
      <c r="O23" s="213"/>
      <c r="P23" s="221"/>
      <c r="Q23" s="220"/>
      <c r="R23" s="213"/>
      <c r="S23" s="213"/>
      <c r="T23" s="221"/>
      <c r="U23" s="43"/>
      <c r="V23" s="213"/>
      <c r="W23" s="213"/>
      <c r="X23" s="221"/>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row>
    <row r="24" outlineLevel="1">
      <c r="A24" s="213" t="str">
        <f t="shared" si="3"/>
        <v>TC_01.11</v>
      </c>
      <c r="B24" s="211" t="s">
        <v>67</v>
      </c>
      <c r="C24" s="227" t="s">
        <v>171</v>
      </c>
      <c r="D24" s="227" t="s">
        <v>158</v>
      </c>
      <c r="E24" s="217" t="s">
        <v>172</v>
      </c>
      <c r="F24" s="227" t="s">
        <v>173</v>
      </c>
      <c r="G24" s="43" t="s">
        <v>56</v>
      </c>
      <c r="H24" s="43" t="s">
        <v>56</v>
      </c>
      <c r="I24" s="43" t="s">
        <v>56</v>
      </c>
      <c r="J24" s="211" t="s">
        <v>135</v>
      </c>
      <c r="K24" s="213"/>
      <c r="L24" s="219"/>
      <c r="M24" s="220"/>
      <c r="N24" s="213"/>
      <c r="O24" s="213"/>
      <c r="P24" s="221"/>
      <c r="Q24" s="220"/>
      <c r="R24" s="213"/>
      <c r="S24" s="213"/>
      <c r="T24" s="221"/>
      <c r="U24" s="43"/>
      <c r="V24" s="213"/>
      <c r="W24" s="213"/>
      <c r="X24" s="221"/>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row>
    <row r="25">
      <c r="A25" s="212" t="s">
        <v>174</v>
      </c>
      <c r="B25" s="144"/>
      <c r="C25" s="144"/>
      <c r="D25" s="144"/>
      <c r="E25" s="144"/>
      <c r="F25" s="167"/>
      <c r="G25" s="228"/>
      <c r="H25" s="228"/>
      <c r="I25" s="228"/>
      <c r="J25" s="228"/>
      <c r="K25" s="207"/>
      <c r="L25" s="208"/>
      <c r="M25" s="207"/>
      <c r="N25" s="207"/>
      <c r="O25" s="207"/>
      <c r="P25" s="207"/>
      <c r="Q25" s="207"/>
      <c r="R25" s="207"/>
      <c r="S25" s="207"/>
      <c r="T25" s="207"/>
      <c r="U25" s="209"/>
      <c r="V25" s="207"/>
      <c r="W25" s="207"/>
      <c r="X25" s="207"/>
      <c r="Y25" s="187"/>
      <c r="Z25" s="187"/>
      <c r="AA25" s="187"/>
      <c r="AB25" s="187"/>
      <c r="AC25" s="187"/>
      <c r="AD25" s="187"/>
      <c r="AE25" s="187"/>
      <c r="AF25" s="187"/>
      <c r="AG25" s="187"/>
      <c r="AH25" s="187"/>
      <c r="AI25" s="187"/>
      <c r="AJ25" s="187"/>
      <c r="AK25" s="187"/>
      <c r="AL25" s="187"/>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7"/>
      <c r="BZ25" s="187"/>
      <c r="CA25" s="187"/>
      <c r="CB25" s="187"/>
      <c r="CC25" s="187"/>
      <c r="CD25" s="187"/>
      <c r="CE25" s="187"/>
      <c r="CF25" s="187"/>
      <c r="CG25" s="187"/>
      <c r="CH25" s="187"/>
      <c r="CI25" s="187"/>
      <c r="CJ25" s="187"/>
      <c r="CK25" s="187"/>
      <c r="CL25" s="187"/>
    </row>
    <row r="26" collapsed="1">
      <c r="A26" s="219"/>
      <c r="B26" s="229" t="s">
        <v>175</v>
      </c>
      <c r="C26" s="144"/>
      <c r="D26" s="144"/>
      <c r="E26" s="144"/>
      <c r="F26" s="167"/>
      <c r="G26" s="230"/>
      <c r="H26" s="230"/>
      <c r="I26" s="230"/>
      <c r="J26" s="211"/>
      <c r="K26" s="46"/>
      <c r="L26" s="46"/>
      <c r="M26" s="219"/>
      <c r="N26" s="219"/>
      <c r="O26" s="219"/>
      <c r="P26" s="219"/>
      <c r="Q26" s="219"/>
      <c r="R26" s="219"/>
      <c r="S26" s="219"/>
      <c r="T26" s="219"/>
      <c r="U26" s="231"/>
      <c r="V26" s="219"/>
      <c r="W26" s="219"/>
      <c r="X26" s="219"/>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G26" s="232"/>
      <c r="BH26" s="232"/>
      <c r="BI26" s="232"/>
      <c r="BJ26" s="232"/>
      <c r="BK26" s="232"/>
      <c r="BL26" s="232"/>
      <c r="BM26" s="232"/>
      <c r="BN26" s="232"/>
      <c r="BO26" s="232"/>
      <c r="BP26" s="232"/>
      <c r="BQ26" s="232"/>
      <c r="BR26" s="232"/>
      <c r="BS26" s="232"/>
      <c r="BT26" s="232"/>
      <c r="BU26" s="232"/>
      <c r="BV26" s="232"/>
      <c r="BW26" s="232"/>
      <c r="BX26" s="232"/>
      <c r="BY26" s="232"/>
      <c r="BZ26" s="232"/>
      <c r="CA26" s="232"/>
      <c r="CB26" s="232"/>
      <c r="CC26" s="232"/>
      <c r="CD26" s="232"/>
      <c r="CE26" s="232"/>
      <c r="CF26" s="232"/>
      <c r="CG26" s="232"/>
      <c r="CH26" s="232"/>
      <c r="CI26" s="232"/>
      <c r="CJ26" s="232"/>
      <c r="CK26" s="232"/>
      <c r="CL26" s="232"/>
    </row>
    <row r="27" hidden="1" outlineLevel="1">
      <c r="A27" s="213"/>
      <c r="B27" s="233" t="s">
        <v>67</v>
      </c>
      <c r="C27" s="234" t="s">
        <v>176</v>
      </c>
      <c r="D27" s="216" t="s">
        <v>177</v>
      </c>
      <c r="E27" s="235" t="s">
        <v>178</v>
      </c>
      <c r="F27" s="236" t="s">
        <v>179</v>
      </c>
      <c r="G27" s="237" t="s">
        <v>180</v>
      </c>
      <c r="H27" s="237" t="s">
        <v>180</v>
      </c>
      <c r="I27" s="237" t="s">
        <v>180</v>
      </c>
      <c r="J27" s="211"/>
      <c r="K27" s="217" t="s">
        <v>181</v>
      </c>
      <c r="L27" s="46"/>
      <c r="M27" s="221"/>
      <c r="N27" s="221"/>
      <c r="O27" s="221"/>
      <c r="P27" s="221"/>
      <c r="Q27" s="221"/>
      <c r="R27" s="221"/>
      <c r="S27" s="221"/>
      <c r="T27" s="221"/>
      <c r="U27" s="238"/>
      <c r="V27" s="221"/>
      <c r="W27" s="221"/>
      <c r="X27" s="221"/>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row>
    <row r="28" hidden="1" outlineLevel="1">
      <c r="A28" s="213"/>
      <c r="B28" s="213" t="s">
        <v>67</v>
      </c>
      <c r="C28" s="239" t="s">
        <v>182</v>
      </c>
      <c r="D28" s="216" t="s">
        <v>177</v>
      </c>
      <c r="E28" s="217" t="s">
        <v>183</v>
      </c>
      <c r="F28" s="236" t="s">
        <v>184</v>
      </c>
      <c r="G28" s="237" t="s">
        <v>180</v>
      </c>
      <c r="H28" s="237" t="s">
        <v>180</v>
      </c>
      <c r="I28" s="237" t="s">
        <v>180</v>
      </c>
      <c r="J28" s="211"/>
      <c r="K28" s="217" t="s">
        <v>181</v>
      </c>
      <c r="L28" s="240"/>
      <c r="M28" s="221"/>
      <c r="N28" s="221"/>
      <c r="O28" s="221"/>
      <c r="P28" s="221"/>
      <c r="Q28" s="221"/>
      <c r="R28" s="221"/>
      <c r="S28" s="221"/>
      <c r="T28" s="221"/>
      <c r="U28" s="238"/>
      <c r="V28" s="221"/>
      <c r="W28" s="221"/>
      <c r="X28" s="221"/>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row>
    <row r="29" hidden="1" outlineLevel="1">
      <c r="A29" s="213"/>
      <c r="B29" s="213" t="s">
        <v>67</v>
      </c>
      <c r="C29" s="234" t="s">
        <v>185</v>
      </c>
      <c r="D29" s="216" t="s">
        <v>177</v>
      </c>
      <c r="E29" s="217" t="s">
        <v>186</v>
      </c>
      <c r="F29" s="236" t="s">
        <v>187</v>
      </c>
      <c r="G29" s="237" t="s">
        <v>180</v>
      </c>
      <c r="H29" s="237" t="s">
        <v>180</v>
      </c>
      <c r="I29" s="237" t="s">
        <v>180</v>
      </c>
      <c r="J29" s="211"/>
      <c r="K29" s="217" t="s">
        <v>181</v>
      </c>
      <c r="L29" s="240"/>
      <c r="M29" s="221"/>
      <c r="N29" s="221"/>
      <c r="O29" s="221"/>
      <c r="P29" s="221"/>
      <c r="Q29" s="221"/>
      <c r="R29" s="221"/>
      <c r="S29" s="221"/>
      <c r="T29" s="221"/>
      <c r="U29" s="238"/>
      <c r="V29" s="221"/>
      <c r="W29" s="221"/>
      <c r="X29" s="221"/>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row>
    <row r="30" hidden="1" outlineLevel="1">
      <c r="A30" s="213"/>
      <c r="B30" s="213" t="s">
        <v>67</v>
      </c>
      <c r="C30" s="241" t="s">
        <v>188</v>
      </c>
      <c r="D30" s="216" t="s">
        <v>177</v>
      </c>
      <c r="E30" s="217" t="s">
        <v>189</v>
      </c>
      <c r="F30" s="238" t="s">
        <v>190</v>
      </c>
      <c r="G30" s="237" t="s">
        <v>180</v>
      </c>
      <c r="H30" s="237" t="s">
        <v>180</v>
      </c>
      <c r="I30" s="237" t="s">
        <v>180</v>
      </c>
      <c r="J30" s="211"/>
      <c r="K30" s="217" t="s">
        <v>181</v>
      </c>
      <c r="L30" s="240"/>
      <c r="M30" s="221"/>
      <c r="N30" s="221"/>
      <c r="O30" s="221"/>
      <c r="P30" s="221"/>
      <c r="Q30" s="221"/>
      <c r="R30" s="221"/>
      <c r="S30" s="221"/>
      <c r="T30" s="221"/>
      <c r="U30" s="238"/>
      <c r="V30" s="221"/>
      <c r="W30" s="221"/>
      <c r="X30" s="221"/>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row>
    <row r="31" hidden="1" outlineLevel="1">
      <c r="A31" s="213"/>
      <c r="B31" s="233" t="s">
        <v>67</v>
      </c>
      <c r="C31" s="239" t="s">
        <v>191</v>
      </c>
      <c r="D31" s="216" t="s">
        <v>177</v>
      </c>
      <c r="E31" s="217" t="s">
        <v>192</v>
      </c>
      <c r="F31" s="238" t="s">
        <v>190</v>
      </c>
      <c r="G31" s="237" t="s">
        <v>180</v>
      </c>
      <c r="H31" s="237" t="s">
        <v>180</v>
      </c>
      <c r="I31" s="237" t="s">
        <v>180</v>
      </c>
      <c r="J31" s="211"/>
      <c r="K31" s="217" t="s">
        <v>181</v>
      </c>
      <c r="L31" s="219"/>
      <c r="M31" s="221"/>
      <c r="N31" s="221"/>
      <c r="O31" s="221"/>
      <c r="P31" s="221"/>
      <c r="Q31" s="221"/>
      <c r="R31" s="221"/>
      <c r="S31" s="221"/>
      <c r="T31" s="221"/>
      <c r="U31" s="238"/>
      <c r="V31" s="221"/>
      <c r="W31" s="221"/>
      <c r="X31" s="221"/>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row>
    <row r="32" hidden="1" outlineLevel="1">
      <c r="A32" s="213"/>
      <c r="B32" s="213" t="s">
        <v>67</v>
      </c>
      <c r="C32" s="242" t="s">
        <v>193</v>
      </c>
      <c r="D32" s="216" t="s">
        <v>177</v>
      </c>
      <c r="E32" s="217" t="s">
        <v>194</v>
      </c>
      <c r="F32" s="236" t="s">
        <v>195</v>
      </c>
      <c r="G32" s="237" t="s">
        <v>180</v>
      </c>
      <c r="H32" s="237" t="s">
        <v>180</v>
      </c>
      <c r="I32" s="237" t="s">
        <v>180</v>
      </c>
      <c r="J32" s="211"/>
      <c r="K32" s="217" t="s">
        <v>181</v>
      </c>
      <c r="L32" s="243"/>
      <c r="M32" s="220"/>
      <c r="N32" s="244"/>
      <c r="O32" s="244"/>
      <c r="P32" s="245"/>
      <c r="Q32" s="220"/>
      <c r="R32" s="244"/>
      <c r="S32" s="244"/>
      <c r="T32" s="245"/>
      <c r="U32" s="43"/>
      <c r="V32" s="244"/>
      <c r="W32" s="244"/>
      <c r="X32" s="245"/>
      <c r="Y32" s="246"/>
      <c r="Z32" s="246"/>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c r="BJ32" s="246"/>
      <c r="BK32" s="246"/>
      <c r="BL32" s="246"/>
      <c r="BM32" s="246"/>
      <c r="BN32" s="246"/>
      <c r="BO32" s="246"/>
      <c r="BP32" s="246"/>
      <c r="BQ32" s="246"/>
      <c r="BR32" s="246"/>
      <c r="BS32" s="246"/>
      <c r="BT32" s="246"/>
      <c r="BU32" s="246"/>
      <c r="BV32" s="246"/>
      <c r="BW32" s="246"/>
      <c r="BX32" s="246"/>
      <c r="BY32" s="246"/>
      <c r="BZ32" s="246"/>
      <c r="CA32" s="246"/>
      <c r="CB32" s="246"/>
      <c r="CC32" s="246"/>
      <c r="CD32" s="246"/>
      <c r="CE32" s="246"/>
      <c r="CF32" s="246"/>
      <c r="CG32" s="246"/>
      <c r="CH32" s="246"/>
      <c r="CI32" s="246"/>
      <c r="CJ32" s="246"/>
      <c r="CK32" s="246"/>
      <c r="CL32" s="246"/>
    </row>
    <row r="33" hidden="1" outlineLevel="1">
      <c r="A33" s="213"/>
      <c r="B33" s="213" t="s">
        <v>67</v>
      </c>
      <c r="C33" s="234" t="s">
        <v>196</v>
      </c>
      <c r="D33" s="216" t="s">
        <v>177</v>
      </c>
      <c r="E33" s="217" t="s">
        <v>197</v>
      </c>
      <c r="F33" s="236" t="s">
        <v>198</v>
      </c>
      <c r="G33" s="237" t="s">
        <v>180</v>
      </c>
      <c r="H33" s="237" t="s">
        <v>180</v>
      </c>
      <c r="I33" s="237" t="s">
        <v>180</v>
      </c>
      <c r="J33" s="211"/>
      <c r="K33" s="217" t="s">
        <v>181</v>
      </c>
      <c r="L33" s="227"/>
      <c r="M33" s="43"/>
      <c r="N33" s="247"/>
      <c r="O33" s="248"/>
      <c r="P33" s="249"/>
      <c r="Q33" s="250"/>
      <c r="R33" s="247"/>
      <c r="S33" s="248"/>
      <c r="T33" s="249"/>
      <c r="U33" s="250"/>
      <c r="V33" s="247"/>
      <c r="W33" s="248"/>
      <c r="X33" s="249"/>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1"/>
      <c r="BK33" s="251"/>
      <c r="BL33" s="251"/>
      <c r="BM33" s="251"/>
      <c r="BN33" s="251"/>
      <c r="BO33" s="251"/>
      <c r="BP33" s="251"/>
      <c r="BQ33" s="251"/>
      <c r="BR33" s="251"/>
      <c r="BS33" s="251"/>
      <c r="BT33" s="251"/>
      <c r="BU33" s="251"/>
      <c r="BV33" s="251"/>
      <c r="BW33" s="251"/>
      <c r="BX33" s="251"/>
      <c r="BY33" s="251"/>
      <c r="BZ33" s="251"/>
      <c r="CA33" s="251"/>
      <c r="CB33" s="251"/>
      <c r="CC33" s="251"/>
      <c r="CD33" s="251"/>
      <c r="CE33" s="251"/>
      <c r="CF33" s="251"/>
      <c r="CG33" s="251"/>
      <c r="CH33" s="251"/>
      <c r="CI33" s="251"/>
      <c r="CJ33" s="251"/>
      <c r="CK33" s="251"/>
      <c r="CL33" s="251"/>
    </row>
    <row r="34" hidden="1" outlineLevel="1">
      <c r="A34" s="213"/>
      <c r="B34" s="213" t="s">
        <v>67</v>
      </c>
      <c r="C34" s="239" t="s">
        <v>199</v>
      </c>
      <c r="D34" s="216" t="s">
        <v>177</v>
      </c>
      <c r="E34" s="217" t="s">
        <v>200</v>
      </c>
      <c r="F34" s="236" t="s">
        <v>201</v>
      </c>
      <c r="G34" s="237" t="s">
        <v>180</v>
      </c>
      <c r="H34" s="237" t="s">
        <v>180</v>
      </c>
      <c r="I34" s="237" t="s">
        <v>180</v>
      </c>
      <c r="J34" s="211"/>
      <c r="K34" s="217" t="s">
        <v>181</v>
      </c>
      <c r="L34" s="252"/>
      <c r="M34" s="43"/>
      <c r="N34" s="247"/>
      <c r="O34" s="248"/>
      <c r="P34" s="249"/>
      <c r="Q34" s="250"/>
      <c r="R34" s="247"/>
      <c r="S34" s="248"/>
      <c r="T34" s="249"/>
      <c r="U34" s="250"/>
      <c r="V34" s="247"/>
      <c r="W34" s="248"/>
      <c r="X34" s="249"/>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1"/>
      <c r="BK34" s="251"/>
      <c r="BL34" s="251"/>
      <c r="BM34" s="251"/>
      <c r="BN34" s="251"/>
      <c r="BO34" s="251"/>
      <c r="BP34" s="251"/>
      <c r="BQ34" s="251"/>
      <c r="BR34" s="251"/>
      <c r="BS34" s="251"/>
      <c r="BT34" s="251"/>
      <c r="BU34" s="251"/>
      <c r="BV34" s="251"/>
      <c r="BW34" s="251"/>
      <c r="BX34" s="251"/>
      <c r="BY34" s="251"/>
      <c r="BZ34" s="251"/>
      <c r="CA34" s="251"/>
      <c r="CB34" s="251"/>
      <c r="CC34" s="251"/>
      <c r="CD34" s="251"/>
      <c r="CE34" s="251"/>
      <c r="CF34" s="251"/>
      <c r="CG34" s="251"/>
      <c r="CH34" s="251"/>
      <c r="CI34" s="251"/>
      <c r="CJ34" s="251"/>
      <c r="CK34" s="251"/>
      <c r="CL34" s="251"/>
    </row>
    <row r="35">
      <c r="A35" s="219"/>
      <c r="B35" s="229" t="s">
        <v>202</v>
      </c>
      <c r="C35" s="144"/>
      <c r="D35" s="144"/>
      <c r="E35" s="144"/>
      <c r="F35" s="167"/>
      <c r="G35" s="211"/>
      <c r="H35" s="211"/>
      <c r="I35" s="211"/>
      <c r="J35" s="211"/>
      <c r="K35" s="219"/>
      <c r="L35" s="243"/>
      <c r="M35" s="253"/>
      <c r="N35" s="227"/>
      <c r="O35" s="227"/>
      <c r="P35" s="243"/>
      <c r="Q35" s="253"/>
      <c r="R35" s="227"/>
      <c r="S35" s="227"/>
      <c r="T35" s="243"/>
      <c r="U35" s="253"/>
      <c r="V35" s="227"/>
      <c r="W35" s="227"/>
      <c r="X35" s="227"/>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row>
    <row r="36" outlineLevel="1">
      <c r="A36" s="213" t="str">
        <f>IF(E36="","",$C$3&amp;"."&amp;COUNTA($E$9:E36)&amp;"")</f>
        <v>TC_01.20</v>
      </c>
      <c r="B36" s="213" t="s">
        <v>67</v>
      </c>
      <c r="C36" s="239" t="s">
        <v>203</v>
      </c>
      <c r="D36" s="216" t="s">
        <v>204</v>
      </c>
      <c r="E36" s="217" t="s">
        <v>205</v>
      </c>
      <c r="F36" s="236" t="s">
        <v>184</v>
      </c>
      <c r="G36" s="211" t="s">
        <v>56</v>
      </c>
      <c r="H36" s="211" t="s">
        <v>56</v>
      </c>
      <c r="I36" s="211" t="s">
        <v>56</v>
      </c>
      <c r="J36" s="211" t="s">
        <v>135</v>
      </c>
      <c r="K36" s="221"/>
      <c r="L36" s="243"/>
      <c r="M36" s="43"/>
      <c r="N36" s="247"/>
      <c r="O36" s="247"/>
      <c r="P36" s="245"/>
      <c r="Q36" s="43"/>
      <c r="R36" s="247"/>
      <c r="S36" s="247"/>
      <c r="T36" s="245"/>
      <c r="U36" s="43"/>
      <c r="V36" s="247"/>
      <c r="W36" s="247"/>
      <c r="X36" s="255"/>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6"/>
      <c r="BD36" s="256"/>
      <c r="BE36" s="256"/>
      <c r="BF36" s="256"/>
      <c r="BG36" s="256"/>
      <c r="BH36" s="256"/>
      <c r="BI36" s="256"/>
      <c r="BJ36" s="256"/>
      <c r="BK36" s="256"/>
      <c r="BL36" s="256"/>
      <c r="BM36" s="256"/>
      <c r="BN36" s="256"/>
      <c r="BO36" s="256"/>
      <c r="BP36" s="256"/>
      <c r="BQ36" s="256"/>
      <c r="BR36" s="256"/>
      <c r="BS36" s="256"/>
      <c r="BT36" s="256"/>
      <c r="BU36" s="256"/>
      <c r="BV36" s="256"/>
      <c r="BW36" s="256"/>
      <c r="BX36" s="256"/>
      <c r="BY36" s="256"/>
      <c r="BZ36" s="256"/>
      <c r="CA36" s="256"/>
      <c r="CB36" s="256"/>
      <c r="CC36" s="256"/>
      <c r="CD36" s="256"/>
      <c r="CE36" s="256"/>
      <c r="CF36" s="256"/>
      <c r="CG36" s="256"/>
      <c r="CH36" s="256"/>
      <c r="CI36" s="256"/>
      <c r="CJ36" s="256"/>
      <c r="CK36" s="256"/>
      <c r="CL36" s="256"/>
    </row>
    <row r="37" outlineLevel="1">
      <c r="A37" s="213" t="str">
        <f t="shared" ref="A37:A41" si="4">IF(E37="","",$C$3&amp;"."&amp;COUNTA($E$12:E37)&amp;"")</f>
        <v>TC_01.21</v>
      </c>
      <c r="B37" s="213" t="s">
        <v>67</v>
      </c>
      <c r="C37" s="234" t="s">
        <v>206</v>
      </c>
      <c r="D37" s="216" t="s">
        <v>204</v>
      </c>
      <c r="E37" s="217" t="s">
        <v>207</v>
      </c>
      <c r="F37" s="236" t="s">
        <v>208</v>
      </c>
      <c r="G37" s="211" t="s">
        <v>56</v>
      </c>
      <c r="H37" s="211" t="s">
        <v>56</v>
      </c>
      <c r="I37" s="211" t="s">
        <v>56</v>
      </c>
      <c r="J37" s="211" t="s">
        <v>135</v>
      </c>
      <c r="K37" s="221"/>
      <c r="L37" s="243"/>
      <c r="M37" s="43"/>
      <c r="N37" s="247"/>
      <c r="O37" s="244"/>
      <c r="P37" s="245"/>
      <c r="Q37" s="43"/>
      <c r="R37" s="247"/>
      <c r="S37" s="244"/>
      <c r="T37" s="245"/>
      <c r="U37" s="43"/>
      <c r="V37" s="247"/>
      <c r="W37" s="244"/>
      <c r="X37" s="245"/>
      <c r="Y37" s="246"/>
      <c r="Z37" s="246"/>
      <c r="AA37" s="246"/>
      <c r="AB37" s="246"/>
      <c r="AC37" s="246"/>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6"/>
      <c r="BB37" s="246"/>
      <c r="BC37" s="246"/>
      <c r="BD37" s="246"/>
      <c r="BE37" s="246"/>
      <c r="BF37" s="246"/>
      <c r="BG37" s="246"/>
      <c r="BH37" s="246"/>
      <c r="BI37" s="246"/>
      <c r="BJ37" s="246"/>
      <c r="BK37" s="246"/>
      <c r="BL37" s="246"/>
      <c r="BM37" s="246"/>
      <c r="BN37" s="246"/>
      <c r="BO37" s="246"/>
      <c r="BP37" s="246"/>
      <c r="BQ37" s="246"/>
      <c r="BR37" s="246"/>
      <c r="BS37" s="246"/>
      <c r="BT37" s="246"/>
      <c r="BU37" s="246"/>
      <c r="BV37" s="246"/>
      <c r="BW37" s="246"/>
      <c r="BX37" s="246"/>
      <c r="BY37" s="246"/>
      <c r="BZ37" s="246"/>
      <c r="CA37" s="246"/>
      <c r="CB37" s="246"/>
      <c r="CC37" s="246"/>
      <c r="CD37" s="246"/>
      <c r="CE37" s="246"/>
      <c r="CF37" s="246"/>
      <c r="CG37" s="246"/>
      <c r="CH37" s="246"/>
      <c r="CI37" s="246"/>
      <c r="CJ37" s="246"/>
      <c r="CK37" s="246"/>
      <c r="CL37" s="246"/>
    </row>
    <row r="38" outlineLevel="1">
      <c r="A38" s="213" t="str">
        <f t="shared" si="4"/>
        <v>TC_01.22</v>
      </c>
      <c r="B38" s="213" t="s">
        <v>67</v>
      </c>
      <c r="C38" s="239" t="s">
        <v>209</v>
      </c>
      <c r="D38" s="216" t="s">
        <v>204</v>
      </c>
      <c r="E38" s="217" t="s">
        <v>210</v>
      </c>
      <c r="F38" s="238" t="s">
        <v>211</v>
      </c>
      <c r="G38" s="211" t="s">
        <v>56</v>
      </c>
      <c r="H38" s="211" t="s">
        <v>56</v>
      </c>
      <c r="I38" s="211" t="s">
        <v>56</v>
      </c>
      <c r="J38" s="211" t="s">
        <v>135</v>
      </c>
      <c r="K38" s="221"/>
      <c r="L38" s="240"/>
      <c r="M38" s="43"/>
      <c r="N38" s="247"/>
      <c r="O38" s="257"/>
      <c r="P38" s="245"/>
      <c r="Q38" s="43"/>
      <c r="R38" s="247"/>
      <c r="S38" s="257"/>
      <c r="T38" s="245"/>
      <c r="U38" s="43"/>
      <c r="V38" s="247"/>
      <c r="W38" s="257"/>
      <c r="X38" s="255"/>
      <c r="Y38" s="256"/>
      <c r="Z38" s="256"/>
      <c r="AA38" s="256"/>
      <c r="AB38" s="256"/>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6"/>
      <c r="BD38" s="256"/>
      <c r="BE38" s="256"/>
      <c r="BF38" s="256"/>
      <c r="BG38" s="256"/>
      <c r="BH38" s="256"/>
      <c r="BI38" s="256"/>
      <c r="BJ38" s="256"/>
      <c r="BK38" s="256"/>
      <c r="BL38" s="256"/>
      <c r="BM38" s="256"/>
      <c r="BN38" s="256"/>
      <c r="BO38" s="256"/>
      <c r="BP38" s="256"/>
      <c r="BQ38" s="256"/>
      <c r="BR38" s="256"/>
      <c r="BS38" s="256"/>
      <c r="BT38" s="256"/>
      <c r="BU38" s="256"/>
      <c r="BV38" s="256"/>
      <c r="BW38" s="256"/>
      <c r="BX38" s="256"/>
      <c r="BY38" s="256"/>
      <c r="BZ38" s="256"/>
      <c r="CA38" s="256"/>
      <c r="CB38" s="256"/>
      <c r="CC38" s="256"/>
      <c r="CD38" s="256"/>
      <c r="CE38" s="256"/>
      <c r="CF38" s="256"/>
      <c r="CG38" s="256"/>
      <c r="CH38" s="256"/>
      <c r="CI38" s="256"/>
      <c r="CJ38" s="256"/>
      <c r="CK38" s="256"/>
      <c r="CL38" s="256"/>
    </row>
    <row r="39" outlineLevel="1">
      <c r="A39" s="213" t="str">
        <f t="shared" si="4"/>
        <v>TC_01.23</v>
      </c>
      <c r="B39" s="213" t="s">
        <v>67</v>
      </c>
      <c r="C39" s="239" t="s">
        <v>212</v>
      </c>
      <c r="D39" s="216" t="s">
        <v>204</v>
      </c>
      <c r="E39" s="217" t="s">
        <v>213</v>
      </c>
      <c r="F39" s="217" t="s">
        <v>214</v>
      </c>
      <c r="G39" s="211" t="s">
        <v>56</v>
      </c>
      <c r="H39" s="211" t="s">
        <v>56</v>
      </c>
      <c r="I39" s="211" t="s">
        <v>56</v>
      </c>
      <c r="J39" s="211" t="s">
        <v>135</v>
      </c>
      <c r="K39" s="221"/>
      <c r="L39" s="258" t="s">
        <v>215</v>
      </c>
      <c r="M39" s="43"/>
      <c r="N39" s="247"/>
      <c r="O39" s="248"/>
      <c r="P39" s="249"/>
      <c r="Q39" s="250"/>
      <c r="R39" s="247"/>
      <c r="S39" s="259"/>
      <c r="T39" s="249"/>
      <c r="U39" s="250"/>
      <c r="V39" s="247"/>
      <c r="W39" s="248"/>
      <c r="X39" s="249"/>
      <c r="Y39" s="251"/>
      <c r="Z39" s="251"/>
      <c r="AA39" s="251"/>
      <c r="AB39" s="251"/>
      <c r="AC39" s="251"/>
      <c r="AD39" s="251"/>
      <c r="AE39" s="251"/>
      <c r="AF39" s="251"/>
      <c r="AG39" s="251"/>
      <c r="AH39" s="251"/>
      <c r="AI39" s="251"/>
      <c r="AJ39" s="251"/>
      <c r="AK39" s="251"/>
      <c r="AL39" s="251"/>
      <c r="AM39" s="251"/>
      <c r="AN39" s="251"/>
      <c r="AO39" s="251"/>
      <c r="AP39" s="251"/>
      <c r="AQ39" s="251"/>
      <c r="AR39" s="251"/>
      <c r="AS39" s="251"/>
      <c r="AT39" s="251"/>
      <c r="AU39" s="251"/>
      <c r="AV39" s="251"/>
      <c r="AW39" s="251"/>
      <c r="AX39" s="251"/>
      <c r="AY39" s="251"/>
      <c r="AZ39" s="251"/>
      <c r="BA39" s="251"/>
      <c r="BB39" s="251"/>
      <c r="BC39" s="251"/>
      <c r="BD39" s="251"/>
      <c r="BE39" s="251"/>
      <c r="BF39" s="251"/>
      <c r="BG39" s="251"/>
      <c r="BH39" s="251"/>
      <c r="BI39" s="251"/>
      <c r="BJ39" s="251"/>
      <c r="BK39" s="251"/>
      <c r="BL39" s="251"/>
      <c r="BM39" s="251"/>
      <c r="BN39" s="251"/>
      <c r="BO39" s="251"/>
      <c r="BP39" s="251"/>
      <c r="BQ39" s="251"/>
      <c r="BR39" s="251"/>
      <c r="BS39" s="251"/>
      <c r="BT39" s="251"/>
      <c r="BU39" s="251"/>
      <c r="BV39" s="251"/>
      <c r="BW39" s="251"/>
      <c r="BX39" s="251"/>
      <c r="BY39" s="251"/>
      <c r="BZ39" s="251"/>
      <c r="CA39" s="251"/>
      <c r="CB39" s="251"/>
      <c r="CC39" s="251"/>
      <c r="CD39" s="251"/>
      <c r="CE39" s="251"/>
      <c r="CF39" s="251"/>
      <c r="CG39" s="251"/>
      <c r="CH39" s="251"/>
      <c r="CI39" s="251"/>
      <c r="CJ39" s="251"/>
      <c r="CK39" s="251"/>
      <c r="CL39" s="251"/>
    </row>
    <row r="40" outlineLevel="1">
      <c r="A40" s="213" t="str">
        <f t="shared" si="4"/>
        <v>TC_01.24</v>
      </c>
      <c r="B40" s="213" t="s">
        <v>67</v>
      </c>
      <c r="C40" s="239" t="s">
        <v>216</v>
      </c>
      <c r="D40" s="216" t="s">
        <v>204</v>
      </c>
      <c r="E40" s="217" t="s">
        <v>217</v>
      </c>
      <c r="F40" s="238" t="s">
        <v>214</v>
      </c>
      <c r="G40" s="211" t="s">
        <v>56</v>
      </c>
      <c r="H40" s="211" t="s">
        <v>56</v>
      </c>
      <c r="I40" s="211" t="s">
        <v>56</v>
      </c>
      <c r="J40" s="211" t="s">
        <v>135</v>
      </c>
      <c r="K40" s="221"/>
      <c r="L40" s="227"/>
      <c r="M40" s="43"/>
      <c r="N40" s="247"/>
      <c r="O40" s="244"/>
      <c r="P40" s="245"/>
      <c r="Q40" s="43"/>
      <c r="R40" s="247"/>
      <c r="S40" s="244"/>
      <c r="T40" s="245"/>
      <c r="U40" s="43"/>
      <c r="V40" s="247"/>
      <c r="W40" s="244"/>
      <c r="X40" s="245"/>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46"/>
      <c r="CB40" s="246"/>
      <c r="CC40" s="246"/>
      <c r="CD40" s="246"/>
      <c r="CE40" s="246"/>
      <c r="CF40" s="246"/>
      <c r="CG40" s="246"/>
      <c r="CH40" s="246"/>
      <c r="CI40" s="246"/>
      <c r="CJ40" s="246"/>
      <c r="CK40" s="246"/>
      <c r="CL40" s="246"/>
    </row>
    <row r="41" outlineLevel="1">
      <c r="A41" s="213" t="str">
        <f t="shared" si="4"/>
        <v>TC_01.25</v>
      </c>
      <c r="B41" s="213" t="s">
        <v>67</v>
      </c>
      <c r="C41" s="242" t="s">
        <v>218</v>
      </c>
      <c r="D41" s="216" t="s">
        <v>204</v>
      </c>
      <c r="E41" s="217" t="s">
        <v>219</v>
      </c>
      <c r="F41" s="236" t="s">
        <v>220</v>
      </c>
      <c r="G41" s="211" t="s">
        <v>56</v>
      </c>
      <c r="H41" s="211" t="s">
        <v>56</v>
      </c>
      <c r="I41" s="211" t="s">
        <v>56</v>
      </c>
      <c r="J41" s="211" t="s">
        <v>135</v>
      </c>
      <c r="K41" s="221"/>
      <c r="L41" s="227"/>
      <c r="M41" s="43"/>
      <c r="N41" s="247"/>
      <c r="O41" s="244"/>
      <c r="P41" s="245"/>
      <c r="Q41" s="43"/>
      <c r="R41" s="247"/>
      <c r="S41" s="244"/>
      <c r="T41" s="245"/>
      <c r="U41" s="43"/>
      <c r="V41" s="247"/>
      <c r="W41" s="257"/>
      <c r="X41" s="255"/>
      <c r="Y41" s="256"/>
      <c r="Z41" s="256"/>
      <c r="AA41" s="256"/>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6"/>
      <c r="BD41" s="256"/>
      <c r="BE41" s="256"/>
      <c r="BF41" s="256"/>
      <c r="BG41" s="256"/>
      <c r="BH41" s="256"/>
      <c r="BI41" s="256"/>
      <c r="BJ41" s="256"/>
      <c r="BK41" s="256"/>
      <c r="BL41" s="256"/>
      <c r="BM41" s="256"/>
      <c r="BN41" s="256"/>
      <c r="BO41" s="256"/>
      <c r="BP41" s="256"/>
      <c r="BQ41" s="256"/>
      <c r="BR41" s="256"/>
      <c r="BS41" s="256"/>
      <c r="BT41" s="256"/>
      <c r="BU41" s="256"/>
      <c r="BV41" s="256"/>
      <c r="BW41" s="256"/>
      <c r="BX41" s="256"/>
      <c r="BY41" s="256"/>
      <c r="BZ41" s="256"/>
      <c r="CA41" s="256"/>
      <c r="CB41" s="256"/>
      <c r="CC41" s="256"/>
      <c r="CD41" s="256"/>
      <c r="CE41" s="256"/>
      <c r="CF41" s="256"/>
      <c r="CG41" s="256"/>
      <c r="CH41" s="256"/>
      <c r="CI41" s="256"/>
      <c r="CJ41" s="256"/>
      <c r="CK41" s="256"/>
      <c r="CL41" s="256"/>
    </row>
    <row r="42">
      <c r="A42" s="219"/>
      <c r="B42" s="229" t="s">
        <v>221</v>
      </c>
      <c r="C42" s="144"/>
      <c r="D42" s="144"/>
      <c r="E42" s="144"/>
      <c r="F42" s="167"/>
      <c r="G42" s="211"/>
      <c r="H42" s="211"/>
      <c r="I42" s="211"/>
      <c r="J42" s="211"/>
      <c r="K42" s="219"/>
      <c r="L42" s="243"/>
      <c r="M42" s="253"/>
      <c r="N42" s="227"/>
      <c r="O42" s="243"/>
      <c r="P42" s="243"/>
      <c r="Q42" s="253"/>
      <c r="R42" s="227"/>
      <c r="S42" s="243"/>
      <c r="T42" s="243"/>
      <c r="U42" s="253"/>
      <c r="V42" s="227"/>
      <c r="W42" s="243"/>
      <c r="X42" s="243"/>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260"/>
      <c r="BI42" s="260"/>
      <c r="BJ42" s="260"/>
      <c r="BK42" s="260"/>
      <c r="BL42" s="260"/>
      <c r="BM42" s="260"/>
      <c r="BN42" s="260"/>
      <c r="BO42" s="260"/>
      <c r="BP42" s="260"/>
      <c r="BQ42" s="260"/>
      <c r="BR42" s="260"/>
      <c r="BS42" s="260"/>
      <c r="BT42" s="260"/>
      <c r="BU42" s="260"/>
      <c r="BV42" s="260"/>
      <c r="BW42" s="260"/>
      <c r="BX42" s="260"/>
      <c r="BY42" s="260"/>
      <c r="BZ42" s="260"/>
      <c r="CA42" s="260"/>
      <c r="CB42" s="260"/>
      <c r="CC42" s="260"/>
      <c r="CD42" s="260"/>
      <c r="CE42" s="260"/>
      <c r="CF42" s="260"/>
      <c r="CG42" s="260"/>
      <c r="CH42" s="260"/>
      <c r="CI42" s="260"/>
      <c r="CJ42" s="260"/>
      <c r="CK42" s="260"/>
      <c r="CL42" s="260"/>
    </row>
    <row r="43" outlineLevel="1">
      <c r="A43" s="213" t="str">
        <f t="shared" ref="A43:A49" si="5">IF(E43="","",$C$3&amp;"."&amp;COUNTA($E$12:E43)&amp;"")</f>
        <v>TC_01.26</v>
      </c>
      <c r="B43" s="261" t="s">
        <v>69</v>
      </c>
      <c r="C43" s="239" t="s">
        <v>222</v>
      </c>
      <c r="D43" s="216" t="s">
        <v>223</v>
      </c>
      <c r="E43" s="235" t="s">
        <v>224</v>
      </c>
      <c r="F43" s="235" t="s">
        <v>225</v>
      </c>
      <c r="G43" s="237" t="s">
        <v>180</v>
      </c>
      <c r="H43" s="211" t="s">
        <v>56</v>
      </c>
      <c r="I43" s="211" t="s">
        <v>56</v>
      </c>
      <c r="J43" s="211" t="s">
        <v>135</v>
      </c>
      <c r="K43" s="221"/>
      <c r="L43" s="227" t="s">
        <v>226</v>
      </c>
      <c r="M43" s="43"/>
      <c r="N43" s="247"/>
      <c r="O43" s="244"/>
      <c r="P43" s="245"/>
      <c r="Q43" s="43"/>
      <c r="R43" s="247"/>
      <c r="S43" s="244"/>
      <c r="T43" s="245"/>
      <c r="U43" s="43"/>
      <c r="V43" s="247"/>
      <c r="W43" s="244"/>
      <c r="X43" s="245"/>
      <c r="Y43" s="246"/>
      <c r="Z43" s="246"/>
      <c r="AA43" s="246"/>
      <c r="AB43" s="246"/>
      <c r="AC43" s="246"/>
      <c r="AD43" s="246"/>
      <c r="AE43" s="246"/>
      <c r="AF43" s="246"/>
      <c r="AG43" s="246"/>
      <c r="AH43" s="246"/>
      <c r="AI43" s="246"/>
      <c r="AJ43" s="246"/>
      <c r="AK43" s="246"/>
      <c r="AL43" s="246"/>
      <c r="AM43" s="246"/>
      <c r="AN43" s="246"/>
      <c r="AO43" s="246"/>
      <c r="AP43" s="246"/>
      <c r="AQ43" s="246"/>
      <c r="AR43" s="246"/>
      <c r="AS43" s="246"/>
      <c r="AT43" s="246"/>
      <c r="AU43" s="246"/>
      <c r="AV43" s="246"/>
      <c r="AW43" s="246"/>
      <c r="AX43" s="246"/>
      <c r="AY43" s="246"/>
      <c r="AZ43" s="246"/>
      <c r="BA43" s="246"/>
      <c r="BB43" s="246"/>
      <c r="BC43" s="246"/>
      <c r="BD43" s="246"/>
      <c r="BE43" s="246"/>
      <c r="BF43" s="246"/>
      <c r="BG43" s="246"/>
      <c r="BH43" s="246"/>
      <c r="BI43" s="246"/>
      <c r="BJ43" s="246"/>
      <c r="BK43" s="246"/>
      <c r="BL43" s="246"/>
      <c r="BM43" s="246"/>
      <c r="BN43" s="246"/>
      <c r="BO43" s="246"/>
      <c r="BP43" s="246"/>
      <c r="BQ43" s="246"/>
      <c r="BR43" s="246"/>
      <c r="BS43" s="246"/>
      <c r="BT43" s="246"/>
      <c r="BU43" s="246"/>
      <c r="BV43" s="246"/>
      <c r="BW43" s="246"/>
      <c r="BX43" s="246"/>
      <c r="BY43" s="246"/>
      <c r="BZ43" s="246"/>
      <c r="CA43" s="246"/>
      <c r="CB43" s="246"/>
      <c r="CC43" s="246"/>
      <c r="CD43" s="246"/>
      <c r="CE43" s="246"/>
      <c r="CF43" s="246"/>
      <c r="CG43" s="246"/>
      <c r="CH43" s="246"/>
      <c r="CI43" s="246"/>
      <c r="CJ43" s="246"/>
      <c r="CK43" s="246"/>
      <c r="CL43" s="246"/>
    </row>
    <row r="44" outlineLevel="1">
      <c r="A44" s="213" t="str">
        <f t="shared" si="5"/>
        <v>TC_01.27</v>
      </c>
      <c r="B44" s="233" t="s">
        <v>67</v>
      </c>
      <c r="C44" s="239" t="s">
        <v>227</v>
      </c>
      <c r="D44" s="216" t="s">
        <v>223</v>
      </c>
      <c r="E44" s="235" t="s">
        <v>228</v>
      </c>
      <c r="F44" s="236" t="s">
        <v>184</v>
      </c>
      <c r="G44" s="237" t="s">
        <v>180</v>
      </c>
      <c r="H44" s="211" t="s">
        <v>56</v>
      </c>
      <c r="I44" s="211" t="s">
        <v>56</v>
      </c>
      <c r="J44" s="211" t="s">
        <v>135</v>
      </c>
      <c r="K44" s="221"/>
      <c r="L44" s="243"/>
      <c r="M44" s="43"/>
      <c r="N44" s="247"/>
      <c r="O44" s="244"/>
      <c r="P44" s="245"/>
      <c r="Q44" s="43"/>
      <c r="R44" s="247"/>
      <c r="S44" s="244"/>
      <c r="T44" s="245"/>
      <c r="U44" s="43"/>
      <c r="V44" s="247"/>
      <c r="W44" s="244"/>
      <c r="X44" s="245"/>
      <c r="Y44" s="246"/>
      <c r="Z44" s="246"/>
      <c r="AA44" s="246"/>
      <c r="AB44" s="246"/>
      <c r="AC44" s="246"/>
      <c r="AD44" s="246"/>
      <c r="AE44" s="246"/>
      <c r="AF44" s="246"/>
      <c r="AG44" s="246"/>
      <c r="AH44" s="246"/>
      <c r="AI44" s="246"/>
      <c r="AJ44" s="246"/>
      <c r="AK44" s="246"/>
      <c r="AL44" s="246"/>
      <c r="AM44" s="246"/>
      <c r="AN44" s="246"/>
      <c r="AO44" s="246"/>
      <c r="AP44" s="246"/>
      <c r="AQ44" s="246"/>
      <c r="AR44" s="246"/>
      <c r="AS44" s="246"/>
      <c r="AT44" s="246"/>
      <c r="AU44" s="246"/>
      <c r="AV44" s="246"/>
      <c r="AW44" s="246"/>
      <c r="AX44" s="246"/>
      <c r="AY44" s="246"/>
      <c r="AZ44" s="246"/>
      <c r="BA44" s="246"/>
      <c r="BB44" s="246"/>
      <c r="BC44" s="246"/>
      <c r="BD44" s="246"/>
      <c r="BE44" s="246"/>
      <c r="BF44" s="246"/>
      <c r="BG44" s="246"/>
      <c r="BH44" s="246"/>
      <c r="BI44" s="246"/>
      <c r="BJ44" s="246"/>
      <c r="BK44" s="246"/>
      <c r="BL44" s="246"/>
      <c r="BM44" s="246"/>
      <c r="BN44" s="246"/>
      <c r="BO44" s="246"/>
      <c r="BP44" s="246"/>
      <c r="BQ44" s="246"/>
      <c r="BR44" s="246"/>
      <c r="BS44" s="246"/>
      <c r="BT44" s="246"/>
      <c r="BU44" s="246"/>
      <c r="BV44" s="246"/>
      <c r="BW44" s="246"/>
      <c r="BX44" s="246"/>
      <c r="BY44" s="246"/>
      <c r="BZ44" s="246"/>
      <c r="CA44" s="246"/>
      <c r="CB44" s="246"/>
      <c r="CC44" s="246"/>
      <c r="CD44" s="246"/>
      <c r="CE44" s="246"/>
      <c r="CF44" s="246"/>
      <c r="CG44" s="246"/>
      <c r="CH44" s="246"/>
      <c r="CI44" s="246"/>
      <c r="CJ44" s="246"/>
      <c r="CK44" s="246"/>
      <c r="CL44" s="246"/>
    </row>
    <row r="45" outlineLevel="1">
      <c r="A45" s="213" t="str">
        <f t="shared" si="5"/>
        <v>TC_01.28</v>
      </c>
      <c r="B45" s="233" t="s">
        <v>67</v>
      </c>
      <c r="C45" s="234" t="s">
        <v>229</v>
      </c>
      <c r="D45" s="216" t="s">
        <v>223</v>
      </c>
      <c r="E45" s="235" t="s">
        <v>230</v>
      </c>
      <c r="F45" s="236" t="s">
        <v>231</v>
      </c>
      <c r="G45" s="237" t="s">
        <v>180</v>
      </c>
      <c r="H45" s="211" t="s">
        <v>56</v>
      </c>
      <c r="I45" s="211" t="s">
        <v>56</v>
      </c>
      <c r="J45" s="211" t="s">
        <v>135</v>
      </c>
      <c r="K45" s="262"/>
      <c r="L45" s="227"/>
      <c r="M45" s="43"/>
      <c r="N45" s="247"/>
      <c r="O45" s="259"/>
      <c r="P45" s="245"/>
      <c r="Q45" s="43"/>
      <c r="R45" s="247"/>
      <c r="S45" s="259"/>
      <c r="T45" s="245"/>
      <c r="U45" s="43"/>
      <c r="V45" s="247"/>
      <c r="W45" s="244"/>
      <c r="X45" s="245"/>
      <c r="Y45" s="246"/>
      <c r="Z45" s="246"/>
      <c r="AA45" s="246"/>
      <c r="AB45" s="246"/>
      <c r="AC45" s="246"/>
      <c r="AD45" s="246"/>
      <c r="AE45" s="246"/>
      <c r="AF45" s="246"/>
      <c r="AG45" s="246"/>
      <c r="AH45" s="246"/>
      <c r="AI45" s="246"/>
      <c r="AJ45" s="246"/>
      <c r="AK45" s="246"/>
      <c r="AL45" s="246"/>
      <c r="AM45" s="246"/>
      <c r="AN45" s="246"/>
      <c r="AO45" s="246"/>
      <c r="AP45" s="246"/>
      <c r="AQ45" s="246"/>
      <c r="AR45" s="246"/>
      <c r="AS45" s="246"/>
      <c r="AT45" s="246"/>
      <c r="AU45" s="246"/>
      <c r="AV45" s="246"/>
      <c r="AW45" s="246"/>
      <c r="AX45" s="246"/>
      <c r="AY45" s="246"/>
      <c r="AZ45" s="246"/>
      <c r="BA45" s="246"/>
      <c r="BB45" s="246"/>
      <c r="BC45" s="246"/>
      <c r="BD45" s="246"/>
      <c r="BE45" s="246"/>
      <c r="BF45" s="246"/>
      <c r="BG45" s="246"/>
      <c r="BH45" s="246"/>
      <c r="BI45" s="246"/>
      <c r="BJ45" s="246"/>
      <c r="BK45" s="246"/>
      <c r="BL45" s="246"/>
      <c r="BM45" s="246"/>
      <c r="BN45" s="246"/>
      <c r="BO45" s="246"/>
      <c r="BP45" s="246"/>
      <c r="BQ45" s="246"/>
      <c r="BR45" s="246"/>
      <c r="BS45" s="246"/>
      <c r="BT45" s="246"/>
      <c r="BU45" s="246"/>
      <c r="BV45" s="246"/>
      <c r="BW45" s="246"/>
      <c r="BX45" s="246"/>
      <c r="BY45" s="246"/>
      <c r="BZ45" s="246"/>
      <c r="CA45" s="246"/>
      <c r="CB45" s="246"/>
      <c r="CC45" s="246"/>
      <c r="CD45" s="246"/>
      <c r="CE45" s="246"/>
      <c r="CF45" s="246"/>
      <c r="CG45" s="246"/>
      <c r="CH45" s="246"/>
      <c r="CI45" s="246"/>
      <c r="CJ45" s="246"/>
      <c r="CK45" s="246"/>
      <c r="CL45" s="246"/>
    </row>
    <row r="46" outlineLevel="1">
      <c r="A46" s="213" t="str">
        <f t="shared" si="5"/>
        <v>TC_01.29</v>
      </c>
      <c r="B46" s="233" t="s">
        <v>67</v>
      </c>
      <c r="C46" s="242" t="s">
        <v>232</v>
      </c>
      <c r="D46" s="216" t="s">
        <v>223</v>
      </c>
      <c r="E46" s="235" t="s">
        <v>233</v>
      </c>
      <c r="F46" s="217" t="s">
        <v>234</v>
      </c>
      <c r="G46" s="237" t="s">
        <v>180</v>
      </c>
      <c r="H46" s="211" t="s">
        <v>56</v>
      </c>
      <c r="I46" s="211" t="s">
        <v>56</v>
      </c>
      <c r="J46" s="211" t="s">
        <v>135</v>
      </c>
      <c r="K46" s="221"/>
      <c r="L46" s="227"/>
      <c r="M46" s="43"/>
      <c r="N46" s="247"/>
      <c r="O46" s="244"/>
      <c r="P46" s="245"/>
      <c r="Q46" s="43"/>
      <c r="R46" s="247"/>
      <c r="S46" s="244"/>
      <c r="T46" s="245"/>
      <c r="U46" s="43"/>
      <c r="V46" s="247"/>
      <c r="W46" s="244"/>
      <c r="X46" s="245"/>
      <c r="Y46" s="246"/>
      <c r="Z46" s="246"/>
      <c r="AA46" s="246"/>
      <c r="AB46" s="246"/>
      <c r="AC46" s="246"/>
      <c r="AD46" s="246"/>
      <c r="AE46" s="246"/>
      <c r="AF46" s="246"/>
      <c r="AG46" s="246"/>
      <c r="AH46" s="246"/>
      <c r="AI46" s="246"/>
      <c r="AJ46" s="246"/>
      <c r="AK46" s="246"/>
      <c r="AL46" s="246"/>
      <c r="AM46" s="246"/>
      <c r="AN46" s="246"/>
      <c r="AO46" s="246"/>
      <c r="AP46" s="246"/>
      <c r="AQ46" s="246"/>
      <c r="AR46" s="246"/>
      <c r="AS46" s="246"/>
      <c r="AT46" s="246"/>
      <c r="AU46" s="246"/>
      <c r="AV46" s="246"/>
      <c r="AW46" s="246"/>
      <c r="AX46" s="246"/>
      <c r="AY46" s="246"/>
      <c r="AZ46" s="246"/>
      <c r="BA46" s="246"/>
      <c r="BB46" s="246"/>
      <c r="BC46" s="246"/>
      <c r="BD46" s="246"/>
      <c r="BE46" s="246"/>
      <c r="BF46" s="246"/>
      <c r="BG46" s="246"/>
      <c r="BH46" s="246"/>
      <c r="BI46" s="246"/>
      <c r="BJ46" s="246"/>
      <c r="BK46" s="246"/>
      <c r="BL46" s="246"/>
      <c r="BM46" s="246"/>
      <c r="BN46" s="246"/>
      <c r="BO46" s="246"/>
      <c r="BP46" s="246"/>
      <c r="BQ46" s="246"/>
      <c r="BR46" s="246"/>
      <c r="BS46" s="246"/>
      <c r="BT46" s="246"/>
      <c r="BU46" s="246"/>
      <c r="BV46" s="246"/>
      <c r="BW46" s="246"/>
      <c r="BX46" s="246"/>
      <c r="BY46" s="246"/>
      <c r="BZ46" s="246"/>
      <c r="CA46" s="246"/>
      <c r="CB46" s="246"/>
      <c r="CC46" s="246"/>
      <c r="CD46" s="246"/>
      <c r="CE46" s="246"/>
      <c r="CF46" s="246"/>
      <c r="CG46" s="246"/>
      <c r="CH46" s="246"/>
      <c r="CI46" s="246"/>
      <c r="CJ46" s="246"/>
      <c r="CK46" s="246"/>
      <c r="CL46" s="246"/>
    </row>
    <row r="47" outlineLevel="1">
      <c r="A47" s="213" t="str">
        <f t="shared" si="5"/>
        <v>TC_01.30</v>
      </c>
      <c r="B47" s="233" t="s">
        <v>67</v>
      </c>
      <c r="C47" s="242" t="s">
        <v>235</v>
      </c>
      <c r="D47" s="216" t="s">
        <v>223</v>
      </c>
      <c r="E47" s="235" t="s">
        <v>236</v>
      </c>
      <c r="F47" s="236" t="s">
        <v>237</v>
      </c>
      <c r="G47" s="237" t="s">
        <v>180</v>
      </c>
      <c r="H47" s="211" t="s">
        <v>56</v>
      </c>
      <c r="I47" s="211" t="s">
        <v>56</v>
      </c>
      <c r="J47" s="211" t="s">
        <v>135</v>
      </c>
      <c r="K47" s="221"/>
      <c r="L47" s="227"/>
      <c r="M47" s="43"/>
      <c r="N47" s="247"/>
      <c r="O47" s="244"/>
      <c r="P47" s="245"/>
      <c r="Q47" s="43"/>
      <c r="R47" s="247"/>
      <c r="S47" s="244"/>
      <c r="T47" s="245"/>
      <c r="U47" s="43"/>
      <c r="V47" s="247"/>
      <c r="W47" s="244"/>
      <c r="X47" s="245"/>
      <c r="Y47" s="246"/>
      <c r="Z47" s="246"/>
      <c r="AA47" s="246"/>
      <c r="AB47" s="246"/>
      <c r="AC47" s="246"/>
      <c r="AD47" s="246"/>
      <c r="AE47" s="246"/>
      <c r="AF47" s="246"/>
      <c r="AG47" s="246"/>
      <c r="AH47" s="246"/>
      <c r="AI47" s="246"/>
      <c r="AJ47" s="246"/>
      <c r="AK47" s="246"/>
      <c r="AL47" s="246"/>
      <c r="AM47" s="246"/>
      <c r="AN47" s="246"/>
      <c r="AO47" s="246"/>
      <c r="AP47" s="246"/>
      <c r="AQ47" s="246"/>
      <c r="AR47" s="246"/>
      <c r="AS47" s="246"/>
      <c r="AT47" s="246"/>
      <c r="AU47" s="246"/>
      <c r="AV47" s="246"/>
      <c r="AW47" s="246"/>
      <c r="AX47" s="246"/>
      <c r="AY47" s="246"/>
      <c r="AZ47" s="246"/>
      <c r="BA47" s="246"/>
      <c r="BB47" s="246"/>
      <c r="BC47" s="246"/>
      <c r="BD47" s="246"/>
      <c r="BE47" s="246"/>
      <c r="BF47" s="246"/>
      <c r="BG47" s="246"/>
      <c r="BH47" s="246"/>
      <c r="BI47" s="246"/>
      <c r="BJ47" s="246"/>
      <c r="BK47" s="246"/>
      <c r="BL47" s="246"/>
      <c r="BM47" s="246"/>
      <c r="BN47" s="246"/>
      <c r="BO47" s="246"/>
      <c r="BP47" s="246"/>
      <c r="BQ47" s="246"/>
      <c r="BR47" s="246"/>
      <c r="BS47" s="246"/>
      <c r="BT47" s="246"/>
      <c r="BU47" s="246"/>
      <c r="BV47" s="246"/>
      <c r="BW47" s="246"/>
      <c r="BX47" s="246"/>
      <c r="BY47" s="246"/>
      <c r="BZ47" s="246"/>
      <c r="CA47" s="246"/>
      <c r="CB47" s="246"/>
      <c r="CC47" s="246"/>
      <c r="CD47" s="246"/>
      <c r="CE47" s="246"/>
      <c r="CF47" s="246"/>
      <c r="CG47" s="246"/>
      <c r="CH47" s="246"/>
      <c r="CI47" s="246"/>
      <c r="CJ47" s="246"/>
      <c r="CK47" s="246"/>
      <c r="CL47" s="246"/>
    </row>
    <row r="48" outlineLevel="1">
      <c r="A48" s="213" t="str">
        <f t="shared" si="5"/>
        <v>TC_01.31</v>
      </c>
      <c r="B48" s="233" t="s">
        <v>67</v>
      </c>
      <c r="C48" s="239" t="s">
        <v>238</v>
      </c>
      <c r="D48" s="216" t="s">
        <v>223</v>
      </c>
      <c r="E48" s="235" t="s">
        <v>239</v>
      </c>
      <c r="F48" s="236" t="s">
        <v>237</v>
      </c>
      <c r="G48" s="237" t="s">
        <v>180</v>
      </c>
      <c r="H48" s="211" t="s">
        <v>56</v>
      </c>
      <c r="I48" s="211" t="s">
        <v>56</v>
      </c>
      <c r="J48" s="211" t="s">
        <v>135</v>
      </c>
      <c r="K48" s="221"/>
      <c r="L48" s="243"/>
      <c r="M48" s="43"/>
      <c r="N48" s="247"/>
      <c r="O48" s="244"/>
      <c r="P48" s="245"/>
      <c r="Q48" s="43"/>
      <c r="R48" s="247"/>
      <c r="S48" s="244"/>
      <c r="T48" s="245"/>
      <c r="U48" s="43"/>
      <c r="V48" s="247"/>
      <c r="W48" s="244"/>
      <c r="X48" s="245"/>
      <c r="Y48" s="246"/>
      <c r="Z48" s="246"/>
      <c r="AA48" s="246"/>
      <c r="AB48" s="246"/>
      <c r="AC48" s="246"/>
      <c r="AD48" s="246"/>
      <c r="AE48" s="246"/>
      <c r="AF48" s="246"/>
      <c r="AG48" s="246"/>
      <c r="AH48" s="246"/>
      <c r="AI48" s="246"/>
      <c r="AJ48" s="246"/>
      <c r="AK48" s="246"/>
      <c r="AL48" s="246"/>
      <c r="AM48" s="246"/>
      <c r="AN48" s="246"/>
      <c r="AO48" s="246"/>
      <c r="AP48" s="246"/>
      <c r="AQ48" s="246"/>
      <c r="AR48" s="246"/>
      <c r="AS48" s="246"/>
      <c r="AT48" s="246"/>
      <c r="AU48" s="246"/>
      <c r="AV48" s="246"/>
      <c r="AW48" s="246"/>
      <c r="AX48" s="246"/>
      <c r="AY48" s="246"/>
      <c r="AZ48" s="246"/>
      <c r="BA48" s="246"/>
      <c r="BB48" s="246"/>
      <c r="BC48" s="246"/>
      <c r="BD48" s="246"/>
      <c r="BE48" s="246"/>
      <c r="BF48" s="246"/>
      <c r="BG48" s="246"/>
      <c r="BH48" s="246"/>
      <c r="BI48" s="246"/>
      <c r="BJ48" s="246"/>
      <c r="BK48" s="246"/>
      <c r="BL48" s="246"/>
      <c r="BM48" s="246"/>
      <c r="BN48" s="246"/>
      <c r="BO48" s="246"/>
      <c r="BP48" s="246"/>
      <c r="BQ48" s="246"/>
      <c r="BR48" s="246"/>
      <c r="BS48" s="246"/>
      <c r="BT48" s="246"/>
      <c r="BU48" s="246"/>
      <c r="BV48" s="246"/>
      <c r="BW48" s="246"/>
      <c r="BX48" s="246"/>
      <c r="BY48" s="246"/>
      <c r="BZ48" s="246"/>
      <c r="CA48" s="246"/>
      <c r="CB48" s="246"/>
      <c r="CC48" s="246"/>
      <c r="CD48" s="246"/>
      <c r="CE48" s="246"/>
      <c r="CF48" s="246"/>
      <c r="CG48" s="246"/>
      <c r="CH48" s="246"/>
      <c r="CI48" s="246"/>
      <c r="CJ48" s="246"/>
      <c r="CK48" s="246"/>
      <c r="CL48" s="246"/>
    </row>
    <row r="49" outlineLevel="1">
      <c r="A49" s="213" t="str">
        <f t="shared" si="5"/>
        <v>TC_01.32</v>
      </c>
      <c r="B49" s="263" t="s">
        <v>67</v>
      </c>
      <c r="C49" s="242" t="s">
        <v>240</v>
      </c>
      <c r="D49" s="216" t="s">
        <v>223</v>
      </c>
      <c r="E49" s="235" t="s">
        <v>241</v>
      </c>
      <c r="F49" s="236" t="s">
        <v>242</v>
      </c>
      <c r="G49" s="237" t="s">
        <v>180</v>
      </c>
      <c r="H49" s="43" t="s">
        <v>56</v>
      </c>
      <c r="I49" s="43" t="s">
        <v>56</v>
      </c>
      <c r="J49" s="247" t="s">
        <v>135</v>
      </c>
      <c r="K49" s="244"/>
      <c r="L49" s="243"/>
      <c r="M49" s="220"/>
      <c r="N49" s="244"/>
      <c r="O49" s="244"/>
      <c r="P49" s="245"/>
      <c r="Q49" s="220"/>
      <c r="R49" s="244"/>
      <c r="S49" s="244"/>
      <c r="T49" s="245"/>
      <c r="U49" s="43"/>
      <c r="V49" s="244"/>
      <c r="W49" s="244"/>
      <c r="X49" s="245"/>
      <c r="Y49" s="246"/>
      <c r="Z49" s="246"/>
      <c r="AA49" s="246"/>
      <c r="AB49" s="246"/>
      <c r="AC49" s="246"/>
      <c r="AD49" s="246"/>
      <c r="AE49" s="246"/>
      <c r="AF49" s="246"/>
      <c r="AG49" s="246"/>
      <c r="AH49" s="246"/>
      <c r="AI49" s="246"/>
      <c r="AJ49" s="246"/>
      <c r="AK49" s="246"/>
      <c r="AL49" s="246"/>
      <c r="AM49" s="246"/>
      <c r="AN49" s="246"/>
      <c r="AO49" s="246"/>
      <c r="AP49" s="246"/>
      <c r="AQ49" s="246"/>
      <c r="AR49" s="246"/>
      <c r="AS49" s="246"/>
      <c r="AT49" s="246"/>
      <c r="AU49" s="246"/>
      <c r="AV49" s="246"/>
      <c r="AW49" s="246"/>
      <c r="AX49" s="246"/>
      <c r="AY49" s="246"/>
      <c r="AZ49" s="246"/>
      <c r="BA49" s="246"/>
      <c r="BB49" s="246"/>
      <c r="BC49" s="246"/>
      <c r="BD49" s="246"/>
      <c r="BE49" s="246"/>
      <c r="BF49" s="246"/>
      <c r="BG49" s="246"/>
      <c r="BH49" s="246"/>
      <c r="BI49" s="246"/>
      <c r="BJ49" s="246"/>
      <c r="BK49" s="246"/>
      <c r="BL49" s="246"/>
      <c r="BM49" s="246"/>
      <c r="BN49" s="246"/>
      <c r="BO49" s="246"/>
      <c r="BP49" s="246"/>
      <c r="BQ49" s="246"/>
      <c r="BR49" s="246"/>
      <c r="BS49" s="246"/>
      <c r="BT49" s="246"/>
      <c r="BU49" s="246"/>
      <c r="BV49" s="246"/>
      <c r="BW49" s="246"/>
      <c r="BX49" s="246"/>
      <c r="BY49" s="246"/>
      <c r="BZ49" s="246"/>
      <c r="CA49" s="246"/>
      <c r="CB49" s="246"/>
      <c r="CC49" s="246"/>
      <c r="CD49" s="246"/>
      <c r="CE49" s="246"/>
      <c r="CF49" s="246"/>
      <c r="CG49" s="246"/>
      <c r="CH49" s="246"/>
      <c r="CI49" s="246"/>
      <c r="CJ49" s="246"/>
      <c r="CK49" s="246"/>
      <c r="CL49" s="246"/>
    </row>
    <row r="50">
      <c r="A50" s="212" t="s">
        <v>243</v>
      </c>
      <c r="B50" s="144"/>
      <c r="C50" s="144"/>
      <c r="D50" s="144"/>
      <c r="E50" s="144"/>
      <c r="F50" s="167"/>
      <c r="G50" s="228"/>
      <c r="H50" s="228"/>
      <c r="I50" s="228"/>
      <c r="J50" s="228"/>
      <c r="K50" s="264"/>
      <c r="L50" s="208"/>
      <c r="M50" s="264"/>
      <c r="N50" s="264"/>
      <c r="O50" s="208"/>
      <c r="P50" s="208"/>
      <c r="Q50" s="264"/>
      <c r="R50" s="264"/>
      <c r="S50" s="264"/>
      <c r="T50" s="208"/>
      <c r="U50" s="264"/>
      <c r="V50" s="264"/>
      <c r="W50" s="208"/>
      <c r="X50" s="208"/>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5"/>
      <c r="BT50" s="265"/>
      <c r="BU50" s="265"/>
      <c r="BV50" s="265"/>
      <c r="BW50" s="265"/>
      <c r="BX50" s="265"/>
      <c r="BY50" s="265"/>
      <c r="BZ50" s="265"/>
      <c r="CA50" s="265"/>
      <c r="CB50" s="265"/>
      <c r="CC50" s="265"/>
      <c r="CD50" s="265"/>
      <c r="CE50" s="265"/>
      <c r="CF50" s="265"/>
      <c r="CG50" s="265"/>
      <c r="CH50" s="265"/>
      <c r="CI50" s="265"/>
      <c r="CJ50" s="265"/>
      <c r="CK50" s="265"/>
      <c r="CL50" s="265"/>
    </row>
    <row r="51">
      <c r="A51" s="219"/>
      <c r="B51" s="229" t="s">
        <v>244</v>
      </c>
      <c r="C51" s="144"/>
      <c r="D51" s="144"/>
      <c r="E51" s="144"/>
      <c r="F51" s="167"/>
      <c r="G51" s="43"/>
      <c r="H51" s="43"/>
      <c r="I51" s="43"/>
      <c r="J51" s="211"/>
      <c r="K51" s="240"/>
      <c r="L51" s="227"/>
      <c r="M51" s="253"/>
      <c r="N51" s="227"/>
      <c r="O51" s="243"/>
      <c r="P51" s="243"/>
      <c r="Q51" s="253"/>
      <c r="R51" s="227"/>
      <c r="S51" s="227"/>
      <c r="T51" s="243"/>
      <c r="U51" s="253"/>
      <c r="V51" s="227"/>
      <c r="W51" s="243"/>
      <c r="X51" s="243"/>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c r="AU51" s="260"/>
      <c r="AV51" s="260"/>
      <c r="AW51" s="260"/>
      <c r="AX51" s="260"/>
      <c r="AY51" s="260"/>
      <c r="AZ51" s="260"/>
      <c r="BA51" s="260"/>
      <c r="BB51" s="260"/>
      <c r="BC51" s="260"/>
      <c r="BD51" s="260"/>
      <c r="BE51" s="260"/>
      <c r="BF51" s="260"/>
      <c r="BG51" s="260"/>
      <c r="BH51" s="260"/>
      <c r="BI51" s="260"/>
      <c r="BJ51" s="260"/>
      <c r="BK51" s="260"/>
      <c r="BL51" s="260"/>
      <c r="BM51" s="260"/>
      <c r="BN51" s="260"/>
      <c r="BO51" s="260"/>
      <c r="BP51" s="260"/>
      <c r="BQ51" s="260"/>
      <c r="BR51" s="260"/>
      <c r="BS51" s="260"/>
      <c r="BT51" s="260"/>
      <c r="BU51" s="260"/>
      <c r="BV51" s="260"/>
      <c r="BW51" s="260"/>
      <c r="BX51" s="260"/>
      <c r="BY51" s="260"/>
      <c r="BZ51" s="260"/>
      <c r="CA51" s="260"/>
      <c r="CB51" s="260"/>
      <c r="CC51" s="260"/>
      <c r="CD51" s="260"/>
      <c r="CE51" s="260"/>
      <c r="CF51" s="260"/>
      <c r="CG51" s="260"/>
      <c r="CH51" s="260"/>
      <c r="CI51" s="260"/>
      <c r="CJ51" s="260"/>
      <c r="CK51" s="260"/>
      <c r="CL51" s="260"/>
    </row>
    <row r="52" outlineLevel="1">
      <c r="A52" s="213" t="str">
        <f t="shared" ref="A52:A59" si="6">IF(E52="","",$C$3&amp;"."&amp;COUNTA($E$12:E52)&amp;"")</f>
        <v>TC_01.33</v>
      </c>
      <c r="B52" s="214" t="s">
        <v>65</v>
      </c>
      <c r="C52" s="215" t="s">
        <v>245</v>
      </c>
      <c r="D52" s="266" t="s">
        <v>246</v>
      </c>
      <c r="E52" s="217" t="s">
        <v>247</v>
      </c>
      <c r="F52" s="267" t="s">
        <v>248</v>
      </c>
      <c r="G52" s="43" t="s">
        <v>56</v>
      </c>
      <c r="H52" s="43" t="s">
        <v>56</v>
      </c>
      <c r="I52" s="268" t="s">
        <v>180</v>
      </c>
      <c r="J52" s="211" t="s">
        <v>135</v>
      </c>
      <c r="K52" s="257"/>
      <c r="L52" s="227" t="s">
        <v>249</v>
      </c>
      <c r="M52" s="43"/>
      <c r="N52" s="247"/>
      <c r="O52" s="244"/>
      <c r="P52" s="245"/>
      <c r="Q52" s="43"/>
      <c r="R52" s="247"/>
      <c r="S52" s="247"/>
      <c r="T52" s="245"/>
      <c r="U52" s="43"/>
      <c r="V52" s="247"/>
      <c r="W52" s="244"/>
      <c r="X52" s="245"/>
      <c r="Y52" s="246"/>
      <c r="Z52" s="246"/>
      <c r="AA52" s="246"/>
      <c r="AB52" s="246"/>
      <c r="AC52" s="246"/>
      <c r="AD52" s="246"/>
      <c r="AE52" s="246"/>
      <c r="AF52" s="246"/>
      <c r="AG52" s="246"/>
      <c r="AH52" s="246"/>
      <c r="AI52" s="246"/>
      <c r="AJ52" s="246"/>
      <c r="AK52" s="246"/>
      <c r="AL52" s="246"/>
      <c r="AM52" s="246"/>
      <c r="AN52" s="246"/>
      <c r="AO52" s="246"/>
      <c r="AP52" s="246"/>
      <c r="AQ52" s="246"/>
      <c r="AR52" s="246"/>
      <c r="AS52" s="246"/>
      <c r="AT52" s="246"/>
      <c r="AU52" s="246"/>
      <c r="AV52" s="246"/>
      <c r="AW52" s="246"/>
      <c r="AX52" s="246"/>
      <c r="AY52" s="246"/>
      <c r="AZ52" s="246"/>
      <c r="BA52" s="246"/>
      <c r="BB52" s="246"/>
      <c r="BC52" s="246"/>
      <c r="BD52" s="246"/>
      <c r="BE52" s="246"/>
      <c r="BF52" s="246"/>
      <c r="BG52" s="246"/>
      <c r="BH52" s="246"/>
      <c r="BI52" s="246"/>
      <c r="BJ52" s="246"/>
      <c r="BK52" s="246"/>
      <c r="BL52" s="246"/>
      <c r="BM52" s="246"/>
      <c r="BN52" s="246"/>
      <c r="BO52" s="246"/>
      <c r="BP52" s="246"/>
      <c r="BQ52" s="246"/>
      <c r="BR52" s="246"/>
      <c r="BS52" s="246"/>
      <c r="BT52" s="246"/>
      <c r="BU52" s="246"/>
      <c r="BV52" s="246"/>
      <c r="BW52" s="246"/>
      <c r="BX52" s="246"/>
      <c r="BY52" s="246"/>
      <c r="BZ52" s="246"/>
      <c r="CA52" s="246"/>
      <c r="CB52" s="246"/>
      <c r="CC52" s="246"/>
      <c r="CD52" s="246"/>
      <c r="CE52" s="246"/>
      <c r="CF52" s="246"/>
      <c r="CG52" s="246"/>
      <c r="CH52" s="246"/>
      <c r="CI52" s="246"/>
      <c r="CJ52" s="246"/>
      <c r="CK52" s="246"/>
      <c r="CL52" s="246"/>
    </row>
    <row r="53" outlineLevel="1">
      <c r="A53" s="213" t="str">
        <f t="shared" si="6"/>
        <v>TC_01.34</v>
      </c>
      <c r="B53" s="211" t="s">
        <v>69</v>
      </c>
      <c r="C53" s="269" t="s">
        <v>250</v>
      </c>
      <c r="D53" s="266" t="s">
        <v>251</v>
      </c>
      <c r="E53" s="217" t="s">
        <v>252</v>
      </c>
      <c r="F53" s="270" t="s">
        <v>253</v>
      </c>
      <c r="G53" s="43" t="s">
        <v>56</v>
      </c>
      <c r="H53" s="43" t="s">
        <v>56</v>
      </c>
      <c r="I53" s="268" t="s">
        <v>180</v>
      </c>
      <c r="J53" s="211" t="s">
        <v>135</v>
      </c>
      <c r="K53" s="247"/>
      <c r="L53" s="227" t="s">
        <v>249</v>
      </c>
      <c r="M53" s="43"/>
      <c r="N53" s="247"/>
      <c r="O53" s="244"/>
      <c r="P53" s="245"/>
      <c r="Q53" s="43"/>
      <c r="R53" s="247"/>
      <c r="S53" s="247"/>
      <c r="T53" s="245"/>
      <c r="U53" s="43"/>
      <c r="V53" s="247"/>
      <c r="W53" s="244"/>
      <c r="X53" s="245"/>
      <c r="Y53" s="246"/>
      <c r="Z53" s="246"/>
      <c r="AA53" s="246"/>
      <c r="AB53" s="246"/>
      <c r="AC53" s="246"/>
      <c r="AD53" s="246"/>
      <c r="AE53" s="246"/>
      <c r="AF53" s="246"/>
      <c r="AG53" s="246"/>
      <c r="AH53" s="246"/>
      <c r="AI53" s="246"/>
      <c r="AJ53" s="246"/>
      <c r="AK53" s="246"/>
      <c r="AL53" s="246"/>
      <c r="AM53" s="246"/>
      <c r="AN53" s="246"/>
      <c r="AO53" s="246"/>
      <c r="AP53" s="246"/>
      <c r="AQ53" s="246"/>
      <c r="AR53" s="246"/>
      <c r="AS53" s="246"/>
      <c r="AT53" s="246"/>
      <c r="AU53" s="246"/>
      <c r="AV53" s="246"/>
      <c r="AW53" s="246"/>
      <c r="AX53" s="246"/>
      <c r="AY53" s="246"/>
      <c r="AZ53" s="246"/>
      <c r="BA53" s="246"/>
      <c r="BB53" s="246"/>
      <c r="BC53" s="246"/>
      <c r="BD53" s="246"/>
      <c r="BE53" s="246"/>
      <c r="BF53" s="246"/>
      <c r="BG53" s="246"/>
      <c r="BH53" s="246"/>
      <c r="BI53" s="246"/>
      <c r="BJ53" s="246"/>
      <c r="BK53" s="246"/>
      <c r="BL53" s="246"/>
      <c r="BM53" s="246"/>
      <c r="BN53" s="246"/>
      <c r="BO53" s="246"/>
      <c r="BP53" s="246"/>
      <c r="BQ53" s="246"/>
      <c r="BR53" s="246"/>
      <c r="BS53" s="246"/>
      <c r="BT53" s="246"/>
      <c r="BU53" s="246"/>
      <c r="BV53" s="246"/>
      <c r="BW53" s="246"/>
      <c r="BX53" s="246"/>
      <c r="BY53" s="246"/>
      <c r="BZ53" s="246"/>
      <c r="CA53" s="246"/>
      <c r="CB53" s="246"/>
      <c r="CC53" s="246"/>
      <c r="CD53" s="246"/>
      <c r="CE53" s="246"/>
      <c r="CF53" s="246"/>
      <c r="CG53" s="246"/>
      <c r="CH53" s="246"/>
      <c r="CI53" s="246"/>
      <c r="CJ53" s="246"/>
      <c r="CK53" s="246"/>
      <c r="CL53" s="246"/>
    </row>
    <row r="54" outlineLevel="1">
      <c r="A54" s="213" t="str">
        <f t="shared" si="6"/>
        <v>TC_01.35</v>
      </c>
      <c r="B54" s="271" t="s">
        <v>67</v>
      </c>
      <c r="C54" s="272" t="s">
        <v>254</v>
      </c>
      <c r="D54" s="266" t="s">
        <v>246</v>
      </c>
      <c r="E54" s="273" t="s">
        <v>255</v>
      </c>
      <c r="F54" s="274" t="s">
        <v>256</v>
      </c>
      <c r="G54" s="43" t="s">
        <v>56</v>
      </c>
      <c r="H54" s="43" t="s">
        <v>56</v>
      </c>
      <c r="I54" s="268" t="s">
        <v>180</v>
      </c>
      <c r="J54" s="211" t="s">
        <v>135</v>
      </c>
      <c r="K54" s="247"/>
      <c r="L54" s="227" t="s">
        <v>249</v>
      </c>
      <c r="M54" s="43"/>
      <c r="N54" s="247"/>
      <c r="O54" s="244"/>
      <c r="P54" s="245"/>
      <c r="Q54" s="43"/>
      <c r="R54" s="247"/>
      <c r="S54" s="247"/>
      <c r="T54" s="245"/>
      <c r="U54" s="43"/>
      <c r="V54" s="247"/>
      <c r="W54" s="244"/>
      <c r="X54" s="245"/>
      <c r="Y54" s="246"/>
      <c r="Z54" s="246"/>
      <c r="AA54" s="246"/>
      <c r="AB54" s="246"/>
      <c r="AC54" s="246"/>
      <c r="AD54" s="246"/>
      <c r="AE54" s="246"/>
      <c r="AF54" s="246"/>
      <c r="AG54" s="246"/>
      <c r="AH54" s="246"/>
      <c r="AI54" s="246"/>
      <c r="AJ54" s="246"/>
      <c r="AK54" s="246"/>
      <c r="AL54" s="246"/>
      <c r="AM54" s="246"/>
      <c r="AN54" s="246"/>
      <c r="AO54" s="246"/>
      <c r="AP54" s="246"/>
      <c r="AQ54" s="246"/>
      <c r="AR54" s="246"/>
      <c r="AS54" s="246"/>
      <c r="AT54" s="246"/>
      <c r="AU54" s="246"/>
      <c r="AV54" s="246"/>
      <c r="AW54" s="246"/>
      <c r="AX54" s="246"/>
      <c r="AY54" s="246"/>
      <c r="AZ54" s="246"/>
      <c r="BA54" s="246"/>
      <c r="BB54" s="246"/>
      <c r="BC54" s="246"/>
      <c r="BD54" s="246"/>
      <c r="BE54" s="246"/>
      <c r="BF54" s="246"/>
      <c r="BG54" s="246"/>
      <c r="BH54" s="246"/>
      <c r="BI54" s="246"/>
      <c r="BJ54" s="246"/>
      <c r="BK54" s="246"/>
      <c r="BL54" s="246"/>
      <c r="BM54" s="246"/>
      <c r="BN54" s="246"/>
      <c r="BO54" s="246"/>
      <c r="BP54" s="246"/>
      <c r="BQ54" s="246"/>
      <c r="BR54" s="246"/>
      <c r="BS54" s="246"/>
      <c r="BT54" s="246"/>
      <c r="BU54" s="246"/>
      <c r="BV54" s="246"/>
      <c r="BW54" s="246"/>
      <c r="BX54" s="246"/>
      <c r="BY54" s="246"/>
      <c r="BZ54" s="246"/>
      <c r="CA54" s="246"/>
      <c r="CB54" s="246"/>
      <c r="CC54" s="246"/>
      <c r="CD54" s="246"/>
      <c r="CE54" s="246"/>
      <c r="CF54" s="246"/>
      <c r="CG54" s="246"/>
      <c r="CH54" s="246"/>
      <c r="CI54" s="246"/>
      <c r="CJ54" s="246"/>
      <c r="CK54" s="246"/>
      <c r="CL54" s="246"/>
    </row>
    <row r="55" outlineLevel="1">
      <c r="A55" s="213" t="str">
        <f t="shared" si="6"/>
        <v>TC_01.36</v>
      </c>
      <c r="B55" s="275" t="s">
        <v>67</v>
      </c>
      <c r="C55" s="269" t="s">
        <v>257</v>
      </c>
      <c r="D55" s="266" t="s">
        <v>246</v>
      </c>
      <c r="E55" s="273" t="s">
        <v>258</v>
      </c>
      <c r="F55" s="273" t="s">
        <v>259</v>
      </c>
      <c r="G55" s="43" t="s">
        <v>56</v>
      </c>
      <c r="H55" s="43" t="s">
        <v>56</v>
      </c>
      <c r="I55" s="268" t="s">
        <v>180</v>
      </c>
      <c r="J55" s="211" t="s">
        <v>135</v>
      </c>
      <c r="K55" s="247"/>
      <c r="L55" s="227" t="s">
        <v>249</v>
      </c>
      <c r="M55" s="43"/>
      <c r="N55" s="247"/>
      <c r="O55" s="244"/>
      <c r="P55" s="245"/>
      <c r="Q55" s="43"/>
      <c r="R55" s="247"/>
      <c r="S55" s="247"/>
      <c r="T55" s="245"/>
      <c r="U55" s="43"/>
      <c r="V55" s="247"/>
      <c r="W55" s="244"/>
      <c r="X55" s="245"/>
      <c r="Y55" s="246"/>
      <c r="Z55" s="246"/>
      <c r="AA55" s="246"/>
      <c r="AB55" s="246"/>
      <c r="AC55" s="246"/>
      <c r="AD55" s="246"/>
      <c r="AE55" s="246"/>
      <c r="AF55" s="246"/>
      <c r="AG55" s="246"/>
      <c r="AH55" s="246"/>
      <c r="AI55" s="246"/>
      <c r="AJ55" s="246"/>
      <c r="AK55" s="246"/>
      <c r="AL55" s="246"/>
      <c r="AM55" s="246"/>
      <c r="AN55" s="246"/>
      <c r="AO55" s="246"/>
      <c r="AP55" s="246"/>
      <c r="AQ55" s="246"/>
      <c r="AR55" s="246"/>
      <c r="AS55" s="246"/>
      <c r="AT55" s="246"/>
      <c r="AU55" s="246"/>
      <c r="AV55" s="246"/>
      <c r="AW55" s="246"/>
      <c r="AX55" s="246"/>
      <c r="AY55" s="246"/>
      <c r="AZ55" s="246"/>
      <c r="BA55" s="246"/>
      <c r="BB55" s="246"/>
      <c r="BC55" s="246"/>
      <c r="BD55" s="246"/>
      <c r="BE55" s="246"/>
      <c r="BF55" s="246"/>
      <c r="BG55" s="246"/>
      <c r="BH55" s="246"/>
      <c r="BI55" s="246"/>
      <c r="BJ55" s="246"/>
      <c r="BK55" s="246"/>
      <c r="BL55" s="246"/>
      <c r="BM55" s="246"/>
      <c r="BN55" s="246"/>
      <c r="BO55" s="246"/>
      <c r="BP55" s="246"/>
      <c r="BQ55" s="246"/>
      <c r="BR55" s="246"/>
      <c r="BS55" s="246"/>
      <c r="BT55" s="246"/>
      <c r="BU55" s="246"/>
      <c r="BV55" s="246"/>
      <c r="BW55" s="246"/>
      <c r="BX55" s="246"/>
      <c r="BY55" s="246"/>
      <c r="BZ55" s="246"/>
      <c r="CA55" s="246"/>
      <c r="CB55" s="246"/>
      <c r="CC55" s="246"/>
      <c r="CD55" s="246"/>
      <c r="CE55" s="246"/>
      <c r="CF55" s="246"/>
      <c r="CG55" s="246"/>
      <c r="CH55" s="246"/>
      <c r="CI55" s="246"/>
      <c r="CJ55" s="246"/>
      <c r="CK55" s="246"/>
      <c r="CL55" s="246"/>
    </row>
    <row r="56" outlineLevel="1">
      <c r="A56" s="213" t="str">
        <f t="shared" si="6"/>
        <v>TC_01.37</v>
      </c>
      <c r="B56" s="271" t="s">
        <v>67</v>
      </c>
      <c r="C56" s="276" t="s">
        <v>260</v>
      </c>
      <c r="D56" s="266" t="s">
        <v>246</v>
      </c>
      <c r="E56" s="235" t="s">
        <v>261</v>
      </c>
      <c r="F56" s="236" t="s">
        <v>262</v>
      </c>
      <c r="G56" s="43" t="s">
        <v>56</v>
      </c>
      <c r="H56" s="43" t="s">
        <v>56</v>
      </c>
      <c r="I56" s="268" t="s">
        <v>180</v>
      </c>
      <c r="J56" s="211" t="s">
        <v>135</v>
      </c>
      <c r="K56" s="247"/>
      <c r="L56" s="227" t="s">
        <v>249</v>
      </c>
      <c r="M56" s="43"/>
      <c r="N56" s="247"/>
      <c r="O56" s="244"/>
      <c r="P56" s="245"/>
      <c r="Q56" s="43"/>
      <c r="R56" s="247"/>
      <c r="S56" s="247"/>
      <c r="T56" s="245"/>
      <c r="U56" s="43"/>
      <c r="V56" s="247"/>
      <c r="W56" s="244"/>
      <c r="X56" s="245"/>
      <c r="Y56" s="246"/>
      <c r="Z56" s="246"/>
      <c r="AA56" s="246"/>
      <c r="AB56" s="246"/>
      <c r="AC56" s="246"/>
      <c r="AD56" s="246"/>
      <c r="AE56" s="246"/>
      <c r="AF56" s="246"/>
      <c r="AG56" s="246"/>
      <c r="AH56" s="246"/>
      <c r="AI56" s="246"/>
      <c r="AJ56" s="246"/>
      <c r="AK56" s="246"/>
      <c r="AL56" s="246"/>
      <c r="AM56" s="246"/>
      <c r="AN56" s="246"/>
      <c r="AO56" s="246"/>
      <c r="AP56" s="246"/>
      <c r="AQ56" s="246"/>
      <c r="AR56" s="246"/>
      <c r="AS56" s="246"/>
      <c r="AT56" s="246"/>
      <c r="AU56" s="246"/>
      <c r="AV56" s="246"/>
      <c r="AW56" s="246"/>
      <c r="AX56" s="246"/>
      <c r="AY56" s="246"/>
      <c r="AZ56" s="246"/>
      <c r="BA56" s="246"/>
      <c r="BB56" s="246"/>
      <c r="BC56" s="246"/>
      <c r="BD56" s="246"/>
      <c r="BE56" s="246"/>
      <c r="BF56" s="246"/>
      <c r="BG56" s="246"/>
      <c r="BH56" s="246"/>
      <c r="BI56" s="246"/>
      <c r="BJ56" s="246"/>
      <c r="BK56" s="246"/>
      <c r="BL56" s="246"/>
      <c r="BM56" s="246"/>
      <c r="BN56" s="246"/>
      <c r="BO56" s="246"/>
      <c r="BP56" s="246"/>
      <c r="BQ56" s="246"/>
      <c r="BR56" s="246"/>
      <c r="BS56" s="246"/>
      <c r="BT56" s="246"/>
      <c r="BU56" s="246"/>
      <c r="BV56" s="246"/>
      <c r="BW56" s="246"/>
      <c r="BX56" s="246"/>
      <c r="BY56" s="246"/>
      <c r="BZ56" s="246"/>
      <c r="CA56" s="246"/>
      <c r="CB56" s="246"/>
      <c r="CC56" s="246"/>
      <c r="CD56" s="246"/>
      <c r="CE56" s="246"/>
      <c r="CF56" s="246"/>
      <c r="CG56" s="246"/>
      <c r="CH56" s="246"/>
      <c r="CI56" s="246"/>
      <c r="CJ56" s="246"/>
      <c r="CK56" s="246"/>
      <c r="CL56" s="246"/>
    </row>
    <row r="57" outlineLevel="1">
      <c r="A57" s="213" t="str">
        <f t="shared" si="6"/>
        <v>TC_01.38</v>
      </c>
      <c r="B57" s="271" t="s">
        <v>67</v>
      </c>
      <c r="C57" s="272" t="s">
        <v>263</v>
      </c>
      <c r="D57" s="266" t="s">
        <v>246</v>
      </c>
      <c r="E57" s="273" t="s">
        <v>264</v>
      </c>
      <c r="F57" s="274" t="s">
        <v>265</v>
      </c>
      <c r="G57" s="211" t="s">
        <v>56</v>
      </c>
      <c r="H57" s="211" t="s">
        <v>56</v>
      </c>
      <c r="I57" s="268" t="s">
        <v>180</v>
      </c>
      <c r="J57" s="211" t="s">
        <v>135</v>
      </c>
      <c r="K57" s="221"/>
      <c r="L57" s="227" t="s">
        <v>249</v>
      </c>
      <c r="M57" s="277"/>
      <c r="N57" s="278"/>
      <c r="O57" s="279"/>
      <c r="P57" s="280"/>
      <c r="Q57" s="277"/>
      <c r="R57" s="278"/>
      <c r="S57" s="278"/>
      <c r="T57" s="280"/>
      <c r="U57" s="277"/>
      <c r="V57" s="278"/>
      <c r="W57" s="279"/>
      <c r="X57" s="280"/>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c r="BA57" s="281"/>
      <c r="BB57" s="281"/>
      <c r="BC57" s="281"/>
      <c r="BD57" s="281"/>
      <c r="BE57" s="281"/>
      <c r="BF57" s="281"/>
      <c r="BG57" s="281"/>
      <c r="BH57" s="281"/>
      <c r="BI57" s="281"/>
      <c r="BJ57" s="281"/>
      <c r="BK57" s="281"/>
      <c r="BL57" s="281"/>
      <c r="BM57" s="281"/>
      <c r="BN57" s="281"/>
      <c r="BO57" s="281"/>
      <c r="BP57" s="281"/>
      <c r="BQ57" s="281"/>
      <c r="BR57" s="281"/>
      <c r="BS57" s="281"/>
      <c r="BT57" s="281"/>
      <c r="BU57" s="281"/>
      <c r="BV57" s="281"/>
      <c r="BW57" s="281"/>
      <c r="BX57" s="281"/>
      <c r="BY57" s="281"/>
      <c r="BZ57" s="281"/>
      <c r="CA57" s="281"/>
      <c r="CB57" s="281"/>
      <c r="CC57" s="281"/>
      <c r="CD57" s="281"/>
      <c r="CE57" s="281"/>
      <c r="CF57" s="281"/>
      <c r="CG57" s="281"/>
      <c r="CH57" s="281"/>
      <c r="CI57" s="281"/>
      <c r="CJ57" s="281"/>
      <c r="CK57" s="281"/>
      <c r="CL57" s="281"/>
    </row>
    <row r="58" outlineLevel="1">
      <c r="A58" s="213" t="str">
        <f t="shared" si="6"/>
        <v>TC_01.39</v>
      </c>
      <c r="B58" s="271" t="s">
        <v>67</v>
      </c>
      <c r="C58" s="272" t="s">
        <v>266</v>
      </c>
      <c r="D58" s="266" t="s">
        <v>246</v>
      </c>
      <c r="E58" s="273" t="s">
        <v>267</v>
      </c>
      <c r="F58" s="282" t="s">
        <v>268</v>
      </c>
      <c r="G58" s="43" t="s">
        <v>56</v>
      </c>
      <c r="H58" s="43" t="s">
        <v>56</v>
      </c>
      <c r="I58" s="268" t="s">
        <v>180</v>
      </c>
      <c r="J58" s="211" t="s">
        <v>135</v>
      </c>
      <c r="K58" s="247"/>
      <c r="L58" s="227" t="s">
        <v>249</v>
      </c>
      <c r="M58" s="277"/>
      <c r="N58" s="278"/>
      <c r="O58" s="279"/>
      <c r="P58" s="280"/>
      <c r="Q58" s="277"/>
      <c r="R58" s="278"/>
      <c r="S58" s="278"/>
      <c r="T58" s="280"/>
      <c r="U58" s="277"/>
      <c r="V58" s="278"/>
      <c r="W58" s="279"/>
      <c r="X58" s="280"/>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c r="BA58" s="281"/>
      <c r="BB58" s="281"/>
      <c r="BC58" s="281"/>
      <c r="BD58" s="281"/>
      <c r="BE58" s="281"/>
      <c r="BF58" s="281"/>
      <c r="BG58" s="281"/>
      <c r="BH58" s="281"/>
      <c r="BI58" s="281"/>
      <c r="BJ58" s="281"/>
      <c r="BK58" s="281"/>
      <c r="BL58" s="281"/>
      <c r="BM58" s="281"/>
      <c r="BN58" s="281"/>
      <c r="BO58" s="281"/>
      <c r="BP58" s="281"/>
      <c r="BQ58" s="281"/>
      <c r="BR58" s="281"/>
      <c r="BS58" s="281"/>
      <c r="BT58" s="281"/>
      <c r="BU58" s="281"/>
      <c r="BV58" s="281"/>
      <c r="BW58" s="281"/>
      <c r="BX58" s="281"/>
      <c r="BY58" s="281"/>
      <c r="BZ58" s="281"/>
      <c r="CA58" s="281"/>
      <c r="CB58" s="281"/>
      <c r="CC58" s="281"/>
      <c r="CD58" s="281"/>
      <c r="CE58" s="281"/>
      <c r="CF58" s="281"/>
      <c r="CG58" s="281"/>
      <c r="CH58" s="281"/>
      <c r="CI58" s="281"/>
      <c r="CJ58" s="281"/>
      <c r="CK58" s="281"/>
      <c r="CL58" s="281"/>
    </row>
    <row r="59" outlineLevel="1">
      <c r="A59" s="213" t="str">
        <f t="shared" si="6"/>
        <v>TC_01.40</v>
      </c>
      <c r="B59" s="283" t="s">
        <v>67</v>
      </c>
      <c r="C59" s="276" t="s">
        <v>269</v>
      </c>
      <c r="D59" s="266" t="s">
        <v>246</v>
      </c>
      <c r="E59" s="235" t="s">
        <v>270</v>
      </c>
      <c r="F59" s="235" t="s">
        <v>271</v>
      </c>
      <c r="G59" s="250" t="s">
        <v>56</v>
      </c>
      <c r="H59" s="250" t="s">
        <v>56</v>
      </c>
      <c r="I59" s="268" t="s">
        <v>180</v>
      </c>
      <c r="J59" s="247" t="s">
        <v>135</v>
      </c>
      <c r="K59" s="284"/>
      <c r="L59" s="227" t="s">
        <v>249</v>
      </c>
      <c r="M59" s="277"/>
      <c r="N59" s="278"/>
      <c r="O59" s="285"/>
      <c r="P59" s="286"/>
      <c r="Q59" s="287"/>
      <c r="R59" s="278"/>
      <c r="S59" s="285"/>
      <c r="T59" s="286"/>
      <c r="U59" s="287"/>
      <c r="V59" s="278"/>
      <c r="W59" s="285"/>
      <c r="X59" s="286"/>
      <c r="Y59" s="288"/>
      <c r="Z59" s="288"/>
      <c r="AA59" s="288"/>
      <c r="AB59" s="288"/>
      <c r="AC59" s="288"/>
      <c r="AD59" s="288"/>
      <c r="AE59" s="288"/>
      <c r="AF59" s="288"/>
      <c r="AG59" s="288"/>
      <c r="AH59" s="288"/>
      <c r="AI59" s="288"/>
      <c r="AJ59" s="288"/>
      <c r="AK59" s="288"/>
      <c r="AL59" s="288"/>
      <c r="AM59" s="288"/>
      <c r="AN59" s="288"/>
      <c r="AO59" s="288"/>
      <c r="AP59" s="288"/>
      <c r="AQ59" s="288"/>
      <c r="AR59" s="288"/>
      <c r="AS59" s="288"/>
      <c r="AT59" s="288"/>
      <c r="AU59" s="288"/>
      <c r="AV59" s="288"/>
      <c r="AW59" s="288"/>
      <c r="AX59" s="288"/>
      <c r="AY59" s="288"/>
      <c r="AZ59" s="288"/>
      <c r="BA59" s="288"/>
      <c r="BB59" s="288"/>
      <c r="BC59" s="288"/>
      <c r="BD59" s="288"/>
      <c r="BE59" s="288"/>
      <c r="BF59" s="288"/>
      <c r="BG59" s="288"/>
      <c r="BH59" s="288"/>
      <c r="BI59" s="288"/>
      <c r="BJ59" s="288"/>
      <c r="BK59" s="288"/>
      <c r="BL59" s="288"/>
      <c r="BM59" s="288"/>
      <c r="BN59" s="288"/>
      <c r="BO59" s="288"/>
      <c r="BP59" s="288"/>
      <c r="BQ59" s="288"/>
      <c r="BR59" s="288"/>
      <c r="BS59" s="288"/>
      <c r="BT59" s="288"/>
      <c r="BU59" s="288"/>
      <c r="BV59" s="288"/>
      <c r="BW59" s="288"/>
      <c r="BX59" s="288"/>
      <c r="BY59" s="288"/>
      <c r="BZ59" s="288"/>
      <c r="CA59" s="288"/>
      <c r="CB59" s="288"/>
      <c r="CC59" s="288"/>
      <c r="CD59" s="288"/>
      <c r="CE59" s="288"/>
      <c r="CF59" s="288"/>
      <c r="CG59" s="288"/>
      <c r="CH59" s="288"/>
      <c r="CI59" s="288"/>
      <c r="CJ59" s="288"/>
      <c r="CK59" s="288"/>
      <c r="CL59" s="288"/>
    </row>
    <row r="60">
      <c r="A60" s="219"/>
      <c r="B60" s="229" t="s">
        <v>272</v>
      </c>
      <c r="C60" s="144"/>
      <c r="D60" s="144"/>
      <c r="E60" s="144"/>
      <c r="F60" s="167"/>
      <c r="G60" s="211"/>
      <c r="H60" s="211"/>
      <c r="I60" s="211"/>
      <c r="J60" s="211"/>
      <c r="K60" s="219"/>
      <c r="L60" s="289"/>
      <c r="M60" s="290"/>
      <c r="N60" s="291"/>
      <c r="O60" s="292"/>
      <c r="P60" s="292"/>
      <c r="Q60" s="293"/>
      <c r="R60" s="291"/>
      <c r="S60" s="292"/>
      <c r="T60" s="292"/>
      <c r="U60" s="293"/>
      <c r="V60" s="291"/>
      <c r="W60" s="292"/>
      <c r="X60" s="292"/>
      <c r="Y60" s="294"/>
      <c r="Z60" s="294"/>
      <c r="AA60" s="294"/>
      <c r="AB60" s="294"/>
      <c r="AC60" s="294"/>
      <c r="AD60" s="294"/>
      <c r="AE60" s="294"/>
      <c r="AF60" s="294"/>
      <c r="AG60" s="294"/>
      <c r="AH60" s="294"/>
      <c r="AI60" s="294"/>
      <c r="AJ60" s="294"/>
      <c r="AK60" s="294"/>
      <c r="AL60" s="294"/>
      <c r="AM60" s="294"/>
      <c r="AN60" s="294"/>
      <c r="AO60" s="294"/>
      <c r="AP60" s="294"/>
      <c r="AQ60" s="294"/>
      <c r="AR60" s="294"/>
      <c r="AS60" s="294"/>
      <c r="AT60" s="294"/>
      <c r="AU60" s="294"/>
      <c r="AV60" s="294"/>
      <c r="AW60" s="294"/>
      <c r="AX60" s="294"/>
      <c r="AY60" s="294"/>
      <c r="AZ60" s="294"/>
      <c r="BA60" s="294"/>
      <c r="BB60" s="294"/>
      <c r="BC60" s="294"/>
      <c r="BD60" s="294"/>
      <c r="BE60" s="294"/>
      <c r="BF60" s="294"/>
      <c r="BG60" s="294"/>
      <c r="BH60" s="294"/>
      <c r="BI60" s="294"/>
      <c r="BJ60" s="294"/>
      <c r="BK60" s="294"/>
      <c r="BL60" s="294"/>
      <c r="BM60" s="294"/>
      <c r="BN60" s="294"/>
      <c r="BO60" s="294"/>
      <c r="BP60" s="294"/>
      <c r="BQ60" s="294"/>
      <c r="BR60" s="294"/>
      <c r="BS60" s="294"/>
      <c r="BT60" s="294"/>
      <c r="BU60" s="294"/>
      <c r="BV60" s="294"/>
      <c r="BW60" s="294"/>
      <c r="BX60" s="294"/>
      <c r="BY60" s="294"/>
      <c r="BZ60" s="294"/>
      <c r="CA60" s="294"/>
      <c r="CB60" s="294"/>
      <c r="CC60" s="294"/>
      <c r="CD60" s="294"/>
      <c r="CE60" s="294"/>
      <c r="CF60" s="294"/>
      <c r="CG60" s="294"/>
      <c r="CH60" s="294"/>
      <c r="CI60" s="294"/>
      <c r="CJ60" s="294"/>
      <c r="CK60" s="294"/>
      <c r="CL60" s="294"/>
    </row>
    <row r="61" outlineLevel="1">
      <c r="A61" s="213" t="str">
        <f t="shared" ref="A61:A65" si="7">IF(E61="","",$C$3&amp;"."&amp;COUNTA($E$12:E61)&amp;"")</f>
        <v>TC_01.41</v>
      </c>
      <c r="B61" s="295" t="s">
        <v>69</v>
      </c>
      <c r="C61" s="269" t="s">
        <v>273</v>
      </c>
      <c r="D61" s="217" t="s">
        <v>274</v>
      </c>
      <c r="E61" s="217" t="s">
        <v>275</v>
      </c>
      <c r="F61" s="270" t="s">
        <v>276</v>
      </c>
      <c r="G61" s="211" t="s">
        <v>56</v>
      </c>
      <c r="H61" s="211" t="s">
        <v>56</v>
      </c>
      <c r="I61" s="268" t="s">
        <v>180</v>
      </c>
      <c r="J61" s="211" t="s">
        <v>135</v>
      </c>
      <c r="K61" s="221"/>
      <c r="L61" s="227" t="s">
        <v>249</v>
      </c>
      <c r="M61" s="277"/>
      <c r="N61" s="278"/>
      <c r="O61" s="285"/>
      <c r="P61" s="286"/>
      <c r="Q61" s="287"/>
      <c r="R61" s="278"/>
      <c r="S61" s="285"/>
      <c r="T61" s="286"/>
      <c r="U61" s="287"/>
      <c r="V61" s="278"/>
      <c r="W61" s="285"/>
      <c r="X61" s="286"/>
      <c r="Y61" s="288"/>
      <c r="Z61" s="288"/>
      <c r="AA61" s="288"/>
      <c r="AB61" s="288"/>
      <c r="AC61" s="288"/>
      <c r="AD61" s="288"/>
      <c r="AE61" s="288"/>
      <c r="AF61" s="288"/>
      <c r="AG61" s="288"/>
      <c r="AH61" s="288"/>
      <c r="AI61" s="288"/>
      <c r="AJ61" s="288"/>
      <c r="AK61" s="288"/>
      <c r="AL61" s="288"/>
      <c r="AM61" s="288"/>
      <c r="AN61" s="288"/>
      <c r="AO61" s="288"/>
      <c r="AP61" s="288"/>
      <c r="AQ61" s="288"/>
      <c r="AR61" s="288"/>
      <c r="AS61" s="288"/>
      <c r="AT61" s="288"/>
      <c r="AU61" s="288"/>
      <c r="AV61" s="288"/>
      <c r="AW61" s="288"/>
      <c r="AX61" s="288"/>
      <c r="AY61" s="288"/>
      <c r="AZ61" s="288"/>
      <c r="BA61" s="288"/>
      <c r="BB61" s="288"/>
      <c r="BC61" s="288"/>
      <c r="BD61" s="288"/>
      <c r="BE61" s="288"/>
      <c r="BF61" s="288"/>
      <c r="BG61" s="288"/>
      <c r="BH61" s="288"/>
      <c r="BI61" s="288"/>
      <c r="BJ61" s="288"/>
      <c r="BK61" s="288"/>
      <c r="BL61" s="288"/>
      <c r="BM61" s="288"/>
      <c r="BN61" s="288"/>
      <c r="BO61" s="288"/>
      <c r="BP61" s="288"/>
      <c r="BQ61" s="288"/>
      <c r="BR61" s="288"/>
      <c r="BS61" s="288"/>
      <c r="BT61" s="288"/>
      <c r="BU61" s="288"/>
      <c r="BV61" s="288"/>
      <c r="BW61" s="288"/>
      <c r="BX61" s="288"/>
      <c r="BY61" s="288"/>
      <c r="BZ61" s="288"/>
      <c r="CA61" s="288"/>
      <c r="CB61" s="288"/>
      <c r="CC61" s="288"/>
      <c r="CD61" s="288"/>
      <c r="CE61" s="288"/>
      <c r="CF61" s="288"/>
      <c r="CG61" s="288"/>
      <c r="CH61" s="288"/>
      <c r="CI61" s="288"/>
      <c r="CJ61" s="288"/>
      <c r="CK61" s="288"/>
      <c r="CL61" s="288"/>
    </row>
    <row r="62" outlineLevel="1">
      <c r="A62" s="213" t="str">
        <f t="shared" si="7"/>
        <v>TC_01.42</v>
      </c>
      <c r="B62" s="263" t="s">
        <v>67</v>
      </c>
      <c r="C62" s="226" t="s">
        <v>277</v>
      </c>
      <c r="D62" s="217" t="s">
        <v>274</v>
      </c>
      <c r="E62" s="296" t="s">
        <v>278</v>
      </c>
      <c r="F62" s="297" t="s">
        <v>279</v>
      </c>
      <c r="G62" s="211" t="s">
        <v>56</v>
      </c>
      <c r="H62" s="211" t="s">
        <v>56</v>
      </c>
      <c r="I62" s="268" t="s">
        <v>180</v>
      </c>
      <c r="J62" s="211" t="s">
        <v>135</v>
      </c>
      <c r="K62" s="221"/>
      <c r="L62" s="227" t="s">
        <v>249</v>
      </c>
      <c r="M62" s="277"/>
      <c r="N62" s="278"/>
      <c r="O62" s="285"/>
      <c r="P62" s="286"/>
      <c r="Q62" s="287"/>
      <c r="R62" s="278"/>
      <c r="S62" s="285"/>
      <c r="T62" s="286"/>
      <c r="U62" s="287"/>
      <c r="V62" s="278"/>
      <c r="W62" s="285"/>
      <c r="X62" s="286"/>
      <c r="Y62" s="288"/>
      <c r="Z62" s="288"/>
      <c r="AA62" s="288"/>
      <c r="AB62" s="288"/>
      <c r="AC62" s="288"/>
      <c r="AD62" s="288"/>
      <c r="AE62" s="288"/>
      <c r="AF62" s="288"/>
      <c r="AG62" s="288"/>
      <c r="AH62" s="288"/>
      <c r="AI62" s="288"/>
      <c r="AJ62" s="288"/>
      <c r="AK62" s="288"/>
      <c r="AL62" s="288"/>
      <c r="AM62" s="288"/>
      <c r="AN62" s="288"/>
      <c r="AO62" s="288"/>
      <c r="AP62" s="288"/>
      <c r="AQ62" s="288"/>
      <c r="AR62" s="288"/>
      <c r="AS62" s="288"/>
      <c r="AT62" s="288"/>
      <c r="AU62" s="288"/>
      <c r="AV62" s="288"/>
      <c r="AW62" s="288"/>
      <c r="AX62" s="288"/>
      <c r="AY62" s="288"/>
      <c r="AZ62" s="288"/>
      <c r="BA62" s="288"/>
      <c r="BB62" s="288"/>
      <c r="BC62" s="288"/>
      <c r="BD62" s="288"/>
      <c r="BE62" s="288"/>
      <c r="BF62" s="288"/>
      <c r="BG62" s="288"/>
      <c r="BH62" s="288"/>
      <c r="BI62" s="288"/>
      <c r="BJ62" s="288"/>
      <c r="BK62" s="288"/>
      <c r="BL62" s="288"/>
      <c r="BM62" s="288"/>
      <c r="BN62" s="288"/>
      <c r="BO62" s="288"/>
      <c r="BP62" s="288"/>
      <c r="BQ62" s="288"/>
      <c r="BR62" s="288"/>
      <c r="BS62" s="288"/>
      <c r="BT62" s="288"/>
      <c r="BU62" s="288"/>
      <c r="BV62" s="288"/>
      <c r="BW62" s="288"/>
      <c r="BX62" s="288"/>
      <c r="BY62" s="288"/>
      <c r="BZ62" s="288"/>
      <c r="CA62" s="288"/>
      <c r="CB62" s="288"/>
      <c r="CC62" s="288"/>
      <c r="CD62" s="288"/>
      <c r="CE62" s="288"/>
      <c r="CF62" s="288"/>
      <c r="CG62" s="288"/>
      <c r="CH62" s="288"/>
      <c r="CI62" s="288"/>
      <c r="CJ62" s="288"/>
      <c r="CK62" s="288"/>
      <c r="CL62" s="288"/>
    </row>
    <row r="63" outlineLevel="1">
      <c r="A63" s="213" t="str">
        <f t="shared" si="7"/>
        <v>TC_01.43</v>
      </c>
      <c r="B63" s="263" t="s">
        <v>67</v>
      </c>
      <c r="C63" s="242" t="s">
        <v>280</v>
      </c>
      <c r="D63" s="217" t="s">
        <v>274</v>
      </c>
      <c r="E63" s="273" t="s">
        <v>281</v>
      </c>
      <c r="F63" s="235" t="s">
        <v>282</v>
      </c>
      <c r="G63" s="211" t="s">
        <v>56</v>
      </c>
      <c r="H63" s="211" t="s">
        <v>56</v>
      </c>
      <c r="I63" s="268" t="s">
        <v>180</v>
      </c>
      <c r="J63" s="211" t="s">
        <v>135</v>
      </c>
      <c r="K63" s="221"/>
      <c r="L63" s="227" t="s">
        <v>249</v>
      </c>
      <c r="M63" s="298"/>
      <c r="N63" s="279"/>
      <c r="O63" s="279"/>
      <c r="P63" s="280"/>
      <c r="Q63" s="298"/>
      <c r="R63" s="279"/>
      <c r="S63" s="279"/>
      <c r="T63" s="280"/>
      <c r="U63" s="298"/>
      <c r="V63" s="279"/>
      <c r="W63" s="279"/>
      <c r="X63" s="280"/>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1"/>
      <c r="BP63" s="281"/>
      <c r="BQ63" s="281"/>
      <c r="BR63" s="281"/>
      <c r="BS63" s="281"/>
      <c r="BT63" s="281"/>
      <c r="BU63" s="281"/>
      <c r="BV63" s="281"/>
      <c r="BW63" s="281"/>
      <c r="BX63" s="281"/>
      <c r="BY63" s="281"/>
      <c r="BZ63" s="281"/>
      <c r="CA63" s="281"/>
      <c r="CB63" s="281"/>
      <c r="CC63" s="281"/>
      <c r="CD63" s="281"/>
      <c r="CE63" s="281"/>
      <c r="CF63" s="281"/>
      <c r="CG63" s="281"/>
      <c r="CH63" s="281"/>
      <c r="CI63" s="281"/>
      <c r="CJ63" s="281"/>
      <c r="CK63" s="281"/>
      <c r="CL63" s="281"/>
    </row>
    <row r="64" outlineLevel="1">
      <c r="A64" s="213" t="str">
        <f t="shared" si="7"/>
        <v>TC_01.44</v>
      </c>
      <c r="B64" s="299" t="s">
        <v>67</v>
      </c>
      <c r="C64" s="272" t="s">
        <v>283</v>
      </c>
      <c r="D64" s="217" t="s">
        <v>274</v>
      </c>
      <c r="E64" s="273" t="s">
        <v>284</v>
      </c>
      <c r="F64" s="274" t="s">
        <v>265</v>
      </c>
      <c r="G64" s="211" t="s">
        <v>56</v>
      </c>
      <c r="H64" s="211" t="s">
        <v>56</v>
      </c>
      <c r="I64" s="268" t="s">
        <v>180</v>
      </c>
      <c r="J64" s="211" t="s">
        <v>135</v>
      </c>
      <c r="K64" s="221"/>
      <c r="L64" s="227" t="s">
        <v>249</v>
      </c>
      <c r="M64" s="298"/>
      <c r="N64" s="279"/>
      <c r="O64" s="279"/>
      <c r="P64" s="280"/>
      <c r="Q64" s="298"/>
      <c r="R64" s="279"/>
      <c r="S64" s="279"/>
      <c r="T64" s="280"/>
      <c r="U64" s="298"/>
      <c r="V64" s="279"/>
      <c r="W64" s="279"/>
      <c r="X64" s="280"/>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1"/>
      <c r="BP64" s="281"/>
      <c r="BQ64" s="281"/>
      <c r="BR64" s="281"/>
      <c r="BS64" s="281"/>
      <c r="BT64" s="281"/>
      <c r="BU64" s="281"/>
      <c r="BV64" s="281"/>
      <c r="BW64" s="281"/>
      <c r="BX64" s="281"/>
      <c r="BY64" s="281"/>
      <c r="BZ64" s="281"/>
      <c r="CA64" s="281"/>
      <c r="CB64" s="281"/>
      <c r="CC64" s="281"/>
      <c r="CD64" s="281"/>
      <c r="CE64" s="281"/>
      <c r="CF64" s="281"/>
      <c r="CG64" s="281"/>
      <c r="CH64" s="281"/>
      <c r="CI64" s="281"/>
      <c r="CJ64" s="281"/>
      <c r="CK64" s="281"/>
      <c r="CL64" s="281"/>
    </row>
    <row r="65" outlineLevel="1">
      <c r="A65" s="213" t="str">
        <f t="shared" si="7"/>
        <v>TC_01.45</v>
      </c>
      <c r="B65" s="283" t="s">
        <v>67</v>
      </c>
      <c r="C65" s="276" t="s">
        <v>285</v>
      </c>
      <c r="D65" s="217" t="s">
        <v>286</v>
      </c>
      <c r="E65" s="235" t="s">
        <v>287</v>
      </c>
      <c r="F65" s="236" t="s">
        <v>288</v>
      </c>
      <c r="G65" s="211" t="s">
        <v>56</v>
      </c>
      <c r="H65" s="211" t="s">
        <v>56</v>
      </c>
      <c r="I65" s="268" t="s">
        <v>180</v>
      </c>
      <c r="J65" s="211" t="s">
        <v>135</v>
      </c>
      <c r="K65" s="221"/>
      <c r="L65" s="227" t="s">
        <v>249</v>
      </c>
      <c r="M65" s="298"/>
      <c r="N65" s="279"/>
      <c r="O65" s="279"/>
      <c r="P65" s="280"/>
      <c r="Q65" s="298"/>
      <c r="R65" s="279"/>
      <c r="S65" s="279"/>
      <c r="T65" s="280"/>
      <c r="U65" s="298"/>
      <c r="V65" s="279"/>
      <c r="W65" s="279"/>
      <c r="X65" s="280"/>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1"/>
      <c r="BP65" s="281"/>
      <c r="BQ65" s="281"/>
      <c r="BR65" s="281"/>
      <c r="BS65" s="281"/>
      <c r="BT65" s="281"/>
      <c r="BU65" s="281"/>
      <c r="BV65" s="281"/>
      <c r="BW65" s="281"/>
      <c r="BX65" s="281"/>
      <c r="BY65" s="281"/>
      <c r="BZ65" s="281"/>
      <c r="CA65" s="281"/>
      <c r="CB65" s="281"/>
      <c r="CC65" s="281"/>
      <c r="CD65" s="281"/>
      <c r="CE65" s="281"/>
      <c r="CF65" s="281"/>
      <c r="CG65" s="281"/>
      <c r="CH65" s="281"/>
      <c r="CI65" s="281"/>
      <c r="CJ65" s="281"/>
      <c r="CK65" s="281"/>
      <c r="CL65" s="281"/>
    </row>
    <row r="66">
      <c r="A66" s="219"/>
      <c r="B66" s="229" t="s">
        <v>289</v>
      </c>
      <c r="C66" s="144"/>
      <c r="D66" s="144"/>
      <c r="E66" s="144"/>
      <c r="F66" s="167"/>
      <c r="G66" s="211"/>
      <c r="H66" s="211"/>
      <c r="I66" s="211"/>
      <c r="J66" s="211"/>
      <c r="K66" s="219"/>
      <c r="L66" s="227"/>
      <c r="M66" s="300"/>
      <c r="N66" s="289"/>
      <c r="O66" s="289"/>
      <c r="P66" s="289"/>
      <c r="Q66" s="300"/>
      <c r="R66" s="289"/>
      <c r="S66" s="289"/>
      <c r="T66" s="289"/>
      <c r="U66" s="300"/>
      <c r="V66" s="289"/>
      <c r="W66" s="289"/>
      <c r="X66" s="289"/>
      <c r="Y66" s="301"/>
      <c r="Z66" s="301"/>
      <c r="AA66" s="301"/>
      <c r="AB66" s="301"/>
      <c r="AC66" s="301"/>
      <c r="AD66" s="301"/>
      <c r="AE66" s="301"/>
      <c r="AF66" s="301"/>
      <c r="AG66" s="301"/>
      <c r="AH66" s="301"/>
      <c r="AI66" s="301"/>
      <c r="AJ66" s="301"/>
      <c r="AK66" s="301"/>
      <c r="AL66" s="301"/>
      <c r="AM66" s="301"/>
      <c r="AN66" s="301"/>
      <c r="AO66" s="301"/>
      <c r="AP66" s="301"/>
      <c r="AQ66" s="301"/>
      <c r="AR66" s="301"/>
      <c r="AS66" s="301"/>
      <c r="AT66" s="301"/>
      <c r="AU66" s="301"/>
      <c r="AV66" s="301"/>
      <c r="AW66" s="301"/>
      <c r="AX66" s="301"/>
      <c r="AY66" s="301"/>
      <c r="AZ66" s="301"/>
      <c r="BA66" s="301"/>
      <c r="BB66" s="301"/>
      <c r="BC66" s="301"/>
      <c r="BD66" s="301"/>
      <c r="BE66" s="301"/>
      <c r="BF66" s="301"/>
      <c r="BG66" s="301"/>
      <c r="BH66" s="301"/>
      <c r="BI66" s="301"/>
      <c r="BJ66" s="301"/>
      <c r="BK66" s="301"/>
      <c r="BL66" s="301"/>
      <c r="BM66" s="301"/>
      <c r="BN66" s="301"/>
      <c r="BO66" s="301"/>
      <c r="BP66" s="301"/>
      <c r="BQ66" s="301"/>
      <c r="BR66" s="301"/>
      <c r="BS66" s="301"/>
      <c r="BT66" s="301"/>
      <c r="BU66" s="301"/>
      <c r="BV66" s="301"/>
      <c r="BW66" s="301"/>
      <c r="BX66" s="301"/>
      <c r="BY66" s="301"/>
      <c r="BZ66" s="301"/>
      <c r="CA66" s="301"/>
      <c r="CB66" s="301"/>
      <c r="CC66" s="301"/>
      <c r="CD66" s="301"/>
      <c r="CE66" s="301"/>
      <c r="CF66" s="301"/>
      <c r="CG66" s="301"/>
      <c r="CH66" s="301"/>
      <c r="CI66" s="301"/>
      <c r="CJ66" s="301"/>
      <c r="CK66" s="301"/>
      <c r="CL66" s="301"/>
    </row>
    <row r="67" outlineLevel="1">
      <c r="A67" s="213" t="str">
        <f t="shared" ref="A67:A70" si="8">IF(E67="","",$C$3&amp;"."&amp;COUNTA($E$12:E67)&amp;"")</f>
        <v>TC_01.46</v>
      </c>
      <c r="B67" s="295" t="s">
        <v>69</v>
      </c>
      <c r="C67" s="269" t="s">
        <v>290</v>
      </c>
      <c r="D67" s="217" t="s">
        <v>291</v>
      </c>
      <c r="E67" s="217" t="s">
        <v>292</v>
      </c>
      <c r="F67" s="270" t="s">
        <v>293</v>
      </c>
      <c r="G67" s="211" t="s">
        <v>56</v>
      </c>
      <c r="H67" s="211" t="s">
        <v>56</v>
      </c>
      <c r="I67" s="268" t="s">
        <v>180</v>
      </c>
      <c r="J67" s="211" t="s">
        <v>135</v>
      </c>
      <c r="K67" s="221"/>
      <c r="L67" s="227" t="s">
        <v>249</v>
      </c>
      <c r="M67" s="298"/>
      <c r="N67" s="279"/>
      <c r="O67" s="279"/>
      <c r="P67" s="280"/>
      <c r="Q67" s="298"/>
      <c r="R67" s="279"/>
      <c r="S67" s="279"/>
      <c r="T67" s="280"/>
      <c r="U67" s="298"/>
      <c r="V67" s="279"/>
      <c r="W67" s="279"/>
      <c r="X67" s="280"/>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1"/>
      <c r="BP67" s="281"/>
      <c r="BQ67" s="281"/>
      <c r="BR67" s="281"/>
      <c r="BS67" s="281"/>
      <c r="BT67" s="281"/>
      <c r="BU67" s="281"/>
      <c r="BV67" s="281"/>
      <c r="BW67" s="281"/>
      <c r="BX67" s="281"/>
      <c r="BY67" s="281"/>
      <c r="BZ67" s="281"/>
      <c r="CA67" s="281"/>
      <c r="CB67" s="281"/>
      <c r="CC67" s="281"/>
      <c r="CD67" s="281"/>
      <c r="CE67" s="281"/>
      <c r="CF67" s="281"/>
      <c r="CG67" s="281"/>
      <c r="CH67" s="281"/>
      <c r="CI67" s="281"/>
      <c r="CJ67" s="281"/>
      <c r="CK67" s="281"/>
      <c r="CL67" s="281"/>
    </row>
    <row r="68" outlineLevel="1">
      <c r="A68" s="213" t="str">
        <f t="shared" si="8"/>
        <v>TC_01.47</v>
      </c>
      <c r="B68" s="263" t="s">
        <v>67</v>
      </c>
      <c r="C68" s="226" t="s">
        <v>294</v>
      </c>
      <c r="D68" s="217" t="s">
        <v>291</v>
      </c>
      <c r="E68" s="217" t="s">
        <v>295</v>
      </c>
      <c r="F68" s="238" t="s">
        <v>296</v>
      </c>
      <c r="G68" s="211" t="s">
        <v>56</v>
      </c>
      <c r="H68" s="211" t="s">
        <v>56</v>
      </c>
      <c r="I68" s="268" t="s">
        <v>180</v>
      </c>
      <c r="J68" s="211" t="s">
        <v>135</v>
      </c>
      <c r="K68" s="221"/>
      <c r="L68" s="227" t="s">
        <v>249</v>
      </c>
      <c r="M68" s="298"/>
      <c r="N68" s="279"/>
      <c r="O68" s="279"/>
      <c r="P68" s="280"/>
      <c r="Q68" s="298"/>
      <c r="R68" s="279"/>
      <c r="S68" s="279"/>
      <c r="T68" s="280"/>
      <c r="U68" s="298"/>
      <c r="V68" s="279"/>
      <c r="W68" s="279"/>
      <c r="X68" s="280"/>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1"/>
      <c r="BP68" s="281"/>
      <c r="BQ68" s="281"/>
      <c r="BR68" s="281"/>
      <c r="BS68" s="281"/>
      <c r="BT68" s="281"/>
      <c r="BU68" s="281"/>
      <c r="BV68" s="281"/>
      <c r="BW68" s="281"/>
      <c r="BX68" s="281"/>
      <c r="BY68" s="281"/>
      <c r="BZ68" s="281"/>
      <c r="CA68" s="281"/>
      <c r="CB68" s="281"/>
      <c r="CC68" s="281"/>
      <c r="CD68" s="281"/>
      <c r="CE68" s="281"/>
      <c r="CF68" s="281"/>
      <c r="CG68" s="281"/>
      <c r="CH68" s="281"/>
      <c r="CI68" s="281"/>
      <c r="CJ68" s="281"/>
      <c r="CK68" s="281"/>
      <c r="CL68" s="281"/>
    </row>
    <row r="69" outlineLevel="1">
      <c r="A69" s="213" t="str">
        <f t="shared" si="8"/>
        <v>TC_01.48</v>
      </c>
      <c r="B69" s="263" t="s">
        <v>67</v>
      </c>
      <c r="C69" s="242" t="s">
        <v>297</v>
      </c>
      <c r="D69" s="217" t="s">
        <v>298</v>
      </c>
      <c r="E69" s="217" t="s">
        <v>299</v>
      </c>
      <c r="F69" s="236" t="s">
        <v>300</v>
      </c>
      <c r="G69" s="211" t="s">
        <v>56</v>
      </c>
      <c r="H69" s="211" t="s">
        <v>56</v>
      </c>
      <c r="I69" s="268" t="s">
        <v>180</v>
      </c>
      <c r="J69" s="211" t="s">
        <v>135</v>
      </c>
      <c r="K69" s="221"/>
      <c r="L69" s="227" t="s">
        <v>249</v>
      </c>
      <c r="M69" s="221"/>
      <c r="N69" s="221"/>
      <c r="O69" s="221"/>
      <c r="P69" s="221"/>
      <c r="Q69" s="221"/>
      <c r="R69" s="221"/>
      <c r="S69" s="221"/>
      <c r="T69" s="221"/>
      <c r="U69" s="238"/>
      <c r="V69" s="221"/>
      <c r="W69" s="221"/>
      <c r="X69" s="221"/>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2"/>
      <c r="BK69" s="222"/>
      <c r="BL69" s="222"/>
      <c r="BM69" s="222"/>
      <c r="BN69" s="222"/>
      <c r="BO69" s="222"/>
      <c r="BP69" s="222"/>
      <c r="BQ69" s="222"/>
      <c r="BR69" s="222"/>
      <c r="BS69" s="222"/>
      <c r="BT69" s="222"/>
      <c r="BU69" s="222"/>
      <c r="BV69" s="222"/>
      <c r="BW69" s="222"/>
      <c r="BX69" s="222"/>
      <c r="BY69" s="222"/>
      <c r="BZ69" s="222"/>
      <c r="CA69" s="222"/>
      <c r="CB69" s="222"/>
      <c r="CC69" s="222"/>
      <c r="CD69" s="222"/>
      <c r="CE69" s="222"/>
      <c r="CF69" s="222"/>
      <c r="CG69" s="222"/>
      <c r="CH69" s="222"/>
      <c r="CI69" s="222"/>
      <c r="CJ69" s="222"/>
      <c r="CK69" s="222"/>
      <c r="CL69" s="222"/>
    </row>
    <row r="70" outlineLevel="1">
      <c r="A70" s="213" t="str">
        <f t="shared" si="8"/>
        <v>TC_01.49</v>
      </c>
      <c r="B70" s="299" t="s">
        <v>67</v>
      </c>
      <c r="C70" s="272" t="s">
        <v>301</v>
      </c>
      <c r="D70" s="217" t="s">
        <v>298</v>
      </c>
      <c r="E70" s="273" t="s">
        <v>302</v>
      </c>
      <c r="F70" s="274" t="s">
        <v>265</v>
      </c>
      <c r="G70" s="302" t="s">
        <v>56</v>
      </c>
      <c r="H70" s="302" t="s">
        <v>56</v>
      </c>
      <c r="I70" s="268" t="s">
        <v>180</v>
      </c>
      <c r="J70" s="211" t="s">
        <v>135</v>
      </c>
      <c r="K70" s="303" t="s">
        <v>303</v>
      </c>
      <c r="L70" s="227" t="s">
        <v>304</v>
      </c>
      <c r="M70" s="221"/>
      <c r="N70" s="221"/>
      <c r="O70" s="221"/>
      <c r="P70" s="221"/>
      <c r="Q70" s="221"/>
      <c r="R70" s="221"/>
      <c r="S70" s="221"/>
      <c r="T70" s="221"/>
      <c r="U70" s="238"/>
      <c r="V70" s="221"/>
      <c r="W70" s="221"/>
      <c r="X70" s="221"/>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c r="BF70" s="222"/>
      <c r="BG70" s="222"/>
      <c r="BH70" s="222"/>
      <c r="BI70" s="222"/>
      <c r="BJ70" s="222"/>
      <c r="BK70" s="222"/>
      <c r="BL70" s="222"/>
      <c r="BM70" s="222"/>
      <c r="BN70" s="222"/>
      <c r="BO70" s="222"/>
      <c r="BP70" s="222"/>
      <c r="BQ70" s="222"/>
      <c r="BR70" s="222"/>
      <c r="BS70" s="222"/>
      <c r="BT70" s="222"/>
      <c r="BU70" s="222"/>
      <c r="BV70" s="222"/>
      <c r="BW70" s="222"/>
      <c r="BX70" s="222"/>
      <c r="BY70" s="222"/>
      <c r="BZ70" s="222"/>
      <c r="CA70" s="222"/>
      <c r="CB70" s="222"/>
      <c r="CC70" s="222"/>
      <c r="CD70" s="222"/>
      <c r="CE70" s="222"/>
      <c r="CF70" s="222"/>
      <c r="CG70" s="222"/>
      <c r="CH70" s="222"/>
      <c r="CI70" s="222"/>
      <c r="CJ70" s="222"/>
      <c r="CK70" s="222"/>
      <c r="CL70" s="222"/>
    </row>
    <row r="71">
      <c r="A71" s="219"/>
      <c r="B71" s="229" t="s">
        <v>305</v>
      </c>
      <c r="C71" s="144"/>
      <c r="D71" s="144"/>
      <c r="E71" s="144"/>
      <c r="F71" s="167"/>
      <c r="G71" s="302"/>
      <c r="H71" s="302"/>
      <c r="I71" s="302"/>
      <c r="J71" s="211"/>
      <c r="K71" s="219"/>
      <c r="L71" s="219"/>
      <c r="M71" s="219"/>
      <c r="N71" s="219"/>
      <c r="O71" s="219"/>
      <c r="P71" s="219"/>
      <c r="Q71" s="219"/>
      <c r="R71" s="219"/>
      <c r="S71" s="219"/>
      <c r="T71" s="219"/>
      <c r="U71" s="231"/>
      <c r="V71" s="219"/>
      <c r="W71" s="219"/>
      <c r="X71" s="219"/>
      <c r="Y71" s="232"/>
      <c r="Z71" s="232"/>
      <c r="AA71" s="232"/>
      <c r="AB71" s="232"/>
      <c r="AC71" s="232"/>
      <c r="AD71" s="232"/>
      <c r="AE71" s="232"/>
      <c r="AF71" s="232"/>
      <c r="AG71" s="232"/>
      <c r="AH71" s="232"/>
      <c r="AI71" s="232"/>
      <c r="AJ71" s="232"/>
      <c r="AK71" s="232"/>
      <c r="AL71" s="232"/>
      <c r="AM71" s="232"/>
      <c r="AN71" s="232"/>
      <c r="AO71" s="232"/>
      <c r="AP71" s="232"/>
      <c r="AQ71" s="232"/>
      <c r="AR71" s="232"/>
      <c r="AS71" s="232"/>
      <c r="AT71" s="232"/>
      <c r="AU71" s="232"/>
      <c r="AV71" s="232"/>
      <c r="AW71" s="232"/>
      <c r="AX71" s="232"/>
      <c r="AY71" s="232"/>
      <c r="AZ71" s="232"/>
      <c r="BA71" s="232"/>
      <c r="BB71" s="232"/>
      <c r="BC71" s="232"/>
      <c r="BD71" s="232"/>
      <c r="BE71" s="232"/>
      <c r="BF71" s="232"/>
      <c r="BG71" s="232"/>
      <c r="BH71" s="232"/>
      <c r="BI71" s="232"/>
      <c r="BJ71" s="232"/>
      <c r="BK71" s="232"/>
      <c r="BL71" s="232"/>
      <c r="BM71" s="232"/>
      <c r="BN71" s="232"/>
      <c r="BO71" s="232"/>
      <c r="BP71" s="232"/>
      <c r="BQ71" s="232"/>
      <c r="BR71" s="232"/>
      <c r="BS71" s="232"/>
      <c r="BT71" s="232"/>
      <c r="BU71" s="232"/>
      <c r="BV71" s="232"/>
      <c r="BW71" s="232"/>
      <c r="BX71" s="232"/>
      <c r="BY71" s="232"/>
      <c r="BZ71" s="232"/>
      <c r="CA71" s="232"/>
      <c r="CB71" s="232"/>
      <c r="CC71" s="232"/>
      <c r="CD71" s="232"/>
      <c r="CE71" s="232"/>
      <c r="CF71" s="232"/>
      <c r="CG71" s="232"/>
      <c r="CH71" s="232"/>
      <c r="CI71" s="232"/>
      <c r="CJ71" s="232"/>
      <c r="CK71" s="232"/>
      <c r="CL71" s="232"/>
    </row>
    <row r="72" outlineLevel="1">
      <c r="A72" s="213" t="str">
        <f t="shared" ref="A72:A75" si="9">IF(E72="","",$C$3&amp;"."&amp;COUNTA($E$12:E72)&amp;"")</f>
        <v>TC_01.50</v>
      </c>
      <c r="B72" s="214" t="s">
        <v>67</v>
      </c>
      <c r="C72" s="215" t="s">
        <v>306</v>
      </c>
      <c r="D72" s="266" t="s">
        <v>307</v>
      </c>
      <c r="E72" s="273" t="s">
        <v>308</v>
      </c>
      <c r="F72" s="217" t="s">
        <v>309</v>
      </c>
      <c r="G72" s="268" t="s">
        <v>180</v>
      </c>
      <c r="H72" s="302" t="s">
        <v>56</v>
      </c>
      <c r="I72" s="268" t="s">
        <v>180</v>
      </c>
      <c r="J72" s="211" t="s">
        <v>135</v>
      </c>
      <c r="K72" s="221"/>
      <c r="L72" s="46" t="s">
        <v>310</v>
      </c>
      <c r="M72" s="221"/>
      <c r="N72" s="221"/>
      <c r="O72" s="221"/>
      <c r="P72" s="221"/>
      <c r="Q72" s="221"/>
      <c r="R72" s="221"/>
      <c r="S72" s="221"/>
      <c r="T72" s="221"/>
      <c r="U72" s="238"/>
      <c r="V72" s="221"/>
      <c r="W72" s="221"/>
      <c r="X72" s="221"/>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c r="AU72" s="222"/>
      <c r="AV72" s="222"/>
      <c r="AW72" s="222"/>
      <c r="AX72" s="222"/>
      <c r="AY72" s="222"/>
      <c r="AZ72" s="222"/>
      <c r="BA72" s="222"/>
      <c r="BB72" s="222"/>
      <c r="BC72" s="222"/>
      <c r="BD72" s="222"/>
      <c r="BE72" s="222"/>
      <c r="BF72" s="222"/>
      <c r="BG72" s="222"/>
      <c r="BH72" s="222"/>
      <c r="BI72" s="222"/>
      <c r="BJ72" s="222"/>
      <c r="BK72" s="222"/>
      <c r="BL72" s="222"/>
      <c r="BM72" s="222"/>
      <c r="BN72" s="222"/>
      <c r="BO72" s="222"/>
      <c r="BP72" s="222"/>
      <c r="BQ72" s="222"/>
      <c r="BR72" s="222"/>
      <c r="BS72" s="222"/>
      <c r="BT72" s="222"/>
      <c r="BU72" s="222"/>
      <c r="BV72" s="222"/>
      <c r="BW72" s="222"/>
      <c r="BX72" s="222"/>
      <c r="BY72" s="222"/>
      <c r="BZ72" s="222"/>
      <c r="CA72" s="222"/>
      <c r="CB72" s="222"/>
      <c r="CC72" s="222"/>
      <c r="CD72" s="222"/>
      <c r="CE72" s="222"/>
      <c r="CF72" s="222"/>
      <c r="CG72" s="222"/>
      <c r="CH72" s="222"/>
      <c r="CI72" s="222"/>
      <c r="CJ72" s="222"/>
      <c r="CK72" s="222"/>
      <c r="CL72" s="222"/>
    </row>
    <row r="73" outlineLevel="1">
      <c r="A73" s="213" t="str">
        <f t="shared" si="9"/>
        <v>TC_01.51</v>
      </c>
      <c r="B73" s="295" t="s">
        <v>69</v>
      </c>
      <c r="C73" s="269" t="s">
        <v>311</v>
      </c>
      <c r="D73" s="266" t="s">
        <v>307</v>
      </c>
      <c r="E73" s="217" t="s">
        <v>312</v>
      </c>
      <c r="F73" s="273" t="s">
        <v>313</v>
      </c>
      <c r="G73" s="302" t="s">
        <v>56</v>
      </c>
      <c r="H73" s="302" t="s">
        <v>56</v>
      </c>
      <c r="I73" s="268" t="s">
        <v>180</v>
      </c>
      <c r="J73" s="211" t="s">
        <v>135</v>
      </c>
      <c r="K73" s="221"/>
      <c r="L73" s="227" t="s">
        <v>249</v>
      </c>
      <c r="M73" s="221"/>
      <c r="N73" s="221"/>
      <c r="O73" s="221"/>
      <c r="P73" s="221"/>
      <c r="Q73" s="221"/>
      <c r="R73" s="221"/>
      <c r="S73" s="221"/>
      <c r="T73" s="221"/>
      <c r="U73" s="238"/>
      <c r="V73" s="221"/>
      <c r="W73" s="221"/>
      <c r="X73" s="221"/>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c r="AU73" s="222"/>
      <c r="AV73" s="222"/>
      <c r="AW73" s="222"/>
      <c r="AX73" s="222"/>
      <c r="AY73" s="222"/>
      <c r="AZ73" s="222"/>
      <c r="BA73" s="222"/>
      <c r="BB73" s="222"/>
      <c r="BC73" s="222"/>
      <c r="BD73" s="222"/>
      <c r="BE73" s="222"/>
      <c r="BF73" s="222"/>
      <c r="BG73" s="222"/>
      <c r="BH73" s="222"/>
      <c r="BI73" s="222"/>
      <c r="BJ73" s="222"/>
      <c r="BK73" s="222"/>
      <c r="BL73" s="222"/>
      <c r="BM73" s="222"/>
      <c r="BN73" s="222"/>
      <c r="BO73" s="222"/>
      <c r="BP73" s="222"/>
      <c r="BQ73" s="222"/>
      <c r="BR73" s="222"/>
      <c r="BS73" s="222"/>
      <c r="BT73" s="222"/>
      <c r="BU73" s="222"/>
      <c r="BV73" s="222"/>
      <c r="BW73" s="222"/>
      <c r="BX73" s="222"/>
      <c r="BY73" s="222"/>
      <c r="BZ73" s="222"/>
      <c r="CA73" s="222"/>
      <c r="CB73" s="222"/>
      <c r="CC73" s="222"/>
      <c r="CD73" s="222"/>
      <c r="CE73" s="222"/>
      <c r="CF73" s="222"/>
      <c r="CG73" s="222"/>
      <c r="CH73" s="222"/>
      <c r="CI73" s="222"/>
      <c r="CJ73" s="222"/>
      <c r="CK73" s="222"/>
      <c r="CL73" s="222"/>
    </row>
    <row r="74" outlineLevel="1">
      <c r="A74" s="213" t="str">
        <f t="shared" si="9"/>
        <v>TC_01.52</v>
      </c>
      <c r="B74" s="214" t="s">
        <v>67</v>
      </c>
      <c r="C74" s="234" t="s">
        <v>314</v>
      </c>
      <c r="D74" s="266" t="s">
        <v>307</v>
      </c>
      <c r="E74" s="235" t="s">
        <v>315</v>
      </c>
      <c r="F74" s="238" t="s">
        <v>316</v>
      </c>
      <c r="G74" s="302" t="s">
        <v>56</v>
      </c>
      <c r="H74" s="302" t="s">
        <v>56</v>
      </c>
      <c r="I74" s="268" t="s">
        <v>180</v>
      </c>
      <c r="J74" s="211" t="s">
        <v>135</v>
      </c>
      <c r="K74" s="221"/>
      <c r="L74" s="227" t="s">
        <v>249</v>
      </c>
      <c r="M74" s="221"/>
      <c r="N74" s="221"/>
      <c r="O74" s="221"/>
      <c r="P74" s="221"/>
      <c r="Q74" s="221"/>
      <c r="R74" s="221"/>
      <c r="S74" s="221"/>
      <c r="T74" s="221"/>
      <c r="U74" s="238"/>
      <c r="V74" s="221"/>
      <c r="W74" s="221"/>
      <c r="X74" s="221"/>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2"/>
      <c r="BK74" s="222"/>
      <c r="BL74" s="222"/>
      <c r="BM74" s="222"/>
      <c r="BN74" s="222"/>
      <c r="BO74" s="222"/>
      <c r="BP74" s="222"/>
      <c r="BQ74" s="222"/>
      <c r="BR74" s="222"/>
      <c r="BS74" s="222"/>
      <c r="BT74" s="222"/>
      <c r="BU74" s="222"/>
      <c r="BV74" s="222"/>
      <c r="BW74" s="222"/>
      <c r="BX74" s="222"/>
      <c r="BY74" s="222"/>
      <c r="BZ74" s="222"/>
      <c r="CA74" s="222"/>
      <c r="CB74" s="222"/>
      <c r="CC74" s="222"/>
      <c r="CD74" s="222"/>
      <c r="CE74" s="222"/>
      <c r="CF74" s="222"/>
      <c r="CG74" s="222"/>
      <c r="CH74" s="222"/>
      <c r="CI74" s="222"/>
      <c r="CJ74" s="222"/>
      <c r="CK74" s="222"/>
      <c r="CL74" s="222"/>
    </row>
    <row r="75" outlineLevel="1">
      <c r="A75" s="213" t="str">
        <f t="shared" si="9"/>
        <v>TC_01.53</v>
      </c>
      <c r="B75" s="214" t="s">
        <v>67</v>
      </c>
      <c r="C75" s="234" t="s">
        <v>317</v>
      </c>
      <c r="D75" s="266" t="s">
        <v>307</v>
      </c>
      <c r="E75" s="235" t="s">
        <v>318</v>
      </c>
      <c r="F75" s="235" t="s">
        <v>319</v>
      </c>
      <c r="G75" s="302" t="s">
        <v>56</v>
      </c>
      <c r="H75" s="302" t="s">
        <v>56</v>
      </c>
      <c r="I75" s="268" t="s">
        <v>180</v>
      </c>
      <c r="J75" s="211" t="s">
        <v>135</v>
      </c>
      <c r="K75" s="221"/>
      <c r="L75" s="227" t="s">
        <v>249</v>
      </c>
      <c r="M75" s="221"/>
      <c r="N75" s="221"/>
      <c r="O75" s="221"/>
      <c r="P75" s="221"/>
      <c r="Q75" s="221"/>
      <c r="R75" s="221"/>
      <c r="S75" s="221"/>
      <c r="T75" s="221"/>
      <c r="U75" s="238"/>
      <c r="V75" s="221"/>
      <c r="W75" s="221"/>
      <c r="X75" s="221"/>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c r="BF75" s="222"/>
      <c r="BG75" s="222"/>
      <c r="BH75" s="222"/>
      <c r="BI75" s="222"/>
      <c r="BJ75" s="222"/>
      <c r="BK75" s="222"/>
      <c r="BL75" s="222"/>
      <c r="BM75" s="222"/>
      <c r="BN75" s="222"/>
      <c r="BO75" s="222"/>
      <c r="BP75" s="222"/>
      <c r="BQ75" s="222"/>
      <c r="BR75" s="222"/>
      <c r="BS75" s="222"/>
      <c r="BT75" s="222"/>
      <c r="BU75" s="222"/>
      <c r="BV75" s="222"/>
      <c r="BW75" s="222"/>
      <c r="BX75" s="222"/>
      <c r="BY75" s="222"/>
      <c r="BZ75" s="222"/>
      <c r="CA75" s="222"/>
      <c r="CB75" s="222"/>
      <c r="CC75" s="222"/>
      <c r="CD75" s="222"/>
      <c r="CE75" s="222"/>
      <c r="CF75" s="222"/>
      <c r="CG75" s="222"/>
      <c r="CH75" s="222"/>
      <c r="CI75" s="222"/>
      <c r="CJ75" s="222"/>
      <c r="CK75" s="222"/>
      <c r="CL75" s="222"/>
    </row>
    <row r="76">
      <c r="A76" s="219"/>
      <c r="B76" s="229" t="s">
        <v>320</v>
      </c>
      <c r="C76" s="144"/>
      <c r="D76" s="144"/>
      <c r="E76" s="144"/>
      <c r="F76" s="167"/>
      <c r="G76" s="302"/>
      <c r="H76" s="302"/>
      <c r="I76" s="302"/>
      <c r="J76" s="211"/>
      <c r="K76" s="219"/>
      <c r="L76" s="219"/>
      <c r="M76" s="219"/>
      <c r="N76" s="219"/>
      <c r="O76" s="219"/>
      <c r="P76" s="219"/>
      <c r="Q76" s="219"/>
      <c r="R76" s="219"/>
      <c r="S76" s="219"/>
      <c r="T76" s="219"/>
      <c r="U76" s="231"/>
      <c r="V76" s="219"/>
      <c r="W76" s="219"/>
      <c r="X76" s="219"/>
      <c r="Y76" s="232"/>
      <c r="Z76" s="232"/>
      <c r="AA76" s="232"/>
      <c r="AB76" s="232"/>
      <c r="AC76" s="232"/>
      <c r="AD76" s="232"/>
      <c r="AE76" s="232"/>
      <c r="AF76" s="232"/>
      <c r="AG76" s="232"/>
      <c r="AH76" s="232"/>
      <c r="AI76" s="232"/>
      <c r="AJ76" s="232"/>
      <c r="AK76" s="232"/>
      <c r="AL76" s="232"/>
      <c r="AM76" s="232"/>
      <c r="AN76" s="232"/>
      <c r="AO76" s="232"/>
      <c r="AP76" s="232"/>
      <c r="AQ76" s="232"/>
      <c r="AR76" s="232"/>
      <c r="AS76" s="232"/>
      <c r="AT76" s="232"/>
      <c r="AU76" s="232"/>
      <c r="AV76" s="232"/>
      <c r="AW76" s="232"/>
      <c r="AX76" s="232"/>
      <c r="AY76" s="232"/>
      <c r="AZ76" s="232"/>
      <c r="BA76" s="232"/>
      <c r="BB76" s="232"/>
      <c r="BC76" s="232"/>
      <c r="BD76" s="232"/>
      <c r="BE76" s="232"/>
      <c r="BF76" s="232"/>
      <c r="BG76" s="232"/>
      <c r="BH76" s="232"/>
      <c r="BI76" s="232"/>
      <c r="BJ76" s="232"/>
      <c r="BK76" s="232"/>
      <c r="BL76" s="232"/>
      <c r="BM76" s="232"/>
      <c r="BN76" s="232"/>
      <c r="BO76" s="232"/>
      <c r="BP76" s="232"/>
      <c r="BQ76" s="232"/>
      <c r="BR76" s="232"/>
      <c r="BS76" s="232"/>
      <c r="BT76" s="232"/>
      <c r="BU76" s="232"/>
      <c r="BV76" s="232"/>
      <c r="BW76" s="232"/>
      <c r="BX76" s="232"/>
      <c r="BY76" s="232"/>
      <c r="BZ76" s="232"/>
      <c r="CA76" s="232"/>
      <c r="CB76" s="232"/>
      <c r="CC76" s="232"/>
      <c r="CD76" s="232"/>
      <c r="CE76" s="232"/>
      <c r="CF76" s="232"/>
      <c r="CG76" s="232"/>
      <c r="CH76" s="232"/>
      <c r="CI76" s="232"/>
      <c r="CJ76" s="232"/>
      <c r="CK76" s="232"/>
      <c r="CL76" s="232"/>
    </row>
    <row r="77" outlineLevel="1">
      <c r="A77" s="213" t="str">
        <f t="shared" ref="A77:A88" si="10">IF(E77="","",$C$3&amp;"."&amp;COUNTA($E$12:E77)&amp;"")</f>
        <v>TC_01.54</v>
      </c>
      <c r="B77" s="263" t="s">
        <v>67</v>
      </c>
      <c r="C77" s="215" t="s">
        <v>321</v>
      </c>
      <c r="D77" s="266" t="s">
        <v>307</v>
      </c>
      <c r="E77" s="273" t="s">
        <v>322</v>
      </c>
      <c r="F77" s="217" t="s">
        <v>323</v>
      </c>
      <c r="G77" s="268" t="s">
        <v>180</v>
      </c>
      <c r="H77" s="302" t="s">
        <v>56</v>
      </c>
      <c r="I77" s="268" t="s">
        <v>180</v>
      </c>
      <c r="J77" s="211" t="s">
        <v>135</v>
      </c>
      <c r="K77" s="221"/>
      <c r="L77" s="46" t="s">
        <v>310</v>
      </c>
      <c r="M77" s="221"/>
      <c r="N77" s="221"/>
      <c r="O77" s="221"/>
      <c r="P77" s="221"/>
      <c r="Q77" s="221"/>
      <c r="R77" s="221"/>
      <c r="S77" s="221"/>
      <c r="T77" s="221"/>
      <c r="U77" s="238"/>
      <c r="V77" s="221"/>
      <c r="W77" s="221"/>
      <c r="X77" s="221"/>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c r="AU77" s="222"/>
      <c r="AV77" s="222"/>
      <c r="AW77" s="222"/>
      <c r="AX77" s="222"/>
      <c r="AY77" s="222"/>
      <c r="AZ77" s="222"/>
      <c r="BA77" s="222"/>
      <c r="BB77" s="222"/>
      <c r="BC77" s="222"/>
      <c r="BD77" s="222"/>
      <c r="BE77" s="222"/>
      <c r="BF77" s="222"/>
      <c r="BG77" s="222"/>
      <c r="BH77" s="222"/>
      <c r="BI77" s="222"/>
      <c r="BJ77" s="222"/>
      <c r="BK77" s="222"/>
      <c r="BL77" s="222"/>
      <c r="BM77" s="222"/>
      <c r="BN77" s="222"/>
      <c r="BO77" s="222"/>
      <c r="BP77" s="222"/>
      <c r="BQ77" s="222"/>
      <c r="BR77" s="222"/>
      <c r="BS77" s="222"/>
      <c r="BT77" s="222"/>
      <c r="BU77" s="222"/>
      <c r="BV77" s="222"/>
      <c r="BW77" s="222"/>
      <c r="BX77" s="222"/>
      <c r="BY77" s="222"/>
      <c r="BZ77" s="222"/>
      <c r="CA77" s="222"/>
      <c r="CB77" s="222"/>
      <c r="CC77" s="222"/>
      <c r="CD77" s="222"/>
      <c r="CE77" s="222"/>
      <c r="CF77" s="222"/>
      <c r="CG77" s="222"/>
      <c r="CH77" s="222"/>
      <c r="CI77" s="222"/>
      <c r="CJ77" s="222"/>
      <c r="CK77" s="222"/>
      <c r="CL77" s="222"/>
    </row>
    <row r="78" outlineLevel="1">
      <c r="A78" s="213" t="str">
        <f t="shared" si="10"/>
        <v>TC_01.55</v>
      </c>
      <c r="B78" s="263" t="s">
        <v>67</v>
      </c>
      <c r="C78" s="242" t="s">
        <v>324</v>
      </c>
      <c r="D78" s="266" t="s">
        <v>325</v>
      </c>
      <c r="E78" s="235" t="s">
        <v>326</v>
      </c>
      <c r="F78" s="235" t="s">
        <v>327</v>
      </c>
      <c r="G78" s="268" t="s">
        <v>180</v>
      </c>
      <c r="H78" s="302" t="s">
        <v>56</v>
      </c>
      <c r="I78" s="268" t="s">
        <v>180</v>
      </c>
      <c r="J78" s="211" t="s">
        <v>135</v>
      </c>
      <c r="K78" s="221"/>
      <c r="L78" s="227" t="s">
        <v>249</v>
      </c>
      <c r="M78" s="221"/>
      <c r="N78" s="221"/>
      <c r="O78" s="221"/>
      <c r="P78" s="221"/>
      <c r="Q78" s="221"/>
      <c r="R78" s="221"/>
      <c r="S78" s="221"/>
      <c r="T78" s="221"/>
      <c r="U78" s="238"/>
      <c r="V78" s="221"/>
      <c r="W78" s="221"/>
      <c r="X78" s="221"/>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c r="AU78" s="222"/>
      <c r="AV78" s="222"/>
      <c r="AW78" s="222"/>
      <c r="AX78" s="222"/>
      <c r="AY78" s="222"/>
      <c r="AZ78" s="222"/>
      <c r="BA78" s="222"/>
      <c r="BB78" s="222"/>
      <c r="BC78" s="222"/>
      <c r="BD78" s="222"/>
      <c r="BE78" s="222"/>
      <c r="BF78" s="222"/>
      <c r="BG78" s="222"/>
      <c r="BH78" s="222"/>
      <c r="BI78" s="222"/>
      <c r="BJ78" s="222"/>
      <c r="BK78" s="222"/>
      <c r="BL78" s="222"/>
      <c r="BM78" s="222"/>
      <c r="BN78" s="222"/>
      <c r="BO78" s="222"/>
      <c r="BP78" s="222"/>
      <c r="BQ78" s="222"/>
      <c r="BR78" s="222"/>
      <c r="BS78" s="222"/>
      <c r="BT78" s="222"/>
      <c r="BU78" s="222"/>
      <c r="BV78" s="222"/>
      <c r="BW78" s="222"/>
      <c r="BX78" s="222"/>
      <c r="BY78" s="222"/>
      <c r="BZ78" s="222"/>
      <c r="CA78" s="222"/>
      <c r="CB78" s="222"/>
      <c r="CC78" s="222"/>
      <c r="CD78" s="222"/>
      <c r="CE78" s="222"/>
      <c r="CF78" s="222"/>
      <c r="CG78" s="222"/>
      <c r="CH78" s="222"/>
      <c r="CI78" s="222"/>
      <c r="CJ78" s="222"/>
      <c r="CK78" s="222"/>
      <c r="CL78" s="222"/>
    </row>
    <row r="79" outlineLevel="1">
      <c r="A79" s="213" t="str">
        <f t="shared" si="10"/>
        <v>TC_01.56</v>
      </c>
      <c r="B79" s="263" t="s">
        <v>67</v>
      </c>
      <c r="C79" s="242" t="s">
        <v>328</v>
      </c>
      <c r="D79" s="266" t="s">
        <v>307</v>
      </c>
      <c r="E79" s="235" t="s">
        <v>329</v>
      </c>
      <c r="F79" s="238" t="s">
        <v>330</v>
      </c>
      <c r="G79" s="268" t="s">
        <v>180</v>
      </c>
      <c r="H79" s="302" t="s">
        <v>56</v>
      </c>
      <c r="I79" s="268" t="s">
        <v>180</v>
      </c>
      <c r="J79" s="211" t="s">
        <v>135</v>
      </c>
      <c r="K79" s="221"/>
      <c r="L79" s="227" t="s">
        <v>249</v>
      </c>
      <c r="M79" s="221"/>
      <c r="N79" s="221"/>
      <c r="O79" s="221"/>
      <c r="P79" s="221"/>
      <c r="Q79" s="221"/>
      <c r="R79" s="221"/>
      <c r="S79" s="221"/>
      <c r="T79" s="221"/>
      <c r="U79" s="238"/>
      <c r="V79" s="221"/>
      <c r="W79" s="221"/>
      <c r="X79" s="221"/>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2"/>
      <c r="BK79" s="222"/>
      <c r="BL79" s="222"/>
      <c r="BM79" s="222"/>
      <c r="BN79" s="222"/>
      <c r="BO79" s="222"/>
      <c r="BP79" s="222"/>
      <c r="BQ79" s="222"/>
      <c r="BR79" s="222"/>
      <c r="BS79" s="222"/>
      <c r="BT79" s="222"/>
      <c r="BU79" s="222"/>
      <c r="BV79" s="222"/>
      <c r="BW79" s="222"/>
      <c r="BX79" s="222"/>
      <c r="BY79" s="222"/>
      <c r="BZ79" s="222"/>
      <c r="CA79" s="222"/>
      <c r="CB79" s="222"/>
      <c r="CC79" s="222"/>
      <c r="CD79" s="222"/>
      <c r="CE79" s="222"/>
      <c r="CF79" s="222"/>
      <c r="CG79" s="222"/>
      <c r="CH79" s="222"/>
      <c r="CI79" s="222"/>
      <c r="CJ79" s="222"/>
      <c r="CK79" s="222"/>
      <c r="CL79" s="222"/>
    </row>
    <row r="80" outlineLevel="1">
      <c r="A80" s="213" t="str">
        <f t="shared" si="10"/>
        <v>TC_01.57</v>
      </c>
      <c r="B80" s="261" t="s">
        <v>69</v>
      </c>
      <c r="C80" s="242" t="s">
        <v>331</v>
      </c>
      <c r="D80" s="266" t="s">
        <v>307</v>
      </c>
      <c r="E80" s="235" t="s">
        <v>332</v>
      </c>
      <c r="F80" s="236" t="s">
        <v>333</v>
      </c>
      <c r="G80" s="268" t="s">
        <v>180</v>
      </c>
      <c r="H80" s="302" t="s">
        <v>56</v>
      </c>
      <c r="I80" s="268" t="s">
        <v>180</v>
      </c>
      <c r="J80" s="211" t="s">
        <v>135</v>
      </c>
      <c r="K80" s="221"/>
      <c r="L80" s="227" t="s">
        <v>249</v>
      </c>
      <c r="M80" s="220"/>
      <c r="N80" s="244"/>
      <c r="O80" s="244"/>
      <c r="P80" s="245"/>
      <c r="Q80" s="220"/>
      <c r="R80" s="244"/>
      <c r="S80" s="244"/>
      <c r="T80" s="245"/>
      <c r="U80" s="43"/>
      <c r="V80" s="244"/>
      <c r="W80" s="244"/>
      <c r="X80" s="245"/>
      <c r="Y80" s="246"/>
      <c r="Z80" s="246"/>
      <c r="AA80" s="246"/>
      <c r="AB80" s="246"/>
      <c r="AC80" s="246"/>
      <c r="AD80" s="246"/>
      <c r="AE80" s="246"/>
      <c r="AF80" s="246"/>
      <c r="AG80" s="246"/>
      <c r="AH80" s="246"/>
      <c r="AI80" s="246"/>
      <c r="AJ80" s="246"/>
      <c r="AK80" s="246"/>
      <c r="AL80" s="246"/>
      <c r="AM80" s="246"/>
      <c r="AN80" s="246"/>
      <c r="AO80" s="246"/>
      <c r="AP80" s="246"/>
      <c r="AQ80" s="246"/>
      <c r="AR80" s="246"/>
      <c r="AS80" s="246"/>
      <c r="AT80" s="246"/>
      <c r="AU80" s="246"/>
      <c r="AV80" s="246"/>
      <c r="AW80" s="246"/>
      <c r="AX80" s="246"/>
      <c r="AY80" s="246"/>
      <c r="AZ80" s="246"/>
      <c r="BA80" s="246"/>
      <c r="BB80" s="246"/>
      <c r="BC80" s="246"/>
      <c r="BD80" s="246"/>
      <c r="BE80" s="246"/>
      <c r="BF80" s="246"/>
      <c r="BG80" s="246"/>
      <c r="BH80" s="246"/>
      <c r="BI80" s="246"/>
      <c r="BJ80" s="246"/>
      <c r="BK80" s="246"/>
      <c r="BL80" s="246"/>
      <c r="BM80" s="246"/>
      <c r="BN80" s="246"/>
      <c r="BO80" s="246"/>
      <c r="BP80" s="246"/>
      <c r="BQ80" s="246"/>
      <c r="BR80" s="246"/>
      <c r="BS80" s="246"/>
      <c r="BT80" s="246"/>
      <c r="BU80" s="246"/>
      <c r="BV80" s="246"/>
      <c r="BW80" s="246"/>
      <c r="BX80" s="246"/>
      <c r="BY80" s="246"/>
      <c r="BZ80" s="246"/>
      <c r="CA80" s="246"/>
      <c r="CB80" s="246"/>
      <c r="CC80" s="246"/>
      <c r="CD80" s="246"/>
      <c r="CE80" s="246"/>
      <c r="CF80" s="246"/>
      <c r="CG80" s="246"/>
      <c r="CH80" s="246"/>
      <c r="CI80" s="246"/>
      <c r="CJ80" s="246"/>
      <c r="CK80" s="246"/>
      <c r="CL80" s="246"/>
    </row>
    <row r="81" outlineLevel="1">
      <c r="A81" s="213" t="str">
        <f t="shared" si="10"/>
        <v>TC_01.58</v>
      </c>
      <c r="B81" s="233" t="s">
        <v>67</v>
      </c>
      <c r="C81" s="242" t="s">
        <v>334</v>
      </c>
      <c r="D81" s="266" t="s">
        <v>307</v>
      </c>
      <c r="E81" s="235" t="s">
        <v>335</v>
      </c>
      <c r="F81" s="236" t="s">
        <v>336</v>
      </c>
      <c r="G81" s="268" t="s">
        <v>180</v>
      </c>
      <c r="H81" s="302" t="s">
        <v>56</v>
      </c>
      <c r="I81" s="268" t="s">
        <v>180</v>
      </c>
      <c r="J81" s="211" t="s">
        <v>135</v>
      </c>
      <c r="K81" s="221"/>
      <c r="L81" s="227" t="s">
        <v>249</v>
      </c>
      <c r="M81" s="220"/>
      <c r="N81" s="244"/>
      <c r="O81" s="244"/>
      <c r="P81" s="245"/>
      <c r="Q81" s="220"/>
      <c r="R81" s="244"/>
      <c r="S81" s="244"/>
      <c r="T81" s="245"/>
      <c r="U81" s="43"/>
      <c r="V81" s="244"/>
      <c r="W81" s="244"/>
      <c r="X81" s="245"/>
      <c r="Y81" s="246"/>
      <c r="Z81" s="246"/>
      <c r="AA81" s="246"/>
      <c r="AB81" s="246"/>
      <c r="AC81" s="246"/>
      <c r="AD81" s="246"/>
      <c r="AE81" s="246"/>
      <c r="AF81" s="246"/>
      <c r="AG81" s="246"/>
      <c r="AH81" s="246"/>
      <c r="AI81" s="246"/>
      <c r="AJ81" s="246"/>
      <c r="AK81" s="246"/>
      <c r="AL81" s="246"/>
      <c r="AM81" s="246"/>
      <c r="AN81" s="246"/>
      <c r="AO81" s="246"/>
      <c r="AP81" s="246"/>
      <c r="AQ81" s="246"/>
      <c r="AR81" s="246"/>
      <c r="AS81" s="246"/>
      <c r="AT81" s="246"/>
      <c r="AU81" s="246"/>
      <c r="AV81" s="246"/>
      <c r="AW81" s="246"/>
      <c r="AX81" s="246"/>
      <c r="AY81" s="246"/>
      <c r="AZ81" s="246"/>
      <c r="BA81" s="246"/>
      <c r="BB81" s="246"/>
      <c r="BC81" s="246"/>
      <c r="BD81" s="246"/>
      <c r="BE81" s="246"/>
      <c r="BF81" s="246"/>
      <c r="BG81" s="246"/>
      <c r="BH81" s="246"/>
      <c r="BI81" s="246"/>
      <c r="BJ81" s="246"/>
      <c r="BK81" s="246"/>
      <c r="BL81" s="246"/>
      <c r="BM81" s="246"/>
      <c r="BN81" s="246"/>
      <c r="BO81" s="246"/>
      <c r="BP81" s="246"/>
      <c r="BQ81" s="246"/>
      <c r="BR81" s="246"/>
      <c r="BS81" s="246"/>
      <c r="BT81" s="246"/>
      <c r="BU81" s="246"/>
      <c r="BV81" s="246"/>
      <c r="BW81" s="246"/>
      <c r="BX81" s="246"/>
      <c r="BY81" s="246"/>
      <c r="BZ81" s="246"/>
      <c r="CA81" s="246"/>
      <c r="CB81" s="246"/>
      <c r="CC81" s="246"/>
      <c r="CD81" s="246"/>
      <c r="CE81" s="246"/>
      <c r="CF81" s="246"/>
      <c r="CG81" s="246"/>
      <c r="CH81" s="246"/>
      <c r="CI81" s="246"/>
      <c r="CJ81" s="246"/>
      <c r="CK81" s="246"/>
      <c r="CL81" s="246"/>
    </row>
    <row r="82" outlineLevel="1">
      <c r="A82" s="213" t="str">
        <f t="shared" si="10"/>
        <v>TC_01.59</v>
      </c>
      <c r="B82" s="233" t="s">
        <v>67</v>
      </c>
      <c r="C82" s="234" t="s">
        <v>337</v>
      </c>
      <c r="D82" s="266" t="s">
        <v>307</v>
      </c>
      <c r="E82" s="235" t="s">
        <v>338</v>
      </c>
      <c r="F82" s="235" t="s">
        <v>339</v>
      </c>
      <c r="G82" s="268" t="s">
        <v>180</v>
      </c>
      <c r="H82" s="302" t="s">
        <v>56</v>
      </c>
      <c r="I82" s="268" t="s">
        <v>180</v>
      </c>
      <c r="J82" s="211" t="s">
        <v>135</v>
      </c>
      <c r="K82" s="221"/>
      <c r="L82" s="227" t="s">
        <v>249</v>
      </c>
      <c r="M82" s="220"/>
      <c r="N82" s="244"/>
      <c r="O82" s="244"/>
      <c r="P82" s="245"/>
      <c r="Q82" s="220"/>
      <c r="R82" s="244"/>
      <c r="S82" s="244"/>
      <c r="T82" s="245"/>
      <c r="U82" s="43"/>
      <c r="V82" s="244"/>
      <c r="W82" s="244"/>
      <c r="X82" s="245"/>
      <c r="Y82" s="246"/>
      <c r="Z82" s="246"/>
      <c r="AA82" s="246"/>
      <c r="AB82" s="246"/>
      <c r="AC82" s="246"/>
      <c r="AD82" s="246"/>
      <c r="AE82" s="246"/>
      <c r="AF82" s="246"/>
      <c r="AG82" s="246"/>
      <c r="AH82" s="246"/>
      <c r="AI82" s="246"/>
      <c r="AJ82" s="246"/>
      <c r="AK82" s="246"/>
      <c r="AL82" s="246"/>
      <c r="AM82" s="246"/>
      <c r="AN82" s="246"/>
      <c r="AO82" s="246"/>
      <c r="AP82" s="246"/>
      <c r="AQ82" s="246"/>
      <c r="AR82" s="246"/>
      <c r="AS82" s="246"/>
      <c r="AT82" s="246"/>
      <c r="AU82" s="246"/>
      <c r="AV82" s="246"/>
      <c r="AW82" s="246"/>
      <c r="AX82" s="246"/>
      <c r="AY82" s="246"/>
      <c r="AZ82" s="246"/>
      <c r="BA82" s="246"/>
      <c r="BB82" s="246"/>
      <c r="BC82" s="246"/>
      <c r="BD82" s="246"/>
      <c r="BE82" s="246"/>
      <c r="BF82" s="246"/>
      <c r="BG82" s="246"/>
      <c r="BH82" s="246"/>
      <c r="BI82" s="246"/>
      <c r="BJ82" s="246"/>
      <c r="BK82" s="246"/>
      <c r="BL82" s="246"/>
      <c r="BM82" s="246"/>
      <c r="BN82" s="246"/>
      <c r="BO82" s="246"/>
      <c r="BP82" s="246"/>
      <c r="BQ82" s="246"/>
      <c r="BR82" s="246"/>
      <c r="BS82" s="246"/>
      <c r="BT82" s="246"/>
      <c r="BU82" s="246"/>
      <c r="BV82" s="246"/>
      <c r="BW82" s="246"/>
      <c r="BX82" s="246"/>
      <c r="BY82" s="246"/>
      <c r="BZ82" s="246"/>
      <c r="CA82" s="246"/>
      <c r="CB82" s="246"/>
      <c r="CC82" s="246"/>
      <c r="CD82" s="246"/>
      <c r="CE82" s="246"/>
      <c r="CF82" s="246"/>
      <c r="CG82" s="246"/>
      <c r="CH82" s="246"/>
      <c r="CI82" s="246"/>
      <c r="CJ82" s="246"/>
      <c r="CK82" s="246"/>
      <c r="CL82" s="246"/>
    </row>
    <row r="83" outlineLevel="1">
      <c r="A83" s="213" t="str">
        <f t="shared" si="10"/>
        <v>TC_01.60</v>
      </c>
      <c r="B83" s="261" t="s">
        <v>69</v>
      </c>
      <c r="C83" s="242" t="s">
        <v>340</v>
      </c>
      <c r="D83" s="266" t="s">
        <v>307</v>
      </c>
      <c r="E83" s="235" t="s">
        <v>341</v>
      </c>
      <c r="F83" s="236" t="s">
        <v>342</v>
      </c>
      <c r="G83" s="268" t="s">
        <v>180</v>
      </c>
      <c r="H83" s="302" t="s">
        <v>56</v>
      </c>
      <c r="I83" s="268" t="s">
        <v>180</v>
      </c>
      <c r="J83" s="211" t="s">
        <v>135</v>
      </c>
      <c r="K83" s="221"/>
      <c r="L83" s="227" t="s">
        <v>249</v>
      </c>
      <c r="M83" s="220"/>
      <c r="N83" s="244"/>
      <c r="O83" s="244"/>
      <c r="P83" s="245"/>
      <c r="Q83" s="220"/>
      <c r="R83" s="244"/>
      <c r="S83" s="244"/>
      <c r="T83" s="245"/>
      <c r="U83" s="43"/>
      <c r="V83" s="244"/>
      <c r="W83" s="244"/>
      <c r="X83" s="245"/>
      <c r="Y83" s="246"/>
      <c r="Z83" s="246"/>
      <c r="AA83" s="246"/>
      <c r="AB83" s="246"/>
      <c r="AC83" s="246"/>
      <c r="AD83" s="246"/>
      <c r="AE83" s="246"/>
      <c r="AF83" s="246"/>
      <c r="AG83" s="246"/>
      <c r="AH83" s="246"/>
      <c r="AI83" s="246"/>
      <c r="AJ83" s="246"/>
      <c r="AK83" s="246"/>
      <c r="AL83" s="246"/>
      <c r="AM83" s="246"/>
      <c r="AN83" s="246"/>
      <c r="AO83" s="246"/>
      <c r="AP83" s="246"/>
      <c r="AQ83" s="246"/>
      <c r="AR83" s="246"/>
      <c r="AS83" s="246"/>
      <c r="AT83" s="246"/>
      <c r="AU83" s="246"/>
      <c r="AV83" s="246"/>
      <c r="AW83" s="246"/>
      <c r="AX83" s="246"/>
      <c r="AY83" s="246"/>
      <c r="AZ83" s="246"/>
      <c r="BA83" s="246"/>
      <c r="BB83" s="246"/>
      <c r="BC83" s="246"/>
      <c r="BD83" s="246"/>
      <c r="BE83" s="246"/>
      <c r="BF83" s="246"/>
      <c r="BG83" s="246"/>
      <c r="BH83" s="246"/>
      <c r="BI83" s="246"/>
      <c r="BJ83" s="246"/>
      <c r="BK83" s="246"/>
      <c r="BL83" s="246"/>
      <c r="BM83" s="246"/>
      <c r="BN83" s="246"/>
      <c r="BO83" s="246"/>
      <c r="BP83" s="246"/>
      <c r="BQ83" s="246"/>
      <c r="BR83" s="246"/>
      <c r="BS83" s="246"/>
      <c r="BT83" s="246"/>
      <c r="BU83" s="246"/>
      <c r="BV83" s="246"/>
      <c r="BW83" s="246"/>
      <c r="BX83" s="246"/>
      <c r="BY83" s="246"/>
      <c r="BZ83" s="246"/>
      <c r="CA83" s="246"/>
      <c r="CB83" s="246"/>
      <c r="CC83" s="246"/>
      <c r="CD83" s="246"/>
      <c r="CE83" s="246"/>
      <c r="CF83" s="246"/>
      <c r="CG83" s="246"/>
      <c r="CH83" s="246"/>
      <c r="CI83" s="246"/>
      <c r="CJ83" s="246"/>
      <c r="CK83" s="246"/>
      <c r="CL83" s="246"/>
    </row>
    <row r="84" outlineLevel="1">
      <c r="A84" s="213" t="str">
        <f t="shared" si="10"/>
        <v>TC_01.61</v>
      </c>
      <c r="B84" s="233" t="s">
        <v>67</v>
      </c>
      <c r="C84" s="242" t="s">
        <v>343</v>
      </c>
      <c r="D84" s="266" t="s">
        <v>307</v>
      </c>
      <c r="E84" s="235" t="s">
        <v>344</v>
      </c>
      <c r="F84" s="236" t="s">
        <v>345</v>
      </c>
      <c r="G84" s="268" t="s">
        <v>180</v>
      </c>
      <c r="H84" s="302" t="s">
        <v>56</v>
      </c>
      <c r="I84" s="268" t="s">
        <v>180</v>
      </c>
      <c r="J84" s="211" t="s">
        <v>135</v>
      </c>
      <c r="K84" s="221"/>
      <c r="L84" s="227" t="s">
        <v>249</v>
      </c>
      <c r="M84" s="220"/>
      <c r="N84" s="244"/>
      <c r="O84" s="244"/>
      <c r="P84" s="245"/>
      <c r="Q84" s="220"/>
      <c r="R84" s="244"/>
      <c r="S84" s="244"/>
      <c r="T84" s="245"/>
      <c r="U84" s="43"/>
      <c r="V84" s="244"/>
      <c r="W84" s="244"/>
      <c r="X84" s="245"/>
      <c r="Y84" s="246"/>
      <c r="Z84" s="246"/>
      <c r="AA84" s="246"/>
      <c r="AB84" s="246"/>
      <c r="AC84" s="246"/>
      <c r="AD84" s="246"/>
      <c r="AE84" s="246"/>
      <c r="AF84" s="246"/>
      <c r="AG84" s="246"/>
      <c r="AH84" s="246"/>
      <c r="AI84" s="246"/>
      <c r="AJ84" s="246"/>
      <c r="AK84" s="246"/>
      <c r="AL84" s="246"/>
      <c r="AM84" s="246"/>
      <c r="AN84" s="246"/>
      <c r="AO84" s="246"/>
      <c r="AP84" s="246"/>
      <c r="AQ84" s="246"/>
      <c r="AR84" s="246"/>
      <c r="AS84" s="246"/>
      <c r="AT84" s="246"/>
      <c r="AU84" s="246"/>
      <c r="AV84" s="246"/>
      <c r="AW84" s="246"/>
      <c r="AX84" s="246"/>
      <c r="AY84" s="246"/>
      <c r="AZ84" s="246"/>
      <c r="BA84" s="246"/>
      <c r="BB84" s="246"/>
      <c r="BC84" s="246"/>
      <c r="BD84" s="246"/>
      <c r="BE84" s="246"/>
      <c r="BF84" s="246"/>
      <c r="BG84" s="246"/>
      <c r="BH84" s="246"/>
      <c r="BI84" s="246"/>
      <c r="BJ84" s="246"/>
      <c r="BK84" s="246"/>
      <c r="BL84" s="246"/>
      <c r="BM84" s="246"/>
      <c r="BN84" s="246"/>
      <c r="BO84" s="246"/>
      <c r="BP84" s="246"/>
      <c r="BQ84" s="246"/>
      <c r="BR84" s="246"/>
      <c r="BS84" s="246"/>
      <c r="BT84" s="246"/>
      <c r="BU84" s="246"/>
      <c r="BV84" s="246"/>
      <c r="BW84" s="246"/>
      <c r="BX84" s="246"/>
      <c r="BY84" s="246"/>
      <c r="BZ84" s="246"/>
      <c r="CA84" s="246"/>
      <c r="CB84" s="246"/>
      <c r="CC84" s="246"/>
      <c r="CD84" s="246"/>
      <c r="CE84" s="246"/>
      <c r="CF84" s="246"/>
      <c r="CG84" s="246"/>
      <c r="CH84" s="246"/>
      <c r="CI84" s="246"/>
      <c r="CJ84" s="246"/>
      <c r="CK84" s="246"/>
      <c r="CL84" s="246"/>
    </row>
    <row r="85" outlineLevel="1">
      <c r="A85" s="213" t="str">
        <f t="shared" si="10"/>
        <v>TC_01.62</v>
      </c>
      <c r="B85" s="233" t="s">
        <v>67</v>
      </c>
      <c r="C85" s="234" t="s">
        <v>346</v>
      </c>
      <c r="D85" s="266" t="s">
        <v>307</v>
      </c>
      <c r="E85" s="235" t="s">
        <v>347</v>
      </c>
      <c r="F85" s="235" t="s">
        <v>339</v>
      </c>
      <c r="G85" s="268" t="s">
        <v>180</v>
      </c>
      <c r="H85" s="302" t="s">
        <v>56</v>
      </c>
      <c r="I85" s="268" t="s">
        <v>180</v>
      </c>
      <c r="J85" s="211" t="s">
        <v>135</v>
      </c>
      <c r="K85" s="221"/>
      <c r="L85" s="227" t="s">
        <v>249</v>
      </c>
      <c r="M85" s="220"/>
      <c r="N85" s="244"/>
      <c r="O85" s="244"/>
      <c r="P85" s="245"/>
      <c r="Q85" s="220"/>
      <c r="R85" s="244"/>
      <c r="S85" s="244"/>
      <c r="T85" s="245"/>
      <c r="U85" s="43"/>
      <c r="V85" s="244"/>
      <c r="W85" s="244"/>
      <c r="X85" s="245"/>
      <c r="Y85" s="246"/>
      <c r="Z85" s="246"/>
      <c r="AA85" s="246"/>
      <c r="AB85" s="246"/>
      <c r="AC85" s="246"/>
      <c r="AD85" s="246"/>
      <c r="AE85" s="246"/>
      <c r="AF85" s="246"/>
      <c r="AG85" s="246"/>
      <c r="AH85" s="246"/>
      <c r="AI85" s="246"/>
      <c r="AJ85" s="246"/>
      <c r="AK85" s="246"/>
      <c r="AL85" s="246"/>
      <c r="AM85" s="246"/>
      <c r="AN85" s="246"/>
      <c r="AO85" s="246"/>
      <c r="AP85" s="246"/>
      <c r="AQ85" s="246"/>
      <c r="AR85" s="246"/>
      <c r="AS85" s="246"/>
      <c r="AT85" s="246"/>
      <c r="AU85" s="246"/>
      <c r="AV85" s="246"/>
      <c r="AW85" s="246"/>
      <c r="AX85" s="246"/>
      <c r="AY85" s="246"/>
      <c r="AZ85" s="246"/>
      <c r="BA85" s="246"/>
      <c r="BB85" s="246"/>
      <c r="BC85" s="246"/>
      <c r="BD85" s="246"/>
      <c r="BE85" s="246"/>
      <c r="BF85" s="246"/>
      <c r="BG85" s="246"/>
      <c r="BH85" s="246"/>
      <c r="BI85" s="246"/>
      <c r="BJ85" s="246"/>
      <c r="BK85" s="246"/>
      <c r="BL85" s="246"/>
      <c r="BM85" s="246"/>
      <c r="BN85" s="246"/>
      <c r="BO85" s="246"/>
      <c r="BP85" s="246"/>
      <c r="BQ85" s="246"/>
      <c r="BR85" s="246"/>
      <c r="BS85" s="246"/>
      <c r="BT85" s="246"/>
      <c r="BU85" s="246"/>
      <c r="BV85" s="246"/>
      <c r="BW85" s="246"/>
      <c r="BX85" s="246"/>
      <c r="BY85" s="246"/>
      <c r="BZ85" s="246"/>
      <c r="CA85" s="246"/>
      <c r="CB85" s="246"/>
      <c r="CC85" s="246"/>
      <c r="CD85" s="246"/>
      <c r="CE85" s="246"/>
      <c r="CF85" s="246"/>
      <c r="CG85" s="246"/>
      <c r="CH85" s="246"/>
      <c r="CI85" s="246"/>
      <c r="CJ85" s="246"/>
      <c r="CK85" s="246"/>
      <c r="CL85" s="246"/>
    </row>
    <row r="86" outlineLevel="1">
      <c r="A86" s="213" t="str">
        <f t="shared" si="10"/>
        <v>TC_01.63</v>
      </c>
      <c r="B86" s="261" t="s">
        <v>69</v>
      </c>
      <c r="C86" s="242" t="s">
        <v>348</v>
      </c>
      <c r="D86" s="266" t="s">
        <v>307</v>
      </c>
      <c r="E86" s="235" t="s">
        <v>349</v>
      </c>
      <c r="F86" s="236" t="s">
        <v>350</v>
      </c>
      <c r="G86" s="268" t="s">
        <v>180</v>
      </c>
      <c r="H86" s="302" t="s">
        <v>56</v>
      </c>
      <c r="I86" s="268" t="s">
        <v>180</v>
      </c>
      <c r="J86" s="211" t="s">
        <v>135</v>
      </c>
      <c r="K86" s="221"/>
      <c r="L86" s="227" t="s">
        <v>249</v>
      </c>
      <c r="M86" s="220"/>
      <c r="N86" s="244"/>
      <c r="O86" s="244"/>
      <c r="P86" s="245"/>
      <c r="Q86" s="220"/>
      <c r="R86" s="244"/>
      <c r="S86" s="244"/>
      <c r="T86" s="245"/>
      <c r="U86" s="43"/>
      <c r="V86" s="244"/>
      <c r="W86" s="244"/>
      <c r="X86" s="245"/>
      <c r="Y86" s="246"/>
      <c r="Z86" s="246"/>
      <c r="AA86" s="246"/>
      <c r="AB86" s="246"/>
      <c r="AC86" s="246"/>
      <c r="AD86" s="246"/>
      <c r="AE86" s="246"/>
      <c r="AF86" s="246"/>
      <c r="AG86" s="246"/>
      <c r="AH86" s="246"/>
      <c r="AI86" s="246"/>
      <c r="AJ86" s="246"/>
      <c r="AK86" s="246"/>
      <c r="AL86" s="246"/>
      <c r="AM86" s="246"/>
      <c r="AN86" s="246"/>
      <c r="AO86" s="246"/>
      <c r="AP86" s="246"/>
      <c r="AQ86" s="246"/>
      <c r="AR86" s="246"/>
      <c r="AS86" s="246"/>
      <c r="AT86" s="246"/>
      <c r="AU86" s="246"/>
      <c r="AV86" s="246"/>
      <c r="AW86" s="246"/>
      <c r="AX86" s="246"/>
      <c r="AY86" s="246"/>
      <c r="AZ86" s="246"/>
      <c r="BA86" s="246"/>
      <c r="BB86" s="246"/>
      <c r="BC86" s="246"/>
      <c r="BD86" s="246"/>
      <c r="BE86" s="246"/>
      <c r="BF86" s="246"/>
      <c r="BG86" s="246"/>
      <c r="BH86" s="246"/>
      <c r="BI86" s="246"/>
      <c r="BJ86" s="246"/>
      <c r="BK86" s="246"/>
      <c r="BL86" s="246"/>
      <c r="BM86" s="246"/>
      <c r="BN86" s="246"/>
      <c r="BO86" s="246"/>
      <c r="BP86" s="246"/>
      <c r="BQ86" s="246"/>
      <c r="BR86" s="246"/>
      <c r="BS86" s="246"/>
      <c r="BT86" s="246"/>
      <c r="BU86" s="246"/>
      <c r="BV86" s="246"/>
      <c r="BW86" s="246"/>
      <c r="BX86" s="246"/>
      <c r="BY86" s="246"/>
      <c r="BZ86" s="246"/>
      <c r="CA86" s="246"/>
      <c r="CB86" s="246"/>
      <c r="CC86" s="246"/>
      <c r="CD86" s="246"/>
      <c r="CE86" s="246"/>
      <c r="CF86" s="246"/>
      <c r="CG86" s="246"/>
      <c r="CH86" s="246"/>
      <c r="CI86" s="246"/>
      <c r="CJ86" s="246"/>
      <c r="CK86" s="246"/>
      <c r="CL86" s="246"/>
    </row>
    <row r="87" outlineLevel="1">
      <c r="A87" s="213" t="str">
        <f t="shared" si="10"/>
        <v>TC_01.64</v>
      </c>
      <c r="B87" s="233" t="s">
        <v>67</v>
      </c>
      <c r="C87" s="242" t="s">
        <v>351</v>
      </c>
      <c r="D87" s="266" t="s">
        <v>307</v>
      </c>
      <c r="E87" s="235" t="s">
        <v>352</v>
      </c>
      <c r="F87" s="235" t="s">
        <v>353</v>
      </c>
      <c r="G87" s="268" t="s">
        <v>180</v>
      </c>
      <c r="H87" s="302" t="s">
        <v>56</v>
      </c>
      <c r="I87" s="268" t="s">
        <v>180</v>
      </c>
      <c r="J87" s="211" t="s">
        <v>135</v>
      </c>
      <c r="K87" s="221"/>
      <c r="L87" s="227" t="s">
        <v>249</v>
      </c>
      <c r="M87" s="220"/>
      <c r="N87" s="244"/>
      <c r="O87" s="244"/>
      <c r="P87" s="245"/>
      <c r="Q87" s="220"/>
      <c r="R87" s="244"/>
      <c r="S87" s="244"/>
      <c r="T87" s="245"/>
      <c r="U87" s="43"/>
      <c r="V87" s="244"/>
      <c r="W87" s="244"/>
      <c r="X87" s="245"/>
      <c r="Y87" s="246"/>
      <c r="Z87" s="246"/>
      <c r="AA87" s="246"/>
      <c r="AB87" s="246"/>
      <c r="AC87" s="246"/>
      <c r="AD87" s="246"/>
      <c r="AE87" s="246"/>
      <c r="AF87" s="246"/>
      <c r="AG87" s="246"/>
      <c r="AH87" s="246"/>
      <c r="AI87" s="246"/>
      <c r="AJ87" s="246"/>
      <c r="AK87" s="246"/>
      <c r="AL87" s="246"/>
      <c r="AM87" s="246"/>
      <c r="AN87" s="246"/>
      <c r="AO87" s="246"/>
      <c r="AP87" s="246"/>
      <c r="AQ87" s="246"/>
      <c r="AR87" s="246"/>
      <c r="AS87" s="246"/>
      <c r="AT87" s="246"/>
      <c r="AU87" s="246"/>
      <c r="AV87" s="246"/>
      <c r="AW87" s="246"/>
      <c r="AX87" s="246"/>
      <c r="AY87" s="246"/>
      <c r="AZ87" s="246"/>
      <c r="BA87" s="246"/>
      <c r="BB87" s="246"/>
      <c r="BC87" s="246"/>
      <c r="BD87" s="246"/>
      <c r="BE87" s="246"/>
      <c r="BF87" s="246"/>
      <c r="BG87" s="246"/>
      <c r="BH87" s="246"/>
      <c r="BI87" s="246"/>
      <c r="BJ87" s="246"/>
      <c r="BK87" s="246"/>
      <c r="BL87" s="246"/>
      <c r="BM87" s="246"/>
      <c r="BN87" s="246"/>
      <c r="BO87" s="246"/>
      <c r="BP87" s="246"/>
      <c r="BQ87" s="246"/>
      <c r="BR87" s="246"/>
      <c r="BS87" s="246"/>
      <c r="BT87" s="246"/>
      <c r="BU87" s="246"/>
      <c r="BV87" s="246"/>
      <c r="BW87" s="246"/>
      <c r="BX87" s="246"/>
      <c r="BY87" s="246"/>
      <c r="BZ87" s="246"/>
      <c r="CA87" s="246"/>
      <c r="CB87" s="246"/>
      <c r="CC87" s="246"/>
      <c r="CD87" s="246"/>
      <c r="CE87" s="246"/>
      <c r="CF87" s="246"/>
      <c r="CG87" s="246"/>
      <c r="CH87" s="246"/>
      <c r="CI87" s="246"/>
      <c r="CJ87" s="246"/>
      <c r="CK87" s="246"/>
      <c r="CL87" s="246"/>
    </row>
    <row r="88" outlineLevel="1">
      <c r="A88" s="213" t="str">
        <f t="shared" si="10"/>
        <v>TC_01.65</v>
      </c>
      <c r="B88" s="233" t="s">
        <v>67</v>
      </c>
      <c r="C88" s="234" t="s">
        <v>354</v>
      </c>
      <c r="D88" s="266" t="s">
        <v>307</v>
      </c>
      <c r="E88" s="235" t="s">
        <v>355</v>
      </c>
      <c r="F88" s="235" t="s">
        <v>339</v>
      </c>
      <c r="G88" s="268" t="s">
        <v>180</v>
      </c>
      <c r="H88" s="302" t="s">
        <v>56</v>
      </c>
      <c r="I88" s="268" t="s">
        <v>180</v>
      </c>
      <c r="J88" s="211" t="s">
        <v>135</v>
      </c>
      <c r="K88" s="221"/>
      <c r="L88" s="227" t="s">
        <v>249</v>
      </c>
      <c r="M88" s="220"/>
      <c r="N88" s="244"/>
      <c r="O88" s="244"/>
      <c r="P88" s="245"/>
      <c r="Q88" s="220"/>
      <c r="R88" s="244"/>
      <c r="S88" s="244"/>
      <c r="T88" s="245"/>
      <c r="U88" s="43"/>
      <c r="V88" s="244"/>
      <c r="W88" s="244"/>
      <c r="X88" s="245"/>
      <c r="Y88" s="246"/>
      <c r="Z88" s="246"/>
      <c r="AA88" s="246"/>
      <c r="AB88" s="246"/>
      <c r="AC88" s="246"/>
      <c r="AD88" s="246"/>
      <c r="AE88" s="246"/>
      <c r="AF88" s="246"/>
      <c r="AG88" s="246"/>
      <c r="AH88" s="246"/>
      <c r="AI88" s="246"/>
      <c r="AJ88" s="246"/>
      <c r="AK88" s="246"/>
      <c r="AL88" s="246"/>
      <c r="AM88" s="246"/>
      <c r="AN88" s="246"/>
      <c r="AO88" s="246"/>
      <c r="AP88" s="246"/>
      <c r="AQ88" s="246"/>
      <c r="AR88" s="246"/>
      <c r="AS88" s="246"/>
      <c r="AT88" s="246"/>
      <c r="AU88" s="246"/>
      <c r="AV88" s="246"/>
      <c r="AW88" s="246"/>
      <c r="AX88" s="246"/>
      <c r="AY88" s="246"/>
      <c r="AZ88" s="246"/>
      <c r="BA88" s="246"/>
      <c r="BB88" s="246"/>
      <c r="BC88" s="246"/>
      <c r="BD88" s="246"/>
      <c r="BE88" s="246"/>
      <c r="BF88" s="246"/>
      <c r="BG88" s="246"/>
      <c r="BH88" s="246"/>
      <c r="BI88" s="246"/>
      <c r="BJ88" s="246"/>
      <c r="BK88" s="246"/>
      <c r="BL88" s="246"/>
      <c r="BM88" s="246"/>
      <c r="BN88" s="246"/>
      <c r="BO88" s="246"/>
      <c r="BP88" s="246"/>
      <c r="BQ88" s="246"/>
      <c r="BR88" s="246"/>
      <c r="BS88" s="246"/>
      <c r="BT88" s="246"/>
      <c r="BU88" s="246"/>
      <c r="BV88" s="246"/>
      <c r="BW88" s="246"/>
      <c r="BX88" s="246"/>
      <c r="BY88" s="246"/>
      <c r="BZ88" s="246"/>
      <c r="CA88" s="246"/>
      <c r="CB88" s="246"/>
      <c r="CC88" s="246"/>
      <c r="CD88" s="246"/>
      <c r="CE88" s="246"/>
      <c r="CF88" s="246"/>
      <c r="CG88" s="246"/>
      <c r="CH88" s="246"/>
      <c r="CI88" s="246"/>
      <c r="CJ88" s="246"/>
      <c r="CK88" s="246"/>
      <c r="CL88" s="246"/>
    </row>
    <row r="89">
      <c r="A89" s="219"/>
      <c r="B89" s="229" t="s">
        <v>356</v>
      </c>
      <c r="C89" s="144"/>
      <c r="D89" s="144"/>
      <c r="E89" s="144"/>
      <c r="F89" s="167"/>
      <c r="G89" s="302"/>
      <c r="H89" s="302"/>
      <c r="I89" s="302"/>
      <c r="J89" s="211"/>
      <c r="K89" s="219"/>
      <c r="L89" s="219"/>
      <c r="M89" s="219"/>
      <c r="N89" s="219"/>
      <c r="O89" s="219"/>
      <c r="P89" s="219"/>
      <c r="Q89" s="219"/>
      <c r="R89" s="219"/>
      <c r="S89" s="219"/>
      <c r="T89" s="219"/>
      <c r="U89" s="231"/>
      <c r="V89" s="219"/>
      <c r="W89" s="219"/>
      <c r="X89" s="219"/>
      <c r="Y89" s="232"/>
      <c r="Z89" s="232"/>
      <c r="AA89" s="232"/>
      <c r="AB89" s="232"/>
      <c r="AC89" s="232"/>
      <c r="AD89" s="232"/>
      <c r="AE89" s="232"/>
      <c r="AF89" s="232"/>
      <c r="AG89" s="232"/>
      <c r="AH89" s="232"/>
      <c r="AI89" s="232"/>
      <c r="AJ89" s="232"/>
      <c r="AK89" s="232"/>
      <c r="AL89" s="232"/>
      <c r="AM89" s="232"/>
      <c r="AN89" s="232"/>
      <c r="AO89" s="232"/>
      <c r="AP89" s="232"/>
      <c r="AQ89" s="232"/>
      <c r="AR89" s="232"/>
      <c r="AS89" s="232"/>
      <c r="AT89" s="232"/>
      <c r="AU89" s="232"/>
      <c r="AV89" s="232"/>
      <c r="AW89" s="232"/>
      <c r="AX89" s="232"/>
      <c r="AY89" s="232"/>
      <c r="AZ89" s="232"/>
      <c r="BA89" s="232"/>
      <c r="BB89" s="232"/>
      <c r="BC89" s="232"/>
      <c r="BD89" s="232"/>
      <c r="BE89" s="232"/>
      <c r="BF89" s="232"/>
      <c r="BG89" s="232"/>
      <c r="BH89" s="232"/>
      <c r="BI89" s="232"/>
      <c r="BJ89" s="232"/>
      <c r="BK89" s="232"/>
      <c r="BL89" s="232"/>
      <c r="BM89" s="232"/>
      <c r="BN89" s="232"/>
      <c r="BO89" s="232"/>
      <c r="BP89" s="232"/>
      <c r="BQ89" s="232"/>
      <c r="BR89" s="232"/>
      <c r="BS89" s="232"/>
      <c r="BT89" s="232"/>
      <c r="BU89" s="232"/>
      <c r="BV89" s="232"/>
      <c r="BW89" s="232"/>
      <c r="BX89" s="232"/>
      <c r="BY89" s="232"/>
      <c r="BZ89" s="232"/>
      <c r="CA89" s="232"/>
      <c r="CB89" s="232"/>
      <c r="CC89" s="232"/>
      <c r="CD89" s="232"/>
      <c r="CE89" s="232"/>
      <c r="CF89" s="232"/>
      <c r="CG89" s="232"/>
      <c r="CH89" s="232"/>
      <c r="CI89" s="232"/>
      <c r="CJ89" s="232"/>
      <c r="CK89" s="232"/>
      <c r="CL89" s="232"/>
    </row>
    <row r="90" outlineLevel="1">
      <c r="A90" s="213" t="str">
        <f t="shared" ref="A90:A118" si="11">IF(E90="","",$C$3&amp;"."&amp;COUNTA($E$12:E90)&amp;"")</f>
        <v>TC_01.66</v>
      </c>
      <c r="B90" s="295" t="s">
        <v>69</v>
      </c>
      <c r="C90" s="269" t="s">
        <v>357</v>
      </c>
      <c r="D90" s="266" t="s">
        <v>307</v>
      </c>
      <c r="E90" s="217" t="s">
        <v>358</v>
      </c>
      <c r="F90" s="270" t="s">
        <v>359</v>
      </c>
      <c r="G90" s="302" t="s">
        <v>56</v>
      </c>
      <c r="H90" s="302" t="s">
        <v>56</v>
      </c>
      <c r="I90" s="268" t="s">
        <v>180</v>
      </c>
      <c r="J90" s="211" t="s">
        <v>135</v>
      </c>
      <c r="K90" s="221"/>
      <c r="L90" s="227" t="s">
        <v>249</v>
      </c>
      <c r="M90" s="221"/>
      <c r="N90" s="221"/>
      <c r="O90" s="221"/>
      <c r="P90" s="221"/>
      <c r="Q90" s="221"/>
      <c r="R90" s="221"/>
      <c r="S90" s="221"/>
      <c r="T90" s="221"/>
      <c r="U90" s="238"/>
      <c r="V90" s="221"/>
      <c r="W90" s="221"/>
      <c r="X90" s="221"/>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c r="AU90" s="222"/>
      <c r="AV90" s="222"/>
      <c r="AW90" s="222"/>
      <c r="AX90" s="222"/>
      <c r="AY90" s="222"/>
      <c r="AZ90" s="222"/>
      <c r="BA90" s="222"/>
      <c r="BB90" s="222"/>
      <c r="BC90" s="222"/>
      <c r="BD90" s="222"/>
      <c r="BE90" s="222"/>
      <c r="BF90" s="222"/>
      <c r="BG90" s="222"/>
      <c r="BH90" s="222"/>
      <c r="BI90" s="222"/>
      <c r="BJ90" s="222"/>
      <c r="BK90" s="222"/>
      <c r="BL90" s="222"/>
      <c r="BM90" s="222"/>
      <c r="BN90" s="222"/>
      <c r="BO90" s="222"/>
      <c r="BP90" s="222"/>
      <c r="BQ90" s="222"/>
      <c r="BR90" s="222"/>
      <c r="BS90" s="222"/>
      <c r="BT90" s="222"/>
      <c r="BU90" s="222"/>
      <c r="BV90" s="222"/>
      <c r="BW90" s="222"/>
      <c r="BX90" s="222"/>
      <c r="BY90" s="222"/>
      <c r="BZ90" s="222"/>
      <c r="CA90" s="222"/>
      <c r="CB90" s="222"/>
      <c r="CC90" s="222"/>
      <c r="CD90" s="222"/>
      <c r="CE90" s="222"/>
      <c r="CF90" s="222"/>
      <c r="CG90" s="222"/>
      <c r="CH90" s="222"/>
      <c r="CI90" s="222"/>
      <c r="CJ90" s="222"/>
      <c r="CK90" s="222"/>
      <c r="CL90" s="222"/>
    </row>
    <row r="91" outlineLevel="1">
      <c r="A91" s="213" t="str">
        <f t="shared" si="11"/>
        <v>TC_01.67</v>
      </c>
      <c r="B91" s="295" t="s">
        <v>67</v>
      </c>
      <c r="C91" s="272" t="s">
        <v>360</v>
      </c>
      <c r="D91" s="266" t="s">
        <v>307</v>
      </c>
      <c r="E91" s="273" t="s">
        <v>361</v>
      </c>
      <c r="F91" s="274" t="s">
        <v>362</v>
      </c>
      <c r="G91" s="302" t="s">
        <v>56</v>
      </c>
      <c r="H91" s="302" t="s">
        <v>56</v>
      </c>
      <c r="I91" s="268" t="s">
        <v>180</v>
      </c>
      <c r="J91" s="211" t="s">
        <v>135</v>
      </c>
      <c r="K91" s="221"/>
      <c r="L91" s="227" t="s">
        <v>249</v>
      </c>
      <c r="M91" s="221"/>
      <c r="N91" s="221"/>
      <c r="O91" s="221"/>
      <c r="P91" s="221"/>
      <c r="Q91" s="221"/>
      <c r="R91" s="221"/>
      <c r="S91" s="221"/>
      <c r="T91" s="221"/>
      <c r="U91" s="238"/>
      <c r="V91" s="221"/>
      <c r="W91" s="221"/>
      <c r="X91" s="221"/>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row>
    <row r="92" outlineLevel="1">
      <c r="A92" s="213" t="str">
        <f t="shared" si="11"/>
        <v>TC_01.68</v>
      </c>
      <c r="B92" s="295" t="s">
        <v>67</v>
      </c>
      <c r="C92" s="234" t="s">
        <v>363</v>
      </c>
      <c r="D92" s="266" t="s">
        <v>307</v>
      </c>
      <c r="E92" s="235" t="s">
        <v>364</v>
      </c>
      <c r="F92" s="235" t="s">
        <v>365</v>
      </c>
      <c r="G92" s="302" t="s">
        <v>56</v>
      </c>
      <c r="H92" s="302" t="s">
        <v>56</v>
      </c>
      <c r="I92" s="268" t="s">
        <v>180</v>
      </c>
      <c r="J92" s="211" t="s">
        <v>135</v>
      </c>
      <c r="K92" s="217" t="s">
        <v>366</v>
      </c>
      <c r="L92" s="227" t="s">
        <v>249</v>
      </c>
      <c r="M92" s="221"/>
      <c r="N92" s="221"/>
      <c r="O92" s="221"/>
      <c r="P92" s="221"/>
      <c r="Q92" s="221"/>
      <c r="R92" s="221"/>
      <c r="S92" s="221"/>
      <c r="T92" s="221"/>
      <c r="U92" s="238"/>
      <c r="V92" s="221"/>
      <c r="W92" s="221"/>
      <c r="X92" s="221"/>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c r="AU92" s="222"/>
      <c r="AV92" s="222"/>
      <c r="AW92" s="222"/>
      <c r="AX92" s="222"/>
      <c r="AY92" s="222"/>
      <c r="AZ92" s="222"/>
      <c r="BA92" s="222"/>
      <c r="BB92" s="222"/>
      <c r="BC92" s="222"/>
      <c r="BD92" s="222"/>
      <c r="BE92" s="222"/>
      <c r="BF92" s="222"/>
      <c r="BG92" s="222"/>
      <c r="BH92" s="222"/>
      <c r="BI92" s="222"/>
      <c r="BJ92" s="222"/>
      <c r="BK92" s="222"/>
      <c r="BL92" s="222"/>
      <c r="BM92" s="222"/>
      <c r="BN92" s="222"/>
      <c r="BO92" s="222"/>
      <c r="BP92" s="222"/>
      <c r="BQ92" s="222"/>
      <c r="BR92" s="222"/>
      <c r="BS92" s="222"/>
      <c r="BT92" s="222"/>
      <c r="BU92" s="222"/>
      <c r="BV92" s="222"/>
      <c r="BW92" s="222"/>
      <c r="BX92" s="222"/>
      <c r="BY92" s="222"/>
      <c r="BZ92" s="222"/>
      <c r="CA92" s="222"/>
      <c r="CB92" s="222"/>
      <c r="CC92" s="222"/>
      <c r="CD92" s="222"/>
      <c r="CE92" s="222"/>
      <c r="CF92" s="222"/>
      <c r="CG92" s="222"/>
      <c r="CH92" s="222"/>
      <c r="CI92" s="222"/>
      <c r="CJ92" s="222"/>
      <c r="CK92" s="222"/>
      <c r="CL92" s="222"/>
    </row>
    <row r="93" outlineLevel="1">
      <c r="A93" s="213" t="str">
        <f t="shared" si="11"/>
        <v>TC_01.69</v>
      </c>
      <c r="B93" s="295" t="s">
        <v>65</v>
      </c>
      <c r="C93" s="276" t="s">
        <v>367</v>
      </c>
      <c r="D93" s="266" t="s">
        <v>307</v>
      </c>
      <c r="E93" s="235" t="s">
        <v>368</v>
      </c>
      <c r="F93" s="304" t="s">
        <v>369</v>
      </c>
      <c r="G93" s="211" t="s">
        <v>60</v>
      </c>
      <c r="H93" s="211" t="s">
        <v>60</v>
      </c>
      <c r="I93" s="268" t="s">
        <v>180</v>
      </c>
      <c r="J93" s="211" t="s">
        <v>135</v>
      </c>
      <c r="K93" s="221"/>
      <c r="L93" s="227" t="s">
        <v>370</v>
      </c>
      <c r="M93" s="221"/>
      <c r="N93" s="221"/>
      <c r="O93" s="221"/>
      <c r="P93" s="221"/>
      <c r="Q93" s="221"/>
      <c r="R93" s="221"/>
      <c r="S93" s="221"/>
      <c r="T93" s="221"/>
      <c r="U93" s="238"/>
      <c r="V93" s="221"/>
      <c r="W93" s="221"/>
      <c r="X93" s="221"/>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c r="AU93" s="222"/>
      <c r="AV93" s="222"/>
      <c r="AW93" s="222"/>
      <c r="AX93" s="222"/>
      <c r="AY93" s="222"/>
      <c r="AZ93" s="222"/>
      <c r="BA93" s="222"/>
      <c r="BB93" s="222"/>
      <c r="BC93" s="222"/>
      <c r="BD93" s="222"/>
      <c r="BE93" s="222"/>
      <c r="BF93" s="222"/>
      <c r="BG93" s="222"/>
      <c r="BH93" s="222"/>
      <c r="BI93" s="222"/>
      <c r="BJ93" s="222"/>
      <c r="BK93" s="222"/>
      <c r="BL93" s="222"/>
      <c r="BM93" s="222"/>
      <c r="BN93" s="222"/>
      <c r="BO93" s="222"/>
      <c r="BP93" s="222"/>
      <c r="BQ93" s="222"/>
      <c r="BR93" s="222"/>
      <c r="BS93" s="222"/>
      <c r="BT93" s="222"/>
      <c r="BU93" s="222"/>
      <c r="BV93" s="222"/>
      <c r="BW93" s="222"/>
      <c r="BX93" s="222"/>
      <c r="BY93" s="222"/>
      <c r="BZ93" s="222"/>
      <c r="CA93" s="222"/>
      <c r="CB93" s="222"/>
      <c r="CC93" s="222"/>
      <c r="CD93" s="222"/>
      <c r="CE93" s="222"/>
      <c r="CF93" s="222"/>
      <c r="CG93" s="222"/>
      <c r="CH93" s="222"/>
      <c r="CI93" s="222"/>
      <c r="CJ93" s="222"/>
      <c r="CK93" s="222"/>
      <c r="CL93" s="222"/>
    </row>
    <row r="94" outlineLevel="1">
      <c r="A94" s="213" t="str">
        <f t="shared" si="11"/>
        <v>TC_01.70</v>
      </c>
      <c r="B94" s="295" t="s">
        <v>67</v>
      </c>
      <c r="C94" s="305" t="s">
        <v>371</v>
      </c>
      <c r="D94" s="266" t="s">
        <v>307</v>
      </c>
      <c r="E94" s="235" t="s">
        <v>372</v>
      </c>
      <c r="F94" s="306" t="s">
        <v>373</v>
      </c>
      <c r="G94" s="211" t="s">
        <v>60</v>
      </c>
      <c r="H94" s="211" t="s">
        <v>60</v>
      </c>
      <c r="I94" s="268" t="s">
        <v>180</v>
      </c>
      <c r="J94" s="211" t="s">
        <v>135</v>
      </c>
      <c r="K94" s="221"/>
      <c r="L94" s="227" t="s">
        <v>370</v>
      </c>
      <c r="M94" s="221"/>
      <c r="N94" s="221"/>
      <c r="O94" s="221"/>
      <c r="P94" s="221"/>
      <c r="Q94" s="221"/>
      <c r="R94" s="221"/>
      <c r="S94" s="221"/>
      <c r="T94" s="221"/>
      <c r="U94" s="238"/>
      <c r="V94" s="221"/>
      <c r="W94" s="221"/>
      <c r="X94" s="221"/>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2"/>
      <c r="BK94" s="222"/>
      <c r="BL94" s="222"/>
      <c r="BM94" s="222"/>
      <c r="BN94" s="222"/>
      <c r="BO94" s="222"/>
      <c r="BP94" s="222"/>
      <c r="BQ94" s="222"/>
      <c r="BR94" s="222"/>
      <c r="BS94" s="222"/>
      <c r="BT94" s="222"/>
      <c r="BU94" s="222"/>
      <c r="BV94" s="222"/>
      <c r="BW94" s="222"/>
      <c r="BX94" s="222"/>
      <c r="BY94" s="222"/>
      <c r="BZ94" s="222"/>
      <c r="CA94" s="222"/>
      <c r="CB94" s="222"/>
      <c r="CC94" s="222"/>
      <c r="CD94" s="222"/>
      <c r="CE94" s="222"/>
      <c r="CF94" s="222"/>
      <c r="CG94" s="222"/>
      <c r="CH94" s="222"/>
      <c r="CI94" s="222"/>
      <c r="CJ94" s="222"/>
      <c r="CK94" s="222"/>
      <c r="CL94" s="222"/>
    </row>
    <row r="95" outlineLevel="1">
      <c r="A95" s="213" t="str">
        <f t="shared" si="11"/>
        <v>TC_01.71</v>
      </c>
      <c r="B95" s="295" t="s">
        <v>67</v>
      </c>
      <c r="C95" s="276" t="s">
        <v>374</v>
      </c>
      <c r="D95" s="307" t="s">
        <v>375</v>
      </c>
      <c r="E95" s="235" t="s">
        <v>376</v>
      </c>
      <c r="F95" s="304" t="s">
        <v>377</v>
      </c>
      <c r="G95" s="302" t="s">
        <v>60</v>
      </c>
      <c r="H95" s="302" t="s">
        <v>60</v>
      </c>
      <c r="I95" s="268" t="s">
        <v>180</v>
      </c>
      <c r="J95" s="211"/>
      <c r="K95" s="221"/>
      <c r="L95" s="227" t="s">
        <v>370</v>
      </c>
      <c r="M95" s="221"/>
      <c r="N95" s="221"/>
      <c r="O95" s="221"/>
      <c r="P95" s="221"/>
      <c r="Q95" s="221"/>
      <c r="R95" s="221"/>
      <c r="S95" s="221"/>
      <c r="T95" s="221"/>
      <c r="U95" s="238"/>
      <c r="V95" s="221"/>
      <c r="W95" s="221"/>
      <c r="X95" s="221"/>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2"/>
      <c r="BK95" s="222"/>
      <c r="BL95" s="222"/>
      <c r="BM95" s="222"/>
      <c r="BN95" s="222"/>
      <c r="BO95" s="222"/>
      <c r="BP95" s="222"/>
      <c r="BQ95" s="222"/>
      <c r="BR95" s="222"/>
      <c r="BS95" s="222"/>
      <c r="BT95" s="222"/>
      <c r="BU95" s="222"/>
      <c r="BV95" s="222"/>
      <c r="BW95" s="222"/>
      <c r="BX95" s="222"/>
      <c r="BY95" s="222"/>
      <c r="BZ95" s="222"/>
      <c r="CA95" s="222"/>
      <c r="CB95" s="222"/>
      <c r="CC95" s="222"/>
      <c r="CD95" s="222"/>
      <c r="CE95" s="222"/>
      <c r="CF95" s="222"/>
      <c r="CG95" s="222"/>
      <c r="CH95" s="222"/>
      <c r="CI95" s="222"/>
      <c r="CJ95" s="222"/>
      <c r="CK95" s="222"/>
      <c r="CL95" s="222"/>
    </row>
    <row r="96">
      <c r="A96" s="219" t="str">
        <f t="shared" si="11"/>
        <v/>
      </c>
      <c r="B96" s="308" t="s">
        <v>378</v>
      </c>
      <c r="C96" s="144"/>
      <c r="D96" s="144"/>
      <c r="E96" s="144"/>
      <c r="F96" s="144"/>
      <c r="G96" s="228"/>
      <c r="H96" s="228"/>
      <c r="I96" s="228"/>
      <c r="J96" s="228"/>
      <c r="K96" s="208"/>
      <c r="L96" s="208"/>
      <c r="M96" s="208"/>
      <c r="N96" s="208"/>
      <c r="O96" s="208"/>
      <c r="P96" s="208"/>
      <c r="Q96" s="208"/>
      <c r="R96" s="208"/>
      <c r="S96" s="208"/>
      <c r="T96" s="208"/>
      <c r="U96" s="264"/>
      <c r="V96" s="208"/>
      <c r="W96" s="208"/>
      <c r="X96" s="208"/>
      <c r="Y96" s="265"/>
      <c r="Z96" s="265"/>
      <c r="AA96" s="265"/>
      <c r="AB96" s="265"/>
      <c r="AC96" s="265"/>
      <c r="AD96" s="265"/>
      <c r="AE96" s="265"/>
      <c r="AF96" s="265"/>
      <c r="AG96" s="265"/>
      <c r="AH96" s="265"/>
      <c r="AI96" s="265"/>
      <c r="AJ96" s="265"/>
      <c r="AK96" s="265"/>
      <c r="AL96" s="265"/>
      <c r="AM96" s="265"/>
      <c r="AN96" s="265"/>
      <c r="AO96" s="265"/>
      <c r="AP96" s="265"/>
      <c r="AQ96" s="265"/>
      <c r="AR96" s="265"/>
      <c r="AS96" s="265"/>
      <c r="AT96" s="265"/>
      <c r="AU96" s="265"/>
      <c r="AV96" s="265"/>
      <c r="AW96" s="265"/>
      <c r="AX96" s="265"/>
      <c r="AY96" s="265"/>
      <c r="AZ96" s="265"/>
      <c r="BA96" s="265"/>
      <c r="BB96" s="265"/>
      <c r="BC96" s="265"/>
      <c r="BD96" s="265"/>
      <c r="BE96" s="265"/>
      <c r="BF96" s="265"/>
      <c r="BG96" s="265"/>
      <c r="BH96" s="265"/>
      <c r="BI96" s="265"/>
      <c r="BJ96" s="265"/>
      <c r="BK96" s="265"/>
      <c r="BL96" s="265"/>
      <c r="BM96" s="265"/>
      <c r="BN96" s="265"/>
      <c r="BO96" s="265"/>
      <c r="BP96" s="265"/>
      <c r="BQ96" s="265"/>
      <c r="BR96" s="265"/>
      <c r="BS96" s="265"/>
      <c r="BT96" s="265"/>
      <c r="BU96" s="265"/>
      <c r="BV96" s="265"/>
      <c r="BW96" s="265"/>
      <c r="BX96" s="265"/>
      <c r="BY96" s="265"/>
      <c r="BZ96" s="265"/>
      <c r="CA96" s="265"/>
      <c r="CB96" s="265"/>
      <c r="CC96" s="265"/>
      <c r="CD96" s="265"/>
      <c r="CE96" s="265"/>
      <c r="CF96" s="265"/>
      <c r="CG96" s="265"/>
      <c r="CH96" s="265"/>
      <c r="CI96" s="265"/>
      <c r="CJ96" s="265"/>
      <c r="CK96" s="265"/>
      <c r="CL96" s="265"/>
    </row>
    <row r="97" outlineLevel="1">
      <c r="A97" s="213" t="str">
        <f t="shared" si="11"/>
        <v>TC_01.72</v>
      </c>
      <c r="B97" s="309" t="s">
        <v>67</v>
      </c>
      <c r="C97" s="310" t="s">
        <v>379</v>
      </c>
      <c r="D97" s="266" t="s">
        <v>246</v>
      </c>
      <c r="E97" s="311" t="s">
        <v>380</v>
      </c>
      <c r="F97" s="312" t="s">
        <v>381</v>
      </c>
      <c r="G97" s="211" t="s">
        <v>56</v>
      </c>
      <c r="H97" s="211" t="s">
        <v>56</v>
      </c>
      <c r="I97" s="268" t="s">
        <v>180</v>
      </c>
      <c r="J97" s="211" t="s">
        <v>135</v>
      </c>
      <c r="K97" s="221"/>
      <c r="L97" s="227" t="s">
        <v>249</v>
      </c>
      <c r="M97" s="220"/>
      <c r="N97" s="244"/>
      <c r="O97" s="244"/>
      <c r="P97" s="245"/>
      <c r="Q97" s="220"/>
      <c r="R97" s="244"/>
      <c r="S97" s="244"/>
      <c r="T97" s="245"/>
      <c r="U97" s="43"/>
      <c r="V97" s="244"/>
      <c r="W97" s="244"/>
      <c r="X97" s="245"/>
      <c r="Y97" s="246"/>
      <c r="Z97" s="246"/>
      <c r="AA97" s="246"/>
      <c r="AB97" s="246"/>
      <c r="AC97" s="246"/>
      <c r="AD97" s="246"/>
      <c r="AE97" s="246"/>
      <c r="AF97" s="246"/>
      <c r="AG97" s="246"/>
      <c r="AH97" s="246"/>
      <c r="AI97" s="246"/>
      <c r="AJ97" s="246"/>
      <c r="AK97" s="246"/>
      <c r="AL97" s="246"/>
      <c r="AM97" s="246"/>
      <c r="AN97" s="246"/>
      <c r="AO97" s="246"/>
      <c r="AP97" s="246"/>
      <c r="AQ97" s="246"/>
      <c r="AR97" s="246"/>
      <c r="AS97" s="246"/>
      <c r="AT97" s="246"/>
      <c r="AU97" s="246"/>
      <c r="AV97" s="246"/>
      <c r="AW97" s="246"/>
      <c r="AX97" s="246"/>
      <c r="AY97" s="246"/>
      <c r="AZ97" s="246"/>
      <c r="BA97" s="246"/>
      <c r="BB97" s="246"/>
      <c r="BC97" s="246"/>
      <c r="BD97" s="246"/>
      <c r="BE97" s="246"/>
      <c r="BF97" s="246"/>
      <c r="BG97" s="246"/>
      <c r="BH97" s="246"/>
      <c r="BI97" s="246"/>
      <c r="BJ97" s="246"/>
      <c r="BK97" s="246"/>
      <c r="BL97" s="246"/>
      <c r="BM97" s="246"/>
      <c r="BN97" s="246"/>
      <c r="BO97" s="246"/>
      <c r="BP97" s="246"/>
      <c r="BQ97" s="246"/>
      <c r="BR97" s="246"/>
      <c r="BS97" s="246"/>
      <c r="BT97" s="246"/>
      <c r="BU97" s="246"/>
      <c r="BV97" s="246"/>
      <c r="BW97" s="246"/>
      <c r="BX97" s="246"/>
      <c r="BY97" s="246"/>
      <c r="BZ97" s="246"/>
      <c r="CA97" s="246"/>
      <c r="CB97" s="246"/>
      <c r="CC97" s="246"/>
      <c r="CD97" s="246"/>
      <c r="CE97" s="246"/>
      <c r="CF97" s="246"/>
      <c r="CG97" s="246"/>
      <c r="CH97" s="246"/>
      <c r="CI97" s="246"/>
      <c r="CJ97" s="246"/>
      <c r="CK97" s="246"/>
      <c r="CL97" s="246"/>
    </row>
    <row r="98" outlineLevel="1">
      <c r="A98" s="213" t="str">
        <f t="shared" si="11"/>
        <v>TC_01.73</v>
      </c>
      <c r="B98" s="309" t="s">
        <v>67</v>
      </c>
      <c r="C98" s="313" t="s">
        <v>382</v>
      </c>
      <c r="D98" s="266" t="s">
        <v>246</v>
      </c>
      <c r="E98" s="311" t="s">
        <v>383</v>
      </c>
      <c r="F98" s="312" t="s">
        <v>384</v>
      </c>
      <c r="G98" s="211" t="s">
        <v>56</v>
      </c>
      <c r="H98" s="211" t="s">
        <v>56</v>
      </c>
      <c r="I98" s="268" t="s">
        <v>180</v>
      </c>
      <c r="J98" s="211" t="s">
        <v>135</v>
      </c>
      <c r="K98" s="221"/>
      <c r="L98" s="227" t="s">
        <v>249</v>
      </c>
      <c r="M98" s="220"/>
      <c r="N98" s="244"/>
      <c r="O98" s="244"/>
      <c r="P98" s="245"/>
      <c r="Q98" s="220"/>
      <c r="R98" s="244"/>
      <c r="S98" s="244"/>
      <c r="T98" s="245"/>
      <c r="U98" s="43"/>
      <c r="V98" s="244"/>
      <c r="W98" s="244"/>
      <c r="X98" s="245"/>
      <c r="Y98" s="246"/>
      <c r="Z98" s="246"/>
      <c r="AA98" s="246"/>
      <c r="AB98" s="246"/>
      <c r="AC98" s="246"/>
      <c r="AD98" s="246"/>
      <c r="AE98" s="246"/>
      <c r="AF98" s="246"/>
      <c r="AG98" s="246"/>
      <c r="AH98" s="246"/>
      <c r="AI98" s="246"/>
      <c r="AJ98" s="246"/>
      <c r="AK98" s="246"/>
      <c r="AL98" s="246"/>
      <c r="AM98" s="246"/>
      <c r="AN98" s="246"/>
      <c r="AO98" s="246"/>
      <c r="AP98" s="246"/>
      <c r="AQ98" s="246"/>
      <c r="AR98" s="246"/>
      <c r="AS98" s="246"/>
      <c r="AT98" s="246"/>
      <c r="AU98" s="246"/>
      <c r="AV98" s="246"/>
      <c r="AW98" s="246"/>
      <c r="AX98" s="246"/>
      <c r="AY98" s="246"/>
      <c r="AZ98" s="246"/>
      <c r="BA98" s="246"/>
      <c r="BB98" s="246"/>
      <c r="BC98" s="246"/>
      <c r="BD98" s="246"/>
      <c r="BE98" s="246"/>
      <c r="BF98" s="246"/>
      <c r="BG98" s="246"/>
      <c r="BH98" s="246"/>
      <c r="BI98" s="246"/>
      <c r="BJ98" s="246"/>
      <c r="BK98" s="246"/>
      <c r="BL98" s="246"/>
      <c r="BM98" s="246"/>
      <c r="BN98" s="246"/>
      <c r="BO98" s="246"/>
      <c r="BP98" s="246"/>
      <c r="BQ98" s="246"/>
      <c r="BR98" s="246"/>
      <c r="BS98" s="246"/>
      <c r="BT98" s="246"/>
      <c r="BU98" s="246"/>
      <c r="BV98" s="246"/>
      <c r="BW98" s="246"/>
      <c r="BX98" s="246"/>
      <c r="BY98" s="246"/>
      <c r="BZ98" s="246"/>
      <c r="CA98" s="246"/>
      <c r="CB98" s="246"/>
      <c r="CC98" s="246"/>
      <c r="CD98" s="246"/>
      <c r="CE98" s="246"/>
      <c r="CF98" s="246"/>
      <c r="CG98" s="246"/>
      <c r="CH98" s="246"/>
      <c r="CI98" s="246"/>
      <c r="CJ98" s="246"/>
      <c r="CK98" s="246"/>
      <c r="CL98" s="246"/>
    </row>
    <row r="99" outlineLevel="1">
      <c r="A99" s="213" t="str">
        <f t="shared" si="11"/>
        <v>TC_01.74</v>
      </c>
      <c r="B99" s="309" t="s">
        <v>67</v>
      </c>
      <c r="C99" s="313" t="s">
        <v>385</v>
      </c>
      <c r="D99" s="266" t="s">
        <v>246</v>
      </c>
      <c r="E99" s="311" t="s">
        <v>386</v>
      </c>
      <c r="F99" s="312" t="s">
        <v>387</v>
      </c>
      <c r="G99" s="211" t="s">
        <v>56</v>
      </c>
      <c r="H99" s="211" t="s">
        <v>56</v>
      </c>
      <c r="I99" s="268" t="s">
        <v>180</v>
      </c>
      <c r="J99" s="211" t="s">
        <v>135</v>
      </c>
      <c r="K99" s="221"/>
      <c r="L99" s="227" t="s">
        <v>249</v>
      </c>
      <c r="M99" s="220"/>
      <c r="N99" s="244"/>
      <c r="O99" s="244"/>
      <c r="P99" s="245"/>
      <c r="Q99" s="220"/>
      <c r="R99" s="244"/>
      <c r="S99" s="244"/>
      <c r="T99" s="245"/>
      <c r="U99" s="43"/>
      <c r="V99" s="244"/>
      <c r="W99" s="244"/>
      <c r="X99" s="245"/>
      <c r="Y99" s="246"/>
      <c r="Z99" s="246"/>
      <c r="AA99" s="246"/>
      <c r="AB99" s="246"/>
      <c r="AC99" s="246"/>
      <c r="AD99" s="246"/>
      <c r="AE99" s="246"/>
      <c r="AF99" s="246"/>
      <c r="AG99" s="246"/>
      <c r="AH99" s="246"/>
      <c r="AI99" s="246"/>
      <c r="AJ99" s="246"/>
      <c r="AK99" s="246"/>
      <c r="AL99" s="246"/>
      <c r="AM99" s="246"/>
      <c r="AN99" s="246"/>
      <c r="AO99" s="246"/>
      <c r="AP99" s="246"/>
      <c r="AQ99" s="246"/>
      <c r="AR99" s="246"/>
      <c r="AS99" s="246"/>
      <c r="AT99" s="246"/>
      <c r="AU99" s="246"/>
      <c r="AV99" s="246"/>
      <c r="AW99" s="246"/>
      <c r="AX99" s="246"/>
      <c r="AY99" s="246"/>
      <c r="AZ99" s="246"/>
      <c r="BA99" s="246"/>
      <c r="BB99" s="246"/>
      <c r="BC99" s="246"/>
      <c r="BD99" s="246"/>
      <c r="BE99" s="246"/>
      <c r="BF99" s="246"/>
      <c r="BG99" s="246"/>
      <c r="BH99" s="246"/>
      <c r="BI99" s="246"/>
      <c r="BJ99" s="246"/>
      <c r="BK99" s="246"/>
      <c r="BL99" s="246"/>
      <c r="BM99" s="246"/>
      <c r="BN99" s="246"/>
      <c r="BO99" s="246"/>
      <c r="BP99" s="246"/>
      <c r="BQ99" s="246"/>
      <c r="BR99" s="246"/>
      <c r="BS99" s="246"/>
      <c r="BT99" s="246"/>
      <c r="BU99" s="246"/>
      <c r="BV99" s="246"/>
      <c r="BW99" s="246"/>
      <c r="BX99" s="246"/>
      <c r="BY99" s="246"/>
      <c r="BZ99" s="246"/>
      <c r="CA99" s="246"/>
      <c r="CB99" s="246"/>
      <c r="CC99" s="246"/>
      <c r="CD99" s="246"/>
      <c r="CE99" s="246"/>
      <c r="CF99" s="246"/>
      <c r="CG99" s="246"/>
      <c r="CH99" s="246"/>
      <c r="CI99" s="246"/>
      <c r="CJ99" s="246"/>
      <c r="CK99" s="246"/>
      <c r="CL99" s="246"/>
    </row>
    <row r="100" outlineLevel="1">
      <c r="A100" s="213" t="str">
        <f t="shared" si="11"/>
        <v>TC_01.75</v>
      </c>
      <c r="B100" s="309" t="s">
        <v>67</v>
      </c>
      <c r="C100" s="313" t="s">
        <v>388</v>
      </c>
      <c r="D100" s="266" t="s">
        <v>246</v>
      </c>
      <c r="E100" s="311" t="s">
        <v>389</v>
      </c>
      <c r="F100" s="312" t="s">
        <v>390</v>
      </c>
      <c r="G100" s="211" t="s">
        <v>56</v>
      </c>
      <c r="H100" s="211" t="s">
        <v>56</v>
      </c>
      <c r="I100" s="268" t="s">
        <v>180</v>
      </c>
      <c r="J100" s="211" t="s">
        <v>135</v>
      </c>
      <c r="K100" s="221"/>
      <c r="L100" s="227" t="s">
        <v>249</v>
      </c>
      <c r="M100" s="220"/>
      <c r="N100" s="244"/>
      <c r="O100" s="244"/>
      <c r="P100" s="245"/>
      <c r="Q100" s="220"/>
      <c r="R100" s="244"/>
      <c r="S100" s="244"/>
      <c r="T100" s="245"/>
      <c r="U100" s="43"/>
      <c r="V100" s="244"/>
      <c r="W100" s="244"/>
      <c r="X100" s="245"/>
      <c r="Y100" s="246"/>
      <c r="Z100" s="246"/>
      <c r="AA100" s="246"/>
      <c r="AB100" s="246"/>
      <c r="AC100" s="246"/>
      <c r="AD100" s="246"/>
      <c r="AE100" s="246"/>
      <c r="AF100" s="246"/>
      <c r="AG100" s="246"/>
      <c r="AH100" s="246"/>
      <c r="AI100" s="246"/>
      <c r="AJ100" s="246"/>
      <c r="AK100" s="246"/>
      <c r="AL100" s="246"/>
      <c r="AM100" s="246"/>
      <c r="AN100" s="246"/>
      <c r="AO100" s="246"/>
      <c r="AP100" s="246"/>
      <c r="AQ100" s="246"/>
      <c r="AR100" s="246"/>
      <c r="AS100" s="246"/>
      <c r="AT100" s="246"/>
      <c r="AU100" s="246"/>
      <c r="AV100" s="246"/>
      <c r="AW100" s="246"/>
      <c r="AX100" s="246"/>
      <c r="AY100" s="246"/>
      <c r="AZ100" s="246"/>
      <c r="BA100" s="246"/>
      <c r="BB100" s="246"/>
      <c r="BC100" s="246"/>
      <c r="BD100" s="246"/>
      <c r="BE100" s="246"/>
      <c r="BF100" s="246"/>
      <c r="BG100" s="246"/>
      <c r="BH100" s="246"/>
      <c r="BI100" s="246"/>
      <c r="BJ100" s="246"/>
      <c r="BK100" s="246"/>
      <c r="BL100" s="246"/>
      <c r="BM100" s="246"/>
      <c r="BN100" s="246"/>
      <c r="BO100" s="246"/>
      <c r="BP100" s="246"/>
      <c r="BQ100" s="246"/>
      <c r="BR100" s="246"/>
      <c r="BS100" s="246"/>
      <c r="BT100" s="246"/>
      <c r="BU100" s="246"/>
      <c r="BV100" s="246"/>
      <c r="BW100" s="246"/>
      <c r="BX100" s="246"/>
      <c r="BY100" s="246"/>
      <c r="BZ100" s="246"/>
      <c r="CA100" s="246"/>
      <c r="CB100" s="246"/>
      <c r="CC100" s="246"/>
      <c r="CD100" s="246"/>
      <c r="CE100" s="246"/>
      <c r="CF100" s="246"/>
      <c r="CG100" s="246"/>
      <c r="CH100" s="246"/>
      <c r="CI100" s="246"/>
      <c r="CJ100" s="246"/>
      <c r="CK100" s="246"/>
      <c r="CL100" s="246"/>
    </row>
    <row r="101" outlineLevel="1">
      <c r="A101" s="213" t="str">
        <f t="shared" si="11"/>
        <v>TC_01.76</v>
      </c>
      <c r="B101" s="309" t="s">
        <v>67</v>
      </c>
      <c r="C101" s="313" t="s">
        <v>391</v>
      </c>
      <c r="D101" s="266" t="s">
        <v>246</v>
      </c>
      <c r="E101" s="311" t="s">
        <v>392</v>
      </c>
      <c r="F101" s="312" t="s">
        <v>393</v>
      </c>
      <c r="G101" s="211" t="s">
        <v>56</v>
      </c>
      <c r="H101" s="211" t="s">
        <v>56</v>
      </c>
      <c r="I101" s="268" t="s">
        <v>180</v>
      </c>
      <c r="J101" s="211" t="s">
        <v>135</v>
      </c>
      <c r="K101" s="221"/>
      <c r="L101" s="227" t="s">
        <v>249</v>
      </c>
      <c r="M101" s="220"/>
      <c r="N101" s="244"/>
      <c r="O101" s="244"/>
      <c r="P101" s="245"/>
      <c r="Q101" s="220"/>
      <c r="R101" s="244"/>
      <c r="S101" s="244"/>
      <c r="T101" s="245"/>
      <c r="U101" s="43"/>
      <c r="V101" s="244"/>
      <c r="W101" s="244"/>
      <c r="X101" s="245"/>
      <c r="Y101" s="246"/>
      <c r="Z101" s="246"/>
      <c r="AA101" s="246"/>
      <c r="AB101" s="246"/>
      <c r="AC101" s="246"/>
      <c r="AD101" s="246"/>
      <c r="AE101" s="246"/>
      <c r="AF101" s="246"/>
      <c r="AG101" s="246"/>
      <c r="AH101" s="246"/>
      <c r="AI101" s="246"/>
      <c r="AJ101" s="246"/>
      <c r="AK101" s="246"/>
      <c r="AL101" s="246"/>
      <c r="AM101" s="246"/>
      <c r="AN101" s="246"/>
      <c r="AO101" s="246"/>
      <c r="AP101" s="246"/>
      <c r="AQ101" s="246"/>
      <c r="AR101" s="246"/>
      <c r="AS101" s="246"/>
      <c r="AT101" s="246"/>
      <c r="AU101" s="246"/>
      <c r="AV101" s="246"/>
      <c r="AW101" s="246"/>
      <c r="AX101" s="246"/>
      <c r="AY101" s="246"/>
      <c r="AZ101" s="246"/>
      <c r="BA101" s="246"/>
      <c r="BB101" s="246"/>
      <c r="BC101" s="246"/>
      <c r="BD101" s="246"/>
      <c r="BE101" s="246"/>
      <c r="BF101" s="246"/>
      <c r="BG101" s="246"/>
      <c r="BH101" s="246"/>
      <c r="BI101" s="246"/>
      <c r="BJ101" s="246"/>
      <c r="BK101" s="246"/>
      <c r="BL101" s="246"/>
      <c r="BM101" s="246"/>
      <c r="BN101" s="246"/>
      <c r="BO101" s="246"/>
      <c r="BP101" s="246"/>
      <c r="BQ101" s="246"/>
      <c r="BR101" s="246"/>
      <c r="BS101" s="246"/>
      <c r="BT101" s="246"/>
      <c r="BU101" s="246"/>
      <c r="BV101" s="246"/>
      <c r="BW101" s="246"/>
      <c r="BX101" s="246"/>
      <c r="BY101" s="246"/>
      <c r="BZ101" s="246"/>
      <c r="CA101" s="246"/>
      <c r="CB101" s="246"/>
      <c r="CC101" s="246"/>
      <c r="CD101" s="246"/>
      <c r="CE101" s="246"/>
      <c r="CF101" s="246"/>
      <c r="CG101" s="246"/>
      <c r="CH101" s="246"/>
      <c r="CI101" s="246"/>
      <c r="CJ101" s="246"/>
      <c r="CK101" s="246"/>
      <c r="CL101" s="246"/>
    </row>
    <row r="102" outlineLevel="1">
      <c r="A102" s="213" t="str">
        <f t="shared" si="11"/>
        <v>TC_01.77</v>
      </c>
      <c r="B102" s="309" t="s">
        <v>67</v>
      </c>
      <c r="C102" s="313" t="s">
        <v>394</v>
      </c>
      <c r="D102" s="266" t="s">
        <v>246</v>
      </c>
      <c r="E102" s="311" t="s">
        <v>395</v>
      </c>
      <c r="F102" s="312" t="s">
        <v>396</v>
      </c>
      <c r="G102" s="211" t="s">
        <v>56</v>
      </c>
      <c r="H102" s="211" t="s">
        <v>56</v>
      </c>
      <c r="I102" s="268" t="s">
        <v>180</v>
      </c>
      <c r="J102" s="211" t="s">
        <v>135</v>
      </c>
      <c r="K102" s="221"/>
      <c r="L102" s="227" t="s">
        <v>249</v>
      </c>
      <c r="M102" s="220"/>
      <c r="N102" s="244"/>
      <c r="O102" s="244"/>
      <c r="P102" s="245"/>
      <c r="Q102" s="220"/>
      <c r="R102" s="244"/>
      <c r="S102" s="244"/>
      <c r="T102" s="245"/>
      <c r="U102" s="43"/>
      <c r="V102" s="244"/>
      <c r="W102" s="244"/>
      <c r="X102" s="245"/>
      <c r="Y102" s="246"/>
      <c r="Z102" s="246"/>
      <c r="AA102" s="246"/>
      <c r="AB102" s="246"/>
      <c r="AC102" s="246"/>
      <c r="AD102" s="246"/>
      <c r="AE102" s="246"/>
      <c r="AF102" s="246"/>
      <c r="AG102" s="246"/>
      <c r="AH102" s="246"/>
      <c r="AI102" s="246"/>
      <c r="AJ102" s="246"/>
      <c r="AK102" s="246"/>
      <c r="AL102" s="246"/>
      <c r="AM102" s="246"/>
      <c r="AN102" s="246"/>
      <c r="AO102" s="246"/>
      <c r="AP102" s="246"/>
      <c r="AQ102" s="246"/>
      <c r="AR102" s="246"/>
      <c r="AS102" s="246"/>
      <c r="AT102" s="246"/>
      <c r="AU102" s="246"/>
      <c r="AV102" s="246"/>
      <c r="AW102" s="246"/>
      <c r="AX102" s="246"/>
      <c r="AY102" s="246"/>
      <c r="AZ102" s="246"/>
      <c r="BA102" s="246"/>
      <c r="BB102" s="246"/>
      <c r="BC102" s="246"/>
      <c r="BD102" s="246"/>
      <c r="BE102" s="246"/>
      <c r="BF102" s="246"/>
      <c r="BG102" s="246"/>
      <c r="BH102" s="246"/>
      <c r="BI102" s="246"/>
      <c r="BJ102" s="246"/>
      <c r="BK102" s="246"/>
      <c r="BL102" s="246"/>
      <c r="BM102" s="246"/>
      <c r="BN102" s="246"/>
      <c r="BO102" s="246"/>
      <c r="BP102" s="246"/>
      <c r="BQ102" s="246"/>
      <c r="BR102" s="246"/>
      <c r="BS102" s="246"/>
      <c r="BT102" s="246"/>
      <c r="BU102" s="246"/>
      <c r="BV102" s="246"/>
      <c r="BW102" s="246"/>
      <c r="BX102" s="246"/>
      <c r="BY102" s="246"/>
      <c r="BZ102" s="246"/>
      <c r="CA102" s="246"/>
      <c r="CB102" s="246"/>
      <c r="CC102" s="246"/>
      <c r="CD102" s="246"/>
      <c r="CE102" s="246"/>
      <c r="CF102" s="246"/>
      <c r="CG102" s="246"/>
      <c r="CH102" s="246"/>
      <c r="CI102" s="246"/>
      <c r="CJ102" s="246"/>
      <c r="CK102" s="246"/>
      <c r="CL102" s="246"/>
    </row>
    <row r="103" outlineLevel="1">
      <c r="A103" s="213" t="str">
        <f t="shared" si="11"/>
        <v>TC_01.78</v>
      </c>
      <c r="B103" s="309" t="s">
        <v>67</v>
      </c>
      <c r="C103" s="313" t="s">
        <v>397</v>
      </c>
      <c r="D103" s="266" t="s">
        <v>246</v>
      </c>
      <c r="E103" s="311" t="s">
        <v>398</v>
      </c>
      <c r="F103" s="312" t="s">
        <v>399</v>
      </c>
      <c r="G103" s="211" t="s">
        <v>56</v>
      </c>
      <c r="H103" s="211" t="s">
        <v>56</v>
      </c>
      <c r="I103" s="268" t="s">
        <v>180</v>
      </c>
      <c r="J103" s="211" t="s">
        <v>135</v>
      </c>
      <c r="K103" s="221"/>
      <c r="L103" s="227" t="s">
        <v>249</v>
      </c>
      <c r="M103" s="220"/>
      <c r="N103" s="244"/>
      <c r="O103" s="244"/>
      <c r="P103" s="245"/>
      <c r="Q103" s="220"/>
      <c r="R103" s="244"/>
      <c r="S103" s="244"/>
      <c r="T103" s="245"/>
      <c r="U103" s="43"/>
      <c r="V103" s="244"/>
      <c r="W103" s="244"/>
      <c r="X103" s="245"/>
      <c r="Y103" s="246"/>
      <c r="Z103" s="246"/>
      <c r="AA103" s="246"/>
      <c r="AB103" s="246"/>
      <c r="AC103" s="246"/>
      <c r="AD103" s="246"/>
      <c r="AE103" s="246"/>
      <c r="AF103" s="246"/>
      <c r="AG103" s="246"/>
      <c r="AH103" s="246"/>
      <c r="AI103" s="246"/>
      <c r="AJ103" s="246"/>
      <c r="AK103" s="246"/>
      <c r="AL103" s="246"/>
      <c r="AM103" s="246"/>
      <c r="AN103" s="246"/>
      <c r="AO103" s="246"/>
      <c r="AP103" s="246"/>
      <c r="AQ103" s="246"/>
      <c r="AR103" s="246"/>
      <c r="AS103" s="246"/>
      <c r="AT103" s="246"/>
      <c r="AU103" s="246"/>
      <c r="AV103" s="246"/>
      <c r="AW103" s="246"/>
      <c r="AX103" s="246"/>
      <c r="AY103" s="246"/>
      <c r="AZ103" s="246"/>
      <c r="BA103" s="246"/>
      <c r="BB103" s="246"/>
      <c r="BC103" s="246"/>
      <c r="BD103" s="246"/>
      <c r="BE103" s="246"/>
      <c r="BF103" s="246"/>
      <c r="BG103" s="246"/>
      <c r="BH103" s="246"/>
      <c r="BI103" s="246"/>
      <c r="BJ103" s="246"/>
      <c r="BK103" s="246"/>
      <c r="BL103" s="246"/>
      <c r="BM103" s="246"/>
      <c r="BN103" s="246"/>
      <c r="BO103" s="246"/>
      <c r="BP103" s="246"/>
      <c r="BQ103" s="246"/>
      <c r="BR103" s="246"/>
      <c r="BS103" s="246"/>
      <c r="BT103" s="246"/>
      <c r="BU103" s="246"/>
      <c r="BV103" s="246"/>
      <c r="BW103" s="246"/>
      <c r="BX103" s="246"/>
      <c r="BY103" s="246"/>
      <c r="BZ103" s="246"/>
      <c r="CA103" s="246"/>
      <c r="CB103" s="246"/>
      <c r="CC103" s="246"/>
      <c r="CD103" s="246"/>
      <c r="CE103" s="246"/>
      <c r="CF103" s="246"/>
      <c r="CG103" s="246"/>
      <c r="CH103" s="246"/>
      <c r="CI103" s="246"/>
      <c r="CJ103" s="246"/>
      <c r="CK103" s="246"/>
      <c r="CL103" s="246"/>
    </row>
    <row r="104" outlineLevel="1">
      <c r="A104" s="213" t="str">
        <f t="shared" si="11"/>
        <v>TC_01.79</v>
      </c>
      <c r="B104" s="309" t="s">
        <v>67</v>
      </c>
      <c r="C104" s="313" t="s">
        <v>400</v>
      </c>
      <c r="D104" s="266" t="s">
        <v>246</v>
      </c>
      <c r="E104" s="311" t="s">
        <v>401</v>
      </c>
      <c r="F104" s="312" t="s">
        <v>387</v>
      </c>
      <c r="G104" s="211" t="s">
        <v>56</v>
      </c>
      <c r="H104" s="211" t="s">
        <v>56</v>
      </c>
      <c r="I104" s="268" t="s">
        <v>180</v>
      </c>
      <c r="J104" s="211" t="s">
        <v>135</v>
      </c>
      <c r="K104" s="221"/>
      <c r="L104" s="227" t="s">
        <v>249</v>
      </c>
      <c r="M104" s="220"/>
      <c r="N104" s="244"/>
      <c r="O104" s="244"/>
      <c r="P104" s="245"/>
      <c r="Q104" s="220"/>
      <c r="R104" s="244"/>
      <c r="S104" s="244"/>
      <c r="T104" s="245"/>
      <c r="U104" s="43"/>
      <c r="V104" s="244"/>
      <c r="W104" s="244"/>
      <c r="X104" s="245"/>
      <c r="Y104" s="246"/>
      <c r="Z104" s="246"/>
      <c r="AA104" s="246"/>
      <c r="AB104" s="246"/>
      <c r="AC104" s="246"/>
      <c r="AD104" s="246"/>
      <c r="AE104" s="246"/>
      <c r="AF104" s="246"/>
      <c r="AG104" s="246"/>
      <c r="AH104" s="246"/>
      <c r="AI104" s="246"/>
      <c r="AJ104" s="246"/>
      <c r="AK104" s="246"/>
      <c r="AL104" s="246"/>
      <c r="AM104" s="246"/>
      <c r="AN104" s="246"/>
      <c r="AO104" s="246"/>
      <c r="AP104" s="246"/>
      <c r="AQ104" s="246"/>
      <c r="AR104" s="246"/>
      <c r="AS104" s="246"/>
      <c r="AT104" s="246"/>
      <c r="AU104" s="246"/>
      <c r="AV104" s="246"/>
      <c r="AW104" s="246"/>
      <c r="AX104" s="246"/>
      <c r="AY104" s="246"/>
      <c r="AZ104" s="246"/>
      <c r="BA104" s="246"/>
      <c r="BB104" s="246"/>
      <c r="BC104" s="246"/>
      <c r="BD104" s="246"/>
      <c r="BE104" s="246"/>
      <c r="BF104" s="246"/>
      <c r="BG104" s="246"/>
      <c r="BH104" s="246"/>
      <c r="BI104" s="246"/>
      <c r="BJ104" s="246"/>
      <c r="BK104" s="246"/>
      <c r="BL104" s="246"/>
      <c r="BM104" s="246"/>
      <c r="BN104" s="246"/>
      <c r="BO104" s="246"/>
      <c r="BP104" s="246"/>
      <c r="BQ104" s="246"/>
      <c r="BR104" s="246"/>
      <c r="BS104" s="246"/>
      <c r="BT104" s="246"/>
      <c r="BU104" s="246"/>
      <c r="BV104" s="246"/>
      <c r="BW104" s="246"/>
      <c r="BX104" s="246"/>
      <c r="BY104" s="246"/>
      <c r="BZ104" s="246"/>
      <c r="CA104" s="246"/>
      <c r="CB104" s="246"/>
      <c r="CC104" s="246"/>
      <c r="CD104" s="246"/>
      <c r="CE104" s="246"/>
      <c r="CF104" s="246"/>
      <c r="CG104" s="246"/>
      <c r="CH104" s="246"/>
      <c r="CI104" s="246"/>
      <c r="CJ104" s="246"/>
      <c r="CK104" s="246"/>
      <c r="CL104" s="246"/>
    </row>
    <row r="105" outlineLevel="1">
      <c r="A105" s="213" t="str">
        <f t="shared" si="11"/>
        <v>TC_01.80</v>
      </c>
      <c r="B105" s="309" t="s">
        <v>67</v>
      </c>
      <c r="C105" s="313" t="s">
        <v>402</v>
      </c>
      <c r="D105" s="266" t="s">
        <v>246</v>
      </c>
      <c r="E105" s="311" t="s">
        <v>403</v>
      </c>
      <c r="F105" s="312" t="s">
        <v>390</v>
      </c>
      <c r="G105" s="211" t="s">
        <v>56</v>
      </c>
      <c r="H105" s="211" t="s">
        <v>56</v>
      </c>
      <c r="I105" s="268" t="s">
        <v>180</v>
      </c>
      <c r="J105" s="211" t="s">
        <v>135</v>
      </c>
      <c r="K105" s="221"/>
      <c r="L105" s="227" t="s">
        <v>249</v>
      </c>
      <c r="M105" s="220"/>
      <c r="N105" s="244"/>
      <c r="O105" s="244"/>
      <c r="P105" s="245"/>
      <c r="Q105" s="220"/>
      <c r="R105" s="244"/>
      <c r="S105" s="244"/>
      <c r="T105" s="245"/>
      <c r="U105" s="43"/>
      <c r="V105" s="244"/>
      <c r="W105" s="244"/>
      <c r="X105" s="245"/>
      <c r="Y105" s="246"/>
      <c r="Z105" s="246"/>
      <c r="AA105" s="246"/>
      <c r="AB105" s="246"/>
      <c r="AC105" s="246"/>
      <c r="AD105" s="246"/>
      <c r="AE105" s="246"/>
      <c r="AF105" s="246"/>
      <c r="AG105" s="246"/>
      <c r="AH105" s="246"/>
      <c r="AI105" s="246"/>
      <c r="AJ105" s="246"/>
      <c r="AK105" s="246"/>
      <c r="AL105" s="246"/>
      <c r="AM105" s="246"/>
      <c r="AN105" s="246"/>
      <c r="AO105" s="246"/>
      <c r="AP105" s="246"/>
      <c r="AQ105" s="246"/>
      <c r="AR105" s="246"/>
      <c r="AS105" s="246"/>
      <c r="AT105" s="246"/>
      <c r="AU105" s="246"/>
      <c r="AV105" s="246"/>
      <c r="AW105" s="246"/>
      <c r="AX105" s="246"/>
      <c r="AY105" s="246"/>
      <c r="AZ105" s="246"/>
      <c r="BA105" s="246"/>
      <c r="BB105" s="246"/>
      <c r="BC105" s="246"/>
      <c r="BD105" s="246"/>
      <c r="BE105" s="246"/>
      <c r="BF105" s="246"/>
      <c r="BG105" s="246"/>
      <c r="BH105" s="246"/>
      <c r="BI105" s="246"/>
      <c r="BJ105" s="246"/>
      <c r="BK105" s="246"/>
      <c r="BL105" s="246"/>
      <c r="BM105" s="246"/>
      <c r="BN105" s="246"/>
      <c r="BO105" s="246"/>
      <c r="BP105" s="246"/>
      <c r="BQ105" s="246"/>
      <c r="BR105" s="246"/>
      <c r="BS105" s="246"/>
      <c r="BT105" s="246"/>
      <c r="BU105" s="246"/>
      <c r="BV105" s="246"/>
      <c r="BW105" s="246"/>
      <c r="BX105" s="246"/>
      <c r="BY105" s="246"/>
      <c r="BZ105" s="246"/>
      <c r="CA105" s="246"/>
      <c r="CB105" s="246"/>
      <c r="CC105" s="246"/>
      <c r="CD105" s="246"/>
      <c r="CE105" s="246"/>
      <c r="CF105" s="246"/>
      <c r="CG105" s="246"/>
      <c r="CH105" s="246"/>
      <c r="CI105" s="246"/>
      <c r="CJ105" s="246"/>
      <c r="CK105" s="246"/>
      <c r="CL105" s="246"/>
    </row>
    <row r="106" outlineLevel="1">
      <c r="A106" s="213" t="str">
        <f t="shared" si="11"/>
        <v>TC_01.81</v>
      </c>
      <c r="B106" s="309" t="s">
        <v>67</v>
      </c>
      <c r="C106" s="313" t="s">
        <v>404</v>
      </c>
      <c r="D106" s="266" t="s">
        <v>246</v>
      </c>
      <c r="E106" s="311" t="s">
        <v>405</v>
      </c>
      <c r="F106" s="312" t="s">
        <v>406</v>
      </c>
      <c r="G106" s="211" t="s">
        <v>56</v>
      </c>
      <c r="H106" s="211" t="s">
        <v>56</v>
      </c>
      <c r="I106" s="268" t="s">
        <v>180</v>
      </c>
      <c r="J106" s="211" t="s">
        <v>135</v>
      </c>
      <c r="K106" s="221"/>
      <c r="L106" s="227" t="s">
        <v>249</v>
      </c>
      <c r="M106" s="220"/>
      <c r="N106" s="244"/>
      <c r="O106" s="244"/>
      <c r="P106" s="245"/>
      <c r="Q106" s="220"/>
      <c r="R106" s="244"/>
      <c r="S106" s="244"/>
      <c r="T106" s="245"/>
      <c r="U106" s="43"/>
      <c r="V106" s="244"/>
      <c r="W106" s="244"/>
      <c r="X106" s="245"/>
      <c r="Y106" s="246"/>
      <c r="Z106" s="246"/>
      <c r="AA106" s="246"/>
      <c r="AB106" s="246"/>
      <c r="AC106" s="246"/>
      <c r="AD106" s="246"/>
      <c r="AE106" s="246"/>
      <c r="AF106" s="246"/>
      <c r="AG106" s="246"/>
      <c r="AH106" s="246"/>
      <c r="AI106" s="246"/>
      <c r="AJ106" s="246"/>
      <c r="AK106" s="246"/>
      <c r="AL106" s="246"/>
      <c r="AM106" s="246"/>
      <c r="AN106" s="246"/>
      <c r="AO106" s="246"/>
      <c r="AP106" s="246"/>
      <c r="AQ106" s="246"/>
      <c r="AR106" s="246"/>
      <c r="AS106" s="246"/>
      <c r="AT106" s="246"/>
      <c r="AU106" s="246"/>
      <c r="AV106" s="246"/>
      <c r="AW106" s="246"/>
      <c r="AX106" s="246"/>
      <c r="AY106" s="246"/>
      <c r="AZ106" s="246"/>
      <c r="BA106" s="246"/>
      <c r="BB106" s="246"/>
      <c r="BC106" s="246"/>
      <c r="BD106" s="246"/>
      <c r="BE106" s="246"/>
      <c r="BF106" s="246"/>
      <c r="BG106" s="246"/>
      <c r="BH106" s="246"/>
      <c r="BI106" s="246"/>
      <c r="BJ106" s="246"/>
      <c r="BK106" s="246"/>
      <c r="BL106" s="246"/>
      <c r="BM106" s="246"/>
      <c r="BN106" s="246"/>
      <c r="BO106" s="246"/>
      <c r="BP106" s="246"/>
      <c r="BQ106" s="246"/>
      <c r="BR106" s="246"/>
      <c r="BS106" s="246"/>
      <c r="BT106" s="246"/>
      <c r="BU106" s="246"/>
      <c r="BV106" s="246"/>
      <c r="BW106" s="246"/>
      <c r="BX106" s="246"/>
      <c r="BY106" s="246"/>
      <c r="BZ106" s="246"/>
      <c r="CA106" s="246"/>
      <c r="CB106" s="246"/>
      <c r="CC106" s="246"/>
      <c r="CD106" s="246"/>
      <c r="CE106" s="246"/>
      <c r="CF106" s="246"/>
      <c r="CG106" s="246"/>
      <c r="CH106" s="246"/>
      <c r="CI106" s="246"/>
      <c r="CJ106" s="246"/>
      <c r="CK106" s="246"/>
      <c r="CL106" s="246"/>
    </row>
    <row r="107" outlineLevel="1">
      <c r="A107" s="213" t="str">
        <f t="shared" si="11"/>
        <v>TC_01.82</v>
      </c>
      <c r="B107" s="309" t="s">
        <v>67</v>
      </c>
      <c r="C107" s="313" t="s">
        <v>407</v>
      </c>
      <c r="D107" s="266" t="s">
        <v>246</v>
      </c>
      <c r="E107" s="311" t="s">
        <v>408</v>
      </c>
      <c r="F107" s="312" t="s">
        <v>409</v>
      </c>
      <c r="G107" s="211" t="s">
        <v>56</v>
      </c>
      <c r="H107" s="211" t="s">
        <v>56</v>
      </c>
      <c r="I107" s="268" t="s">
        <v>180</v>
      </c>
      <c r="J107" s="211" t="s">
        <v>135</v>
      </c>
      <c r="K107" s="221"/>
      <c r="L107" s="227" t="s">
        <v>249</v>
      </c>
      <c r="M107" s="220"/>
      <c r="N107" s="244"/>
      <c r="O107" s="244"/>
      <c r="P107" s="245"/>
      <c r="Q107" s="220"/>
      <c r="R107" s="244"/>
      <c r="S107" s="244"/>
      <c r="T107" s="245"/>
      <c r="U107" s="43"/>
      <c r="V107" s="244"/>
      <c r="W107" s="244"/>
      <c r="X107" s="245"/>
      <c r="Y107" s="246"/>
      <c r="Z107" s="246"/>
      <c r="AA107" s="246"/>
      <c r="AB107" s="246"/>
      <c r="AC107" s="246"/>
      <c r="AD107" s="246"/>
      <c r="AE107" s="246"/>
      <c r="AF107" s="246"/>
      <c r="AG107" s="246"/>
      <c r="AH107" s="246"/>
      <c r="AI107" s="246"/>
      <c r="AJ107" s="246"/>
      <c r="AK107" s="246"/>
      <c r="AL107" s="246"/>
      <c r="AM107" s="246"/>
      <c r="AN107" s="246"/>
      <c r="AO107" s="246"/>
      <c r="AP107" s="246"/>
      <c r="AQ107" s="246"/>
      <c r="AR107" s="246"/>
      <c r="AS107" s="246"/>
      <c r="AT107" s="246"/>
      <c r="AU107" s="246"/>
      <c r="AV107" s="246"/>
      <c r="AW107" s="246"/>
      <c r="AX107" s="246"/>
      <c r="AY107" s="246"/>
      <c r="AZ107" s="246"/>
      <c r="BA107" s="246"/>
      <c r="BB107" s="246"/>
      <c r="BC107" s="246"/>
      <c r="BD107" s="246"/>
      <c r="BE107" s="246"/>
      <c r="BF107" s="246"/>
      <c r="BG107" s="246"/>
      <c r="BH107" s="246"/>
      <c r="BI107" s="246"/>
      <c r="BJ107" s="246"/>
      <c r="BK107" s="246"/>
      <c r="BL107" s="246"/>
      <c r="BM107" s="246"/>
      <c r="BN107" s="246"/>
      <c r="BO107" s="246"/>
      <c r="BP107" s="246"/>
      <c r="BQ107" s="246"/>
      <c r="BR107" s="246"/>
      <c r="BS107" s="246"/>
      <c r="BT107" s="246"/>
      <c r="BU107" s="246"/>
      <c r="BV107" s="246"/>
      <c r="BW107" s="246"/>
      <c r="BX107" s="246"/>
      <c r="BY107" s="246"/>
      <c r="BZ107" s="246"/>
      <c r="CA107" s="246"/>
      <c r="CB107" s="246"/>
      <c r="CC107" s="246"/>
      <c r="CD107" s="246"/>
      <c r="CE107" s="246"/>
      <c r="CF107" s="246"/>
      <c r="CG107" s="246"/>
      <c r="CH107" s="246"/>
      <c r="CI107" s="246"/>
      <c r="CJ107" s="246"/>
      <c r="CK107" s="246"/>
      <c r="CL107" s="246"/>
    </row>
    <row r="108" outlineLevel="1">
      <c r="A108" s="213" t="str">
        <f t="shared" si="11"/>
        <v>TC_01.83</v>
      </c>
      <c r="B108" s="314" t="s">
        <v>67</v>
      </c>
      <c r="C108" s="313" t="s">
        <v>410</v>
      </c>
      <c r="D108" s="266" t="s">
        <v>246</v>
      </c>
      <c r="E108" s="311" t="s">
        <v>411</v>
      </c>
      <c r="F108" s="312" t="s">
        <v>387</v>
      </c>
      <c r="G108" s="211" t="s">
        <v>56</v>
      </c>
      <c r="H108" s="211" t="s">
        <v>56</v>
      </c>
      <c r="I108" s="268" t="s">
        <v>180</v>
      </c>
      <c r="J108" s="211" t="s">
        <v>135</v>
      </c>
      <c r="K108" s="221"/>
      <c r="L108" s="227" t="s">
        <v>249</v>
      </c>
      <c r="M108" s="220"/>
      <c r="N108" s="244"/>
      <c r="O108" s="244"/>
      <c r="P108" s="245"/>
      <c r="Q108" s="220"/>
      <c r="R108" s="244"/>
      <c r="S108" s="244"/>
      <c r="T108" s="245"/>
      <c r="U108" s="43"/>
      <c r="V108" s="244"/>
      <c r="W108" s="244"/>
      <c r="X108" s="245"/>
      <c r="Y108" s="246"/>
      <c r="Z108" s="246"/>
      <c r="AA108" s="246"/>
      <c r="AB108" s="246"/>
      <c r="AC108" s="246"/>
      <c r="AD108" s="246"/>
      <c r="AE108" s="246"/>
      <c r="AF108" s="246"/>
      <c r="AG108" s="246"/>
      <c r="AH108" s="246"/>
      <c r="AI108" s="246"/>
      <c r="AJ108" s="246"/>
      <c r="AK108" s="246"/>
      <c r="AL108" s="246"/>
      <c r="AM108" s="246"/>
      <c r="AN108" s="246"/>
      <c r="AO108" s="246"/>
      <c r="AP108" s="246"/>
      <c r="AQ108" s="246"/>
      <c r="AR108" s="246"/>
      <c r="AS108" s="246"/>
      <c r="AT108" s="246"/>
      <c r="AU108" s="246"/>
      <c r="AV108" s="246"/>
      <c r="AW108" s="246"/>
      <c r="AX108" s="246"/>
      <c r="AY108" s="246"/>
      <c r="AZ108" s="246"/>
      <c r="BA108" s="246"/>
      <c r="BB108" s="246"/>
      <c r="BC108" s="246"/>
      <c r="BD108" s="246"/>
      <c r="BE108" s="246"/>
      <c r="BF108" s="246"/>
      <c r="BG108" s="246"/>
      <c r="BH108" s="246"/>
      <c r="BI108" s="246"/>
      <c r="BJ108" s="246"/>
      <c r="BK108" s="246"/>
      <c r="BL108" s="246"/>
      <c r="BM108" s="246"/>
      <c r="BN108" s="246"/>
      <c r="BO108" s="246"/>
      <c r="BP108" s="246"/>
      <c r="BQ108" s="246"/>
      <c r="BR108" s="246"/>
      <c r="BS108" s="246"/>
      <c r="BT108" s="246"/>
      <c r="BU108" s="246"/>
      <c r="BV108" s="246"/>
      <c r="BW108" s="246"/>
      <c r="BX108" s="246"/>
      <c r="BY108" s="246"/>
      <c r="BZ108" s="246"/>
      <c r="CA108" s="246"/>
      <c r="CB108" s="246"/>
      <c r="CC108" s="246"/>
      <c r="CD108" s="246"/>
      <c r="CE108" s="246"/>
      <c r="CF108" s="246"/>
      <c r="CG108" s="246"/>
      <c r="CH108" s="246"/>
      <c r="CI108" s="246"/>
      <c r="CJ108" s="246"/>
      <c r="CK108" s="246"/>
      <c r="CL108" s="246"/>
    </row>
    <row r="109" outlineLevel="1">
      <c r="A109" s="213" t="str">
        <f t="shared" si="11"/>
        <v>TC_01.84</v>
      </c>
      <c r="B109" s="314" t="s">
        <v>67</v>
      </c>
      <c r="C109" s="313" t="s">
        <v>412</v>
      </c>
      <c r="D109" s="266" t="s">
        <v>246</v>
      </c>
      <c r="E109" s="311" t="s">
        <v>413</v>
      </c>
      <c r="F109" s="312" t="s">
        <v>414</v>
      </c>
      <c r="G109" s="211" t="s">
        <v>56</v>
      </c>
      <c r="H109" s="211" t="s">
        <v>56</v>
      </c>
      <c r="I109" s="268" t="s">
        <v>180</v>
      </c>
      <c r="J109" s="211" t="s">
        <v>135</v>
      </c>
      <c r="K109" s="221"/>
      <c r="L109" s="227" t="s">
        <v>249</v>
      </c>
      <c r="M109" s="220"/>
      <c r="N109" s="244"/>
      <c r="O109" s="244"/>
      <c r="P109" s="245"/>
      <c r="Q109" s="220"/>
      <c r="R109" s="244"/>
      <c r="S109" s="244"/>
      <c r="T109" s="245"/>
      <c r="U109" s="43"/>
      <c r="V109" s="244"/>
      <c r="W109" s="244"/>
      <c r="X109" s="245"/>
      <c r="Y109" s="246"/>
      <c r="Z109" s="246"/>
      <c r="AA109" s="246"/>
      <c r="AB109" s="246"/>
      <c r="AC109" s="246"/>
      <c r="AD109" s="246"/>
      <c r="AE109" s="246"/>
      <c r="AF109" s="246"/>
      <c r="AG109" s="246"/>
      <c r="AH109" s="246"/>
      <c r="AI109" s="246"/>
      <c r="AJ109" s="246"/>
      <c r="AK109" s="246"/>
      <c r="AL109" s="246"/>
      <c r="AM109" s="246"/>
      <c r="AN109" s="246"/>
      <c r="AO109" s="246"/>
      <c r="AP109" s="246"/>
      <c r="AQ109" s="246"/>
      <c r="AR109" s="246"/>
      <c r="AS109" s="246"/>
      <c r="AT109" s="246"/>
      <c r="AU109" s="246"/>
      <c r="AV109" s="246"/>
      <c r="AW109" s="246"/>
      <c r="AX109" s="246"/>
      <c r="AY109" s="246"/>
      <c r="AZ109" s="246"/>
      <c r="BA109" s="246"/>
      <c r="BB109" s="246"/>
      <c r="BC109" s="246"/>
      <c r="BD109" s="246"/>
      <c r="BE109" s="246"/>
      <c r="BF109" s="246"/>
      <c r="BG109" s="246"/>
      <c r="BH109" s="246"/>
      <c r="BI109" s="246"/>
      <c r="BJ109" s="246"/>
      <c r="BK109" s="246"/>
      <c r="BL109" s="246"/>
      <c r="BM109" s="246"/>
      <c r="BN109" s="246"/>
      <c r="BO109" s="246"/>
      <c r="BP109" s="246"/>
      <c r="BQ109" s="246"/>
      <c r="BR109" s="246"/>
      <c r="BS109" s="246"/>
      <c r="BT109" s="246"/>
      <c r="BU109" s="246"/>
      <c r="BV109" s="246"/>
      <c r="BW109" s="246"/>
      <c r="BX109" s="246"/>
      <c r="BY109" s="246"/>
      <c r="BZ109" s="246"/>
      <c r="CA109" s="246"/>
      <c r="CB109" s="246"/>
      <c r="CC109" s="246"/>
      <c r="CD109" s="246"/>
      <c r="CE109" s="246"/>
      <c r="CF109" s="246"/>
      <c r="CG109" s="246"/>
      <c r="CH109" s="246"/>
      <c r="CI109" s="246"/>
      <c r="CJ109" s="246"/>
      <c r="CK109" s="246"/>
      <c r="CL109" s="246"/>
    </row>
    <row r="110" outlineLevel="1">
      <c r="A110" s="213" t="str">
        <f t="shared" si="11"/>
        <v>TC_01.85</v>
      </c>
      <c r="B110" s="314" t="s">
        <v>67</v>
      </c>
      <c r="C110" s="313" t="s">
        <v>415</v>
      </c>
      <c r="D110" s="266" t="s">
        <v>246</v>
      </c>
      <c r="E110" s="311" t="s">
        <v>416</v>
      </c>
      <c r="F110" s="315" t="s">
        <v>417</v>
      </c>
      <c r="G110" s="211" t="s">
        <v>56</v>
      </c>
      <c r="H110" s="211" t="s">
        <v>56</v>
      </c>
      <c r="I110" s="268" t="s">
        <v>180</v>
      </c>
      <c r="J110" s="211" t="s">
        <v>135</v>
      </c>
      <c r="K110" s="221"/>
      <c r="L110" s="227" t="s">
        <v>249</v>
      </c>
      <c r="M110" s="220"/>
      <c r="N110" s="244"/>
      <c r="O110" s="244"/>
      <c r="P110" s="245"/>
      <c r="Q110" s="220"/>
      <c r="R110" s="244"/>
      <c r="S110" s="244"/>
      <c r="T110" s="245"/>
      <c r="U110" s="43"/>
      <c r="V110" s="244"/>
      <c r="W110" s="244"/>
      <c r="X110" s="245"/>
      <c r="Y110" s="246"/>
      <c r="Z110" s="246"/>
      <c r="AA110" s="246"/>
      <c r="AB110" s="246"/>
      <c r="AC110" s="246"/>
      <c r="AD110" s="246"/>
      <c r="AE110" s="246"/>
      <c r="AF110" s="246"/>
      <c r="AG110" s="246"/>
      <c r="AH110" s="246"/>
      <c r="AI110" s="246"/>
      <c r="AJ110" s="246"/>
      <c r="AK110" s="246"/>
      <c r="AL110" s="246"/>
      <c r="AM110" s="246"/>
      <c r="AN110" s="246"/>
      <c r="AO110" s="246"/>
      <c r="AP110" s="246"/>
      <c r="AQ110" s="246"/>
      <c r="AR110" s="246"/>
      <c r="AS110" s="246"/>
      <c r="AT110" s="246"/>
      <c r="AU110" s="246"/>
      <c r="AV110" s="246"/>
      <c r="AW110" s="246"/>
      <c r="AX110" s="246"/>
      <c r="AY110" s="246"/>
      <c r="AZ110" s="246"/>
      <c r="BA110" s="246"/>
      <c r="BB110" s="246"/>
      <c r="BC110" s="246"/>
      <c r="BD110" s="246"/>
      <c r="BE110" s="246"/>
      <c r="BF110" s="246"/>
      <c r="BG110" s="246"/>
      <c r="BH110" s="246"/>
      <c r="BI110" s="246"/>
      <c r="BJ110" s="246"/>
      <c r="BK110" s="246"/>
      <c r="BL110" s="246"/>
      <c r="BM110" s="246"/>
      <c r="BN110" s="246"/>
      <c r="BO110" s="246"/>
      <c r="BP110" s="246"/>
      <c r="BQ110" s="246"/>
      <c r="BR110" s="246"/>
      <c r="BS110" s="246"/>
      <c r="BT110" s="246"/>
      <c r="BU110" s="246"/>
      <c r="BV110" s="246"/>
      <c r="BW110" s="246"/>
      <c r="BX110" s="246"/>
      <c r="BY110" s="246"/>
      <c r="BZ110" s="246"/>
      <c r="CA110" s="246"/>
      <c r="CB110" s="246"/>
      <c r="CC110" s="246"/>
      <c r="CD110" s="246"/>
      <c r="CE110" s="246"/>
      <c r="CF110" s="246"/>
      <c r="CG110" s="246"/>
      <c r="CH110" s="246"/>
      <c r="CI110" s="246"/>
      <c r="CJ110" s="246"/>
      <c r="CK110" s="246"/>
      <c r="CL110" s="246"/>
    </row>
    <row r="111" outlineLevel="1">
      <c r="A111" s="213" t="str">
        <f t="shared" si="11"/>
        <v>TC_01.86</v>
      </c>
      <c r="B111" s="314" t="s">
        <v>67</v>
      </c>
      <c r="C111" s="313" t="s">
        <v>418</v>
      </c>
      <c r="D111" s="266" t="s">
        <v>246</v>
      </c>
      <c r="E111" s="311" t="s">
        <v>419</v>
      </c>
      <c r="F111" s="312" t="s">
        <v>387</v>
      </c>
      <c r="G111" s="211" t="s">
        <v>56</v>
      </c>
      <c r="H111" s="211" t="s">
        <v>56</v>
      </c>
      <c r="I111" s="268" t="s">
        <v>180</v>
      </c>
      <c r="J111" s="211" t="s">
        <v>135</v>
      </c>
      <c r="K111" s="217" t="s">
        <v>420</v>
      </c>
      <c r="L111" s="227" t="s">
        <v>249</v>
      </c>
      <c r="M111" s="220"/>
      <c r="N111" s="244"/>
      <c r="O111" s="244"/>
      <c r="P111" s="245"/>
      <c r="Q111" s="220"/>
      <c r="R111" s="244"/>
      <c r="S111" s="244"/>
      <c r="T111" s="245"/>
      <c r="U111" s="43"/>
      <c r="V111" s="244"/>
      <c r="W111" s="244"/>
      <c r="X111" s="245"/>
      <c r="Y111" s="246"/>
      <c r="Z111" s="246"/>
      <c r="AA111" s="246"/>
      <c r="AB111" s="246"/>
      <c r="AC111" s="246"/>
      <c r="AD111" s="246"/>
      <c r="AE111" s="246"/>
      <c r="AF111" s="246"/>
      <c r="AG111" s="246"/>
      <c r="AH111" s="246"/>
      <c r="AI111" s="246"/>
      <c r="AJ111" s="246"/>
      <c r="AK111" s="246"/>
      <c r="AL111" s="246"/>
      <c r="AM111" s="246"/>
      <c r="AN111" s="246"/>
      <c r="AO111" s="246"/>
      <c r="AP111" s="246"/>
      <c r="AQ111" s="246"/>
      <c r="AR111" s="246"/>
      <c r="AS111" s="246"/>
      <c r="AT111" s="246"/>
      <c r="AU111" s="246"/>
      <c r="AV111" s="246"/>
      <c r="AW111" s="246"/>
      <c r="AX111" s="246"/>
      <c r="AY111" s="246"/>
      <c r="AZ111" s="246"/>
      <c r="BA111" s="246"/>
      <c r="BB111" s="246"/>
      <c r="BC111" s="246"/>
      <c r="BD111" s="246"/>
      <c r="BE111" s="246"/>
      <c r="BF111" s="246"/>
      <c r="BG111" s="246"/>
      <c r="BH111" s="246"/>
      <c r="BI111" s="246"/>
      <c r="BJ111" s="246"/>
      <c r="BK111" s="246"/>
      <c r="BL111" s="246"/>
      <c r="BM111" s="246"/>
      <c r="BN111" s="246"/>
      <c r="BO111" s="246"/>
      <c r="BP111" s="246"/>
      <c r="BQ111" s="246"/>
      <c r="BR111" s="246"/>
      <c r="BS111" s="246"/>
      <c r="BT111" s="246"/>
      <c r="BU111" s="246"/>
      <c r="BV111" s="246"/>
      <c r="BW111" s="246"/>
      <c r="BX111" s="246"/>
      <c r="BY111" s="246"/>
      <c r="BZ111" s="246"/>
      <c r="CA111" s="246"/>
      <c r="CB111" s="246"/>
      <c r="CC111" s="246"/>
      <c r="CD111" s="246"/>
      <c r="CE111" s="246"/>
      <c r="CF111" s="246"/>
      <c r="CG111" s="246"/>
      <c r="CH111" s="246"/>
      <c r="CI111" s="246"/>
      <c r="CJ111" s="246"/>
      <c r="CK111" s="246"/>
      <c r="CL111" s="246"/>
    </row>
    <row r="112" outlineLevel="1">
      <c r="A112" s="213" t="str">
        <f t="shared" si="11"/>
        <v>TC_01.87</v>
      </c>
      <c r="B112" s="314" t="s">
        <v>67</v>
      </c>
      <c r="C112" s="313" t="s">
        <v>421</v>
      </c>
      <c r="D112" s="266" t="s">
        <v>246</v>
      </c>
      <c r="E112" s="311" t="s">
        <v>422</v>
      </c>
      <c r="F112" s="312" t="s">
        <v>414</v>
      </c>
      <c r="G112" s="211" t="s">
        <v>56</v>
      </c>
      <c r="H112" s="211" t="s">
        <v>56</v>
      </c>
      <c r="I112" s="268" t="s">
        <v>180</v>
      </c>
      <c r="J112" s="211" t="s">
        <v>135</v>
      </c>
      <c r="K112" s="221"/>
      <c r="L112" s="227" t="s">
        <v>249</v>
      </c>
      <c r="M112" s="220"/>
      <c r="N112" s="244"/>
      <c r="O112" s="244"/>
      <c r="P112" s="245"/>
      <c r="Q112" s="220"/>
      <c r="R112" s="244"/>
      <c r="S112" s="244"/>
      <c r="T112" s="245"/>
      <c r="U112" s="43"/>
      <c r="V112" s="244"/>
      <c r="W112" s="244"/>
      <c r="X112" s="245"/>
      <c r="Y112" s="246"/>
      <c r="Z112" s="246"/>
      <c r="AA112" s="246"/>
      <c r="AB112" s="246"/>
      <c r="AC112" s="246"/>
      <c r="AD112" s="246"/>
      <c r="AE112" s="246"/>
      <c r="AF112" s="246"/>
      <c r="AG112" s="246"/>
      <c r="AH112" s="246"/>
      <c r="AI112" s="246"/>
      <c r="AJ112" s="246"/>
      <c r="AK112" s="246"/>
      <c r="AL112" s="246"/>
      <c r="AM112" s="246"/>
      <c r="AN112" s="246"/>
      <c r="AO112" s="246"/>
      <c r="AP112" s="246"/>
      <c r="AQ112" s="246"/>
      <c r="AR112" s="246"/>
      <c r="AS112" s="246"/>
      <c r="AT112" s="246"/>
      <c r="AU112" s="246"/>
      <c r="AV112" s="246"/>
      <c r="AW112" s="246"/>
      <c r="AX112" s="246"/>
      <c r="AY112" s="246"/>
      <c r="AZ112" s="246"/>
      <c r="BA112" s="246"/>
      <c r="BB112" s="246"/>
      <c r="BC112" s="246"/>
      <c r="BD112" s="246"/>
      <c r="BE112" s="246"/>
      <c r="BF112" s="246"/>
      <c r="BG112" s="246"/>
      <c r="BH112" s="246"/>
      <c r="BI112" s="246"/>
      <c r="BJ112" s="246"/>
      <c r="BK112" s="246"/>
      <c r="BL112" s="246"/>
      <c r="BM112" s="246"/>
      <c r="BN112" s="246"/>
      <c r="BO112" s="246"/>
      <c r="BP112" s="246"/>
      <c r="BQ112" s="246"/>
      <c r="BR112" s="246"/>
      <c r="BS112" s="246"/>
      <c r="BT112" s="246"/>
      <c r="BU112" s="246"/>
      <c r="BV112" s="246"/>
      <c r="BW112" s="246"/>
      <c r="BX112" s="246"/>
      <c r="BY112" s="246"/>
      <c r="BZ112" s="246"/>
      <c r="CA112" s="246"/>
      <c r="CB112" s="246"/>
      <c r="CC112" s="246"/>
      <c r="CD112" s="246"/>
      <c r="CE112" s="246"/>
      <c r="CF112" s="246"/>
      <c r="CG112" s="246"/>
      <c r="CH112" s="246"/>
      <c r="CI112" s="246"/>
      <c r="CJ112" s="246"/>
      <c r="CK112" s="246"/>
      <c r="CL112" s="246"/>
    </row>
    <row r="113" outlineLevel="1">
      <c r="A113" s="213" t="str">
        <f t="shared" si="11"/>
        <v>TC_01.88</v>
      </c>
      <c r="B113" s="314" t="s">
        <v>67</v>
      </c>
      <c r="C113" s="313" t="s">
        <v>423</v>
      </c>
      <c r="D113" s="266" t="s">
        <v>246</v>
      </c>
      <c r="E113" s="311" t="s">
        <v>424</v>
      </c>
      <c r="F113" s="312" t="s">
        <v>425</v>
      </c>
      <c r="G113" s="211" t="s">
        <v>56</v>
      </c>
      <c r="H113" s="211" t="s">
        <v>56</v>
      </c>
      <c r="I113" s="268" t="s">
        <v>180</v>
      </c>
      <c r="J113" s="211" t="s">
        <v>135</v>
      </c>
      <c r="K113" s="221"/>
      <c r="L113" s="227" t="s">
        <v>249</v>
      </c>
      <c r="M113" s="220"/>
      <c r="N113" s="244"/>
      <c r="O113" s="244"/>
      <c r="P113" s="245"/>
      <c r="Q113" s="220"/>
      <c r="R113" s="244"/>
      <c r="S113" s="244"/>
      <c r="T113" s="245"/>
      <c r="U113" s="43"/>
      <c r="V113" s="244"/>
      <c r="W113" s="244"/>
      <c r="X113" s="245"/>
      <c r="Y113" s="246"/>
      <c r="Z113" s="246"/>
      <c r="AA113" s="246"/>
      <c r="AB113" s="246"/>
      <c r="AC113" s="246"/>
      <c r="AD113" s="246"/>
      <c r="AE113" s="246"/>
      <c r="AF113" s="246"/>
      <c r="AG113" s="246"/>
      <c r="AH113" s="246"/>
      <c r="AI113" s="246"/>
      <c r="AJ113" s="246"/>
      <c r="AK113" s="246"/>
      <c r="AL113" s="246"/>
      <c r="AM113" s="246"/>
      <c r="AN113" s="246"/>
      <c r="AO113" s="246"/>
      <c r="AP113" s="246"/>
      <c r="AQ113" s="246"/>
      <c r="AR113" s="246"/>
      <c r="AS113" s="246"/>
      <c r="AT113" s="246"/>
      <c r="AU113" s="246"/>
      <c r="AV113" s="246"/>
      <c r="AW113" s="246"/>
      <c r="AX113" s="246"/>
      <c r="AY113" s="246"/>
      <c r="AZ113" s="246"/>
      <c r="BA113" s="246"/>
      <c r="BB113" s="246"/>
      <c r="BC113" s="246"/>
      <c r="BD113" s="246"/>
      <c r="BE113" s="246"/>
      <c r="BF113" s="246"/>
      <c r="BG113" s="246"/>
      <c r="BH113" s="246"/>
      <c r="BI113" s="246"/>
      <c r="BJ113" s="246"/>
      <c r="BK113" s="246"/>
      <c r="BL113" s="246"/>
      <c r="BM113" s="246"/>
      <c r="BN113" s="246"/>
      <c r="BO113" s="246"/>
      <c r="BP113" s="246"/>
      <c r="BQ113" s="246"/>
      <c r="BR113" s="246"/>
      <c r="BS113" s="246"/>
      <c r="BT113" s="246"/>
      <c r="BU113" s="246"/>
      <c r="BV113" s="246"/>
      <c r="BW113" s="246"/>
      <c r="BX113" s="246"/>
      <c r="BY113" s="246"/>
      <c r="BZ113" s="246"/>
      <c r="CA113" s="246"/>
      <c r="CB113" s="246"/>
      <c r="CC113" s="246"/>
      <c r="CD113" s="246"/>
      <c r="CE113" s="246"/>
      <c r="CF113" s="246"/>
      <c r="CG113" s="246"/>
      <c r="CH113" s="246"/>
      <c r="CI113" s="246"/>
      <c r="CJ113" s="246"/>
      <c r="CK113" s="246"/>
      <c r="CL113" s="246"/>
    </row>
    <row r="114" outlineLevel="1">
      <c r="A114" s="213" t="str">
        <f t="shared" si="11"/>
        <v>TC_01.89</v>
      </c>
      <c r="B114" s="314" t="s">
        <v>67</v>
      </c>
      <c r="C114" s="313" t="s">
        <v>426</v>
      </c>
      <c r="D114" s="266" t="s">
        <v>246</v>
      </c>
      <c r="E114" s="311" t="s">
        <v>427</v>
      </c>
      <c r="F114" s="312" t="s">
        <v>396</v>
      </c>
      <c r="G114" s="211" t="s">
        <v>56</v>
      </c>
      <c r="H114" s="211" t="s">
        <v>56</v>
      </c>
      <c r="I114" s="268" t="s">
        <v>180</v>
      </c>
      <c r="J114" s="211" t="s">
        <v>135</v>
      </c>
      <c r="K114" s="221"/>
      <c r="L114" s="227" t="s">
        <v>249</v>
      </c>
      <c r="M114" s="220"/>
      <c r="N114" s="244"/>
      <c r="O114" s="244"/>
      <c r="P114" s="245"/>
      <c r="Q114" s="220"/>
      <c r="R114" s="244"/>
      <c r="S114" s="244"/>
      <c r="T114" s="245"/>
      <c r="U114" s="43"/>
      <c r="V114" s="244"/>
      <c r="W114" s="244"/>
      <c r="X114" s="245"/>
      <c r="Y114" s="246"/>
      <c r="Z114" s="246"/>
      <c r="AA114" s="246"/>
      <c r="AB114" s="246"/>
      <c r="AC114" s="246"/>
      <c r="AD114" s="246"/>
      <c r="AE114" s="246"/>
      <c r="AF114" s="246"/>
      <c r="AG114" s="246"/>
      <c r="AH114" s="246"/>
      <c r="AI114" s="246"/>
      <c r="AJ114" s="246"/>
      <c r="AK114" s="246"/>
      <c r="AL114" s="246"/>
      <c r="AM114" s="246"/>
      <c r="AN114" s="246"/>
      <c r="AO114" s="246"/>
      <c r="AP114" s="246"/>
      <c r="AQ114" s="246"/>
      <c r="AR114" s="246"/>
      <c r="AS114" s="246"/>
      <c r="AT114" s="246"/>
      <c r="AU114" s="246"/>
      <c r="AV114" s="246"/>
      <c r="AW114" s="246"/>
      <c r="AX114" s="246"/>
      <c r="AY114" s="246"/>
      <c r="AZ114" s="246"/>
      <c r="BA114" s="246"/>
      <c r="BB114" s="246"/>
      <c r="BC114" s="246"/>
      <c r="BD114" s="246"/>
      <c r="BE114" s="246"/>
      <c r="BF114" s="246"/>
      <c r="BG114" s="246"/>
      <c r="BH114" s="246"/>
      <c r="BI114" s="246"/>
      <c r="BJ114" s="246"/>
      <c r="BK114" s="246"/>
      <c r="BL114" s="246"/>
      <c r="BM114" s="246"/>
      <c r="BN114" s="246"/>
      <c r="BO114" s="246"/>
      <c r="BP114" s="246"/>
      <c r="BQ114" s="246"/>
      <c r="BR114" s="246"/>
      <c r="BS114" s="246"/>
      <c r="BT114" s="246"/>
      <c r="BU114" s="246"/>
      <c r="BV114" s="246"/>
      <c r="BW114" s="246"/>
      <c r="BX114" s="246"/>
      <c r="BY114" s="246"/>
      <c r="BZ114" s="246"/>
      <c r="CA114" s="246"/>
      <c r="CB114" s="246"/>
      <c r="CC114" s="246"/>
      <c r="CD114" s="246"/>
      <c r="CE114" s="246"/>
      <c r="CF114" s="246"/>
      <c r="CG114" s="246"/>
      <c r="CH114" s="246"/>
      <c r="CI114" s="246"/>
      <c r="CJ114" s="246"/>
      <c r="CK114" s="246"/>
      <c r="CL114" s="246"/>
    </row>
    <row r="115" outlineLevel="1">
      <c r="A115" s="213" t="str">
        <f t="shared" si="11"/>
        <v>TC_01.90</v>
      </c>
      <c r="B115" s="314" t="s">
        <v>65</v>
      </c>
      <c r="C115" s="313" t="s">
        <v>428</v>
      </c>
      <c r="D115" s="266" t="s">
        <v>246</v>
      </c>
      <c r="E115" s="311" t="s">
        <v>429</v>
      </c>
      <c r="F115" s="316" t="s">
        <v>430</v>
      </c>
      <c r="G115" s="211" t="s">
        <v>56</v>
      </c>
      <c r="H115" s="211" t="s">
        <v>56</v>
      </c>
      <c r="I115" s="268" t="s">
        <v>180</v>
      </c>
      <c r="J115" s="211" t="s">
        <v>135</v>
      </c>
      <c r="K115" s="221"/>
      <c r="L115" s="227" t="s">
        <v>249</v>
      </c>
      <c r="M115" s="220"/>
      <c r="N115" s="244"/>
      <c r="O115" s="244"/>
      <c r="P115" s="245"/>
      <c r="Q115" s="220"/>
      <c r="R115" s="244"/>
      <c r="S115" s="244"/>
      <c r="T115" s="245"/>
      <c r="U115" s="43"/>
      <c r="V115" s="244"/>
      <c r="W115" s="244"/>
      <c r="X115" s="245"/>
      <c r="Y115" s="246"/>
      <c r="Z115" s="246"/>
      <c r="AA115" s="246"/>
      <c r="AB115" s="246"/>
      <c r="AC115" s="246"/>
      <c r="AD115" s="246"/>
      <c r="AE115" s="246"/>
      <c r="AF115" s="246"/>
      <c r="AG115" s="246"/>
      <c r="AH115" s="246"/>
      <c r="AI115" s="246"/>
      <c r="AJ115" s="246"/>
      <c r="AK115" s="246"/>
      <c r="AL115" s="246"/>
      <c r="AM115" s="246"/>
      <c r="AN115" s="246"/>
      <c r="AO115" s="246"/>
      <c r="AP115" s="246"/>
      <c r="AQ115" s="246"/>
      <c r="AR115" s="246"/>
      <c r="AS115" s="246"/>
      <c r="AT115" s="246"/>
      <c r="AU115" s="246"/>
      <c r="AV115" s="246"/>
      <c r="AW115" s="246"/>
      <c r="AX115" s="246"/>
      <c r="AY115" s="246"/>
      <c r="AZ115" s="246"/>
      <c r="BA115" s="246"/>
      <c r="BB115" s="246"/>
      <c r="BC115" s="246"/>
      <c r="BD115" s="246"/>
      <c r="BE115" s="246"/>
      <c r="BF115" s="246"/>
      <c r="BG115" s="246"/>
      <c r="BH115" s="246"/>
      <c r="BI115" s="246"/>
      <c r="BJ115" s="246"/>
      <c r="BK115" s="246"/>
      <c r="BL115" s="246"/>
      <c r="BM115" s="246"/>
      <c r="BN115" s="246"/>
      <c r="BO115" s="246"/>
      <c r="BP115" s="246"/>
      <c r="BQ115" s="246"/>
      <c r="BR115" s="246"/>
      <c r="BS115" s="246"/>
      <c r="BT115" s="246"/>
      <c r="BU115" s="246"/>
      <c r="BV115" s="246"/>
      <c r="BW115" s="246"/>
      <c r="BX115" s="246"/>
      <c r="BY115" s="246"/>
      <c r="BZ115" s="246"/>
      <c r="CA115" s="246"/>
      <c r="CB115" s="246"/>
      <c r="CC115" s="246"/>
      <c r="CD115" s="246"/>
      <c r="CE115" s="246"/>
      <c r="CF115" s="246"/>
      <c r="CG115" s="246"/>
      <c r="CH115" s="246"/>
      <c r="CI115" s="246"/>
      <c r="CJ115" s="246"/>
      <c r="CK115" s="246"/>
      <c r="CL115" s="246"/>
    </row>
    <row r="116" outlineLevel="1">
      <c r="A116" s="213" t="str">
        <f t="shared" si="11"/>
        <v>TC_01.91</v>
      </c>
      <c r="B116" s="314" t="s">
        <v>65</v>
      </c>
      <c r="C116" s="313" t="s">
        <v>431</v>
      </c>
      <c r="D116" s="266" t="s">
        <v>246</v>
      </c>
      <c r="E116" s="311" t="s">
        <v>432</v>
      </c>
      <c r="F116" s="316" t="s">
        <v>433</v>
      </c>
      <c r="G116" s="211" t="s">
        <v>56</v>
      </c>
      <c r="H116" s="211" t="s">
        <v>56</v>
      </c>
      <c r="I116" s="268" t="s">
        <v>180</v>
      </c>
      <c r="J116" s="211" t="s">
        <v>135</v>
      </c>
      <c r="K116" s="221"/>
      <c r="L116" s="227" t="s">
        <v>249</v>
      </c>
      <c r="M116" s="220"/>
      <c r="N116" s="244"/>
      <c r="O116" s="244"/>
      <c r="P116" s="245"/>
      <c r="Q116" s="220"/>
      <c r="R116" s="244"/>
      <c r="S116" s="244"/>
      <c r="T116" s="245"/>
      <c r="U116" s="43"/>
      <c r="V116" s="244"/>
      <c r="W116" s="244"/>
      <c r="X116" s="245"/>
      <c r="Y116" s="246"/>
      <c r="Z116" s="246"/>
      <c r="AA116" s="246"/>
      <c r="AB116" s="246"/>
      <c r="AC116" s="246"/>
      <c r="AD116" s="246"/>
      <c r="AE116" s="246"/>
      <c r="AF116" s="246"/>
      <c r="AG116" s="246"/>
      <c r="AH116" s="246"/>
      <c r="AI116" s="246"/>
      <c r="AJ116" s="246"/>
      <c r="AK116" s="246"/>
      <c r="AL116" s="246"/>
      <c r="AM116" s="246"/>
      <c r="AN116" s="246"/>
      <c r="AO116" s="246"/>
      <c r="AP116" s="246"/>
      <c r="AQ116" s="246"/>
      <c r="AR116" s="246"/>
      <c r="AS116" s="246"/>
      <c r="AT116" s="246"/>
      <c r="AU116" s="246"/>
      <c r="AV116" s="246"/>
      <c r="AW116" s="246"/>
      <c r="AX116" s="246"/>
      <c r="AY116" s="246"/>
      <c r="AZ116" s="246"/>
      <c r="BA116" s="246"/>
      <c r="BB116" s="246"/>
      <c r="BC116" s="246"/>
      <c r="BD116" s="246"/>
      <c r="BE116" s="246"/>
      <c r="BF116" s="246"/>
      <c r="BG116" s="246"/>
      <c r="BH116" s="246"/>
      <c r="BI116" s="246"/>
      <c r="BJ116" s="246"/>
      <c r="BK116" s="246"/>
      <c r="BL116" s="246"/>
      <c r="BM116" s="246"/>
      <c r="BN116" s="246"/>
      <c r="BO116" s="246"/>
      <c r="BP116" s="246"/>
      <c r="BQ116" s="246"/>
      <c r="BR116" s="246"/>
      <c r="BS116" s="246"/>
      <c r="BT116" s="246"/>
      <c r="BU116" s="246"/>
      <c r="BV116" s="246"/>
      <c r="BW116" s="246"/>
      <c r="BX116" s="246"/>
      <c r="BY116" s="246"/>
      <c r="BZ116" s="246"/>
      <c r="CA116" s="246"/>
      <c r="CB116" s="246"/>
      <c r="CC116" s="246"/>
      <c r="CD116" s="246"/>
      <c r="CE116" s="246"/>
      <c r="CF116" s="246"/>
      <c r="CG116" s="246"/>
      <c r="CH116" s="246"/>
      <c r="CI116" s="246"/>
      <c r="CJ116" s="246"/>
      <c r="CK116" s="246"/>
      <c r="CL116" s="246"/>
    </row>
    <row r="117" outlineLevel="1">
      <c r="A117" s="213" t="str">
        <f t="shared" si="11"/>
        <v>TC_01.92</v>
      </c>
      <c r="B117" s="314" t="s">
        <v>65</v>
      </c>
      <c r="C117" s="313" t="s">
        <v>434</v>
      </c>
      <c r="D117" s="266" t="s">
        <v>246</v>
      </c>
      <c r="E117" s="311" t="s">
        <v>435</v>
      </c>
      <c r="F117" s="316" t="s">
        <v>436</v>
      </c>
      <c r="G117" s="211" t="s">
        <v>56</v>
      </c>
      <c r="H117" s="211" t="s">
        <v>56</v>
      </c>
      <c r="I117" s="268" t="s">
        <v>180</v>
      </c>
      <c r="J117" s="211" t="s">
        <v>135</v>
      </c>
      <c r="K117" s="221"/>
      <c r="L117" s="227" t="s">
        <v>249</v>
      </c>
      <c r="M117" s="220"/>
      <c r="N117" s="244"/>
      <c r="O117" s="244"/>
      <c r="P117" s="245"/>
      <c r="Q117" s="220"/>
      <c r="R117" s="244"/>
      <c r="S117" s="244"/>
      <c r="T117" s="245"/>
      <c r="U117" s="43"/>
      <c r="V117" s="244"/>
      <c r="W117" s="244"/>
      <c r="X117" s="245"/>
      <c r="Y117" s="246"/>
      <c r="Z117" s="246"/>
      <c r="AA117" s="246"/>
      <c r="AB117" s="246"/>
      <c r="AC117" s="246"/>
      <c r="AD117" s="246"/>
      <c r="AE117" s="246"/>
      <c r="AF117" s="246"/>
      <c r="AG117" s="246"/>
      <c r="AH117" s="246"/>
      <c r="AI117" s="246"/>
      <c r="AJ117" s="246"/>
      <c r="AK117" s="246"/>
      <c r="AL117" s="246"/>
      <c r="AM117" s="246"/>
      <c r="AN117" s="246"/>
      <c r="AO117" s="246"/>
      <c r="AP117" s="246"/>
      <c r="AQ117" s="246"/>
      <c r="AR117" s="246"/>
      <c r="AS117" s="246"/>
      <c r="AT117" s="246"/>
      <c r="AU117" s="246"/>
      <c r="AV117" s="246"/>
      <c r="AW117" s="246"/>
      <c r="AX117" s="246"/>
      <c r="AY117" s="246"/>
      <c r="AZ117" s="246"/>
      <c r="BA117" s="246"/>
      <c r="BB117" s="246"/>
      <c r="BC117" s="246"/>
      <c r="BD117" s="246"/>
      <c r="BE117" s="246"/>
      <c r="BF117" s="246"/>
      <c r="BG117" s="246"/>
      <c r="BH117" s="246"/>
      <c r="BI117" s="246"/>
      <c r="BJ117" s="246"/>
      <c r="BK117" s="246"/>
      <c r="BL117" s="246"/>
      <c r="BM117" s="246"/>
      <c r="BN117" s="246"/>
      <c r="BO117" s="246"/>
      <c r="BP117" s="246"/>
      <c r="BQ117" s="246"/>
      <c r="BR117" s="246"/>
      <c r="BS117" s="246"/>
      <c r="BT117" s="246"/>
      <c r="BU117" s="246"/>
      <c r="BV117" s="246"/>
      <c r="BW117" s="246"/>
      <c r="BX117" s="246"/>
      <c r="BY117" s="246"/>
      <c r="BZ117" s="246"/>
      <c r="CA117" s="246"/>
      <c r="CB117" s="246"/>
      <c r="CC117" s="246"/>
      <c r="CD117" s="246"/>
      <c r="CE117" s="246"/>
      <c r="CF117" s="246"/>
      <c r="CG117" s="246"/>
      <c r="CH117" s="246"/>
      <c r="CI117" s="246"/>
      <c r="CJ117" s="246"/>
      <c r="CK117" s="246"/>
      <c r="CL117" s="246"/>
    </row>
    <row r="118" outlineLevel="1">
      <c r="A118" s="213" t="str">
        <f t="shared" si="11"/>
        <v>TC_01.93</v>
      </c>
      <c r="B118" s="314" t="s">
        <v>65</v>
      </c>
      <c r="C118" s="313" t="s">
        <v>437</v>
      </c>
      <c r="D118" s="266" t="s">
        <v>246</v>
      </c>
      <c r="E118" s="311" t="s">
        <v>438</v>
      </c>
      <c r="F118" s="317" t="s">
        <v>439</v>
      </c>
      <c r="G118" s="211" t="s">
        <v>56</v>
      </c>
      <c r="H118" s="211" t="s">
        <v>56</v>
      </c>
      <c r="I118" s="268" t="s">
        <v>180</v>
      </c>
      <c r="J118" s="211" t="s">
        <v>135</v>
      </c>
      <c r="K118" s="221"/>
      <c r="L118" s="227" t="s">
        <v>249</v>
      </c>
      <c r="M118" s="220"/>
      <c r="N118" s="244"/>
      <c r="O118" s="244"/>
      <c r="P118" s="245"/>
      <c r="Q118" s="220"/>
      <c r="R118" s="244"/>
      <c r="S118" s="244"/>
      <c r="T118" s="245"/>
      <c r="U118" s="43"/>
      <c r="V118" s="244"/>
      <c r="W118" s="244"/>
      <c r="X118" s="245"/>
      <c r="Y118" s="246"/>
      <c r="Z118" s="246"/>
      <c r="AA118" s="246"/>
      <c r="AB118" s="246"/>
      <c r="AC118" s="246"/>
      <c r="AD118" s="246"/>
      <c r="AE118" s="246"/>
      <c r="AF118" s="246"/>
      <c r="AG118" s="246"/>
      <c r="AH118" s="246"/>
      <c r="AI118" s="246"/>
      <c r="AJ118" s="246"/>
      <c r="AK118" s="246"/>
      <c r="AL118" s="246"/>
      <c r="AM118" s="246"/>
      <c r="AN118" s="246"/>
      <c r="AO118" s="246"/>
      <c r="AP118" s="246"/>
      <c r="AQ118" s="246"/>
      <c r="AR118" s="246"/>
      <c r="AS118" s="246"/>
      <c r="AT118" s="246"/>
      <c r="AU118" s="246"/>
      <c r="AV118" s="246"/>
      <c r="AW118" s="246"/>
      <c r="AX118" s="246"/>
      <c r="AY118" s="246"/>
      <c r="AZ118" s="246"/>
      <c r="BA118" s="246"/>
      <c r="BB118" s="246"/>
      <c r="BC118" s="246"/>
      <c r="BD118" s="246"/>
      <c r="BE118" s="246"/>
      <c r="BF118" s="246"/>
      <c r="BG118" s="246"/>
      <c r="BH118" s="246"/>
      <c r="BI118" s="246"/>
      <c r="BJ118" s="246"/>
      <c r="BK118" s="246"/>
      <c r="BL118" s="246"/>
      <c r="BM118" s="246"/>
      <c r="BN118" s="246"/>
      <c r="BO118" s="246"/>
      <c r="BP118" s="246"/>
      <c r="BQ118" s="246"/>
      <c r="BR118" s="246"/>
      <c r="BS118" s="246"/>
      <c r="BT118" s="246"/>
      <c r="BU118" s="246"/>
      <c r="BV118" s="246"/>
      <c r="BW118" s="246"/>
      <c r="BX118" s="246"/>
      <c r="BY118" s="246"/>
      <c r="BZ118" s="246"/>
      <c r="CA118" s="246"/>
      <c r="CB118" s="246"/>
      <c r="CC118" s="246"/>
      <c r="CD118" s="246"/>
      <c r="CE118" s="246"/>
      <c r="CF118" s="246"/>
      <c r="CG118" s="246"/>
      <c r="CH118" s="246"/>
      <c r="CI118" s="246"/>
      <c r="CJ118" s="246"/>
      <c r="CK118" s="246"/>
      <c r="CL118" s="246"/>
    </row>
    <row r="119">
      <c r="A119" s="212" t="s">
        <v>440</v>
      </c>
      <c r="B119" s="144"/>
      <c r="C119" s="144"/>
      <c r="D119" s="144"/>
      <c r="E119" s="144"/>
      <c r="F119" s="167"/>
      <c r="G119" s="228"/>
      <c r="H119" s="228"/>
      <c r="I119" s="228"/>
      <c r="J119" s="228"/>
      <c r="K119" s="221"/>
      <c r="L119" s="208"/>
      <c r="M119" s="264"/>
      <c r="N119" s="264"/>
      <c r="O119" s="208"/>
      <c r="P119" s="208"/>
      <c r="Q119" s="264"/>
      <c r="R119" s="264"/>
      <c r="S119" s="264"/>
      <c r="T119" s="208"/>
      <c r="U119" s="264"/>
      <c r="V119" s="264"/>
      <c r="W119" s="208"/>
      <c r="X119" s="208"/>
      <c r="Y119" s="265"/>
      <c r="Z119" s="265"/>
      <c r="AA119" s="265"/>
      <c r="AB119" s="265"/>
      <c r="AC119" s="265"/>
      <c r="AD119" s="265"/>
      <c r="AE119" s="265"/>
      <c r="AF119" s="265"/>
      <c r="AG119" s="265"/>
      <c r="AH119" s="265"/>
      <c r="AI119" s="265"/>
      <c r="AJ119" s="265"/>
      <c r="AK119" s="265"/>
      <c r="AL119" s="265"/>
      <c r="AM119" s="265"/>
      <c r="AN119" s="265"/>
      <c r="AO119" s="265"/>
      <c r="AP119" s="265"/>
      <c r="AQ119" s="265"/>
      <c r="AR119" s="265"/>
      <c r="AS119" s="265"/>
      <c r="AT119" s="265"/>
      <c r="AU119" s="265"/>
      <c r="AV119" s="265"/>
      <c r="AW119" s="265"/>
      <c r="AX119" s="265"/>
      <c r="AY119" s="265"/>
      <c r="AZ119" s="265"/>
      <c r="BA119" s="265"/>
      <c r="BB119" s="265"/>
      <c r="BC119" s="265"/>
      <c r="BD119" s="265"/>
      <c r="BE119" s="265"/>
      <c r="BF119" s="265"/>
      <c r="BG119" s="265"/>
      <c r="BH119" s="265"/>
      <c r="BI119" s="265"/>
      <c r="BJ119" s="265"/>
      <c r="BK119" s="265"/>
      <c r="BL119" s="265"/>
      <c r="BM119" s="265"/>
      <c r="BN119" s="265"/>
      <c r="BO119" s="265"/>
      <c r="BP119" s="265"/>
      <c r="BQ119" s="265"/>
      <c r="BR119" s="265"/>
      <c r="BS119" s="265"/>
      <c r="BT119" s="265"/>
      <c r="BU119" s="265"/>
      <c r="BV119" s="265"/>
      <c r="BW119" s="265"/>
      <c r="BX119" s="265"/>
      <c r="BY119" s="265"/>
      <c r="BZ119" s="265"/>
      <c r="CA119" s="265"/>
      <c r="CB119" s="265"/>
      <c r="CC119" s="265"/>
      <c r="CD119" s="265"/>
      <c r="CE119" s="265"/>
      <c r="CF119" s="265"/>
      <c r="CG119" s="265"/>
      <c r="CH119" s="265"/>
      <c r="CI119" s="265"/>
      <c r="CJ119" s="265"/>
      <c r="CK119" s="265"/>
      <c r="CL119" s="265"/>
    </row>
    <row r="120" outlineLevel="1">
      <c r="A120" s="244" t="str">
        <f t="shared" ref="A120:A124" si="12">IF(E120="","",$C$3&amp;"."&amp;COUNTA($E$9:E120)&amp;"")</f>
        <v>TC_01.94</v>
      </c>
      <c r="B120" s="314" t="s">
        <v>67</v>
      </c>
      <c r="C120" s="318" t="s">
        <v>441</v>
      </c>
      <c r="D120" s="266" t="s">
        <v>442</v>
      </c>
      <c r="E120" s="319" t="s">
        <v>443</v>
      </c>
      <c r="F120" s="317" t="s">
        <v>444</v>
      </c>
      <c r="G120" s="211" t="s">
        <v>56</v>
      </c>
      <c r="H120" s="211" t="s">
        <v>56</v>
      </c>
      <c r="I120" s="211" t="s">
        <v>56</v>
      </c>
      <c r="J120" s="211" t="s">
        <v>135</v>
      </c>
      <c r="K120" s="221"/>
      <c r="L120" s="243"/>
      <c r="M120" s="244"/>
      <c r="N120" s="245"/>
      <c r="O120" s="220"/>
      <c r="P120" s="244"/>
      <c r="Q120" s="244"/>
      <c r="R120" s="245"/>
      <c r="S120" s="43"/>
      <c r="T120" s="244"/>
      <c r="U120" s="244"/>
      <c r="V120" s="245"/>
      <c r="W120" s="246"/>
      <c r="X120" s="246"/>
      <c r="Y120" s="246"/>
      <c r="Z120" s="246"/>
      <c r="AA120" s="246"/>
      <c r="AB120" s="246"/>
      <c r="AC120" s="246"/>
      <c r="AD120" s="246"/>
      <c r="AE120" s="246"/>
      <c r="AF120" s="246"/>
      <c r="AG120" s="246"/>
      <c r="AH120" s="246"/>
      <c r="AI120" s="246"/>
      <c r="AJ120" s="246"/>
      <c r="AK120" s="246"/>
      <c r="AL120" s="246"/>
      <c r="AM120" s="246"/>
      <c r="AN120" s="246"/>
      <c r="AO120" s="246"/>
      <c r="AP120" s="246"/>
      <c r="AQ120" s="246"/>
      <c r="AR120" s="246"/>
      <c r="AS120" s="246"/>
      <c r="AT120" s="246"/>
      <c r="AU120" s="246"/>
      <c r="AV120" s="246"/>
      <c r="AW120" s="246"/>
      <c r="AX120" s="246"/>
      <c r="AY120" s="246"/>
      <c r="AZ120" s="246"/>
      <c r="BA120" s="246"/>
      <c r="BB120" s="246"/>
      <c r="BC120" s="246"/>
      <c r="BD120" s="246"/>
      <c r="BE120" s="246"/>
      <c r="BF120" s="246"/>
      <c r="BG120" s="246"/>
      <c r="BH120" s="246"/>
      <c r="BI120" s="246"/>
      <c r="BJ120" s="246"/>
      <c r="BK120" s="246"/>
      <c r="BL120" s="246"/>
      <c r="BM120" s="246"/>
      <c r="BN120" s="246"/>
      <c r="BO120" s="246"/>
      <c r="BP120" s="246"/>
      <c r="BQ120" s="246"/>
      <c r="BR120" s="246"/>
      <c r="BS120" s="246"/>
      <c r="BT120" s="246"/>
      <c r="BU120" s="246"/>
      <c r="BV120" s="246"/>
      <c r="BW120" s="246"/>
      <c r="BX120" s="246"/>
      <c r="BY120" s="246"/>
      <c r="BZ120" s="246"/>
      <c r="CA120" s="246"/>
      <c r="CB120" s="246"/>
      <c r="CC120" s="246"/>
      <c r="CD120" s="246"/>
      <c r="CE120" s="246"/>
      <c r="CF120" s="246"/>
      <c r="CG120" s="246"/>
      <c r="CH120" s="246"/>
      <c r="CI120" s="246"/>
      <c r="CJ120" s="246"/>
      <c r="CK120" s="246"/>
      <c r="CL120" s="246"/>
    </row>
    <row r="121" outlineLevel="1">
      <c r="A121" s="244" t="str">
        <f t="shared" si="12"/>
        <v>TC_01.95</v>
      </c>
      <c r="B121" s="314" t="s">
        <v>67</v>
      </c>
      <c r="C121" s="318" t="s">
        <v>445</v>
      </c>
      <c r="D121" s="266" t="s">
        <v>442</v>
      </c>
      <c r="E121" s="319" t="s">
        <v>446</v>
      </c>
      <c r="F121" s="317" t="s">
        <v>447</v>
      </c>
      <c r="G121" s="211" t="s">
        <v>56</v>
      </c>
      <c r="H121" s="211" t="s">
        <v>56</v>
      </c>
      <c r="I121" s="211" t="s">
        <v>56</v>
      </c>
      <c r="J121" s="247" t="s">
        <v>135</v>
      </c>
      <c r="K121" s="221"/>
      <c r="L121" s="243"/>
      <c r="M121" s="244"/>
      <c r="N121" s="245"/>
      <c r="O121" s="220"/>
      <c r="P121" s="244"/>
      <c r="Q121" s="244"/>
      <c r="R121" s="245"/>
      <c r="S121" s="43"/>
      <c r="T121" s="244"/>
      <c r="U121" s="244"/>
      <c r="V121" s="245"/>
      <c r="W121" s="246"/>
      <c r="X121" s="246"/>
      <c r="Y121" s="246"/>
      <c r="Z121" s="246"/>
      <c r="AA121" s="246"/>
      <c r="AB121" s="246"/>
      <c r="AC121" s="246"/>
      <c r="AD121" s="246"/>
      <c r="AE121" s="246"/>
      <c r="AF121" s="246"/>
      <c r="AG121" s="246"/>
      <c r="AH121" s="246"/>
      <c r="AI121" s="246"/>
      <c r="AJ121" s="246"/>
      <c r="AK121" s="246"/>
      <c r="AL121" s="246"/>
      <c r="AM121" s="246"/>
      <c r="AN121" s="246"/>
      <c r="AO121" s="246"/>
      <c r="AP121" s="246"/>
      <c r="AQ121" s="246"/>
      <c r="AR121" s="246"/>
      <c r="AS121" s="246"/>
      <c r="AT121" s="246"/>
      <c r="AU121" s="246"/>
      <c r="AV121" s="246"/>
      <c r="AW121" s="246"/>
      <c r="AX121" s="246"/>
      <c r="AY121" s="246"/>
      <c r="AZ121" s="246"/>
      <c r="BA121" s="246"/>
      <c r="BB121" s="246"/>
      <c r="BC121" s="246"/>
      <c r="BD121" s="246"/>
      <c r="BE121" s="246"/>
      <c r="BF121" s="246"/>
      <c r="BG121" s="246"/>
      <c r="BH121" s="246"/>
      <c r="BI121" s="246"/>
      <c r="BJ121" s="246"/>
      <c r="BK121" s="246"/>
      <c r="BL121" s="246"/>
      <c r="BM121" s="246"/>
      <c r="BN121" s="246"/>
      <c r="BO121" s="246"/>
      <c r="BP121" s="246"/>
      <c r="BQ121" s="246"/>
      <c r="BR121" s="246"/>
      <c r="BS121" s="246"/>
      <c r="BT121" s="246"/>
      <c r="BU121" s="246"/>
      <c r="BV121" s="246"/>
      <c r="BW121" s="246"/>
      <c r="BX121" s="246"/>
      <c r="BY121" s="246"/>
      <c r="BZ121" s="246"/>
      <c r="CA121" s="246"/>
      <c r="CB121" s="246"/>
      <c r="CC121" s="246"/>
      <c r="CD121" s="246"/>
      <c r="CE121" s="246"/>
      <c r="CF121" s="246"/>
      <c r="CG121" s="246"/>
      <c r="CH121" s="246"/>
      <c r="CI121" s="246"/>
      <c r="CJ121" s="246"/>
      <c r="CK121" s="246"/>
      <c r="CL121" s="246"/>
    </row>
    <row r="122" outlineLevel="1">
      <c r="A122" s="244" t="str">
        <f t="shared" si="12"/>
        <v>TC_01.96</v>
      </c>
      <c r="B122" s="314" t="s">
        <v>67</v>
      </c>
      <c r="C122" s="318" t="s">
        <v>448</v>
      </c>
      <c r="D122" s="266" t="s">
        <v>442</v>
      </c>
      <c r="E122" s="319" t="s">
        <v>449</v>
      </c>
      <c r="F122" s="317" t="s">
        <v>450</v>
      </c>
      <c r="G122" s="211" t="s">
        <v>56</v>
      </c>
      <c r="H122" s="211" t="s">
        <v>56</v>
      </c>
      <c r="I122" s="211" t="s">
        <v>56</v>
      </c>
      <c r="J122" s="247" t="s">
        <v>135</v>
      </c>
      <c r="K122" s="320"/>
      <c r="L122" s="255"/>
      <c r="M122" s="244"/>
      <c r="N122" s="245"/>
      <c r="O122" s="220"/>
      <c r="P122" s="244"/>
      <c r="Q122" s="244"/>
      <c r="R122" s="245"/>
      <c r="S122" s="43"/>
      <c r="T122" s="244"/>
      <c r="U122" s="244"/>
      <c r="V122" s="245"/>
      <c r="W122" s="246"/>
      <c r="X122" s="246"/>
      <c r="Y122" s="246"/>
      <c r="Z122" s="246"/>
      <c r="AA122" s="246"/>
      <c r="AB122" s="246"/>
      <c r="AC122" s="246"/>
      <c r="AD122" s="246"/>
      <c r="AE122" s="246"/>
      <c r="AF122" s="246"/>
      <c r="AG122" s="246"/>
      <c r="AH122" s="246"/>
      <c r="AI122" s="246"/>
      <c r="AJ122" s="246"/>
      <c r="AK122" s="246"/>
      <c r="AL122" s="246"/>
      <c r="AM122" s="246"/>
      <c r="AN122" s="246"/>
      <c r="AO122" s="246"/>
      <c r="AP122" s="246"/>
      <c r="AQ122" s="246"/>
      <c r="AR122" s="246"/>
      <c r="AS122" s="246"/>
      <c r="AT122" s="246"/>
      <c r="AU122" s="246"/>
      <c r="AV122" s="246"/>
      <c r="AW122" s="246"/>
      <c r="AX122" s="246"/>
      <c r="AY122" s="246"/>
      <c r="AZ122" s="246"/>
      <c r="BA122" s="246"/>
      <c r="BB122" s="246"/>
      <c r="BC122" s="246"/>
      <c r="BD122" s="246"/>
      <c r="BE122" s="246"/>
      <c r="BF122" s="246"/>
      <c r="BG122" s="246"/>
      <c r="BH122" s="246"/>
      <c r="BI122" s="246"/>
      <c r="BJ122" s="246"/>
      <c r="BK122" s="246"/>
      <c r="BL122" s="246"/>
      <c r="BM122" s="246"/>
      <c r="BN122" s="246"/>
      <c r="BO122" s="246"/>
      <c r="BP122" s="246"/>
      <c r="BQ122" s="246"/>
      <c r="BR122" s="246"/>
      <c r="BS122" s="246"/>
      <c r="BT122" s="246"/>
      <c r="BU122" s="246"/>
      <c r="BV122" s="246"/>
      <c r="BW122" s="246"/>
      <c r="BX122" s="246"/>
      <c r="BY122" s="246"/>
      <c r="BZ122" s="246"/>
      <c r="CA122" s="246"/>
      <c r="CB122" s="246"/>
      <c r="CC122" s="246"/>
      <c r="CD122" s="246"/>
      <c r="CE122" s="246"/>
      <c r="CF122" s="246"/>
      <c r="CG122" s="246"/>
      <c r="CH122" s="246"/>
      <c r="CI122" s="246"/>
      <c r="CJ122" s="246"/>
      <c r="CK122" s="246"/>
      <c r="CL122" s="246"/>
    </row>
    <row r="123" outlineLevel="1">
      <c r="A123" s="244" t="str">
        <f t="shared" si="12"/>
        <v>TC_01.97</v>
      </c>
      <c r="B123" s="314" t="s">
        <v>67</v>
      </c>
      <c r="C123" s="318" t="s">
        <v>451</v>
      </c>
      <c r="D123" s="266" t="s">
        <v>442</v>
      </c>
      <c r="E123" s="319" t="s">
        <v>452</v>
      </c>
      <c r="F123" s="317" t="s">
        <v>453</v>
      </c>
      <c r="G123" s="211" t="s">
        <v>56</v>
      </c>
      <c r="H123" s="211" t="s">
        <v>56</v>
      </c>
      <c r="I123" s="211" t="s">
        <v>56</v>
      </c>
      <c r="J123" s="247" t="s">
        <v>135</v>
      </c>
      <c r="K123" s="320"/>
      <c r="L123" s="255"/>
      <c r="M123" s="244"/>
      <c r="N123" s="245"/>
      <c r="O123" s="220"/>
      <c r="P123" s="244"/>
      <c r="Q123" s="244"/>
      <c r="R123" s="245"/>
      <c r="S123" s="43"/>
      <c r="T123" s="244"/>
      <c r="U123" s="244"/>
      <c r="V123" s="245"/>
      <c r="W123" s="246"/>
      <c r="X123" s="246"/>
      <c r="Y123" s="246"/>
      <c r="Z123" s="246"/>
      <c r="AA123" s="246"/>
      <c r="AB123" s="246"/>
      <c r="AC123" s="246"/>
      <c r="AD123" s="246"/>
      <c r="AE123" s="246"/>
      <c r="AF123" s="246"/>
      <c r="AG123" s="246"/>
      <c r="AH123" s="246"/>
      <c r="AI123" s="246"/>
      <c r="AJ123" s="246"/>
      <c r="AK123" s="246"/>
      <c r="AL123" s="246"/>
      <c r="AM123" s="246"/>
      <c r="AN123" s="246"/>
      <c r="AO123" s="246"/>
      <c r="AP123" s="246"/>
      <c r="AQ123" s="246"/>
      <c r="AR123" s="246"/>
      <c r="AS123" s="246"/>
      <c r="AT123" s="246"/>
      <c r="AU123" s="246"/>
      <c r="AV123" s="246"/>
      <c r="AW123" s="246"/>
      <c r="AX123" s="246"/>
      <c r="AY123" s="246"/>
      <c r="AZ123" s="246"/>
      <c r="BA123" s="246"/>
      <c r="BB123" s="246"/>
      <c r="BC123" s="246"/>
      <c r="BD123" s="246"/>
      <c r="BE123" s="246"/>
      <c r="BF123" s="246"/>
      <c r="BG123" s="246"/>
      <c r="BH123" s="246"/>
      <c r="BI123" s="246"/>
      <c r="BJ123" s="246"/>
      <c r="BK123" s="246"/>
      <c r="BL123" s="246"/>
      <c r="BM123" s="246"/>
      <c r="BN123" s="246"/>
      <c r="BO123" s="246"/>
      <c r="BP123" s="246"/>
      <c r="BQ123" s="246"/>
      <c r="BR123" s="246"/>
      <c r="BS123" s="246"/>
      <c r="BT123" s="246"/>
      <c r="BU123" s="246"/>
      <c r="BV123" s="246"/>
      <c r="BW123" s="246"/>
      <c r="BX123" s="246"/>
      <c r="BY123" s="246"/>
      <c r="BZ123" s="246"/>
      <c r="CA123" s="246"/>
      <c r="CB123" s="246"/>
      <c r="CC123" s="246"/>
      <c r="CD123" s="246"/>
      <c r="CE123" s="246"/>
      <c r="CF123" s="246"/>
      <c r="CG123" s="246"/>
      <c r="CH123" s="246"/>
      <c r="CI123" s="246"/>
      <c r="CJ123" s="246"/>
      <c r="CK123" s="246"/>
      <c r="CL123" s="246"/>
    </row>
    <row r="124" outlineLevel="1">
      <c r="A124" s="244" t="str">
        <f t="shared" si="12"/>
        <v>TC_01.98</v>
      </c>
      <c r="B124" s="314" t="s">
        <v>67</v>
      </c>
      <c r="C124" s="241" t="s">
        <v>454</v>
      </c>
      <c r="D124" s="266" t="s">
        <v>442</v>
      </c>
      <c r="E124" s="321" t="s">
        <v>455</v>
      </c>
      <c r="F124" s="217" t="s">
        <v>456</v>
      </c>
      <c r="G124" s="211" t="s">
        <v>56</v>
      </c>
      <c r="H124" s="211" t="s">
        <v>56</v>
      </c>
      <c r="I124" s="211" t="s">
        <v>56</v>
      </c>
      <c r="J124" s="247" t="s">
        <v>135</v>
      </c>
      <c r="K124" s="221"/>
      <c r="L124" s="243"/>
      <c r="M124" s="244"/>
      <c r="N124" s="245"/>
      <c r="O124" s="220"/>
      <c r="P124" s="244"/>
      <c r="Q124" s="244"/>
      <c r="R124" s="245"/>
      <c r="S124" s="43"/>
      <c r="T124" s="244"/>
      <c r="U124" s="244"/>
      <c r="V124" s="245"/>
      <c r="W124" s="246"/>
      <c r="X124" s="246"/>
      <c r="Y124" s="246"/>
      <c r="Z124" s="246"/>
      <c r="AA124" s="246"/>
      <c r="AB124" s="246"/>
      <c r="AC124" s="246"/>
      <c r="AD124" s="246"/>
      <c r="AE124" s="246"/>
      <c r="AF124" s="246"/>
      <c r="AG124" s="246"/>
      <c r="AH124" s="246"/>
      <c r="AI124" s="246"/>
      <c r="AJ124" s="246"/>
      <c r="AK124" s="246"/>
      <c r="AL124" s="246"/>
      <c r="AM124" s="246"/>
      <c r="AN124" s="246"/>
      <c r="AO124" s="246"/>
      <c r="AP124" s="246"/>
      <c r="AQ124" s="246"/>
      <c r="AR124" s="246"/>
      <c r="AS124" s="246"/>
      <c r="AT124" s="246"/>
      <c r="AU124" s="246"/>
      <c r="AV124" s="246"/>
      <c r="AW124" s="246"/>
      <c r="AX124" s="246"/>
      <c r="AY124" s="246"/>
      <c r="AZ124" s="246"/>
      <c r="BA124" s="246"/>
      <c r="BB124" s="246"/>
      <c r="BC124" s="246"/>
      <c r="BD124" s="246"/>
      <c r="BE124" s="246"/>
      <c r="BF124" s="246"/>
      <c r="BG124" s="246"/>
      <c r="BH124" s="246"/>
      <c r="BI124" s="246"/>
      <c r="BJ124" s="246"/>
      <c r="BK124" s="246"/>
      <c r="BL124" s="246"/>
      <c r="BM124" s="246"/>
      <c r="BN124" s="246"/>
      <c r="BO124" s="246"/>
      <c r="BP124" s="246"/>
      <c r="BQ124" s="246"/>
      <c r="BR124" s="246"/>
      <c r="BS124" s="246"/>
      <c r="BT124" s="246"/>
      <c r="BU124" s="246"/>
      <c r="BV124" s="246"/>
      <c r="BW124" s="246"/>
      <c r="BX124" s="246"/>
      <c r="BY124" s="246"/>
      <c r="BZ124" s="246"/>
      <c r="CA124" s="246"/>
      <c r="CB124" s="246"/>
      <c r="CC124" s="246"/>
      <c r="CD124" s="246"/>
      <c r="CE124" s="246"/>
      <c r="CF124" s="246"/>
      <c r="CG124" s="246"/>
      <c r="CH124" s="246"/>
      <c r="CI124" s="246"/>
      <c r="CJ124" s="246"/>
      <c r="CK124" s="246"/>
      <c r="CL124" s="246"/>
    </row>
    <row r="125">
      <c r="A125" s="212" t="s">
        <v>457</v>
      </c>
      <c r="B125" s="144"/>
      <c r="C125" s="144"/>
      <c r="D125" s="144"/>
      <c r="E125" s="144"/>
      <c r="F125" s="167"/>
      <c r="G125" s="322"/>
      <c r="H125" s="322"/>
      <c r="I125" s="322"/>
      <c r="J125" s="228"/>
      <c r="K125" s="221"/>
      <c r="L125" s="208"/>
      <c r="M125" s="208"/>
      <c r="N125" s="208"/>
      <c r="O125" s="208"/>
      <c r="P125" s="208"/>
      <c r="Q125" s="208"/>
      <c r="R125" s="208"/>
      <c r="S125" s="208"/>
      <c r="T125" s="208"/>
      <c r="U125" s="264"/>
      <c r="V125" s="208"/>
      <c r="W125" s="208"/>
      <c r="X125" s="208"/>
      <c r="Y125" s="265"/>
      <c r="Z125" s="265"/>
      <c r="AA125" s="265"/>
      <c r="AB125" s="265"/>
      <c r="AC125" s="265"/>
      <c r="AD125" s="265"/>
      <c r="AE125" s="265"/>
      <c r="AF125" s="265"/>
      <c r="AG125" s="265"/>
      <c r="AH125" s="265"/>
      <c r="AI125" s="265"/>
      <c r="AJ125" s="265"/>
      <c r="AK125" s="265"/>
      <c r="AL125" s="265"/>
      <c r="AM125" s="265"/>
      <c r="AN125" s="265"/>
      <c r="AO125" s="265"/>
      <c r="AP125" s="265"/>
      <c r="AQ125" s="265"/>
      <c r="AR125" s="265"/>
      <c r="AS125" s="265"/>
      <c r="AT125" s="265"/>
      <c r="AU125" s="265"/>
      <c r="AV125" s="265"/>
      <c r="AW125" s="265"/>
      <c r="AX125" s="265"/>
      <c r="AY125" s="265"/>
      <c r="AZ125" s="265"/>
      <c r="BA125" s="265"/>
      <c r="BB125" s="265"/>
      <c r="BC125" s="265"/>
      <c r="BD125" s="265"/>
      <c r="BE125" s="265"/>
      <c r="BF125" s="265"/>
      <c r="BG125" s="265"/>
      <c r="BH125" s="265"/>
      <c r="BI125" s="265"/>
      <c r="BJ125" s="265"/>
      <c r="BK125" s="265"/>
      <c r="BL125" s="265"/>
      <c r="BM125" s="265"/>
      <c r="BN125" s="265"/>
      <c r="BO125" s="265"/>
      <c r="BP125" s="265"/>
      <c r="BQ125" s="265"/>
      <c r="BR125" s="265"/>
      <c r="BS125" s="265"/>
      <c r="BT125" s="265"/>
      <c r="BU125" s="265"/>
      <c r="BV125" s="265"/>
      <c r="BW125" s="265"/>
      <c r="BX125" s="265"/>
      <c r="BY125" s="265"/>
      <c r="BZ125" s="265"/>
      <c r="CA125" s="265"/>
      <c r="CB125" s="265"/>
      <c r="CC125" s="265"/>
      <c r="CD125" s="265"/>
      <c r="CE125" s="265"/>
      <c r="CF125" s="265"/>
      <c r="CG125" s="265"/>
      <c r="CH125" s="265"/>
      <c r="CI125" s="265"/>
      <c r="CJ125" s="265"/>
      <c r="CK125" s="265"/>
      <c r="CL125" s="265"/>
    </row>
    <row r="126" outlineLevel="1">
      <c r="A126" s="213" t="str">
        <f t="shared" ref="A126:A135" si="13">IF(E126="","",$C$3&amp;"."&amp;COUNTA($E$12:E126)&amp;"")</f>
        <v>TC_01.99</v>
      </c>
      <c r="B126" s="214" t="s">
        <v>65</v>
      </c>
      <c r="C126" s="226" t="s">
        <v>458</v>
      </c>
      <c r="D126" s="266" t="s">
        <v>459</v>
      </c>
      <c r="E126" s="217" t="s">
        <v>460</v>
      </c>
      <c r="F126" s="238" t="s">
        <v>461</v>
      </c>
      <c r="G126" s="211" t="s">
        <v>56</v>
      </c>
      <c r="H126" s="211" t="s">
        <v>56</v>
      </c>
      <c r="I126" s="211" t="s">
        <v>56</v>
      </c>
      <c r="J126" s="211" t="s">
        <v>462</v>
      </c>
      <c r="K126" s="217" t="s">
        <v>463</v>
      </c>
      <c r="L126" s="243"/>
      <c r="M126" s="220"/>
      <c r="N126" s="244"/>
      <c r="O126" s="244"/>
      <c r="P126" s="245"/>
      <c r="Q126" s="220"/>
      <c r="R126" s="244"/>
      <c r="S126" s="244"/>
      <c r="T126" s="245"/>
      <c r="U126" s="43"/>
      <c r="V126" s="244"/>
      <c r="W126" s="244"/>
      <c r="X126" s="245"/>
      <c r="Y126" s="246"/>
      <c r="Z126" s="246"/>
      <c r="AA126" s="246"/>
      <c r="AB126" s="246"/>
      <c r="AC126" s="246"/>
      <c r="AD126" s="246"/>
      <c r="AE126" s="246"/>
      <c r="AF126" s="246"/>
      <c r="AG126" s="246"/>
      <c r="AH126" s="246"/>
      <c r="AI126" s="246"/>
      <c r="AJ126" s="246"/>
      <c r="AK126" s="246"/>
      <c r="AL126" s="246"/>
      <c r="AM126" s="246"/>
      <c r="AN126" s="246"/>
      <c r="AO126" s="246"/>
      <c r="AP126" s="246"/>
      <c r="AQ126" s="246"/>
      <c r="AR126" s="246"/>
      <c r="AS126" s="246"/>
      <c r="AT126" s="246"/>
      <c r="AU126" s="246"/>
      <c r="AV126" s="246"/>
      <c r="AW126" s="246"/>
      <c r="AX126" s="246"/>
      <c r="AY126" s="246"/>
      <c r="AZ126" s="246"/>
      <c r="BA126" s="246"/>
      <c r="BB126" s="246"/>
      <c r="BC126" s="246"/>
      <c r="BD126" s="246"/>
      <c r="BE126" s="246"/>
      <c r="BF126" s="246"/>
      <c r="BG126" s="246"/>
      <c r="BH126" s="246"/>
      <c r="BI126" s="246"/>
      <c r="BJ126" s="246"/>
      <c r="BK126" s="246"/>
      <c r="BL126" s="246"/>
      <c r="BM126" s="246"/>
      <c r="BN126" s="246"/>
      <c r="BO126" s="246"/>
      <c r="BP126" s="246"/>
      <c r="BQ126" s="246"/>
      <c r="BR126" s="246"/>
      <c r="BS126" s="246"/>
      <c r="BT126" s="246"/>
      <c r="BU126" s="246"/>
      <c r="BV126" s="246"/>
      <c r="BW126" s="246"/>
      <c r="BX126" s="246"/>
      <c r="BY126" s="246"/>
      <c r="BZ126" s="246"/>
      <c r="CA126" s="246"/>
      <c r="CB126" s="246"/>
      <c r="CC126" s="246"/>
      <c r="CD126" s="246"/>
      <c r="CE126" s="246"/>
      <c r="CF126" s="246"/>
      <c r="CG126" s="246"/>
      <c r="CH126" s="246"/>
      <c r="CI126" s="246"/>
      <c r="CJ126" s="246"/>
      <c r="CK126" s="246"/>
      <c r="CL126" s="246"/>
    </row>
    <row r="127" outlineLevel="1">
      <c r="A127" s="213" t="str">
        <f t="shared" si="13"/>
        <v>TC_01.100</v>
      </c>
      <c r="B127" s="214" t="s">
        <v>65</v>
      </c>
      <c r="C127" s="215" t="s">
        <v>464</v>
      </c>
      <c r="D127" s="266" t="s">
        <v>442</v>
      </c>
      <c r="E127" s="217" t="s">
        <v>465</v>
      </c>
      <c r="F127" s="217" t="s">
        <v>466</v>
      </c>
      <c r="G127" s="211" t="s">
        <v>60</v>
      </c>
      <c r="H127" s="211" t="s">
        <v>60</v>
      </c>
      <c r="I127" s="211" t="s">
        <v>60</v>
      </c>
      <c r="J127" s="211" t="s">
        <v>462</v>
      </c>
      <c r="K127" s="217" t="s">
        <v>467</v>
      </c>
      <c r="L127" s="243"/>
      <c r="M127" s="220"/>
      <c r="N127" s="244"/>
      <c r="O127" s="244"/>
      <c r="P127" s="245"/>
      <c r="Q127" s="220"/>
      <c r="R127" s="244"/>
      <c r="S127" s="244"/>
      <c r="T127" s="245"/>
      <c r="U127" s="43"/>
      <c r="V127" s="244"/>
      <c r="W127" s="244"/>
      <c r="X127" s="245"/>
      <c r="Y127" s="246"/>
      <c r="Z127" s="246"/>
      <c r="AA127" s="246"/>
      <c r="AB127" s="246"/>
      <c r="AC127" s="246"/>
      <c r="AD127" s="246"/>
      <c r="AE127" s="246"/>
      <c r="AF127" s="246"/>
      <c r="AG127" s="246"/>
      <c r="AH127" s="246"/>
      <c r="AI127" s="246"/>
      <c r="AJ127" s="246"/>
      <c r="AK127" s="246"/>
      <c r="AL127" s="246"/>
      <c r="AM127" s="246"/>
      <c r="AN127" s="246"/>
      <c r="AO127" s="246"/>
      <c r="AP127" s="246"/>
      <c r="AQ127" s="246"/>
      <c r="AR127" s="246"/>
      <c r="AS127" s="246"/>
      <c r="AT127" s="246"/>
      <c r="AU127" s="246"/>
      <c r="AV127" s="246"/>
      <c r="AW127" s="246"/>
      <c r="AX127" s="246"/>
      <c r="AY127" s="246"/>
      <c r="AZ127" s="246"/>
      <c r="BA127" s="246"/>
      <c r="BB127" s="246"/>
      <c r="BC127" s="246"/>
      <c r="BD127" s="246"/>
      <c r="BE127" s="246"/>
      <c r="BF127" s="246"/>
      <c r="BG127" s="246"/>
      <c r="BH127" s="246"/>
      <c r="BI127" s="246"/>
      <c r="BJ127" s="246"/>
      <c r="BK127" s="246"/>
      <c r="BL127" s="246"/>
      <c r="BM127" s="246"/>
      <c r="BN127" s="246"/>
      <c r="BO127" s="246"/>
      <c r="BP127" s="246"/>
      <c r="BQ127" s="246"/>
      <c r="BR127" s="246"/>
      <c r="BS127" s="246"/>
      <c r="BT127" s="246"/>
      <c r="BU127" s="246"/>
      <c r="BV127" s="246"/>
      <c r="BW127" s="246"/>
      <c r="BX127" s="246"/>
      <c r="BY127" s="246"/>
      <c r="BZ127" s="246"/>
      <c r="CA127" s="246"/>
      <c r="CB127" s="246"/>
      <c r="CC127" s="246"/>
      <c r="CD127" s="246"/>
      <c r="CE127" s="246"/>
      <c r="CF127" s="246"/>
      <c r="CG127" s="246"/>
      <c r="CH127" s="246"/>
      <c r="CI127" s="246"/>
      <c r="CJ127" s="246"/>
      <c r="CK127" s="246"/>
      <c r="CL127" s="246"/>
    </row>
    <row r="128" outlineLevel="1">
      <c r="A128" s="213" t="str">
        <f t="shared" si="13"/>
        <v>TC_01.101</v>
      </c>
      <c r="B128" s="214" t="s">
        <v>65</v>
      </c>
      <c r="C128" s="215" t="s">
        <v>468</v>
      </c>
      <c r="D128" s="266" t="s">
        <v>442</v>
      </c>
      <c r="E128" s="217" t="s">
        <v>469</v>
      </c>
      <c r="F128" s="217" t="s">
        <v>470</v>
      </c>
      <c r="G128" s="211" t="s">
        <v>56</v>
      </c>
      <c r="H128" s="211" t="s">
        <v>56</v>
      </c>
      <c r="I128" s="211" t="s">
        <v>56</v>
      </c>
      <c r="J128" s="211" t="s">
        <v>462</v>
      </c>
      <c r="K128" s="217"/>
      <c r="L128" s="243"/>
      <c r="M128" s="220"/>
      <c r="N128" s="244"/>
      <c r="O128" s="244"/>
      <c r="P128" s="245"/>
      <c r="Q128" s="220"/>
      <c r="R128" s="244"/>
      <c r="S128" s="244"/>
      <c r="T128" s="245"/>
      <c r="U128" s="43"/>
      <c r="V128" s="244"/>
      <c r="W128" s="244"/>
      <c r="X128" s="245"/>
      <c r="Y128" s="246"/>
      <c r="Z128" s="246"/>
      <c r="AA128" s="246"/>
      <c r="AB128" s="246"/>
      <c r="AC128" s="246"/>
      <c r="AD128" s="246"/>
      <c r="AE128" s="246"/>
      <c r="AF128" s="246"/>
      <c r="AG128" s="246"/>
      <c r="AH128" s="246"/>
      <c r="AI128" s="246"/>
      <c r="AJ128" s="246"/>
      <c r="AK128" s="246"/>
      <c r="AL128" s="246"/>
      <c r="AM128" s="246"/>
      <c r="AN128" s="246"/>
      <c r="AO128" s="246"/>
      <c r="AP128" s="246"/>
      <c r="AQ128" s="246"/>
      <c r="AR128" s="246"/>
      <c r="AS128" s="246"/>
      <c r="AT128" s="246"/>
      <c r="AU128" s="246"/>
      <c r="AV128" s="246"/>
      <c r="AW128" s="246"/>
      <c r="AX128" s="246"/>
      <c r="AY128" s="246"/>
      <c r="AZ128" s="246"/>
      <c r="BA128" s="246"/>
      <c r="BB128" s="246"/>
      <c r="BC128" s="246"/>
      <c r="BD128" s="246"/>
      <c r="BE128" s="246"/>
      <c r="BF128" s="246"/>
      <c r="BG128" s="246"/>
      <c r="BH128" s="246"/>
      <c r="BI128" s="246"/>
      <c r="BJ128" s="246"/>
      <c r="BK128" s="246"/>
      <c r="BL128" s="246"/>
      <c r="BM128" s="246"/>
      <c r="BN128" s="246"/>
      <c r="BO128" s="246"/>
      <c r="BP128" s="246"/>
      <c r="BQ128" s="246"/>
      <c r="BR128" s="246"/>
      <c r="BS128" s="246"/>
      <c r="BT128" s="246"/>
      <c r="BU128" s="246"/>
      <c r="BV128" s="246"/>
      <c r="BW128" s="246"/>
      <c r="BX128" s="246"/>
      <c r="BY128" s="246"/>
      <c r="BZ128" s="246"/>
      <c r="CA128" s="246"/>
      <c r="CB128" s="246"/>
      <c r="CC128" s="246"/>
      <c r="CD128" s="246"/>
      <c r="CE128" s="246"/>
      <c r="CF128" s="246"/>
      <c r="CG128" s="246"/>
      <c r="CH128" s="246"/>
      <c r="CI128" s="246"/>
      <c r="CJ128" s="246"/>
      <c r="CK128" s="246"/>
      <c r="CL128" s="246"/>
    </row>
    <row r="129" outlineLevel="1">
      <c r="A129" s="213" t="str">
        <f t="shared" si="13"/>
        <v>TC_01.102</v>
      </c>
      <c r="B129" s="214" t="s">
        <v>65</v>
      </c>
      <c r="C129" s="226" t="s">
        <v>471</v>
      </c>
      <c r="D129" s="266" t="s">
        <v>442</v>
      </c>
      <c r="E129" s="217" t="s">
        <v>472</v>
      </c>
      <c r="F129" s="217" t="s">
        <v>473</v>
      </c>
      <c r="G129" s="211" t="s">
        <v>60</v>
      </c>
      <c r="H129" s="211" t="s">
        <v>60</v>
      </c>
      <c r="I129" s="211" t="s">
        <v>60</v>
      </c>
      <c r="J129" s="211" t="s">
        <v>462</v>
      </c>
      <c r="K129" s="217" t="s">
        <v>474</v>
      </c>
      <c r="L129" s="243"/>
      <c r="M129" s="220"/>
      <c r="N129" s="244"/>
      <c r="O129" s="244"/>
      <c r="P129" s="245"/>
      <c r="Q129" s="220"/>
      <c r="R129" s="244"/>
      <c r="S129" s="244"/>
      <c r="T129" s="245"/>
      <c r="U129" s="43"/>
      <c r="V129" s="244"/>
      <c r="W129" s="244"/>
      <c r="X129" s="245"/>
      <c r="Y129" s="246"/>
      <c r="Z129" s="246"/>
      <c r="AA129" s="246"/>
      <c r="AB129" s="246"/>
      <c r="AC129" s="246"/>
      <c r="AD129" s="246"/>
      <c r="AE129" s="246"/>
      <c r="AF129" s="246"/>
      <c r="AG129" s="246"/>
      <c r="AH129" s="246"/>
      <c r="AI129" s="246"/>
      <c r="AJ129" s="246"/>
      <c r="AK129" s="246"/>
      <c r="AL129" s="246"/>
      <c r="AM129" s="246"/>
      <c r="AN129" s="246"/>
      <c r="AO129" s="246"/>
      <c r="AP129" s="246"/>
      <c r="AQ129" s="246"/>
      <c r="AR129" s="246"/>
      <c r="AS129" s="246"/>
      <c r="AT129" s="246"/>
      <c r="AU129" s="246"/>
      <c r="AV129" s="246"/>
      <c r="AW129" s="246"/>
      <c r="AX129" s="246"/>
      <c r="AY129" s="246"/>
      <c r="AZ129" s="246"/>
      <c r="BA129" s="246"/>
      <c r="BB129" s="246"/>
      <c r="BC129" s="246"/>
      <c r="BD129" s="246"/>
      <c r="BE129" s="246"/>
      <c r="BF129" s="246"/>
      <c r="BG129" s="246"/>
      <c r="BH129" s="246"/>
      <c r="BI129" s="246"/>
      <c r="BJ129" s="246"/>
      <c r="BK129" s="246"/>
      <c r="BL129" s="246"/>
      <c r="BM129" s="246"/>
      <c r="BN129" s="246"/>
      <c r="BO129" s="246"/>
      <c r="BP129" s="246"/>
      <c r="BQ129" s="246"/>
      <c r="BR129" s="246"/>
      <c r="BS129" s="246"/>
      <c r="BT129" s="246"/>
      <c r="BU129" s="246"/>
      <c r="BV129" s="246"/>
      <c r="BW129" s="246"/>
      <c r="BX129" s="246"/>
      <c r="BY129" s="246"/>
      <c r="BZ129" s="246"/>
      <c r="CA129" s="246"/>
      <c r="CB129" s="246"/>
      <c r="CC129" s="246"/>
      <c r="CD129" s="246"/>
      <c r="CE129" s="246"/>
      <c r="CF129" s="246"/>
      <c r="CG129" s="246"/>
      <c r="CH129" s="246"/>
      <c r="CI129" s="246"/>
      <c r="CJ129" s="246"/>
      <c r="CK129" s="246"/>
      <c r="CL129" s="246"/>
    </row>
    <row r="130" outlineLevel="1">
      <c r="A130" s="213" t="str">
        <f t="shared" si="13"/>
        <v>TC_01.103</v>
      </c>
      <c r="B130" s="214" t="s">
        <v>65</v>
      </c>
      <c r="C130" s="226" t="s">
        <v>475</v>
      </c>
      <c r="D130" s="266" t="s">
        <v>442</v>
      </c>
      <c r="E130" s="217" t="s">
        <v>476</v>
      </c>
      <c r="F130" s="217" t="s">
        <v>477</v>
      </c>
      <c r="G130" s="211" t="s">
        <v>60</v>
      </c>
      <c r="H130" s="211" t="s">
        <v>60</v>
      </c>
      <c r="I130" s="211" t="s">
        <v>60</v>
      </c>
      <c r="J130" s="211" t="s">
        <v>462</v>
      </c>
      <c r="K130" s="217" t="s">
        <v>478</v>
      </c>
      <c r="L130" s="243"/>
      <c r="M130" s="220"/>
      <c r="N130" s="244"/>
      <c r="O130" s="244"/>
      <c r="P130" s="245"/>
      <c r="Q130" s="220"/>
      <c r="R130" s="244"/>
      <c r="S130" s="244"/>
      <c r="T130" s="245"/>
      <c r="U130" s="43"/>
      <c r="V130" s="244"/>
      <c r="W130" s="244"/>
      <c r="X130" s="245"/>
      <c r="Y130" s="246"/>
      <c r="Z130" s="246"/>
      <c r="AA130" s="246"/>
      <c r="AB130" s="246"/>
      <c r="AC130" s="246"/>
      <c r="AD130" s="246"/>
      <c r="AE130" s="246"/>
      <c r="AF130" s="246"/>
      <c r="AG130" s="246"/>
      <c r="AH130" s="246"/>
      <c r="AI130" s="246"/>
      <c r="AJ130" s="246"/>
      <c r="AK130" s="246"/>
      <c r="AL130" s="246"/>
      <c r="AM130" s="246"/>
      <c r="AN130" s="246"/>
      <c r="AO130" s="246"/>
      <c r="AP130" s="246"/>
      <c r="AQ130" s="246"/>
      <c r="AR130" s="246"/>
      <c r="AS130" s="246"/>
      <c r="AT130" s="246"/>
      <c r="AU130" s="246"/>
      <c r="AV130" s="246"/>
      <c r="AW130" s="246"/>
      <c r="AX130" s="246"/>
      <c r="AY130" s="246"/>
      <c r="AZ130" s="246"/>
      <c r="BA130" s="246"/>
      <c r="BB130" s="246"/>
      <c r="BC130" s="246"/>
      <c r="BD130" s="246"/>
      <c r="BE130" s="246"/>
      <c r="BF130" s="246"/>
      <c r="BG130" s="246"/>
      <c r="BH130" s="246"/>
      <c r="BI130" s="246"/>
      <c r="BJ130" s="246"/>
      <c r="BK130" s="246"/>
      <c r="BL130" s="246"/>
      <c r="BM130" s="246"/>
      <c r="BN130" s="246"/>
      <c r="BO130" s="246"/>
      <c r="BP130" s="246"/>
      <c r="BQ130" s="246"/>
      <c r="BR130" s="246"/>
      <c r="BS130" s="246"/>
      <c r="BT130" s="246"/>
      <c r="BU130" s="246"/>
      <c r="BV130" s="246"/>
      <c r="BW130" s="246"/>
      <c r="BX130" s="246"/>
      <c r="BY130" s="246"/>
      <c r="BZ130" s="246"/>
      <c r="CA130" s="246"/>
      <c r="CB130" s="246"/>
      <c r="CC130" s="246"/>
      <c r="CD130" s="246"/>
      <c r="CE130" s="246"/>
      <c r="CF130" s="246"/>
      <c r="CG130" s="246"/>
      <c r="CH130" s="246"/>
      <c r="CI130" s="246"/>
      <c r="CJ130" s="246"/>
      <c r="CK130" s="246"/>
      <c r="CL130" s="246"/>
    </row>
    <row r="131" outlineLevel="1">
      <c r="A131" s="213" t="str">
        <f t="shared" si="13"/>
        <v>TC_01.104</v>
      </c>
      <c r="B131" s="214" t="s">
        <v>65</v>
      </c>
      <c r="C131" s="226" t="s">
        <v>479</v>
      </c>
      <c r="D131" s="266" t="s">
        <v>442</v>
      </c>
      <c r="E131" s="217" t="s">
        <v>480</v>
      </c>
      <c r="F131" s="217" t="s">
        <v>481</v>
      </c>
      <c r="G131" s="211" t="s">
        <v>60</v>
      </c>
      <c r="H131" s="211" t="s">
        <v>60</v>
      </c>
      <c r="I131" s="211" t="s">
        <v>60</v>
      </c>
      <c r="J131" s="211" t="s">
        <v>462</v>
      </c>
      <c r="K131" s="217" t="s">
        <v>474</v>
      </c>
      <c r="L131" s="243"/>
      <c r="M131" s="220"/>
      <c r="N131" s="244"/>
      <c r="O131" s="244"/>
      <c r="P131" s="245"/>
      <c r="Q131" s="220"/>
      <c r="R131" s="244"/>
      <c r="S131" s="244"/>
      <c r="T131" s="245"/>
      <c r="U131" s="43"/>
      <c r="V131" s="244"/>
      <c r="W131" s="244"/>
      <c r="X131" s="245"/>
      <c r="Y131" s="246"/>
      <c r="Z131" s="246"/>
      <c r="AA131" s="246"/>
      <c r="AB131" s="246"/>
      <c r="AC131" s="246"/>
      <c r="AD131" s="246"/>
      <c r="AE131" s="246"/>
      <c r="AF131" s="246"/>
      <c r="AG131" s="246"/>
      <c r="AH131" s="246"/>
      <c r="AI131" s="246"/>
      <c r="AJ131" s="246"/>
      <c r="AK131" s="246"/>
      <c r="AL131" s="246"/>
      <c r="AM131" s="246"/>
      <c r="AN131" s="246"/>
      <c r="AO131" s="246"/>
      <c r="AP131" s="246"/>
      <c r="AQ131" s="246"/>
      <c r="AR131" s="246"/>
      <c r="AS131" s="246"/>
      <c r="AT131" s="246"/>
      <c r="AU131" s="246"/>
      <c r="AV131" s="246"/>
      <c r="AW131" s="246"/>
      <c r="AX131" s="246"/>
      <c r="AY131" s="246"/>
      <c r="AZ131" s="246"/>
      <c r="BA131" s="246"/>
      <c r="BB131" s="246"/>
      <c r="BC131" s="246"/>
      <c r="BD131" s="246"/>
      <c r="BE131" s="246"/>
      <c r="BF131" s="246"/>
      <c r="BG131" s="246"/>
      <c r="BH131" s="246"/>
      <c r="BI131" s="246"/>
      <c r="BJ131" s="246"/>
      <c r="BK131" s="246"/>
      <c r="BL131" s="246"/>
      <c r="BM131" s="246"/>
      <c r="BN131" s="246"/>
      <c r="BO131" s="246"/>
      <c r="BP131" s="246"/>
      <c r="BQ131" s="246"/>
      <c r="BR131" s="246"/>
      <c r="BS131" s="246"/>
      <c r="BT131" s="246"/>
      <c r="BU131" s="246"/>
      <c r="BV131" s="246"/>
      <c r="BW131" s="246"/>
      <c r="BX131" s="246"/>
      <c r="BY131" s="246"/>
      <c r="BZ131" s="246"/>
      <c r="CA131" s="246"/>
      <c r="CB131" s="246"/>
      <c r="CC131" s="246"/>
      <c r="CD131" s="246"/>
      <c r="CE131" s="246"/>
      <c r="CF131" s="246"/>
      <c r="CG131" s="246"/>
      <c r="CH131" s="246"/>
      <c r="CI131" s="246"/>
      <c r="CJ131" s="246"/>
      <c r="CK131" s="246"/>
      <c r="CL131" s="246"/>
    </row>
    <row r="132" outlineLevel="1">
      <c r="A132" s="213" t="str">
        <f t="shared" si="13"/>
        <v>TC_01.105</v>
      </c>
      <c r="B132" s="214" t="s">
        <v>65</v>
      </c>
      <c r="C132" s="226" t="s">
        <v>482</v>
      </c>
      <c r="D132" s="266" t="s">
        <v>442</v>
      </c>
      <c r="E132" s="217" t="s">
        <v>483</v>
      </c>
      <c r="F132" s="217" t="s">
        <v>484</v>
      </c>
      <c r="G132" s="211" t="s">
        <v>56</v>
      </c>
      <c r="H132" s="211" t="s">
        <v>56</v>
      </c>
      <c r="I132" s="211" t="s">
        <v>56</v>
      </c>
      <c r="J132" s="211" t="s">
        <v>462</v>
      </c>
      <c r="K132" s="221"/>
      <c r="L132" s="243"/>
      <c r="M132" s="220"/>
      <c r="N132" s="244"/>
      <c r="O132" s="244"/>
      <c r="P132" s="245"/>
      <c r="Q132" s="220"/>
      <c r="R132" s="244"/>
      <c r="S132" s="244"/>
      <c r="T132" s="245"/>
      <c r="U132" s="43"/>
      <c r="V132" s="244"/>
      <c r="W132" s="244"/>
      <c r="X132" s="245"/>
      <c r="Y132" s="246"/>
      <c r="Z132" s="246"/>
      <c r="AA132" s="246"/>
      <c r="AB132" s="246"/>
      <c r="AC132" s="246"/>
      <c r="AD132" s="246"/>
      <c r="AE132" s="246"/>
      <c r="AF132" s="246"/>
      <c r="AG132" s="246"/>
      <c r="AH132" s="246"/>
      <c r="AI132" s="246"/>
      <c r="AJ132" s="246"/>
      <c r="AK132" s="246"/>
      <c r="AL132" s="246"/>
      <c r="AM132" s="246"/>
      <c r="AN132" s="246"/>
      <c r="AO132" s="246"/>
      <c r="AP132" s="246"/>
      <c r="AQ132" s="246"/>
      <c r="AR132" s="246"/>
      <c r="AS132" s="246"/>
      <c r="AT132" s="246"/>
      <c r="AU132" s="246"/>
      <c r="AV132" s="246"/>
      <c r="AW132" s="246"/>
      <c r="AX132" s="246"/>
      <c r="AY132" s="246"/>
      <c r="AZ132" s="246"/>
      <c r="BA132" s="246"/>
      <c r="BB132" s="246"/>
      <c r="BC132" s="246"/>
      <c r="BD132" s="246"/>
      <c r="BE132" s="246"/>
      <c r="BF132" s="246"/>
      <c r="BG132" s="246"/>
      <c r="BH132" s="246"/>
      <c r="BI132" s="246"/>
      <c r="BJ132" s="246"/>
      <c r="BK132" s="246"/>
      <c r="BL132" s="246"/>
      <c r="BM132" s="246"/>
      <c r="BN132" s="246"/>
      <c r="BO132" s="246"/>
      <c r="BP132" s="246"/>
      <c r="BQ132" s="246"/>
      <c r="BR132" s="246"/>
      <c r="BS132" s="246"/>
      <c r="BT132" s="246"/>
      <c r="BU132" s="246"/>
      <c r="BV132" s="246"/>
      <c r="BW132" s="246"/>
      <c r="BX132" s="246"/>
      <c r="BY132" s="246"/>
      <c r="BZ132" s="246"/>
      <c r="CA132" s="246"/>
      <c r="CB132" s="246"/>
      <c r="CC132" s="246"/>
      <c r="CD132" s="246"/>
      <c r="CE132" s="246"/>
      <c r="CF132" s="246"/>
      <c r="CG132" s="246"/>
      <c r="CH132" s="246"/>
      <c r="CI132" s="246"/>
      <c r="CJ132" s="246"/>
      <c r="CK132" s="246"/>
      <c r="CL132" s="246"/>
    </row>
    <row r="133" outlineLevel="1">
      <c r="A133" s="213" t="str">
        <f t="shared" si="13"/>
        <v>TC_01.106</v>
      </c>
      <c r="B133" s="214" t="s">
        <v>65</v>
      </c>
      <c r="C133" s="226" t="s">
        <v>485</v>
      </c>
      <c r="D133" s="217" t="s">
        <v>486</v>
      </c>
      <c r="E133" s="217" t="s">
        <v>487</v>
      </c>
      <c r="F133" s="217" t="s">
        <v>488</v>
      </c>
      <c r="G133" s="211" t="s">
        <v>56</v>
      </c>
      <c r="H133" s="211" t="s">
        <v>56</v>
      </c>
      <c r="I133" s="211" t="s">
        <v>56</v>
      </c>
      <c r="J133" s="211" t="s">
        <v>462</v>
      </c>
      <c r="K133" s="221"/>
      <c r="L133" s="243"/>
      <c r="M133" s="220"/>
      <c r="N133" s="244"/>
      <c r="O133" s="244"/>
      <c r="P133" s="245"/>
      <c r="Q133" s="220"/>
      <c r="R133" s="244"/>
      <c r="S133" s="244"/>
      <c r="T133" s="245"/>
      <c r="U133" s="43"/>
      <c r="V133" s="244"/>
      <c r="W133" s="244"/>
      <c r="X133" s="245"/>
      <c r="Y133" s="246"/>
      <c r="Z133" s="246"/>
      <c r="AA133" s="246"/>
      <c r="AB133" s="246"/>
      <c r="AC133" s="246"/>
      <c r="AD133" s="246"/>
      <c r="AE133" s="246"/>
      <c r="AF133" s="246"/>
      <c r="AG133" s="246"/>
      <c r="AH133" s="246"/>
      <c r="AI133" s="246"/>
      <c r="AJ133" s="246"/>
      <c r="AK133" s="246"/>
      <c r="AL133" s="246"/>
      <c r="AM133" s="246"/>
      <c r="AN133" s="246"/>
      <c r="AO133" s="246"/>
      <c r="AP133" s="246"/>
      <c r="AQ133" s="246"/>
      <c r="AR133" s="246"/>
      <c r="AS133" s="246"/>
      <c r="AT133" s="246"/>
      <c r="AU133" s="246"/>
      <c r="AV133" s="246"/>
      <c r="AW133" s="246"/>
      <c r="AX133" s="246"/>
      <c r="AY133" s="246"/>
      <c r="AZ133" s="246"/>
      <c r="BA133" s="246"/>
      <c r="BB133" s="246"/>
      <c r="BC133" s="246"/>
      <c r="BD133" s="246"/>
      <c r="BE133" s="246"/>
      <c r="BF133" s="246"/>
      <c r="BG133" s="246"/>
      <c r="BH133" s="246"/>
      <c r="BI133" s="246"/>
      <c r="BJ133" s="246"/>
      <c r="BK133" s="246"/>
      <c r="BL133" s="246"/>
      <c r="BM133" s="246"/>
      <c r="BN133" s="246"/>
      <c r="BO133" s="246"/>
      <c r="BP133" s="246"/>
      <c r="BQ133" s="246"/>
      <c r="BR133" s="246"/>
      <c r="BS133" s="246"/>
      <c r="BT133" s="246"/>
      <c r="BU133" s="246"/>
      <c r="BV133" s="246"/>
      <c r="BW133" s="246"/>
      <c r="BX133" s="246"/>
      <c r="BY133" s="246"/>
      <c r="BZ133" s="246"/>
      <c r="CA133" s="246"/>
      <c r="CB133" s="246"/>
      <c r="CC133" s="246"/>
      <c r="CD133" s="246"/>
      <c r="CE133" s="246"/>
      <c r="CF133" s="246"/>
      <c r="CG133" s="246"/>
      <c r="CH133" s="246"/>
      <c r="CI133" s="246"/>
      <c r="CJ133" s="246"/>
      <c r="CK133" s="246"/>
      <c r="CL133" s="246"/>
    </row>
    <row r="134" outlineLevel="1">
      <c r="A134" s="213" t="str">
        <f t="shared" si="13"/>
        <v>TC_01.107</v>
      </c>
      <c r="B134" s="214" t="s">
        <v>65</v>
      </c>
      <c r="C134" s="226" t="s">
        <v>489</v>
      </c>
      <c r="D134" s="266" t="s">
        <v>442</v>
      </c>
      <c r="E134" s="217" t="s">
        <v>490</v>
      </c>
      <c r="F134" s="217" t="s">
        <v>491</v>
      </c>
      <c r="G134" s="211" t="s">
        <v>56</v>
      </c>
      <c r="H134" s="211" t="s">
        <v>56</v>
      </c>
      <c r="I134" s="211" t="s">
        <v>56</v>
      </c>
      <c r="J134" s="211" t="s">
        <v>462</v>
      </c>
      <c r="K134" s="217"/>
      <c r="L134" s="243"/>
      <c r="M134" s="220"/>
      <c r="N134" s="244"/>
      <c r="O134" s="244"/>
      <c r="P134" s="245"/>
      <c r="Q134" s="220"/>
      <c r="R134" s="244"/>
      <c r="S134" s="244"/>
      <c r="T134" s="245"/>
      <c r="U134" s="43"/>
      <c r="V134" s="244"/>
      <c r="W134" s="244"/>
      <c r="X134" s="245"/>
      <c r="Y134" s="246"/>
      <c r="Z134" s="246"/>
      <c r="AA134" s="246"/>
      <c r="AB134" s="246"/>
      <c r="AC134" s="246"/>
      <c r="AD134" s="246"/>
      <c r="AE134" s="246"/>
      <c r="AF134" s="246"/>
      <c r="AG134" s="246"/>
      <c r="AH134" s="246"/>
      <c r="AI134" s="246"/>
      <c r="AJ134" s="246"/>
      <c r="AK134" s="246"/>
      <c r="AL134" s="246"/>
      <c r="AM134" s="246"/>
      <c r="AN134" s="246"/>
      <c r="AO134" s="246"/>
      <c r="AP134" s="246"/>
      <c r="AQ134" s="246"/>
      <c r="AR134" s="246"/>
      <c r="AS134" s="246"/>
      <c r="AT134" s="246"/>
      <c r="AU134" s="246"/>
      <c r="AV134" s="246"/>
      <c r="AW134" s="246"/>
      <c r="AX134" s="246"/>
      <c r="AY134" s="246"/>
      <c r="AZ134" s="246"/>
      <c r="BA134" s="246"/>
      <c r="BB134" s="246"/>
      <c r="BC134" s="246"/>
      <c r="BD134" s="246"/>
      <c r="BE134" s="246"/>
      <c r="BF134" s="246"/>
      <c r="BG134" s="246"/>
      <c r="BH134" s="246"/>
      <c r="BI134" s="246"/>
      <c r="BJ134" s="246"/>
      <c r="BK134" s="246"/>
      <c r="BL134" s="246"/>
      <c r="BM134" s="246"/>
      <c r="BN134" s="246"/>
      <c r="BO134" s="246"/>
      <c r="BP134" s="246"/>
      <c r="BQ134" s="246"/>
      <c r="BR134" s="246"/>
      <c r="BS134" s="246"/>
      <c r="BT134" s="246"/>
      <c r="BU134" s="246"/>
      <c r="BV134" s="246"/>
      <c r="BW134" s="246"/>
      <c r="BX134" s="246"/>
      <c r="BY134" s="246"/>
      <c r="BZ134" s="246"/>
      <c r="CA134" s="246"/>
      <c r="CB134" s="246"/>
      <c r="CC134" s="246"/>
      <c r="CD134" s="246"/>
      <c r="CE134" s="246"/>
      <c r="CF134" s="246"/>
      <c r="CG134" s="246"/>
      <c r="CH134" s="246"/>
      <c r="CI134" s="246"/>
      <c r="CJ134" s="246"/>
      <c r="CK134" s="246"/>
      <c r="CL134" s="246"/>
    </row>
    <row r="135" outlineLevel="1">
      <c r="A135" s="213" t="str">
        <f t="shared" si="13"/>
        <v>TC_01.108</v>
      </c>
      <c r="B135" s="214" t="s">
        <v>65</v>
      </c>
      <c r="C135" s="226" t="s">
        <v>492</v>
      </c>
      <c r="D135" s="266" t="s">
        <v>442</v>
      </c>
      <c r="E135" s="217" t="s">
        <v>493</v>
      </c>
      <c r="F135" s="217" t="s">
        <v>494</v>
      </c>
      <c r="G135" s="211" t="s">
        <v>56</v>
      </c>
      <c r="H135" s="211" t="s">
        <v>56</v>
      </c>
      <c r="I135" s="211" t="s">
        <v>56</v>
      </c>
      <c r="J135" s="211" t="s">
        <v>462</v>
      </c>
      <c r="K135" s="221"/>
      <c r="L135" s="243"/>
      <c r="M135" s="220"/>
      <c r="N135" s="244"/>
      <c r="O135" s="244"/>
      <c r="P135" s="245"/>
      <c r="Q135" s="220"/>
      <c r="R135" s="244"/>
      <c r="S135" s="244"/>
      <c r="T135" s="245"/>
      <c r="U135" s="43"/>
      <c r="V135" s="244"/>
      <c r="W135" s="244"/>
      <c r="X135" s="245"/>
      <c r="Y135" s="246"/>
      <c r="Z135" s="246"/>
      <c r="AA135" s="246"/>
      <c r="AB135" s="246"/>
      <c r="AC135" s="246"/>
      <c r="AD135" s="246"/>
      <c r="AE135" s="246"/>
      <c r="AF135" s="246"/>
      <c r="AG135" s="246"/>
      <c r="AH135" s="246"/>
      <c r="AI135" s="246"/>
      <c r="AJ135" s="246"/>
      <c r="AK135" s="246"/>
      <c r="AL135" s="246"/>
      <c r="AM135" s="246"/>
      <c r="AN135" s="246"/>
      <c r="AO135" s="246"/>
      <c r="AP135" s="246"/>
      <c r="AQ135" s="246"/>
      <c r="AR135" s="246"/>
      <c r="AS135" s="246"/>
      <c r="AT135" s="246"/>
      <c r="AU135" s="246"/>
      <c r="AV135" s="246"/>
      <c r="AW135" s="246"/>
      <c r="AX135" s="246"/>
      <c r="AY135" s="246"/>
      <c r="AZ135" s="246"/>
      <c r="BA135" s="246"/>
      <c r="BB135" s="246"/>
      <c r="BC135" s="246"/>
      <c r="BD135" s="246"/>
      <c r="BE135" s="246"/>
      <c r="BF135" s="246"/>
      <c r="BG135" s="246"/>
      <c r="BH135" s="246"/>
      <c r="BI135" s="246"/>
      <c r="BJ135" s="246"/>
      <c r="BK135" s="246"/>
      <c r="BL135" s="246"/>
      <c r="BM135" s="246"/>
      <c r="BN135" s="246"/>
      <c r="BO135" s="246"/>
      <c r="BP135" s="246"/>
      <c r="BQ135" s="246"/>
      <c r="BR135" s="246"/>
      <c r="BS135" s="246"/>
      <c r="BT135" s="246"/>
      <c r="BU135" s="246"/>
      <c r="BV135" s="246"/>
      <c r="BW135" s="246"/>
      <c r="BX135" s="246"/>
      <c r="BY135" s="246"/>
      <c r="BZ135" s="246"/>
      <c r="CA135" s="246"/>
      <c r="CB135" s="246"/>
      <c r="CC135" s="246"/>
      <c r="CD135" s="246"/>
      <c r="CE135" s="246"/>
      <c r="CF135" s="246"/>
      <c r="CG135" s="246"/>
      <c r="CH135" s="246"/>
      <c r="CI135" s="246"/>
      <c r="CJ135" s="246"/>
      <c r="CK135" s="246"/>
      <c r="CL135" s="246"/>
    </row>
    <row r="136">
      <c r="A136" s="212" t="s">
        <v>495</v>
      </c>
      <c r="B136" s="144"/>
      <c r="C136" s="144"/>
      <c r="D136" s="144"/>
      <c r="E136" s="144"/>
      <c r="F136" s="167"/>
      <c r="G136" s="322"/>
      <c r="H136" s="322"/>
      <c r="I136" s="322"/>
      <c r="J136" s="228"/>
      <c r="K136" s="208"/>
      <c r="L136" s="208"/>
      <c r="M136" s="208"/>
      <c r="N136" s="208"/>
      <c r="O136" s="208"/>
      <c r="P136" s="208"/>
      <c r="Q136" s="208"/>
      <c r="R136" s="208"/>
      <c r="S136" s="208"/>
      <c r="T136" s="208"/>
      <c r="U136" s="264"/>
      <c r="V136" s="208"/>
      <c r="W136" s="208"/>
      <c r="X136" s="208"/>
      <c r="Y136" s="265"/>
      <c r="Z136" s="265"/>
      <c r="AA136" s="265"/>
      <c r="AB136" s="265"/>
      <c r="AC136" s="265"/>
      <c r="AD136" s="265"/>
      <c r="AE136" s="265"/>
      <c r="AF136" s="265"/>
      <c r="AG136" s="265"/>
      <c r="AH136" s="265"/>
      <c r="AI136" s="265"/>
      <c r="AJ136" s="265"/>
      <c r="AK136" s="265"/>
      <c r="AL136" s="265"/>
      <c r="AM136" s="265"/>
      <c r="AN136" s="265"/>
      <c r="AO136" s="265"/>
      <c r="AP136" s="265"/>
      <c r="AQ136" s="265"/>
      <c r="AR136" s="265"/>
      <c r="AS136" s="265"/>
      <c r="AT136" s="265"/>
      <c r="AU136" s="265"/>
      <c r="AV136" s="265"/>
      <c r="AW136" s="265"/>
      <c r="AX136" s="265"/>
      <c r="AY136" s="265"/>
      <c r="AZ136" s="265"/>
      <c r="BA136" s="265"/>
      <c r="BB136" s="265"/>
      <c r="BC136" s="265"/>
      <c r="BD136" s="265"/>
      <c r="BE136" s="265"/>
      <c r="BF136" s="265"/>
      <c r="BG136" s="265"/>
      <c r="BH136" s="265"/>
      <c r="BI136" s="265"/>
      <c r="BJ136" s="265"/>
      <c r="BK136" s="265"/>
      <c r="BL136" s="265"/>
      <c r="BM136" s="265"/>
      <c r="BN136" s="265"/>
      <c r="BO136" s="265"/>
      <c r="BP136" s="265"/>
      <c r="BQ136" s="265"/>
      <c r="BR136" s="265"/>
      <c r="BS136" s="265"/>
      <c r="BT136" s="265"/>
      <c r="BU136" s="265"/>
      <c r="BV136" s="265"/>
      <c r="BW136" s="265"/>
      <c r="BX136" s="265"/>
      <c r="BY136" s="265"/>
      <c r="BZ136" s="265"/>
      <c r="CA136" s="265"/>
      <c r="CB136" s="265"/>
      <c r="CC136" s="265"/>
      <c r="CD136" s="265"/>
      <c r="CE136" s="265"/>
      <c r="CF136" s="265"/>
      <c r="CG136" s="265"/>
      <c r="CH136" s="265"/>
      <c r="CI136" s="265"/>
      <c r="CJ136" s="265"/>
      <c r="CK136" s="265"/>
      <c r="CL136" s="265"/>
    </row>
    <row r="137" outlineLevel="1">
      <c r="A137" s="244" t="str">
        <f t="shared" ref="A137:A147" si="14">IF(E137="","",$C$3&amp;"."&amp;COUNTA($E$9:E137)&amp;"")</f>
        <v>TC_01.109</v>
      </c>
      <c r="B137" s="314" t="s">
        <v>67</v>
      </c>
      <c r="C137" s="318" t="s">
        <v>496</v>
      </c>
      <c r="D137" s="266" t="s">
        <v>442</v>
      </c>
      <c r="E137" s="323" t="s">
        <v>497</v>
      </c>
      <c r="F137" s="324" t="s">
        <v>498</v>
      </c>
      <c r="G137" s="211" t="s">
        <v>56</v>
      </c>
      <c r="H137" s="325" t="s">
        <v>56</v>
      </c>
      <c r="I137" s="325" t="s">
        <v>56</v>
      </c>
      <c r="J137" s="44" t="s">
        <v>462</v>
      </c>
      <c r="K137" s="221"/>
      <c r="L137" s="243"/>
      <c r="M137" s="220"/>
      <c r="N137" s="245"/>
      <c r="O137" s="220"/>
      <c r="P137" s="244"/>
      <c r="Q137" s="244"/>
      <c r="R137" s="245"/>
      <c r="S137" s="43"/>
      <c r="T137" s="244"/>
      <c r="U137" s="244"/>
      <c r="V137" s="245"/>
      <c r="W137" s="246"/>
      <c r="X137" s="246"/>
      <c r="Y137" s="246"/>
      <c r="Z137" s="246"/>
      <c r="AA137" s="246"/>
      <c r="AB137" s="246"/>
      <c r="AC137" s="246"/>
      <c r="AD137" s="246"/>
      <c r="AE137" s="246"/>
      <c r="AF137" s="246"/>
      <c r="AG137" s="246"/>
      <c r="AH137" s="246"/>
      <c r="AI137" s="246"/>
      <c r="AJ137" s="246"/>
      <c r="AK137" s="246"/>
      <c r="AL137" s="246"/>
      <c r="AM137" s="246"/>
      <c r="AN137" s="246"/>
      <c r="AO137" s="246"/>
      <c r="AP137" s="246"/>
      <c r="AQ137" s="246"/>
      <c r="AR137" s="246"/>
      <c r="AS137" s="246"/>
      <c r="AT137" s="246"/>
      <c r="AU137" s="246"/>
      <c r="AV137" s="246"/>
      <c r="AW137" s="246"/>
      <c r="AX137" s="246"/>
      <c r="AY137" s="246"/>
      <c r="AZ137" s="246"/>
      <c r="BA137" s="246"/>
      <c r="BB137" s="246"/>
      <c r="BC137" s="246"/>
      <c r="BD137" s="246"/>
      <c r="BE137" s="246"/>
      <c r="BF137" s="246"/>
      <c r="BG137" s="246"/>
      <c r="BH137" s="246"/>
      <c r="BI137" s="246"/>
      <c r="BJ137" s="246"/>
      <c r="BK137" s="246"/>
      <c r="BL137" s="246"/>
      <c r="BM137" s="246"/>
      <c r="BN137" s="246"/>
      <c r="BO137" s="246"/>
      <c r="BP137" s="246"/>
      <c r="BQ137" s="246"/>
      <c r="BR137" s="246"/>
      <c r="BS137" s="246"/>
      <c r="BT137" s="246"/>
      <c r="BU137" s="246"/>
      <c r="BV137" s="246"/>
      <c r="BW137" s="246"/>
      <c r="BX137" s="246"/>
      <c r="BY137" s="246"/>
      <c r="BZ137" s="246"/>
      <c r="CA137" s="246"/>
      <c r="CB137" s="246"/>
      <c r="CC137" s="246"/>
      <c r="CD137" s="246"/>
      <c r="CE137" s="246"/>
      <c r="CF137" s="246"/>
      <c r="CG137" s="246"/>
      <c r="CH137" s="246"/>
      <c r="CI137" s="246"/>
      <c r="CJ137" s="246"/>
      <c r="CK137" s="246"/>
      <c r="CL137" s="246"/>
    </row>
    <row r="138" outlineLevel="1">
      <c r="A138" s="244" t="str">
        <f t="shared" si="14"/>
        <v>TC_01.110</v>
      </c>
      <c r="B138" s="314" t="s">
        <v>67</v>
      </c>
      <c r="C138" s="318" t="s">
        <v>499</v>
      </c>
      <c r="D138" s="266" t="s">
        <v>442</v>
      </c>
      <c r="E138" s="323" t="s">
        <v>500</v>
      </c>
      <c r="F138" s="317" t="s">
        <v>501</v>
      </c>
      <c r="G138" s="211" t="s">
        <v>56</v>
      </c>
      <c r="H138" s="325" t="s">
        <v>56</v>
      </c>
      <c r="I138" s="325" t="s">
        <v>56</v>
      </c>
      <c r="J138" s="44" t="s">
        <v>462</v>
      </c>
      <c r="K138" s="221"/>
      <c r="L138" s="243"/>
      <c r="M138" s="220"/>
      <c r="N138" s="245"/>
      <c r="O138" s="220"/>
      <c r="P138" s="244"/>
      <c r="Q138" s="244"/>
      <c r="R138" s="245"/>
      <c r="S138" s="43"/>
      <c r="T138" s="244"/>
      <c r="U138" s="244"/>
      <c r="V138" s="245"/>
      <c r="W138" s="246"/>
      <c r="X138" s="246"/>
      <c r="Y138" s="246"/>
      <c r="Z138" s="246"/>
      <c r="AA138" s="246"/>
      <c r="AB138" s="246"/>
      <c r="AC138" s="246"/>
      <c r="AD138" s="246"/>
      <c r="AE138" s="246"/>
      <c r="AF138" s="246"/>
      <c r="AG138" s="246"/>
      <c r="AH138" s="246"/>
      <c r="AI138" s="246"/>
      <c r="AJ138" s="246"/>
      <c r="AK138" s="246"/>
      <c r="AL138" s="246"/>
      <c r="AM138" s="246"/>
      <c r="AN138" s="246"/>
      <c r="AO138" s="246"/>
      <c r="AP138" s="246"/>
      <c r="AQ138" s="246"/>
      <c r="AR138" s="246"/>
      <c r="AS138" s="246"/>
      <c r="AT138" s="246"/>
      <c r="AU138" s="246"/>
      <c r="AV138" s="246"/>
      <c r="AW138" s="246"/>
      <c r="AX138" s="246"/>
      <c r="AY138" s="246"/>
      <c r="AZ138" s="246"/>
      <c r="BA138" s="246"/>
      <c r="BB138" s="246"/>
      <c r="BC138" s="246"/>
      <c r="BD138" s="246"/>
      <c r="BE138" s="246"/>
      <c r="BF138" s="246"/>
      <c r="BG138" s="246"/>
      <c r="BH138" s="246"/>
      <c r="BI138" s="246"/>
      <c r="BJ138" s="246"/>
      <c r="BK138" s="246"/>
      <c r="BL138" s="246"/>
      <c r="BM138" s="246"/>
      <c r="BN138" s="246"/>
      <c r="BO138" s="246"/>
      <c r="BP138" s="246"/>
      <c r="BQ138" s="246"/>
      <c r="BR138" s="246"/>
      <c r="BS138" s="246"/>
      <c r="BT138" s="246"/>
      <c r="BU138" s="246"/>
      <c r="BV138" s="246"/>
      <c r="BW138" s="246"/>
      <c r="BX138" s="246"/>
      <c r="BY138" s="246"/>
      <c r="BZ138" s="246"/>
      <c r="CA138" s="246"/>
      <c r="CB138" s="246"/>
      <c r="CC138" s="246"/>
      <c r="CD138" s="246"/>
      <c r="CE138" s="246"/>
      <c r="CF138" s="246"/>
      <c r="CG138" s="246"/>
      <c r="CH138" s="246"/>
      <c r="CI138" s="246"/>
      <c r="CJ138" s="246"/>
      <c r="CK138" s="246"/>
      <c r="CL138" s="246"/>
    </row>
    <row r="139" outlineLevel="1">
      <c r="A139" s="244" t="str">
        <f t="shared" si="14"/>
        <v>TC_01.111</v>
      </c>
      <c r="B139" s="314" t="s">
        <v>67</v>
      </c>
      <c r="C139" s="313" t="s">
        <v>502</v>
      </c>
      <c r="D139" s="266" t="s">
        <v>442</v>
      </c>
      <c r="E139" s="323" t="s">
        <v>503</v>
      </c>
      <c r="F139" s="311" t="s">
        <v>504</v>
      </c>
      <c r="G139" s="211" t="s">
        <v>56</v>
      </c>
      <c r="H139" s="325" t="s">
        <v>56</v>
      </c>
      <c r="I139" s="325" t="s">
        <v>56</v>
      </c>
      <c r="J139" s="44" t="s">
        <v>462</v>
      </c>
      <c r="K139" s="221"/>
      <c r="L139" s="243"/>
      <c r="M139" s="220"/>
      <c r="N139" s="245"/>
      <c r="O139" s="220"/>
      <c r="P139" s="244"/>
      <c r="Q139" s="244"/>
      <c r="R139" s="245"/>
      <c r="S139" s="43"/>
      <c r="T139" s="244"/>
      <c r="U139" s="244"/>
      <c r="V139" s="245"/>
      <c r="W139" s="246"/>
      <c r="X139" s="246"/>
      <c r="Y139" s="246"/>
      <c r="Z139" s="246"/>
      <c r="AA139" s="246"/>
      <c r="AB139" s="246"/>
      <c r="AC139" s="246"/>
      <c r="AD139" s="246"/>
      <c r="AE139" s="246"/>
      <c r="AF139" s="246"/>
      <c r="AG139" s="246"/>
      <c r="AH139" s="246"/>
      <c r="AI139" s="246"/>
      <c r="AJ139" s="246"/>
      <c r="AK139" s="246"/>
      <c r="AL139" s="246"/>
      <c r="AM139" s="246"/>
      <c r="AN139" s="246"/>
      <c r="AO139" s="246"/>
      <c r="AP139" s="246"/>
      <c r="AQ139" s="246"/>
      <c r="AR139" s="246"/>
      <c r="AS139" s="246"/>
      <c r="AT139" s="246"/>
      <c r="AU139" s="246"/>
      <c r="AV139" s="246"/>
      <c r="AW139" s="246"/>
      <c r="AX139" s="246"/>
      <c r="AY139" s="246"/>
      <c r="AZ139" s="246"/>
      <c r="BA139" s="246"/>
      <c r="BB139" s="246"/>
      <c r="BC139" s="246"/>
      <c r="BD139" s="246"/>
      <c r="BE139" s="246"/>
      <c r="BF139" s="246"/>
      <c r="BG139" s="246"/>
      <c r="BH139" s="246"/>
      <c r="BI139" s="246"/>
      <c r="BJ139" s="246"/>
      <c r="BK139" s="246"/>
      <c r="BL139" s="246"/>
      <c r="BM139" s="246"/>
      <c r="BN139" s="246"/>
      <c r="BO139" s="246"/>
      <c r="BP139" s="246"/>
      <c r="BQ139" s="246"/>
      <c r="BR139" s="246"/>
      <c r="BS139" s="246"/>
      <c r="BT139" s="246"/>
      <c r="BU139" s="246"/>
      <c r="BV139" s="246"/>
      <c r="BW139" s="246"/>
      <c r="BX139" s="246"/>
      <c r="BY139" s="246"/>
      <c r="BZ139" s="246"/>
      <c r="CA139" s="246"/>
      <c r="CB139" s="246"/>
      <c r="CC139" s="246"/>
      <c r="CD139" s="246"/>
      <c r="CE139" s="246"/>
      <c r="CF139" s="246"/>
      <c r="CG139" s="246"/>
      <c r="CH139" s="246"/>
      <c r="CI139" s="246"/>
      <c r="CJ139" s="246"/>
      <c r="CK139" s="246"/>
      <c r="CL139" s="246"/>
    </row>
    <row r="140" outlineLevel="1">
      <c r="A140" s="244" t="str">
        <f t="shared" si="14"/>
        <v>TC_01.112</v>
      </c>
      <c r="B140" s="314" t="s">
        <v>67</v>
      </c>
      <c r="C140" s="326" t="s">
        <v>505</v>
      </c>
      <c r="D140" s="266" t="s">
        <v>442</v>
      </c>
      <c r="E140" s="319" t="s">
        <v>506</v>
      </c>
      <c r="F140" s="324" t="s">
        <v>507</v>
      </c>
      <c r="G140" s="211" t="s">
        <v>56</v>
      </c>
      <c r="H140" s="325" t="s">
        <v>56</v>
      </c>
      <c r="I140" s="325" t="s">
        <v>56</v>
      </c>
      <c r="J140" s="44" t="s">
        <v>462</v>
      </c>
      <c r="K140" s="255"/>
      <c r="L140" s="243"/>
      <c r="M140" s="220"/>
      <c r="N140" s="245"/>
      <c r="O140" s="220"/>
      <c r="P140" s="244"/>
      <c r="Q140" s="244"/>
      <c r="R140" s="245"/>
      <c r="S140" s="43"/>
      <c r="T140" s="244"/>
      <c r="U140" s="244"/>
      <c r="V140" s="245"/>
      <c r="W140" s="246"/>
      <c r="X140" s="246"/>
      <c r="Y140" s="246"/>
      <c r="Z140" s="246"/>
      <c r="AA140" s="246"/>
      <c r="AB140" s="246"/>
      <c r="AC140" s="246"/>
      <c r="AD140" s="246"/>
      <c r="AE140" s="246"/>
      <c r="AF140" s="246"/>
      <c r="AG140" s="246"/>
      <c r="AH140" s="246"/>
      <c r="AI140" s="246"/>
      <c r="AJ140" s="246"/>
      <c r="AK140" s="246"/>
      <c r="AL140" s="246"/>
      <c r="AM140" s="246"/>
      <c r="AN140" s="246"/>
      <c r="AO140" s="246"/>
      <c r="AP140" s="246"/>
      <c r="AQ140" s="246"/>
      <c r="AR140" s="246"/>
      <c r="AS140" s="246"/>
      <c r="AT140" s="246"/>
      <c r="AU140" s="246"/>
      <c r="AV140" s="246"/>
      <c r="AW140" s="246"/>
      <c r="AX140" s="246"/>
      <c r="AY140" s="246"/>
      <c r="AZ140" s="246"/>
      <c r="BA140" s="246"/>
      <c r="BB140" s="246"/>
      <c r="BC140" s="246"/>
      <c r="BD140" s="246"/>
      <c r="BE140" s="246"/>
      <c r="BF140" s="246"/>
      <c r="BG140" s="246"/>
      <c r="BH140" s="246"/>
      <c r="BI140" s="246"/>
      <c r="BJ140" s="246"/>
      <c r="BK140" s="246"/>
      <c r="BL140" s="246"/>
      <c r="BM140" s="246"/>
      <c r="BN140" s="246"/>
      <c r="BO140" s="246"/>
      <c r="BP140" s="246"/>
      <c r="BQ140" s="246"/>
      <c r="BR140" s="246"/>
      <c r="BS140" s="246"/>
      <c r="BT140" s="246"/>
      <c r="BU140" s="246"/>
      <c r="BV140" s="246"/>
      <c r="BW140" s="246"/>
      <c r="BX140" s="246"/>
      <c r="BY140" s="246"/>
      <c r="BZ140" s="246"/>
      <c r="CA140" s="246"/>
      <c r="CB140" s="246"/>
      <c r="CC140" s="246"/>
      <c r="CD140" s="246"/>
      <c r="CE140" s="246"/>
      <c r="CF140" s="246"/>
      <c r="CG140" s="246"/>
      <c r="CH140" s="246"/>
      <c r="CI140" s="246"/>
      <c r="CJ140" s="246"/>
      <c r="CK140" s="246"/>
      <c r="CL140" s="246"/>
    </row>
    <row r="141" outlineLevel="1">
      <c r="A141" s="244" t="str">
        <f t="shared" si="14"/>
        <v>TC_01.113</v>
      </c>
      <c r="B141" s="314" t="s">
        <v>67</v>
      </c>
      <c r="C141" s="310" t="s">
        <v>508</v>
      </c>
      <c r="D141" s="327" t="s">
        <v>509</v>
      </c>
      <c r="E141" s="323" t="s">
        <v>510</v>
      </c>
      <c r="F141" s="328" t="s">
        <v>511</v>
      </c>
      <c r="G141" s="325" t="s">
        <v>60</v>
      </c>
      <c r="H141" s="325" t="s">
        <v>60</v>
      </c>
      <c r="I141" s="325" t="s">
        <v>60</v>
      </c>
      <c r="J141" s="44" t="s">
        <v>462</v>
      </c>
      <c r="K141" s="221"/>
      <c r="L141" s="227" t="s">
        <v>512</v>
      </c>
      <c r="M141" s="220"/>
      <c r="N141" s="245"/>
      <c r="O141" s="220"/>
      <c r="P141" s="244"/>
      <c r="Q141" s="244"/>
      <c r="R141" s="245"/>
      <c r="S141" s="43"/>
      <c r="T141" s="244"/>
      <c r="U141" s="244"/>
      <c r="V141" s="245"/>
      <c r="W141" s="246"/>
      <c r="X141" s="246"/>
      <c r="Y141" s="246"/>
      <c r="Z141" s="246"/>
      <c r="AA141" s="246"/>
      <c r="AB141" s="246"/>
      <c r="AC141" s="246"/>
      <c r="AD141" s="246"/>
      <c r="AE141" s="246"/>
      <c r="AF141" s="246"/>
      <c r="AG141" s="246"/>
      <c r="AH141" s="246"/>
      <c r="AI141" s="246"/>
      <c r="AJ141" s="246"/>
      <c r="AK141" s="246"/>
      <c r="AL141" s="246"/>
      <c r="AM141" s="246"/>
      <c r="AN141" s="246"/>
      <c r="AO141" s="246"/>
      <c r="AP141" s="246"/>
      <c r="AQ141" s="246"/>
      <c r="AR141" s="246"/>
      <c r="AS141" s="246"/>
      <c r="AT141" s="246"/>
      <c r="AU141" s="246"/>
      <c r="AV141" s="246"/>
      <c r="AW141" s="246"/>
      <c r="AX141" s="246"/>
      <c r="AY141" s="246"/>
      <c r="AZ141" s="246"/>
      <c r="BA141" s="246"/>
      <c r="BB141" s="246"/>
      <c r="BC141" s="246"/>
      <c r="BD141" s="246"/>
      <c r="BE141" s="246"/>
      <c r="BF141" s="246"/>
      <c r="BG141" s="246"/>
      <c r="BH141" s="246"/>
      <c r="BI141" s="246"/>
      <c r="BJ141" s="246"/>
      <c r="BK141" s="246"/>
      <c r="BL141" s="246"/>
      <c r="BM141" s="246"/>
      <c r="BN141" s="246"/>
      <c r="BO141" s="246"/>
      <c r="BP141" s="246"/>
      <c r="BQ141" s="246"/>
      <c r="BR141" s="246"/>
      <c r="BS141" s="246"/>
      <c r="BT141" s="246"/>
      <c r="BU141" s="246"/>
      <c r="BV141" s="246"/>
      <c r="BW141" s="246"/>
      <c r="BX141" s="246"/>
      <c r="BY141" s="246"/>
      <c r="BZ141" s="246"/>
      <c r="CA141" s="246"/>
      <c r="CB141" s="246"/>
      <c r="CC141" s="246"/>
      <c r="CD141" s="246"/>
      <c r="CE141" s="246"/>
      <c r="CF141" s="246"/>
      <c r="CG141" s="246"/>
      <c r="CH141" s="246"/>
      <c r="CI141" s="246"/>
      <c r="CJ141" s="246"/>
      <c r="CK141" s="246"/>
      <c r="CL141" s="246"/>
    </row>
    <row r="142" outlineLevel="1">
      <c r="A142" s="244" t="str">
        <f t="shared" si="14"/>
        <v>TC_01.114</v>
      </c>
      <c r="B142" s="314" t="s">
        <v>67</v>
      </c>
      <c r="C142" s="310" t="s">
        <v>513</v>
      </c>
      <c r="D142" s="327" t="s">
        <v>514</v>
      </c>
      <c r="E142" s="323" t="s">
        <v>510</v>
      </c>
      <c r="F142" s="328" t="s">
        <v>515</v>
      </c>
      <c r="G142" s="211" t="s">
        <v>56</v>
      </c>
      <c r="H142" s="325" t="s">
        <v>56</v>
      </c>
      <c r="I142" s="325" t="s">
        <v>60</v>
      </c>
      <c r="J142" s="44" t="s">
        <v>462</v>
      </c>
      <c r="K142" s="221"/>
      <c r="L142" s="227" t="s">
        <v>516</v>
      </c>
      <c r="M142" s="220"/>
      <c r="N142" s="245"/>
      <c r="O142" s="220"/>
      <c r="P142" s="244"/>
      <c r="Q142" s="244"/>
      <c r="R142" s="245"/>
      <c r="S142" s="43"/>
      <c r="T142" s="244"/>
      <c r="U142" s="244"/>
      <c r="V142" s="245"/>
      <c r="W142" s="246"/>
      <c r="X142" s="246"/>
      <c r="Y142" s="246"/>
      <c r="Z142" s="246"/>
      <c r="AA142" s="246"/>
      <c r="AB142" s="246"/>
      <c r="AC142" s="246"/>
      <c r="AD142" s="246"/>
      <c r="AE142" s="246"/>
      <c r="AF142" s="246"/>
      <c r="AG142" s="246"/>
      <c r="AH142" s="246"/>
      <c r="AI142" s="246"/>
      <c r="AJ142" s="246"/>
      <c r="AK142" s="246"/>
      <c r="AL142" s="246"/>
      <c r="AM142" s="246"/>
      <c r="AN142" s="246"/>
      <c r="AO142" s="246"/>
      <c r="AP142" s="246"/>
      <c r="AQ142" s="246"/>
      <c r="AR142" s="246"/>
      <c r="AS142" s="246"/>
      <c r="AT142" s="246"/>
      <c r="AU142" s="246"/>
      <c r="AV142" s="246"/>
      <c r="AW142" s="246"/>
      <c r="AX142" s="246"/>
      <c r="AY142" s="246"/>
      <c r="AZ142" s="246"/>
      <c r="BA142" s="246"/>
      <c r="BB142" s="246"/>
      <c r="BC142" s="246"/>
      <c r="BD142" s="246"/>
      <c r="BE142" s="246"/>
      <c r="BF142" s="246"/>
      <c r="BG142" s="246"/>
      <c r="BH142" s="246"/>
      <c r="BI142" s="246"/>
      <c r="BJ142" s="246"/>
      <c r="BK142" s="246"/>
      <c r="BL142" s="246"/>
      <c r="BM142" s="246"/>
      <c r="BN142" s="246"/>
      <c r="BO142" s="246"/>
      <c r="BP142" s="246"/>
      <c r="BQ142" s="246"/>
      <c r="BR142" s="246"/>
      <c r="BS142" s="246"/>
      <c r="BT142" s="246"/>
      <c r="BU142" s="246"/>
      <c r="BV142" s="246"/>
      <c r="BW142" s="246"/>
      <c r="BX142" s="246"/>
      <c r="BY142" s="246"/>
      <c r="BZ142" s="246"/>
      <c r="CA142" s="246"/>
      <c r="CB142" s="246"/>
      <c r="CC142" s="246"/>
      <c r="CD142" s="246"/>
      <c r="CE142" s="246"/>
      <c r="CF142" s="246"/>
      <c r="CG142" s="246"/>
      <c r="CH142" s="246"/>
      <c r="CI142" s="246"/>
      <c r="CJ142" s="246"/>
      <c r="CK142" s="246"/>
      <c r="CL142" s="246"/>
    </row>
    <row r="143" outlineLevel="1">
      <c r="A143" s="244" t="str">
        <f t="shared" si="14"/>
        <v>TC_01.115</v>
      </c>
      <c r="B143" s="314" t="s">
        <v>67</v>
      </c>
      <c r="C143" s="329" t="s">
        <v>517</v>
      </c>
      <c r="D143" s="266" t="s">
        <v>442</v>
      </c>
      <c r="E143" s="311" t="s">
        <v>518</v>
      </c>
      <c r="F143" s="328" t="s">
        <v>519</v>
      </c>
      <c r="G143" s="325" t="s">
        <v>60</v>
      </c>
      <c r="H143" s="325" t="s">
        <v>60</v>
      </c>
      <c r="I143" s="325" t="s">
        <v>60</v>
      </c>
      <c r="J143" s="44" t="s">
        <v>462</v>
      </c>
      <c r="K143" s="217" t="s">
        <v>520</v>
      </c>
      <c r="L143" s="243"/>
      <c r="M143" s="220"/>
      <c r="N143" s="245"/>
      <c r="O143" s="220"/>
      <c r="P143" s="244"/>
      <c r="Q143" s="244"/>
      <c r="R143" s="245"/>
      <c r="S143" s="43"/>
      <c r="T143" s="244"/>
      <c r="U143" s="244"/>
      <c r="V143" s="245"/>
      <c r="W143" s="246"/>
      <c r="X143" s="246"/>
      <c r="Y143" s="246"/>
      <c r="Z143" s="246"/>
      <c r="AA143" s="246"/>
      <c r="AB143" s="246"/>
      <c r="AC143" s="246"/>
      <c r="AD143" s="246"/>
      <c r="AE143" s="246"/>
      <c r="AF143" s="246"/>
      <c r="AG143" s="246"/>
      <c r="AH143" s="246"/>
      <c r="AI143" s="246"/>
      <c r="AJ143" s="246"/>
      <c r="AK143" s="246"/>
      <c r="AL143" s="246"/>
      <c r="AM143" s="246"/>
      <c r="AN143" s="246"/>
      <c r="AO143" s="246"/>
      <c r="AP143" s="246"/>
      <c r="AQ143" s="246"/>
      <c r="AR143" s="246"/>
      <c r="AS143" s="246"/>
      <c r="AT143" s="246"/>
      <c r="AU143" s="246"/>
      <c r="AV143" s="246"/>
      <c r="AW143" s="246"/>
      <c r="AX143" s="246"/>
      <c r="AY143" s="246"/>
      <c r="AZ143" s="246"/>
      <c r="BA143" s="246"/>
      <c r="BB143" s="246"/>
      <c r="BC143" s="246"/>
      <c r="BD143" s="246"/>
      <c r="BE143" s="246"/>
      <c r="BF143" s="246"/>
      <c r="BG143" s="246"/>
      <c r="BH143" s="246"/>
      <c r="BI143" s="246"/>
      <c r="BJ143" s="246"/>
      <c r="BK143" s="246"/>
      <c r="BL143" s="246"/>
      <c r="BM143" s="246"/>
      <c r="BN143" s="246"/>
      <c r="BO143" s="246"/>
      <c r="BP143" s="246"/>
      <c r="BQ143" s="246"/>
      <c r="BR143" s="246"/>
      <c r="BS143" s="246"/>
      <c r="BT143" s="246"/>
      <c r="BU143" s="246"/>
      <c r="BV143" s="246"/>
      <c r="BW143" s="246"/>
      <c r="BX143" s="246"/>
      <c r="BY143" s="246"/>
      <c r="BZ143" s="246"/>
      <c r="CA143" s="246"/>
      <c r="CB143" s="246"/>
      <c r="CC143" s="246"/>
      <c r="CD143" s="246"/>
      <c r="CE143" s="246"/>
      <c r="CF143" s="246"/>
      <c r="CG143" s="246"/>
      <c r="CH143" s="246"/>
      <c r="CI143" s="246"/>
      <c r="CJ143" s="246"/>
      <c r="CK143" s="246"/>
      <c r="CL143" s="246"/>
    </row>
    <row r="144" outlineLevel="1">
      <c r="A144" s="244" t="str">
        <f t="shared" si="14"/>
        <v>TC_01.116</v>
      </c>
      <c r="B144" s="314" t="s">
        <v>67</v>
      </c>
      <c r="C144" s="329" t="s">
        <v>521</v>
      </c>
      <c r="D144" s="266" t="s">
        <v>442</v>
      </c>
      <c r="E144" s="311" t="s">
        <v>522</v>
      </c>
      <c r="F144" s="328" t="s">
        <v>523</v>
      </c>
      <c r="G144" s="325" t="s">
        <v>60</v>
      </c>
      <c r="H144" s="325" t="s">
        <v>60</v>
      </c>
      <c r="I144" s="325" t="s">
        <v>60</v>
      </c>
      <c r="J144" s="44" t="s">
        <v>462</v>
      </c>
      <c r="K144" s="217" t="s">
        <v>520</v>
      </c>
      <c r="L144" s="243"/>
      <c r="M144" s="220"/>
      <c r="N144" s="245"/>
      <c r="O144" s="220"/>
      <c r="P144" s="244"/>
      <c r="Q144" s="244"/>
      <c r="R144" s="245"/>
      <c r="S144" s="43"/>
      <c r="T144" s="244"/>
      <c r="U144" s="244"/>
      <c r="V144" s="245"/>
      <c r="W144" s="246"/>
      <c r="X144" s="246"/>
      <c r="Y144" s="246"/>
      <c r="Z144" s="246"/>
      <c r="AA144" s="246"/>
      <c r="AB144" s="246"/>
      <c r="AC144" s="246"/>
      <c r="AD144" s="246"/>
      <c r="AE144" s="246"/>
      <c r="AF144" s="246"/>
      <c r="AG144" s="246"/>
      <c r="AH144" s="246"/>
      <c r="AI144" s="246"/>
      <c r="AJ144" s="246"/>
      <c r="AK144" s="246"/>
      <c r="AL144" s="246"/>
      <c r="AM144" s="246"/>
      <c r="AN144" s="246"/>
      <c r="AO144" s="246"/>
      <c r="AP144" s="246"/>
      <c r="AQ144" s="246"/>
      <c r="AR144" s="246"/>
      <c r="AS144" s="246"/>
      <c r="AT144" s="246"/>
      <c r="AU144" s="246"/>
      <c r="AV144" s="246"/>
      <c r="AW144" s="246"/>
      <c r="AX144" s="246"/>
      <c r="AY144" s="246"/>
      <c r="AZ144" s="246"/>
      <c r="BA144" s="246"/>
      <c r="BB144" s="246"/>
      <c r="BC144" s="246"/>
      <c r="BD144" s="246"/>
      <c r="BE144" s="246"/>
      <c r="BF144" s="246"/>
      <c r="BG144" s="246"/>
      <c r="BH144" s="246"/>
      <c r="BI144" s="246"/>
      <c r="BJ144" s="246"/>
      <c r="BK144" s="246"/>
      <c r="BL144" s="246"/>
      <c r="BM144" s="246"/>
      <c r="BN144" s="246"/>
      <c r="BO144" s="246"/>
      <c r="BP144" s="246"/>
      <c r="BQ144" s="246"/>
      <c r="BR144" s="246"/>
      <c r="BS144" s="246"/>
      <c r="BT144" s="246"/>
      <c r="BU144" s="246"/>
      <c r="BV144" s="246"/>
      <c r="BW144" s="246"/>
      <c r="BX144" s="246"/>
      <c r="BY144" s="246"/>
      <c r="BZ144" s="246"/>
      <c r="CA144" s="246"/>
      <c r="CB144" s="246"/>
      <c r="CC144" s="246"/>
      <c r="CD144" s="246"/>
      <c r="CE144" s="246"/>
      <c r="CF144" s="246"/>
      <c r="CG144" s="246"/>
      <c r="CH144" s="246"/>
      <c r="CI144" s="246"/>
      <c r="CJ144" s="246"/>
      <c r="CK144" s="246"/>
      <c r="CL144" s="246"/>
    </row>
    <row r="145" outlineLevel="1">
      <c r="A145" s="244" t="str">
        <f t="shared" si="14"/>
        <v>TC_01.117</v>
      </c>
      <c r="B145" s="314" t="s">
        <v>67</v>
      </c>
      <c r="C145" s="330" t="s">
        <v>524</v>
      </c>
      <c r="D145" s="311" t="s">
        <v>525</v>
      </c>
      <c r="E145" s="311" t="s">
        <v>526</v>
      </c>
      <c r="F145" s="328" t="s">
        <v>527</v>
      </c>
      <c r="G145" s="325" t="s">
        <v>60</v>
      </c>
      <c r="H145" s="325" t="s">
        <v>60</v>
      </c>
      <c r="I145" s="325" t="s">
        <v>60</v>
      </c>
      <c r="J145" s="44" t="s">
        <v>462</v>
      </c>
      <c r="K145" s="217" t="s">
        <v>520</v>
      </c>
      <c r="L145" s="243"/>
      <c r="M145" s="220"/>
      <c r="N145" s="245"/>
      <c r="O145" s="220"/>
      <c r="P145" s="244"/>
      <c r="Q145" s="244"/>
      <c r="R145" s="245"/>
      <c r="S145" s="43"/>
      <c r="T145" s="244"/>
      <c r="U145" s="244"/>
      <c r="V145" s="245"/>
      <c r="W145" s="246"/>
      <c r="X145" s="246"/>
      <c r="Y145" s="246"/>
      <c r="Z145" s="246"/>
      <c r="AA145" s="246"/>
      <c r="AB145" s="246"/>
      <c r="AC145" s="246"/>
      <c r="AD145" s="246"/>
      <c r="AE145" s="246"/>
      <c r="AF145" s="246"/>
      <c r="AG145" s="246"/>
      <c r="AH145" s="246"/>
      <c r="AI145" s="246"/>
      <c r="AJ145" s="246"/>
      <c r="AK145" s="246"/>
      <c r="AL145" s="246"/>
      <c r="AM145" s="246"/>
      <c r="AN145" s="246"/>
      <c r="AO145" s="246"/>
      <c r="AP145" s="246"/>
      <c r="AQ145" s="246"/>
      <c r="AR145" s="246"/>
      <c r="AS145" s="246"/>
      <c r="AT145" s="246"/>
      <c r="AU145" s="246"/>
      <c r="AV145" s="246"/>
      <c r="AW145" s="246"/>
      <c r="AX145" s="246"/>
      <c r="AY145" s="246"/>
      <c r="AZ145" s="246"/>
      <c r="BA145" s="246"/>
      <c r="BB145" s="246"/>
      <c r="BC145" s="246"/>
      <c r="BD145" s="246"/>
      <c r="BE145" s="246"/>
      <c r="BF145" s="246"/>
      <c r="BG145" s="246"/>
      <c r="BH145" s="246"/>
      <c r="BI145" s="246"/>
      <c r="BJ145" s="246"/>
      <c r="BK145" s="246"/>
      <c r="BL145" s="246"/>
      <c r="BM145" s="246"/>
      <c r="BN145" s="246"/>
      <c r="BO145" s="246"/>
      <c r="BP145" s="246"/>
      <c r="BQ145" s="246"/>
      <c r="BR145" s="246"/>
      <c r="BS145" s="246"/>
      <c r="BT145" s="246"/>
      <c r="BU145" s="246"/>
      <c r="BV145" s="246"/>
      <c r="BW145" s="246"/>
      <c r="BX145" s="246"/>
      <c r="BY145" s="246"/>
      <c r="BZ145" s="246"/>
      <c r="CA145" s="246"/>
      <c r="CB145" s="246"/>
      <c r="CC145" s="246"/>
      <c r="CD145" s="246"/>
      <c r="CE145" s="246"/>
      <c r="CF145" s="246"/>
      <c r="CG145" s="246"/>
      <c r="CH145" s="246"/>
      <c r="CI145" s="246"/>
      <c r="CJ145" s="246"/>
      <c r="CK145" s="246"/>
      <c r="CL145" s="246"/>
    </row>
    <row r="146" outlineLevel="1">
      <c r="A146" s="244" t="str">
        <f t="shared" si="14"/>
        <v>TC_01.118</v>
      </c>
      <c r="B146" s="314" t="s">
        <v>65</v>
      </c>
      <c r="C146" s="313" t="s">
        <v>528</v>
      </c>
      <c r="D146" s="311" t="s">
        <v>529</v>
      </c>
      <c r="E146" s="311" t="s">
        <v>530</v>
      </c>
      <c r="F146" s="328" t="s">
        <v>531</v>
      </c>
      <c r="G146" s="325" t="s">
        <v>60</v>
      </c>
      <c r="H146" s="325" t="s">
        <v>60</v>
      </c>
      <c r="I146" s="325" t="s">
        <v>60</v>
      </c>
      <c r="J146" s="44" t="s">
        <v>462</v>
      </c>
      <c r="K146" s="217" t="s">
        <v>520</v>
      </c>
      <c r="L146" s="243"/>
      <c r="M146" s="220"/>
      <c r="N146" s="245"/>
      <c r="O146" s="220"/>
      <c r="P146" s="244"/>
      <c r="Q146" s="244"/>
      <c r="R146" s="245"/>
      <c r="S146" s="43"/>
      <c r="T146" s="244"/>
      <c r="U146" s="244"/>
      <c r="V146" s="245"/>
      <c r="W146" s="246"/>
      <c r="X146" s="246"/>
      <c r="Y146" s="246"/>
      <c r="Z146" s="246"/>
      <c r="AA146" s="246"/>
      <c r="AB146" s="246"/>
      <c r="AC146" s="246"/>
      <c r="AD146" s="246"/>
      <c r="AE146" s="246"/>
      <c r="AF146" s="246"/>
      <c r="AG146" s="246"/>
      <c r="AH146" s="246"/>
      <c r="AI146" s="246"/>
      <c r="AJ146" s="246"/>
      <c r="AK146" s="246"/>
      <c r="AL146" s="246"/>
      <c r="AM146" s="246"/>
      <c r="AN146" s="246"/>
      <c r="AO146" s="246"/>
      <c r="AP146" s="246"/>
      <c r="AQ146" s="246"/>
      <c r="AR146" s="246"/>
      <c r="AS146" s="246"/>
      <c r="AT146" s="246"/>
      <c r="AU146" s="246"/>
      <c r="AV146" s="246"/>
      <c r="AW146" s="246"/>
      <c r="AX146" s="246"/>
      <c r="AY146" s="246"/>
      <c r="AZ146" s="246"/>
      <c r="BA146" s="246"/>
      <c r="BB146" s="246"/>
      <c r="BC146" s="246"/>
      <c r="BD146" s="246"/>
      <c r="BE146" s="246"/>
      <c r="BF146" s="246"/>
      <c r="BG146" s="246"/>
      <c r="BH146" s="246"/>
      <c r="BI146" s="246"/>
      <c r="BJ146" s="246"/>
      <c r="BK146" s="246"/>
      <c r="BL146" s="246"/>
      <c r="BM146" s="246"/>
      <c r="BN146" s="246"/>
      <c r="BO146" s="246"/>
      <c r="BP146" s="246"/>
      <c r="BQ146" s="246"/>
      <c r="BR146" s="246"/>
      <c r="BS146" s="246"/>
      <c r="BT146" s="246"/>
      <c r="BU146" s="246"/>
      <c r="BV146" s="246"/>
      <c r="BW146" s="246"/>
      <c r="BX146" s="246"/>
      <c r="BY146" s="246"/>
      <c r="BZ146" s="246"/>
      <c r="CA146" s="246"/>
      <c r="CB146" s="246"/>
      <c r="CC146" s="246"/>
      <c r="CD146" s="246"/>
      <c r="CE146" s="246"/>
      <c r="CF146" s="246"/>
      <c r="CG146" s="246"/>
      <c r="CH146" s="246"/>
      <c r="CI146" s="246"/>
      <c r="CJ146" s="246"/>
      <c r="CK146" s="246"/>
      <c r="CL146" s="246"/>
    </row>
    <row r="147" outlineLevel="1">
      <c r="A147" s="244" t="str">
        <f t="shared" si="14"/>
        <v>TC_01.119</v>
      </c>
      <c r="B147" s="314" t="s">
        <v>65</v>
      </c>
      <c r="C147" s="310" t="s">
        <v>532</v>
      </c>
      <c r="D147" s="311" t="s">
        <v>533</v>
      </c>
      <c r="E147" s="311" t="s">
        <v>534</v>
      </c>
      <c r="F147" s="328" t="s">
        <v>535</v>
      </c>
      <c r="G147" s="325" t="s">
        <v>60</v>
      </c>
      <c r="H147" s="325" t="s">
        <v>60</v>
      </c>
      <c r="I147" s="325" t="s">
        <v>60</v>
      </c>
      <c r="J147" s="44" t="s">
        <v>462</v>
      </c>
      <c r="K147" s="217" t="s">
        <v>520</v>
      </c>
      <c r="L147" s="243"/>
      <c r="M147" s="220"/>
      <c r="N147" s="245"/>
      <c r="O147" s="220"/>
      <c r="P147" s="244"/>
      <c r="Q147" s="244"/>
      <c r="R147" s="245"/>
      <c r="S147" s="43"/>
      <c r="T147" s="244"/>
      <c r="U147" s="244"/>
      <c r="V147" s="245"/>
      <c r="W147" s="246"/>
      <c r="X147" s="246"/>
      <c r="Y147" s="246"/>
      <c r="Z147" s="246"/>
      <c r="AA147" s="246"/>
      <c r="AB147" s="246"/>
      <c r="AC147" s="246"/>
      <c r="AD147" s="246"/>
      <c r="AE147" s="246"/>
      <c r="AF147" s="246"/>
      <c r="AG147" s="246"/>
      <c r="AH147" s="246"/>
      <c r="AI147" s="246"/>
      <c r="AJ147" s="246"/>
      <c r="AK147" s="246"/>
      <c r="AL147" s="246"/>
      <c r="AM147" s="246"/>
      <c r="AN147" s="246"/>
      <c r="AO147" s="246"/>
      <c r="AP147" s="246"/>
      <c r="AQ147" s="246"/>
      <c r="AR147" s="246"/>
      <c r="AS147" s="246"/>
      <c r="AT147" s="246"/>
      <c r="AU147" s="246"/>
      <c r="AV147" s="246"/>
      <c r="AW147" s="246"/>
      <c r="AX147" s="246"/>
      <c r="AY147" s="246"/>
      <c r="AZ147" s="246"/>
      <c r="BA147" s="246"/>
      <c r="BB147" s="246"/>
      <c r="BC147" s="246"/>
      <c r="BD147" s="246"/>
      <c r="BE147" s="246"/>
      <c r="BF147" s="246"/>
      <c r="BG147" s="246"/>
      <c r="BH147" s="246"/>
      <c r="BI147" s="246"/>
      <c r="BJ147" s="246"/>
      <c r="BK147" s="246"/>
      <c r="BL147" s="246"/>
      <c r="BM147" s="246"/>
      <c r="BN147" s="246"/>
      <c r="BO147" s="246"/>
      <c r="BP147" s="246"/>
      <c r="BQ147" s="246"/>
      <c r="BR147" s="246"/>
      <c r="BS147" s="246"/>
      <c r="BT147" s="246"/>
      <c r="BU147" s="246"/>
      <c r="BV147" s="246"/>
      <c r="BW147" s="246"/>
      <c r="BX147" s="246"/>
      <c r="BY147" s="246"/>
      <c r="BZ147" s="246"/>
      <c r="CA147" s="246"/>
      <c r="CB147" s="246"/>
      <c r="CC147" s="246"/>
      <c r="CD147" s="246"/>
      <c r="CE147" s="246"/>
      <c r="CF147" s="246"/>
      <c r="CG147" s="246"/>
      <c r="CH147" s="246"/>
      <c r="CI147" s="246"/>
      <c r="CJ147" s="246"/>
      <c r="CK147" s="246"/>
      <c r="CL147" s="246"/>
    </row>
    <row r="148" outlineLevel="1">
      <c r="A148" s="212" t="s">
        <v>536</v>
      </c>
      <c r="B148" s="144"/>
      <c r="C148" s="144"/>
      <c r="D148" s="144"/>
      <c r="E148" s="144"/>
      <c r="F148" s="167"/>
      <c r="G148" s="322"/>
      <c r="H148" s="322"/>
      <c r="I148" s="322"/>
      <c r="J148" s="244"/>
      <c r="K148" s="221"/>
      <c r="L148" s="243"/>
      <c r="M148" s="244"/>
      <c r="N148" s="245"/>
      <c r="O148" s="220"/>
      <c r="P148" s="244"/>
      <c r="Q148" s="244"/>
      <c r="R148" s="245"/>
      <c r="S148" s="43"/>
      <c r="T148" s="244"/>
      <c r="U148" s="244"/>
      <c r="V148" s="245"/>
      <c r="W148" s="246"/>
      <c r="X148" s="246"/>
      <c r="Y148" s="246"/>
      <c r="Z148" s="246"/>
      <c r="AA148" s="246"/>
      <c r="AB148" s="246"/>
      <c r="AC148" s="246"/>
      <c r="AD148" s="246"/>
      <c r="AE148" s="246"/>
      <c r="AF148" s="246"/>
      <c r="AG148" s="246"/>
      <c r="AH148" s="246"/>
      <c r="AI148" s="246"/>
      <c r="AJ148" s="246"/>
      <c r="AK148" s="246"/>
      <c r="AL148" s="246"/>
      <c r="AM148" s="246"/>
      <c r="AN148" s="246"/>
      <c r="AO148" s="246"/>
      <c r="AP148" s="246"/>
      <c r="AQ148" s="246"/>
      <c r="AR148" s="246"/>
      <c r="AS148" s="246"/>
      <c r="AT148" s="246"/>
      <c r="AU148" s="246"/>
      <c r="AV148" s="246"/>
      <c r="AW148" s="246"/>
      <c r="AX148" s="246"/>
      <c r="AY148" s="246"/>
      <c r="AZ148" s="246"/>
      <c r="BA148" s="246"/>
      <c r="BB148" s="246"/>
      <c r="BC148" s="246"/>
      <c r="BD148" s="246"/>
      <c r="BE148" s="246"/>
      <c r="BF148" s="246"/>
      <c r="BG148" s="246"/>
      <c r="BH148" s="246"/>
      <c r="BI148" s="246"/>
      <c r="BJ148" s="246"/>
      <c r="BK148" s="246"/>
      <c r="BL148" s="246"/>
      <c r="BM148" s="246"/>
      <c r="BN148" s="246"/>
      <c r="BO148" s="246"/>
      <c r="BP148" s="246"/>
      <c r="BQ148" s="246"/>
      <c r="BR148" s="246"/>
      <c r="BS148" s="246"/>
      <c r="BT148" s="246"/>
      <c r="BU148" s="246"/>
      <c r="BV148" s="246"/>
      <c r="BW148" s="246"/>
      <c r="BX148" s="246"/>
      <c r="BY148" s="246"/>
      <c r="BZ148" s="246"/>
      <c r="CA148" s="246"/>
      <c r="CB148" s="246"/>
      <c r="CC148" s="246"/>
      <c r="CD148" s="246"/>
      <c r="CE148" s="246"/>
      <c r="CF148" s="246"/>
      <c r="CG148" s="246"/>
      <c r="CH148" s="246"/>
      <c r="CI148" s="246"/>
      <c r="CJ148" s="246"/>
      <c r="CK148" s="246"/>
      <c r="CL148" s="246"/>
    </row>
    <row r="149" outlineLevel="1">
      <c r="A149" s="244" t="str">
        <f t="shared" ref="A149:A156" si="15">IF(E149="","",$C$3&amp;"."&amp;COUNTA($E$9:E149)&amp;"")</f>
        <v>TC_01.120</v>
      </c>
      <c r="B149" s="314" t="s">
        <v>65</v>
      </c>
      <c r="C149" s="215" t="s">
        <v>537</v>
      </c>
      <c r="D149" s="217" t="s">
        <v>442</v>
      </c>
      <c r="E149" s="273" t="s">
        <v>538</v>
      </c>
      <c r="F149" s="273" t="s">
        <v>539</v>
      </c>
      <c r="G149" s="325" t="s">
        <v>56</v>
      </c>
      <c r="H149" s="325" t="s">
        <v>56</v>
      </c>
      <c r="I149" s="325" t="s">
        <v>56</v>
      </c>
      <c r="J149" s="44" t="s">
        <v>462</v>
      </c>
      <c r="K149" s="221"/>
      <c r="L149" s="243"/>
      <c r="M149" s="220"/>
      <c r="N149" s="245"/>
      <c r="O149" s="220"/>
      <c r="P149" s="244"/>
      <c r="Q149" s="244"/>
      <c r="R149" s="245"/>
      <c r="S149" s="43"/>
      <c r="T149" s="244"/>
      <c r="U149" s="244"/>
      <c r="V149" s="245"/>
      <c r="W149" s="246"/>
      <c r="X149" s="246"/>
      <c r="Y149" s="246"/>
      <c r="Z149" s="246"/>
      <c r="AA149" s="246"/>
      <c r="AB149" s="246"/>
      <c r="AC149" s="246"/>
      <c r="AD149" s="246"/>
      <c r="AE149" s="246"/>
      <c r="AF149" s="246"/>
      <c r="AG149" s="246"/>
      <c r="AH149" s="246"/>
      <c r="AI149" s="246"/>
      <c r="AJ149" s="246"/>
      <c r="AK149" s="246"/>
      <c r="AL149" s="246"/>
      <c r="AM149" s="246"/>
      <c r="AN149" s="246"/>
      <c r="AO149" s="246"/>
      <c r="AP149" s="246"/>
      <c r="AQ149" s="246"/>
      <c r="AR149" s="246"/>
      <c r="AS149" s="246"/>
      <c r="AT149" s="246"/>
      <c r="AU149" s="246"/>
      <c r="AV149" s="246"/>
      <c r="AW149" s="246"/>
      <c r="AX149" s="246"/>
      <c r="AY149" s="246"/>
      <c r="AZ149" s="246"/>
      <c r="BA149" s="246"/>
      <c r="BB149" s="246"/>
      <c r="BC149" s="246"/>
      <c r="BD149" s="246"/>
      <c r="BE149" s="246"/>
      <c r="BF149" s="246"/>
      <c r="BG149" s="246"/>
      <c r="BH149" s="246"/>
      <c r="BI149" s="246"/>
      <c r="BJ149" s="246"/>
      <c r="BK149" s="246"/>
      <c r="BL149" s="246"/>
      <c r="BM149" s="246"/>
      <c r="BN149" s="246"/>
      <c r="BO149" s="246"/>
      <c r="BP149" s="246"/>
      <c r="BQ149" s="246"/>
      <c r="BR149" s="246"/>
      <c r="BS149" s="246"/>
      <c r="BT149" s="246"/>
      <c r="BU149" s="246"/>
      <c r="BV149" s="246"/>
      <c r="BW149" s="246"/>
      <c r="BX149" s="246"/>
      <c r="BY149" s="246"/>
      <c r="BZ149" s="246"/>
      <c r="CA149" s="246"/>
      <c r="CB149" s="246"/>
      <c r="CC149" s="246"/>
      <c r="CD149" s="246"/>
      <c r="CE149" s="246"/>
      <c r="CF149" s="246"/>
      <c r="CG149" s="246"/>
      <c r="CH149" s="246"/>
      <c r="CI149" s="246"/>
      <c r="CJ149" s="246"/>
      <c r="CK149" s="246"/>
      <c r="CL149" s="246"/>
    </row>
    <row r="150" outlineLevel="1">
      <c r="A150" s="244" t="str">
        <f t="shared" si="15"/>
        <v>TC_01.121</v>
      </c>
      <c r="B150" s="314" t="s">
        <v>65</v>
      </c>
      <c r="C150" s="215" t="s">
        <v>540</v>
      </c>
      <c r="D150" s="217" t="s">
        <v>442</v>
      </c>
      <c r="E150" s="273" t="s">
        <v>541</v>
      </c>
      <c r="F150" s="273" t="s">
        <v>542</v>
      </c>
      <c r="G150" s="325" t="s">
        <v>56</v>
      </c>
      <c r="H150" s="325" t="s">
        <v>60</v>
      </c>
      <c r="I150" s="325" t="s">
        <v>60</v>
      </c>
      <c r="J150" s="44" t="s">
        <v>462</v>
      </c>
      <c r="K150" s="221"/>
      <c r="L150" s="227" t="s">
        <v>543</v>
      </c>
      <c r="M150" s="220"/>
      <c r="N150" s="245"/>
      <c r="O150" s="220"/>
      <c r="P150" s="244"/>
      <c r="Q150" s="244"/>
      <c r="R150" s="245"/>
      <c r="S150" s="43"/>
      <c r="T150" s="244"/>
      <c r="U150" s="244"/>
      <c r="V150" s="245"/>
      <c r="W150" s="246"/>
      <c r="X150" s="246"/>
      <c r="Y150" s="246"/>
      <c r="Z150" s="246"/>
      <c r="AA150" s="246"/>
      <c r="AB150" s="246"/>
      <c r="AC150" s="246"/>
      <c r="AD150" s="246"/>
      <c r="AE150" s="246"/>
      <c r="AF150" s="246"/>
      <c r="AG150" s="246"/>
      <c r="AH150" s="246"/>
      <c r="AI150" s="246"/>
      <c r="AJ150" s="246"/>
      <c r="AK150" s="246"/>
      <c r="AL150" s="246"/>
      <c r="AM150" s="246"/>
      <c r="AN150" s="246"/>
      <c r="AO150" s="246"/>
      <c r="AP150" s="246"/>
      <c r="AQ150" s="246"/>
      <c r="AR150" s="246"/>
      <c r="AS150" s="246"/>
      <c r="AT150" s="246"/>
      <c r="AU150" s="246"/>
      <c r="AV150" s="246"/>
      <c r="AW150" s="246"/>
      <c r="AX150" s="246"/>
      <c r="AY150" s="246"/>
      <c r="AZ150" s="246"/>
      <c r="BA150" s="246"/>
      <c r="BB150" s="246"/>
      <c r="BC150" s="246"/>
      <c r="BD150" s="246"/>
      <c r="BE150" s="246"/>
      <c r="BF150" s="246"/>
      <c r="BG150" s="246"/>
      <c r="BH150" s="246"/>
      <c r="BI150" s="246"/>
      <c r="BJ150" s="246"/>
      <c r="BK150" s="246"/>
      <c r="BL150" s="246"/>
      <c r="BM150" s="246"/>
      <c r="BN150" s="246"/>
      <c r="BO150" s="246"/>
      <c r="BP150" s="246"/>
      <c r="BQ150" s="246"/>
      <c r="BR150" s="246"/>
      <c r="BS150" s="246"/>
      <c r="BT150" s="246"/>
      <c r="BU150" s="246"/>
      <c r="BV150" s="246"/>
      <c r="BW150" s="246"/>
      <c r="BX150" s="246"/>
      <c r="BY150" s="246"/>
      <c r="BZ150" s="246"/>
      <c r="CA150" s="246"/>
      <c r="CB150" s="246"/>
      <c r="CC150" s="246"/>
      <c r="CD150" s="246"/>
      <c r="CE150" s="246"/>
      <c r="CF150" s="246"/>
      <c r="CG150" s="246"/>
      <c r="CH150" s="246"/>
      <c r="CI150" s="246"/>
      <c r="CJ150" s="246"/>
      <c r="CK150" s="246"/>
      <c r="CL150" s="246"/>
    </row>
    <row r="151" outlineLevel="1">
      <c r="A151" s="244" t="str">
        <f t="shared" si="15"/>
        <v>TC_01.122</v>
      </c>
      <c r="B151" s="314" t="s">
        <v>65</v>
      </c>
      <c r="C151" s="215" t="s">
        <v>544</v>
      </c>
      <c r="D151" s="217" t="s">
        <v>442</v>
      </c>
      <c r="E151" s="273" t="s">
        <v>545</v>
      </c>
      <c r="F151" s="273" t="s">
        <v>546</v>
      </c>
      <c r="G151" s="325" t="s">
        <v>56</v>
      </c>
      <c r="H151" s="325" t="s">
        <v>56</v>
      </c>
      <c r="I151" s="325" t="s">
        <v>56</v>
      </c>
      <c r="J151" s="44" t="s">
        <v>462</v>
      </c>
      <c r="K151" s="221"/>
      <c r="L151" s="243"/>
      <c r="M151" s="220"/>
      <c r="N151" s="245"/>
      <c r="O151" s="220"/>
      <c r="P151" s="244"/>
      <c r="Q151" s="244"/>
      <c r="R151" s="245"/>
      <c r="S151" s="43"/>
      <c r="T151" s="244"/>
      <c r="U151" s="244"/>
      <c r="V151" s="245"/>
      <c r="W151" s="246"/>
      <c r="X151" s="246"/>
      <c r="Y151" s="246"/>
      <c r="Z151" s="246"/>
      <c r="AA151" s="246"/>
      <c r="AB151" s="246"/>
      <c r="AC151" s="246"/>
      <c r="AD151" s="246"/>
      <c r="AE151" s="246"/>
      <c r="AF151" s="246"/>
      <c r="AG151" s="246"/>
      <c r="AH151" s="246"/>
      <c r="AI151" s="246"/>
      <c r="AJ151" s="246"/>
      <c r="AK151" s="246"/>
      <c r="AL151" s="246"/>
      <c r="AM151" s="246"/>
      <c r="AN151" s="246"/>
      <c r="AO151" s="246"/>
      <c r="AP151" s="246"/>
      <c r="AQ151" s="246"/>
      <c r="AR151" s="246"/>
      <c r="AS151" s="246"/>
      <c r="AT151" s="246"/>
      <c r="AU151" s="246"/>
      <c r="AV151" s="246"/>
      <c r="AW151" s="246"/>
      <c r="AX151" s="246"/>
      <c r="AY151" s="246"/>
      <c r="AZ151" s="246"/>
      <c r="BA151" s="246"/>
      <c r="BB151" s="246"/>
      <c r="BC151" s="246"/>
      <c r="BD151" s="246"/>
      <c r="BE151" s="246"/>
      <c r="BF151" s="246"/>
      <c r="BG151" s="246"/>
      <c r="BH151" s="246"/>
      <c r="BI151" s="246"/>
      <c r="BJ151" s="246"/>
      <c r="BK151" s="246"/>
      <c r="BL151" s="246"/>
      <c r="BM151" s="246"/>
      <c r="BN151" s="246"/>
      <c r="BO151" s="246"/>
      <c r="BP151" s="246"/>
      <c r="BQ151" s="246"/>
      <c r="BR151" s="246"/>
      <c r="BS151" s="246"/>
      <c r="BT151" s="246"/>
      <c r="BU151" s="246"/>
      <c r="BV151" s="246"/>
      <c r="BW151" s="246"/>
      <c r="BX151" s="246"/>
      <c r="BY151" s="246"/>
      <c r="BZ151" s="246"/>
      <c r="CA151" s="246"/>
      <c r="CB151" s="246"/>
      <c r="CC151" s="246"/>
      <c r="CD151" s="246"/>
      <c r="CE151" s="246"/>
      <c r="CF151" s="246"/>
      <c r="CG151" s="246"/>
      <c r="CH151" s="246"/>
      <c r="CI151" s="246"/>
      <c r="CJ151" s="246"/>
      <c r="CK151" s="246"/>
      <c r="CL151" s="246"/>
    </row>
    <row r="152" outlineLevel="1">
      <c r="A152" s="244" t="str">
        <f t="shared" si="15"/>
        <v>TC_01.123</v>
      </c>
      <c r="B152" s="314" t="s">
        <v>65</v>
      </c>
      <c r="C152" s="215" t="s">
        <v>547</v>
      </c>
      <c r="D152" s="217" t="s">
        <v>442</v>
      </c>
      <c r="E152" s="273" t="s">
        <v>548</v>
      </c>
      <c r="F152" s="273" t="s">
        <v>549</v>
      </c>
      <c r="G152" s="325" t="s">
        <v>56</v>
      </c>
      <c r="H152" s="325" t="s">
        <v>56</v>
      </c>
      <c r="I152" s="325" t="s">
        <v>56</v>
      </c>
      <c r="J152" s="44" t="s">
        <v>462</v>
      </c>
      <c r="K152" s="221"/>
      <c r="L152" s="243"/>
      <c r="M152" s="220"/>
      <c r="N152" s="245"/>
      <c r="O152" s="220"/>
      <c r="P152" s="244"/>
      <c r="Q152" s="244"/>
      <c r="R152" s="245"/>
      <c r="S152" s="43"/>
      <c r="T152" s="244"/>
      <c r="U152" s="244"/>
      <c r="V152" s="245"/>
      <c r="W152" s="246"/>
      <c r="X152" s="246"/>
      <c r="Y152" s="246"/>
      <c r="Z152" s="246"/>
      <c r="AA152" s="246"/>
      <c r="AB152" s="246"/>
      <c r="AC152" s="246"/>
      <c r="AD152" s="246"/>
      <c r="AE152" s="246"/>
      <c r="AF152" s="246"/>
      <c r="AG152" s="246"/>
      <c r="AH152" s="246"/>
      <c r="AI152" s="246"/>
      <c r="AJ152" s="246"/>
      <c r="AK152" s="246"/>
      <c r="AL152" s="246"/>
      <c r="AM152" s="246"/>
      <c r="AN152" s="246"/>
      <c r="AO152" s="246"/>
      <c r="AP152" s="246"/>
      <c r="AQ152" s="246"/>
      <c r="AR152" s="246"/>
      <c r="AS152" s="246"/>
      <c r="AT152" s="246"/>
      <c r="AU152" s="246"/>
      <c r="AV152" s="246"/>
      <c r="AW152" s="246"/>
      <c r="AX152" s="246"/>
      <c r="AY152" s="246"/>
      <c r="AZ152" s="246"/>
      <c r="BA152" s="246"/>
      <c r="BB152" s="246"/>
      <c r="BC152" s="246"/>
      <c r="BD152" s="246"/>
      <c r="BE152" s="246"/>
      <c r="BF152" s="246"/>
      <c r="BG152" s="246"/>
      <c r="BH152" s="246"/>
      <c r="BI152" s="246"/>
      <c r="BJ152" s="246"/>
      <c r="BK152" s="246"/>
      <c r="BL152" s="246"/>
      <c r="BM152" s="246"/>
      <c r="BN152" s="246"/>
      <c r="BO152" s="246"/>
      <c r="BP152" s="246"/>
      <c r="BQ152" s="246"/>
      <c r="BR152" s="246"/>
      <c r="BS152" s="246"/>
      <c r="BT152" s="246"/>
      <c r="BU152" s="246"/>
      <c r="BV152" s="246"/>
      <c r="BW152" s="246"/>
      <c r="BX152" s="246"/>
      <c r="BY152" s="246"/>
      <c r="BZ152" s="246"/>
      <c r="CA152" s="246"/>
      <c r="CB152" s="246"/>
      <c r="CC152" s="246"/>
      <c r="CD152" s="246"/>
      <c r="CE152" s="246"/>
      <c r="CF152" s="246"/>
      <c r="CG152" s="246"/>
      <c r="CH152" s="246"/>
      <c r="CI152" s="246"/>
      <c r="CJ152" s="246"/>
      <c r="CK152" s="246"/>
      <c r="CL152" s="246"/>
    </row>
    <row r="153" outlineLevel="1">
      <c r="A153" s="244" t="str">
        <f t="shared" si="15"/>
        <v>TC_01.124</v>
      </c>
      <c r="B153" s="314" t="s">
        <v>65</v>
      </c>
      <c r="C153" s="215" t="s">
        <v>550</v>
      </c>
      <c r="D153" s="217" t="s">
        <v>442</v>
      </c>
      <c r="E153" s="273" t="s">
        <v>551</v>
      </c>
      <c r="F153" s="273" t="s">
        <v>552</v>
      </c>
      <c r="G153" s="325" t="s">
        <v>60</v>
      </c>
      <c r="H153" s="325" t="s">
        <v>60</v>
      </c>
      <c r="I153" s="325" t="s">
        <v>60</v>
      </c>
      <c r="J153" s="44" t="s">
        <v>462</v>
      </c>
      <c r="K153" s="303" t="s">
        <v>553</v>
      </c>
      <c r="L153" s="227" t="s">
        <v>554</v>
      </c>
      <c r="M153" s="220"/>
      <c r="N153" s="245"/>
      <c r="O153" s="220"/>
      <c r="P153" s="244"/>
      <c r="Q153" s="244"/>
      <c r="R153" s="245"/>
      <c r="S153" s="43"/>
      <c r="T153" s="244"/>
      <c r="U153" s="244"/>
      <c r="V153" s="245"/>
      <c r="W153" s="246"/>
      <c r="X153" s="246"/>
      <c r="Y153" s="246"/>
      <c r="Z153" s="246"/>
      <c r="AA153" s="246"/>
      <c r="AB153" s="246"/>
      <c r="AC153" s="246"/>
      <c r="AD153" s="246"/>
      <c r="AE153" s="246"/>
      <c r="AF153" s="246"/>
      <c r="AG153" s="246"/>
      <c r="AH153" s="246"/>
      <c r="AI153" s="246"/>
      <c r="AJ153" s="246"/>
      <c r="AK153" s="246"/>
      <c r="AL153" s="246"/>
      <c r="AM153" s="246"/>
      <c r="AN153" s="246"/>
      <c r="AO153" s="246"/>
      <c r="AP153" s="246"/>
      <c r="AQ153" s="246"/>
      <c r="AR153" s="246"/>
      <c r="AS153" s="246"/>
      <c r="AT153" s="246"/>
      <c r="AU153" s="246"/>
      <c r="AV153" s="246"/>
      <c r="AW153" s="246"/>
      <c r="AX153" s="246"/>
      <c r="AY153" s="246"/>
      <c r="AZ153" s="246"/>
      <c r="BA153" s="246"/>
      <c r="BB153" s="246"/>
      <c r="BC153" s="246"/>
      <c r="BD153" s="246"/>
      <c r="BE153" s="246"/>
      <c r="BF153" s="246"/>
      <c r="BG153" s="246"/>
      <c r="BH153" s="246"/>
      <c r="BI153" s="246"/>
      <c r="BJ153" s="246"/>
      <c r="BK153" s="246"/>
      <c r="BL153" s="246"/>
      <c r="BM153" s="246"/>
      <c r="BN153" s="246"/>
      <c r="BO153" s="246"/>
      <c r="BP153" s="246"/>
      <c r="BQ153" s="246"/>
      <c r="BR153" s="246"/>
      <c r="BS153" s="246"/>
      <c r="BT153" s="246"/>
      <c r="BU153" s="246"/>
      <c r="BV153" s="246"/>
      <c r="BW153" s="246"/>
      <c r="BX153" s="246"/>
      <c r="BY153" s="246"/>
      <c r="BZ153" s="246"/>
      <c r="CA153" s="246"/>
      <c r="CB153" s="246"/>
      <c r="CC153" s="246"/>
      <c r="CD153" s="246"/>
      <c r="CE153" s="246"/>
      <c r="CF153" s="246"/>
      <c r="CG153" s="246"/>
      <c r="CH153" s="246"/>
      <c r="CI153" s="246"/>
      <c r="CJ153" s="246"/>
      <c r="CK153" s="246"/>
      <c r="CL153" s="246"/>
    </row>
    <row r="154" outlineLevel="1">
      <c r="A154" s="244" t="str">
        <f t="shared" si="15"/>
        <v>TC_01.125</v>
      </c>
      <c r="B154" s="314" t="s">
        <v>65</v>
      </c>
      <c r="C154" s="215" t="s">
        <v>555</v>
      </c>
      <c r="D154" s="217" t="s">
        <v>442</v>
      </c>
      <c r="E154" s="273" t="s">
        <v>556</v>
      </c>
      <c r="F154" s="273" t="s">
        <v>557</v>
      </c>
      <c r="G154" s="325" t="s">
        <v>56</v>
      </c>
      <c r="H154" s="325" t="s">
        <v>56</v>
      </c>
      <c r="I154" s="325" t="s">
        <v>56</v>
      </c>
      <c r="J154" s="44" t="s">
        <v>462</v>
      </c>
      <c r="K154" s="221"/>
      <c r="L154" s="243"/>
      <c r="M154" s="220"/>
      <c r="N154" s="245"/>
      <c r="O154" s="220"/>
      <c r="P154" s="244"/>
      <c r="Q154" s="244"/>
      <c r="R154" s="245"/>
      <c r="S154" s="43"/>
      <c r="T154" s="244"/>
      <c r="U154" s="244"/>
      <c r="V154" s="245"/>
      <c r="W154" s="246"/>
      <c r="X154" s="246"/>
      <c r="Y154" s="246"/>
      <c r="Z154" s="246"/>
      <c r="AA154" s="246"/>
      <c r="AB154" s="246"/>
      <c r="AC154" s="246"/>
      <c r="AD154" s="246"/>
      <c r="AE154" s="246"/>
      <c r="AF154" s="246"/>
      <c r="AG154" s="246"/>
      <c r="AH154" s="246"/>
      <c r="AI154" s="246"/>
      <c r="AJ154" s="246"/>
      <c r="AK154" s="246"/>
      <c r="AL154" s="246"/>
      <c r="AM154" s="246"/>
      <c r="AN154" s="246"/>
      <c r="AO154" s="246"/>
      <c r="AP154" s="246"/>
      <c r="AQ154" s="246"/>
      <c r="AR154" s="246"/>
      <c r="AS154" s="246"/>
      <c r="AT154" s="246"/>
      <c r="AU154" s="246"/>
      <c r="AV154" s="246"/>
      <c r="AW154" s="246"/>
      <c r="AX154" s="246"/>
      <c r="AY154" s="246"/>
      <c r="AZ154" s="246"/>
      <c r="BA154" s="246"/>
      <c r="BB154" s="246"/>
      <c r="BC154" s="246"/>
      <c r="BD154" s="246"/>
      <c r="BE154" s="246"/>
      <c r="BF154" s="246"/>
      <c r="BG154" s="246"/>
      <c r="BH154" s="246"/>
      <c r="BI154" s="246"/>
      <c r="BJ154" s="246"/>
      <c r="BK154" s="246"/>
      <c r="BL154" s="246"/>
      <c r="BM154" s="246"/>
      <c r="BN154" s="246"/>
      <c r="BO154" s="246"/>
      <c r="BP154" s="246"/>
      <c r="BQ154" s="246"/>
      <c r="BR154" s="246"/>
      <c r="BS154" s="246"/>
      <c r="BT154" s="246"/>
      <c r="BU154" s="246"/>
      <c r="BV154" s="246"/>
      <c r="BW154" s="246"/>
      <c r="BX154" s="246"/>
      <c r="BY154" s="246"/>
      <c r="BZ154" s="246"/>
      <c r="CA154" s="246"/>
      <c r="CB154" s="246"/>
      <c r="CC154" s="246"/>
      <c r="CD154" s="246"/>
      <c r="CE154" s="246"/>
      <c r="CF154" s="246"/>
      <c r="CG154" s="246"/>
      <c r="CH154" s="246"/>
      <c r="CI154" s="246"/>
      <c r="CJ154" s="246"/>
      <c r="CK154" s="246"/>
      <c r="CL154" s="246"/>
    </row>
    <row r="155" outlineLevel="1">
      <c r="A155" s="244" t="str">
        <f t="shared" si="15"/>
        <v>TC_01.126</v>
      </c>
      <c r="B155" s="314" t="s">
        <v>65</v>
      </c>
      <c r="C155" s="215" t="s">
        <v>558</v>
      </c>
      <c r="D155" s="217" t="s">
        <v>442</v>
      </c>
      <c r="E155" s="273" t="s">
        <v>559</v>
      </c>
      <c r="F155" s="273" t="s">
        <v>560</v>
      </c>
      <c r="G155" s="325" t="s">
        <v>56</v>
      </c>
      <c r="H155" s="325" t="s">
        <v>56</v>
      </c>
      <c r="I155" s="325" t="s">
        <v>56</v>
      </c>
      <c r="J155" s="44" t="s">
        <v>462</v>
      </c>
      <c r="K155" s="221"/>
      <c r="L155" s="243"/>
      <c r="M155" s="220"/>
      <c r="N155" s="245"/>
      <c r="O155" s="220"/>
      <c r="P155" s="244"/>
      <c r="Q155" s="244"/>
      <c r="R155" s="245"/>
      <c r="S155" s="43"/>
      <c r="T155" s="244"/>
      <c r="U155" s="244"/>
      <c r="V155" s="245"/>
      <c r="W155" s="246"/>
      <c r="X155" s="246"/>
      <c r="Y155" s="246"/>
      <c r="Z155" s="246"/>
      <c r="AA155" s="246"/>
      <c r="AB155" s="246"/>
      <c r="AC155" s="246"/>
      <c r="AD155" s="246"/>
      <c r="AE155" s="246"/>
      <c r="AF155" s="246"/>
      <c r="AG155" s="246"/>
      <c r="AH155" s="246"/>
      <c r="AI155" s="246"/>
      <c r="AJ155" s="246"/>
      <c r="AK155" s="246"/>
      <c r="AL155" s="246"/>
      <c r="AM155" s="246"/>
      <c r="AN155" s="246"/>
      <c r="AO155" s="246"/>
      <c r="AP155" s="246"/>
      <c r="AQ155" s="246"/>
      <c r="AR155" s="246"/>
      <c r="AS155" s="246"/>
      <c r="AT155" s="246"/>
      <c r="AU155" s="246"/>
      <c r="AV155" s="246"/>
      <c r="AW155" s="246"/>
      <c r="AX155" s="246"/>
      <c r="AY155" s="246"/>
      <c r="AZ155" s="246"/>
      <c r="BA155" s="246"/>
      <c r="BB155" s="246"/>
      <c r="BC155" s="246"/>
      <c r="BD155" s="246"/>
      <c r="BE155" s="246"/>
      <c r="BF155" s="246"/>
      <c r="BG155" s="246"/>
      <c r="BH155" s="246"/>
      <c r="BI155" s="246"/>
      <c r="BJ155" s="246"/>
      <c r="BK155" s="246"/>
      <c r="BL155" s="246"/>
      <c r="BM155" s="246"/>
      <c r="BN155" s="246"/>
      <c r="BO155" s="246"/>
      <c r="BP155" s="246"/>
      <c r="BQ155" s="246"/>
      <c r="BR155" s="246"/>
      <c r="BS155" s="246"/>
      <c r="BT155" s="246"/>
      <c r="BU155" s="246"/>
      <c r="BV155" s="246"/>
      <c r="BW155" s="246"/>
      <c r="BX155" s="246"/>
      <c r="BY155" s="246"/>
      <c r="BZ155" s="246"/>
      <c r="CA155" s="246"/>
      <c r="CB155" s="246"/>
      <c r="CC155" s="246"/>
      <c r="CD155" s="246"/>
      <c r="CE155" s="246"/>
      <c r="CF155" s="246"/>
      <c r="CG155" s="246"/>
      <c r="CH155" s="246"/>
      <c r="CI155" s="246"/>
      <c r="CJ155" s="246"/>
      <c r="CK155" s="246"/>
      <c r="CL155" s="246"/>
    </row>
    <row r="156" outlineLevel="1">
      <c r="A156" s="244" t="str">
        <f t="shared" si="15"/>
        <v>TC_01.127</v>
      </c>
      <c r="B156" s="314" t="s">
        <v>65</v>
      </c>
      <c r="C156" s="215" t="s">
        <v>561</v>
      </c>
      <c r="D156" s="217" t="s">
        <v>442</v>
      </c>
      <c r="E156" s="273" t="s">
        <v>562</v>
      </c>
      <c r="F156" s="273" t="s">
        <v>563</v>
      </c>
      <c r="G156" s="325" t="s">
        <v>56</v>
      </c>
      <c r="H156" s="325" t="s">
        <v>56</v>
      </c>
      <c r="I156" s="325" t="s">
        <v>56</v>
      </c>
      <c r="J156" s="44" t="s">
        <v>462</v>
      </c>
      <c r="K156" s="303" t="s">
        <v>564</v>
      </c>
      <c r="L156" s="243"/>
      <c r="M156" s="220"/>
      <c r="N156" s="245"/>
      <c r="O156" s="220"/>
      <c r="P156" s="244"/>
      <c r="Q156" s="244"/>
      <c r="R156" s="245"/>
      <c r="S156" s="43"/>
      <c r="T156" s="244"/>
      <c r="U156" s="244"/>
      <c r="V156" s="245"/>
      <c r="W156" s="246"/>
      <c r="X156" s="246"/>
      <c r="Y156" s="246"/>
      <c r="Z156" s="246"/>
      <c r="AA156" s="246"/>
      <c r="AB156" s="246"/>
      <c r="AC156" s="246"/>
      <c r="AD156" s="246"/>
      <c r="AE156" s="246"/>
      <c r="AF156" s="246"/>
      <c r="AG156" s="246"/>
      <c r="AH156" s="246"/>
      <c r="AI156" s="246"/>
      <c r="AJ156" s="246"/>
      <c r="AK156" s="246"/>
      <c r="AL156" s="246"/>
      <c r="AM156" s="246"/>
      <c r="AN156" s="246"/>
      <c r="AO156" s="246"/>
      <c r="AP156" s="246"/>
      <c r="AQ156" s="246"/>
      <c r="AR156" s="246"/>
      <c r="AS156" s="246"/>
      <c r="AT156" s="246"/>
      <c r="AU156" s="246"/>
      <c r="AV156" s="246"/>
      <c r="AW156" s="246"/>
      <c r="AX156" s="246"/>
      <c r="AY156" s="246"/>
      <c r="AZ156" s="246"/>
      <c r="BA156" s="246"/>
      <c r="BB156" s="246"/>
      <c r="BC156" s="246"/>
      <c r="BD156" s="246"/>
      <c r="BE156" s="246"/>
      <c r="BF156" s="246"/>
      <c r="BG156" s="246"/>
      <c r="BH156" s="246"/>
      <c r="BI156" s="246"/>
      <c r="BJ156" s="246"/>
      <c r="BK156" s="246"/>
      <c r="BL156" s="246"/>
      <c r="BM156" s="246"/>
      <c r="BN156" s="246"/>
      <c r="BO156" s="246"/>
      <c r="BP156" s="246"/>
      <c r="BQ156" s="246"/>
      <c r="BR156" s="246"/>
      <c r="BS156" s="246"/>
      <c r="BT156" s="246"/>
      <c r="BU156" s="246"/>
      <c r="BV156" s="246"/>
      <c r="BW156" s="246"/>
      <c r="BX156" s="246"/>
      <c r="BY156" s="246"/>
      <c r="BZ156" s="246"/>
      <c r="CA156" s="246"/>
      <c r="CB156" s="246"/>
      <c r="CC156" s="246"/>
      <c r="CD156" s="246"/>
      <c r="CE156" s="246"/>
      <c r="CF156" s="246"/>
      <c r="CG156" s="246"/>
      <c r="CH156" s="246"/>
      <c r="CI156" s="246"/>
      <c r="CJ156" s="246"/>
      <c r="CK156" s="246"/>
      <c r="CL156" s="246"/>
    </row>
    <row r="157">
      <c r="A157" s="210" t="s">
        <v>565</v>
      </c>
      <c r="B157" s="144"/>
      <c r="C157" s="144"/>
      <c r="D157" s="144"/>
      <c r="E157" s="144"/>
      <c r="F157" s="167"/>
      <c r="G157" s="228"/>
      <c r="H157" s="228"/>
      <c r="I157" s="228"/>
      <c r="J157" s="154"/>
      <c r="K157" s="207"/>
      <c r="L157" s="208"/>
      <c r="M157" s="207"/>
      <c r="N157" s="207"/>
      <c r="O157" s="207"/>
      <c r="P157" s="207"/>
      <c r="Q157" s="207"/>
      <c r="R157" s="207"/>
      <c r="S157" s="207"/>
      <c r="T157" s="207"/>
      <c r="U157" s="209"/>
      <c r="V157" s="207"/>
      <c r="W157" s="207"/>
      <c r="X157" s="207"/>
      <c r="Y157" s="187"/>
      <c r="Z157" s="187"/>
      <c r="AA157" s="187"/>
      <c r="AB157" s="187"/>
      <c r="AC157" s="187"/>
      <c r="AD157" s="187"/>
      <c r="AE157" s="187"/>
      <c r="AF157" s="187"/>
      <c r="AG157" s="187"/>
      <c r="AH157" s="187"/>
      <c r="AI157" s="187"/>
      <c r="AJ157" s="187"/>
      <c r="AK157" s="187"/>
      <c r="AL157" s="187"/>
      <c r="AM157" s="187"/>
      <c r="AN157" s="187"/>
      <c r="AO157" s="187"/>
      <c r="AP157" s="187"/>
      <c r="AQ157" s="187"/>
      <c r="AR157" s="187"/>
      <c r="AS157" s="187"/>
      <c r="AT157" s="187"/>
      <c r="AU157" s="187"/>
      <c r="AV157" s="187"/>
      <c r="AW157" s="187"/>
      <c r="AX157" s="187"/>
      <c r="AY157" s="187"/>
      <c r="AZ157" s="187"/>
      <c r="BA157" s="187"/>
      <c r="BB157" s="187"/>
      <c r="BC157" s="187"/>
      <c r="BD157" s="187"/>
      <c r="BE157" s="187"/>
      <c r="BF157" s="187"/>
      <c r="BG157" s="187"/>
      <c r="BH157" s="187"/>
      <c r="BI157" s="187"/>
      <c r="BJ157" s="187"/>
      <c r="BK157" s="187"/>
      <c r="BL157" s="187"/>
      <c r="BM157" s="187"/>
      <c r="BN157" s="187"/>
      <c r="BO157" s="187"/>
      <c r="BP157" s="187"/>
      <c r="BQ157" s="187"/>
      <c r="BR157" s="187"/>
      <c r="BS157" s="187"/>
      <c r="BT157" s="187"/>
      <c r="BU157" s="187"/>
      <c r="BV157" s="187"/>
      <c r="BW157" s="187"/>
      <c r="BX157" s="187"/>
      <c r="BY157" s="187"/>
      <c r="BZ157" s="187"/>
      <c r="CA157" s="187"/>
      <c r="CB157" s="187"/>
      <c r="CC157" s="187"/>
      <c r="CD157" s="187"/>
      <c r="CE157" s="187"/>
      <c r="CF157" s="187"/>
      <c r="CG157" s="187"/>
      <c r="CH157" s="187"/>
      <c r="CI157" s="187"/>
      <c r="CJ157" s="187"/>
      <c r="CK157" s="187"/>
      <c r="CL157" s="187"/>
    </row>
    <row r="158">
      <c r="A158" s="213"/>
      <c r="B158" s="229" t="s">
        <v>566</v>
      </c>
      <c r="C158" s="144"/>
      <c r="D158" s="144"/>
      <c r="E158" s="144"/>
      <c r="F158" s="167"/>
      <c r="G158" s="322"/>
      <c r="H158" s="322"/>
      <c r="I158" s="322"/>
      <c r="J158" s="211"/>
      <c r="K158" s="207"/>
      <c r="L158" s="208"/>
      <c r="M158" s="207"/>
      <c r="N158" s="211"/>
      <c r="O158" s="207"/>
      <c r="P158" s="207"/>
      <c r="Q158" s="207"/>
      <c r="R158" s="211"/>
      <c r="S158" s="207"/>
      <c r="T158" s="207"/>
      <c r="U158" s="209"/>
      <c r="V158" s="211"/>
      <c r="W158" s="207"/>
      <c r="X158" s="207"/>
      <c r="Y158" s="187"/>
      <c r="Z158" s="187"/>
      <c r="AA158" s="187"/>
      <c r="AB158" s="187"/>
      <c r="AC158" s="187"/>
      <c r="AD158" s="187"/>
      <c r="AE158" s="187"/>
      <c r="AF158" s="187"/>
      <c r="AG158" s="187"/>
      <c r="AH158" s="187"/>
      <c r="AI158" s="187"/>
      <c r="AJ158" s="187"/>
      <c r="AK158" s="187"/>
      <c r="AL158" s="187"/>
      <c r="AM158" s="187"/>
      <c r="AN158" s="187"/>
      <c r="AO158" s="187"/>
      <c r="AP158" s="187"/>
      <c r="AQ158" s="187"/>
      <c r="AR158" s="187"/>
      <c r="AS158" s="187"/>
      <c r="AT158" s="187"/>
      <c r="AU158" s="187"/>
      <c r="AV158" s="187"/>
      <c r="AW158" s="187"/>
      <c r="AX158" s="187"/>
      <c r="AY158" s="187"/>
      <c r="AZ158" s="187"/>
      <c r="BA158" s="187"/>
      <c r="BB158" s="187"/>
      <c r="BC158" s="187"/>
      <c r="BD158" s="187"/>
      <c r="BE158" s="187"/>
      <c r="BF158" s="187"/>
      <c r="BG158" s="187"/>
      <c r="BH158" s="187"/>
      <c r="BI158" s="187"/>
      <c r="BJ158" s="187"/>
      <c r="BK158" s="187"/>
      <c r="BL158" s="187"/>
      <c r="BM158" s="187"/>
      <c r="BN158" s="187"/>
      <c r="BO158" s="187"/>
      <c r="BP158" s="187"/>
      <c r="BQ158" s="187"/>
      <c r="BR158" s="187"/>
      <c r="BS158" s="187"/>
      <c r="BT158" s="187"/>
      <c r="BU158" s="187"/>
      <c r="BV158" s="187"/>
      <c r="BW158" s="187"/>
      <c r="BX158" s="187"/>
      <c r="BY158" s="187"/>
      <c r="BZ158" s="187"/>
      <c r="CA158" s="187"/>
      <c r="CB158" s="187"/>
      <c r="CC158" s="187"/>
      <c r="CD158" s="187"/>
      <c r="CE158" s="187"/>
      <c r="CF158" s="187"/>
      <c r="CG158" s="187"/>
      <c r="CH158" s="187"/>
      <c r="CI158" s="187"/>
      <c r="CJ158" s="187"/>
      <c r="CK158" s="187"/>
      <c r="CL158" s="187"/>
    </row>
    <row r="159">
      <c r="A159" s="244" t="str">
        <f t="shared" ref="A159:A160" si="16">IF(E159="","",$C$3&amp;"."&amp;COUNTA($E$10:E159)&amp;"")</f>
        <v>TC_01.128</v>
      </c>
      <c r="B159" s="214" t="s">
        <v>65</v>
      </c>
      <c r="C159" s="226" t="s">
        <v>567</v>
      </c>
      <c r="D159" s="321" t="s">
        <v>568</v>
      </c>
      <c r="E159" s="321" t="s">
        <v>569</v>
      </c>
      <c r="F159" s="238" t="s">
        <v>570</v>
      </c>
      <c r="G159" s="325" t="s">
        <v>56</v>
      </c>
      <c r="H159" s="325" t="s">
        <v>56</v>
      </c>
      <c r="I159" s="325" t="s">
        <v>56</v>
      </c>
      <c r="J159" s="44" t="s">
        <v>462</v>
      </c>
      <c r="K159" s="207"/>
      <c r="L159" s="208"/>
      <c r="M159" s="207"/>
      <c r="N159" s="211"/>
      <c r="O159" s="207"/>
      <c r="P159" s="207"/>
      <c r="Q159" s="207"/>
      <c r="R159" s="211"/>
      <c r="S159" s="207"/>
      <c r="T159" s="207"/>
      <c r="U159" s="209"/>
      <c r="V159" s="211"/>
      <c r="W159" s="207"/>
      <c r="X159" s="207"/>
      <c r="Y159" s="187"/>
      <c r="Z159" s="187"/>
      <c r="AA159" s="187"/>
      <c r="AB159" s="187"/>
      <c r="AC159" s="187"/>
      <c r="AD159" s="187"/>
      <c r="AE159" s="187"/>
      <c r="AF159" s="187"/>
      <c r="AG159" s="187"/>
      <c r="AH159" s="187"/>
      <c r="AI159" s="187"/>
      <c r="AJ159" s="187"/>
      <c r="AK159" s="187"/>
      <c r="AL159" s="187"/>
      <c r="AM159" s="187"/>
      <c r="AN159" s="187"/>
      <c r="AO159" s="187"/>
      <c r="AP159" s="187"/>
      <c r="AQ159" s="187"/>
      <c r="AR159" s="187"/>
      <c r="AS159" s="187"/>
      <c r="AT159" s="187"/>
      <c r="AU159" s="187"/>
      <c r="AV159" s="187"/>
      <c r="AW159" s="187"/>
      <c r="AX159" s="187"/>
      <c r="AY159" s="187"/>
      <c r="AZ159" s="187"/>
      <c r="BA159" s="187"/>
      <c r="BB159" s="187"/>
      <c r="BC159" s="187"/>
      <c r="BD159" s="187"/>
      <c r="BE159" s="187"/>
      <c r="BF159" s="187"/>
      <c r="BG159" s="187"/>
      <c r="BH159" s="187"/>
      <c r="BI159" s="187"/>
      <c r="BJ159" s="187"/>
      <c r="BK159" s="187"/>
      <c r="BL159" s="187"/>
      <c r="BM159" s="187"/>
      <c r="BN159" s="187"/>
      <c r="BO159" s="187"/>
      <c r="BP159" s="187"/>
      <c r="BQ159" s="187"/>
      <c r="BR159" s="187"/>
      <c r="BS159" s="187"/>
      <c r="BT159" s="187"/>
      <c r="BU159" s="187"/>
      <c r="BV159" s="187"/>
      <c r="BW159" s="187"/>
      <c r="BX159" s="187"/>
      <c r="BY159" s="187"/>
      <c r="BZ159" s="187"/>
      <c r="CA159" s="187"/>
      <c r="CB159" s="187"/>
      <c r="CC159" s="187"/>
      <c r="CD159" s="187"/>
      <c r="CE159" s="187"/>
      <c r="CF159" s="187"/>
      <c r="CG159" s="187"/>
      <c r="CH159" s="187"/>
      <c r="CI159" s="187"/>
      <c r="CJ159" s="187"/>
      <c r="CK159" s="187"/>
      <c r="CL159" s="187"/>
    </row>
    <row r="160">
      <c r="A160" s="244" t="str">
        <f t="shared" si="16"/>
        <v>TC_01.129</v>
      </c>
      <c r="B160" s="214" t="s">
        <v>65</v>
      </c>
      <c r="C160" s="215" t="s">
        <v>571</v>
      </c>
      <c r="D160" s="321" t="s">
        <v>568</v>
      </c>
      <c r="E160" s="321" t="s">
        <v>572</v>
      </c>
      <c r="F160" s="238" t="s">
        <v>573</v>
      </c>
      <c r="G160" s="325" t="s">
        <v>60</v>
      </c>
      <c r="H160" s="325" t="s">
        <v>60</v>
      </c>
      <c r="I160" s="325" t="s">
        <v>60</v>
      </c>
      <c r="J160" s="44" t="s">
        <v>462</v>
      </c>
      <c r="K160" s="266" t="s">
        <v>574</v>
      </c>
      <c r="L160" s="208"/>
      <c r="M160" s="207"/>
      <c r="N160" s="211"/>
      <c r="O160" s="207"/>
      <c r="P160" s="207"/>
      <c r="Q160" s="207"/>
      <c r="R160" s="211"/>
      <c r="S160" s="207"/>
      <c r="T160" s="207"/>
      <c r="U160" s="209"/>
      <c r="V160" s="211"/>
      <c r="W160" s="207"/>
      <c r="X160" s="207"/>
      <c r="Y160" s="187"/>
      <c r="Z160" s="187"/>
      <c r="AA160" s="187"/>
      <c r="AB160" s="187"/>
      <c r="AC160" s="187"/>
      <c r="AD160" s="187"/>
      <c r="AE160" s="187"/>
      <c r="AF160" s="187"/>
      <c r="AG160" s="187"/>
      <c r="AH160" s="187"/>
      <c r="AI160" s="187"/>
      <c r="AJ160" s="187"/>
      <c r="AK160" s="187"/>
      <c r="AL160" s="187"/>
      <c r="AM160" s="187"/>
      <c r="AN160" s="187"/>
      <c r="AO160" s="187"/>
      <c r="AP160" s="187"/>
      <c r="AQ160" s="187"/>
      <c r="AR160" s="187"/>
      <c r="AS160" s="187"/>
      <c r="AT160" s="187"/>
      <c r="AU160" s="187"/>
      <c r="AV160" s="187"/>
      <c r="AW160" s="187"/>
      <c r="AX160" s="187"/>
      <c r="AY160" s="187"/>
      <c r="AZ160" s="187"/>
      <c r="BA160" s="187"/>
      <c r="BB160" s="187"/>
      <c r="BC160" s="187"/>
      <c r="BD160" s="187"/>
      <c r="BE160" s="187"/>
      <c r="BF160" s="187"/>
      <c r="BG160" s="187"/>
      <c r="BH160" s="187"/>
      <c r="BI160" s="187"/>
      <c r="BJ160" s="187"/>
      <c r="BK160" s="187"/>
      <c r="BL160" s="187"/>
      <c r="BM160" s="187"/>
      <c r="BN160" s="187"/>
      <c r="BO160" s="187"/>
      <c r="BP160" s="187"/>
      <c r="BQ160" s="187"/>
      <c r="BR160" s="187"/>
      <c r="BS160" s="187"/>
      <c r="BT160" s="187"/>
      <c r="BU160" s="187"/>
      <c r="BV160" s="187"/>
      <c r="BW160" s="187"/>
      <c r="BX160" s="187"/>
      <c r="BY160" s="187"/>
      <c r="BZ160" s="187"/>
      <c r="CA160" s="187"/>
      <c r="CB160" s="187"/>
      <c r="CC160" s="187"/>
      <c r="CD160" s="187"/>
      <c r="CE160" s="187"/>
      <c r="CF160" s="187"/>
      <c r="CG160" s="187"/>
      <c r="CH160" s="187"/>
      <c r="CI160" s="187"/>
      <c r="CJ160" s="187"/>
      <c r="CK160" s="187"/>
      <c r="CL160" s="187"/>
    </row>
    <row r="161">
      <c r="A161" s="244"/>
      <c r="B161" s="229" t="s">
        <v>575</v>
      </c>
      <c r="C161" s="144"/>
      <c r="D161" s="144"/>
      <c r="E161" s="144"/>
      <c r="F161" s="167"/>
      <c r="G161" s="322"/>
      <c r="H161" s="322"/>
      <c r="I161" s="322"/>
      <c r="J161" s="211"/>
      <c r="K161" s="207"/>
      <c r="L161" s="208"/>
      <c r="M161" s="207"/>
      <c r="N161" s="211"/>
      <c r="O161" s="207"/>
      <c r="P161" s="207"/>
      <c r="Q161" s="207"/>
      <c r="R161" s="211"/>
      <c r="S161" s="207"/>
      <c r="T161" s="207"/>
      <c r="U161" s="209"/>
      <c r="V161" s="211"/>
      <c r="W161" s="207"/>
      <c r="X161" s="207"/>
      <c r="Y161" s="187"/>
      <c r="Z161" s="187"/>
      <c r="AA161" s="187"/>
      <c r="AB161" s="187"/>
      <c r="AC161" s="187"/>
      <c r="AD161" s="187"/>
      <c r="AE161" s="187"/>
      <c r="AF161" s="187"/>
      <c r="AG161" s="187"/>
      <c r="AH161" s="187"/>
      <c r="AI161" s="187"/>
      <c r="AJ161" s="187"/>
      <c r="AK161" s="187"/>
      <c r="AL161" s="187"/>
      <c r="AM161" s="187"/>
      <c r="AN161" s="187"/>
      <c r="AO161" s="187"/>
      <c r="AP161" s="187"/>
      <c r="AQ161" s="187"/>
      <c r="AR161" s="187"/>
      <c r="AS161" s="187"/>
      <c r="AT161" s="187"/>
      <c r="AU161" s="187"/>
      <c r="AV161" s="187"/>
      <c r="AW161" s="187"/>
      <c r="AX161" s="187"/>
      <c r="AY161" s="187"/>
      <c r="AZ161" s="187"/>
      <c r="BA161" s="187"/>
      <c r="BB161" s="187"/>
      <c r="BC161" s="187"/>
      <c r="BD161" s="187"/>
      <c r="BE161" s="187"/>
      <c r="BF161" s="187"/>
      <c r="BG161" s="187"/>
      <c r="BH161" s="187"/>
      <c r="BI161" s="187"/>
      <c r="BJ161" s="187"/>
      <c r="BK161" s="187"/>
      <c r="BL161" s="187"/>
      <c r="BM161" s="187"/>
      <c r="BN161" s="187"/>
      <c r="BO161" s="187"/>
      <c r="BP161" s="187"/>
      <c r="BQ161" s="187"/>
      <c r="BR161" s="187"/>
      <c r="BS161" s="187"/>
      <c r="BT161" s="187"/>
      <c r="BU161" s="187"/>
      <c r="BV161" s="187"/>
      <c r="BW161" s="187"/>
      <c r="BX161" s="187"/>
      <c r="BY161" s="187"/>
      <c r="BZ161" s="187"/>
      <c r="CA161" s="187"/>
      <c r="CB161" s="187"/>
      <c r="CC161" s="187"/>
      <c r="CD161" s="187"/>
      <c r="CE161" s="187"/>
      <c r="CF161" s="187"/>
      <c r="CG161" s="187"/>
      <c r="CH161" s="187"/>
      <c r="CI161" s="187"/>
      <c r="CJ161" s="187"/>
      <c r="CK161" s="187"/>
      <c r="CL161" s="187"/>
    </row>
    <row r="162">
      <c r="A162" s="244" t="str">
        <f t="shared" ref="A162:A164" si="17">IF(E162="","",$C$3&amp;"."&amp;COUNTA($E$10:E162)&amp;"")</f>
        <v>TC_01.130</v>
      </c>
      <c r="B162" s="214" t="s">
        <v>65</v>
      </c>
      <c r="C162" s="226" t="s">
        <v>576</v>
      </c>
      <c r="D162" s="321" t="s">
        <v>568</v>
      </c>
      <c r="E162" s="321" t="s">
        <v>577</v>
      </c>
      <c r="F162" s="217" t="s">
        <v>578</v>
      </c>
      <c r="G162" s="325" t="s">
        <v>56</v>
      </c>
      <c r="H162" s="325" t="s">
        <v>56</v>
      </c>
      <c r="I162" s="325" t="s">
        <v>56</v>
      </c>
      <c r="J162" s="44" t="s">
        <v>462</v>
      </c>
      <c r="K162" s="207"/>
      <c r="L162" s="208"/>
      <c r="M162" s="207"/>
      <c r="N162" s="211"/>
      <c r="O162" s="207"/>
      <c r="P162" s="207"/>
      <c r="Q162" s="207"/>
      <c r="R162" s="211"/>
      <c r="S162" s="207"/>
      <c r="T162" s="207"/>
      <c r="U162" s="209"/>
      <c r="V162" s="211"/>
      <c r="W162" s="207"/>
      <c r="X162" s="207"/>
      <c r="Y162" s="187"/>
      <c r="Z162" s="187"/>
      <c r="AA162" s="187"/>
      <c r="AB162" s="187"/>
      <c r="AC162" s="187"/>
      <c r="AD162" s="187"/>
      <c r="AE162" s="187"/>
      <c r="AF162" s="187"/>
      <c r="AG162" s="187"/>
      <c r="AH162" s="187"/>
      <c r="AI162" s="187"/>
      <c r="AJ162" s="187"/>
      <c r="AK162" s="187"/>
      <c r="AL162" s="187"/>
      <c r="AM162" s="187"/>
      <c r="AN162" s="187"/>
      <c r="AO162" s="187"/>
      <c r="AP162" s="187"/>
      <c r="AQ162" s="187"/>
      <c r="AR162" s="187"/>
      <c r="AS162" s="187"/>
      <c r="AT162" s="187"/>
      <c r="AU162" s="187"/>
      <c r="AV162" s="187"/>
      <c r="AW162" s="187"/>
      <c r="AX162" s="187"/>
      <c r="AY162" s="187"/>
      <c r="AZ162" s="187"/>
      <c r="BA162" s="187"/>
      <c r="BB162" s="187"/>
      <c r="BC162" s="187"/>
      <c r="BD162" s="187"/>
      <c r="BE162" s="187"/>
      <c r="BF162" s="187"/>
      <c r="BG162" s="187"/>
      <c r="BH162" s="187"/>
      <c r="BI162" s="187"/>
      <c r="BJ162" s="187"/>
      <c r="BK162" s="187"/>
      <c r="BL162" s="187"/>
      <c r="BM162" s="187"/>
      <c r="BN162" s="187"/>
      <c r="BO162" s="187"/>
      <c r="BP162" s="187"/>
      <c r="BQ162" s="187"/>
      <c r="BR162" s="187"/>
      <c r="BS162" s="187"/>
      <c r="BT162" s="187"/>
      <c r="BU162" s="187"/>
      <c r="BV162" s="187"/>
      <c r="BW162" s="187"/>
      <c r="BX162" s="187"/>
      <c r="BY162" s="187"/>
      <c r="BZ162" s="187"/>
      <c r="CA162" s="187"/>
      <c r="CB162" s="187"/>
      <c r="CC162" s="187"/>
      <c r="CD162" s="187"/>
      <c r="CE162" s="187"/>
      <c r="CF162" s="187"/>
      <c r="CG162" s="187"/>
      <c r="CH162" s="187"/>
      <c r="CI162" s="187"/>
      <c r="CJ162" s="187"/>
      <c r="CK162" s="187"/>
      <c r="CL162" s="187"/>
    </row>
    <row r="163">
      <c r="A163" s="244" t="str">
        <f t="shared" si="17"/>
        <v>TC_01.131</v>
      </c>
      <c r="B163" s="211" t="s">
        <v>67</v>
      </c>
      <c r="C163" s="226" t="s">
        <v>579</v>
      </c>
      <c r="D163" s="321" t="s">
        <v>568</v>
      </c>
      <c r="E163" s="321" t="s">
        <v>580</v>
      </c>
      <c r="F163" s="238" t="s">
        <v>581</v>
      </c>
      <c r="G163" s="325" t="s">
        <v>56</v>
      </c>
      <c r="H163" s="325" t="s">
        <v>56</v>
      </c>
      <c r="I163" s="325" t="s">
        <v>56</v>
      </c>
      <c r="J163" s="44" t="s">
        <v>462</v>
      </c>
      <c r="K163" s="207"/>
      <c r="L163" s="208"/>
      <c r="M163" s="207"/>
      <c r="N163" s="211"/>
      <c r="O163" s="207"/>
      <c r="P163" s="207"/>
      <c r="Q163" s="207"/>
      <c r="R163" s="211"/>
      <c r="S163" s="207"/>
      <c r="T163" s="207"/>
      <c r="U163" s="209"/>
      <c r="V163" s="211"/>
      <c r="W163" s="207"/>
      <c r="X163" s="207"/>
      <c r="Y163" s="187"/>
      <c r="Z163" s="187"/>
      <c r="AA163" s="187"/>
      <c r="AB163" s="187"/>
      <c r="AC163" s="187"/>
      <c r="AD163" s="187"/>
      <c r="AE163" s="187"/>
      <c r="AF163" s="187"/>
      <c r="AG163" s="187"/>
      <c r="AH163" s="187"/>
      <c r="AI163" s="187"/>
      <c r="AJ163" s="187"/>
      <c r="AK163" s="187"/>
      <c r="AL163" s="187"/>
      <c r="AM163" s="187"/>
      <c r="AN163" s="187"/>
      <c r="AO163" s="187"/>
      <c r="AP163" s="187"/>
      <c r="AQ163" s="187"/>
      <c r="AR163" s="187"/>
      <c r="AS163" s="187"/>
      <c r="AT163" s="187"/>
      <c r="AU163" s="187"/>
      <c r="AV163" s="187"/>
      <c r="AW163" s="187"/>
      <c r="AX163" s="187"/>
      <c r="AY163" s="187"/>
      <c r="AZ163" s="187"/>
      <c r="BA163" s="187"/>
      <c r="BB163" s="187"/>
      <c r="BC163" s="187"/>
      <c r="BD163" s="187"/>
      <c r="BE163" s="187"/>
      <c r="BF163" s="187"/>
      <c r="BG163" s="187"/>
      <c r="BH163" s="187"/>
      <c r="BI163" s="187"/>
      <c r="BJ163" s="187"/>
      <c r="BK163" s="187"/>
      <c r="BL163" s="187"/>
      <c r="BM163" s="187"/>
      <c r="BN163" s="187"/>
      <c r="BO163" s="187"/>
      <c r="BP163" s="187"/>
      <c r="BQ163" s="187"/>
      <c r="BR163" s="187"/>
      <c r="BS163" s="187"/>
      <c r="BT163" s="187"/>
      <c r="BU163" s="187"/>
      <c r="BV163" s="187"/>
      <c r="BW163" s="187"/>
      <c r="BX163" s="187"/>
      <c r="BY163" s="187"/>
      <c r="BZ163" s="187"/>
      <c r="CA163" s="187"/>
      <c r="CB163" s="187"/>
      <c r="CC163" s="187"/>
      <c r="CD163" s="187"/>
      <c r="CE163" s="187"/>
      <c r="CF163" s="187"/>
      <c r="CG163" s="187"/>
      <c r="CH163" s="187"/>
      <c r="CI163" s="187"/>
      <c r="CJ163" s="187"/>
      <c r="CK163" s="187"/>
      <c r="CL163" s="187"/>
    </row>
    <row r="164">
      <c r="A164" s="244" t="str">
        <f t="shared" si="17"/>
        <v>TC_01.132</v>
      </c>
      <c r="B164" s="211" t="s">
        <v>67</v>
      </c>
      <c r="C164" s="226" t="s">
        <v>582</v>
      </c>
      <c r="D164" s="321" t="s">
        <v>568</v>
      </c>
      <c r="E164" s="321" t="s">
        <v>583</v>
      </c>
      <c r="F164" s="238" t="s">
        <v>584</v>
      </c>
      <c r="G164" s="325" t="s">
        <v>56</v>
      </c>
      <c r="H164" s="325" t="s">
        <v>56</v>
      </c>
      <c r="I164" s="325" t="s">
        <v>56</v>
      </c>
      <c r="J164" s="44" t="s">
        <v>462</v>
      </c>
      <c r="K164" s="207"/>
      <c r="L164" s="208"/>
      <c r="M164" s="207"/>
      <c r="N164" s="211"/>
      <c r="O164" s="207"/>
      <c r="P164" s="207"/>
      <c r="Q164" s="207"/>
      <c r="R164" s="211"/>
      <c r="S164" s="207"/>
      <c r="T164" s="207"/>
      <c r="U164" s="209"/>
      <c r="V164" s="211"/>
      <c r="W164" s="207"/>
      <c r="X164" s="207"/>
      <c r="Y164" s="187"/>
      <c r="Z164" s="187"/>
      <c r="AA164" s="187"/>
      <c r="AB164" s="187"/>
      <c r="AC164" s="187"/>
      <c r="AD164" s="187"/>
      <c r="AE164" s="187"/>
      <c r="AF164" s="187"/>
      <c r="AG164" s="187"/>
      <c r="AH164" s="187"/>
      <c r="AI164" s="187"/>
      <c r="AJ164" s="187"/>
      <c r="AK164" s="187"/>
      <c r="AL164" s="187"/>
      <c r="AM164" s="187"/>
      <c r="AN164" s="187"/>
      <c r="AO164" s="187"/>
      <c r="AP164" s="187"/>
      <c r="AQ164" s="187"/>
      <c r="AR164" s="187"/>
      <c r="AS164" s="187"/>
      <c r="AT164" s="187"/>
      <c r="AU164" s="187"/>
      <c r="AV164" s="187"/>
      <c r="AW164" s="187"/>
      <c r="AX164" s="187"/>
      <c r="AY164" s="187"/>
      <c r="AZ164" s="187"/>
      <c r="BA164" s="187"/>
      <c r="BB164" s="187"/>
      <c r="BC164" s="187"/>
      <c r="BD164" s="187"/>
      <c r="BE164" s="187"/>
      <c r="BF164" s="187"/>
      <c r="BG164" s="187"/>
      <c r="BH164" s="187"/>
      <c r="BI164" s="187"/>
      <c r="BJ164" s="187"/>
      <c r="BK164" s="187"/>
      <c r="BL164" s="187"/>
      <c r="BM164" s="187"/>
      <c r="BN164" s="187"/>
      <c r="BO164" s="187"/>
      <c r="BP164" s="187"/>
      <c r="BQ164" s="187"/>
      <c r="BR164" s="187"/>
      <c r="BS164" s="187"/>
      <c r="BT164" s="187"/>
      <c r="BU164" s="187"/>
      <c r="BV164" s="187"/>
      <c r="BW164" s="187"/>
      <c r="BX164" s="187"/>
      <c r="BY164" s="187"/>
      <c r="BZ164" s="187"/>
      <c r="CA164" s="187"/>
      <c r="CB164" s="187"/>
      <c r="CC164" s="187"/>
      <c r="CD164" s="187"/>
      <c r="CE164" s="187"/>
      <c r="CF164" s="187"/>
      <c r="CG164" s="187"/>
      <c r="CH164" s="187"/>
      <c r="CI164" s="187"/>
      <c r="CJ164" s="187"/>
      <c r="CK164" s="187"/>
      <c r="CL164" s="187"/>
    </row>
    <row r="165">
      <c r="A165" s="244"/>
      <c r="B165" s="229" t="s">
        <v>585</v>
      </c>
      <c r="C165" s="144"/>
      <c r="D165" s="144"/>
      <c r="E165" s="144"/>
      <c r="F165" s="167"/>
      <c r="G165" s="322"/>
      <c r="H165" s="322"/>
      <c r="I165" s="322"/>
      <c r="J165" s="211"/>
      <c r="K165" s="207"/>
      <c r="L165" s="208"/>
      <c r="M165" s="207"/>
      <c r="N165" s="211"/>
      <c r="O165" s="207"/>
      <c r="P165" s="207"/>
      <c r="Q165" s="207"/>
      <c r="R165" s="211"/>
      <c r="S165" s="207"/>
      <c r="T165" s="207"/>
      <c r="U165" s="209"/>
      <c r="V165" s="211"/>
      <c r="W165" s="207"/>
      <c r="X165" s="207"/>
      <c r="Y165" s="187"/>
      <c r="Z165" s="187"/>
      <c r="AA165" s="187"/>
      <c r="AB165" s="187"/>
      <c r="AC165" s="187"/>
      <c r="AD165" s="187"/>
      <c r="AE165" s="187"/>
      <c r="AF165" s="187"/>
      <c r="AG165" s="187"/>
      <c r="AH165" s="187"/>
      <c r="AI165" s="187"/>
      <c r="AJ165" s="187"/>
      <c r="AK165" s="187"/>
      <c r="AL165" s="187"/>
      <c r="AM165" s="187"/>
      <c r="AN165" s="187"/>
      <c r="AO165" s="187"/>
      <c r="AP165" s="187"/>
      <c r="AQ165" s="187"/>
      <c r="AR165" s="187"/>
      <c r="AS165" s="187"/>
      <c r="AT165" s="187"/>
      <c r="AU165" s="187"/>
      <c r="AV165" s="187"/>
      <c r="AW165" s="187"/>
      <c r="AX165" s="187"/>
      <c r="AY165" s="187"/>
      <c r="AZ165" s="187"/>
      <c r="BA165" s="187"/>
      <c r="BB165" s="187"/>
      <c r="BC165" s="187"/>
      <c r="BD165" s="187"/>
      <c r="BE165" s="187"/>
      <c r="BF165" s="187"/>
      <c r="BG165" s="187"/>
      <c r="BH165" s="187"/>
      <c r="BI165" s="187"/>
      <c r="BJ165" s="187"/>
      <c r="BK165" s="187"/>
      <c r="BL165" s="187"/>
      <c r="BM165" s="187"/>
      <c r="BN165" s="187"/>
      <c r="BO165" s="187"/>
      <c r="BP165" s="187"/>
      <c r="BQ165" s="187"/>
      <c r="BR165" s="187"/>
      <c r="BS165" s="187"/>
      <c r="BT165" s="187"/>
      <c r="BU165" s="187"/>
      <c r="BV165" s="187"/>
      <c r="BW165" s="187"/>
      <c r="BX165" s="187"/>
      <c r="BY165" s="187"/>
      <c r="BZ165" s="187"/>
      <c r="CA165" s="187"/>
      <c r="CB165" s="187"/>
      <c r="CC165" s="187"/>
      <c r="CD165" s="187"/>
      <c r="CE165" s="187"/>
      <c r="CF165" s="187"/>
      <c r="CG165" s="187"/>
      <c r="CH165" s="187"/>
      <c r="CI165" s="187"/>
      <c r="CJ165" s="187"/>
      <c r="CK165" s="187"/>
      <c r="CL165" s="187"/>
    </row>
    <row r="166">
      <c r="A166" s="244" t="str">
        <f t="shared" ref="A166:A168" si="18">IF(E166="","",$C$3&amp;"."&amp;COUNTA($E$10:E166)&amp;"")</f>
        <v>TC_01.133</v>
      </c>
      <c r="B166" s="211" t="s">
        <v>67</v>
      </c>
      <c r="C166" s="226" t="s">
        <v>586</v>
      </c>
      <c r="D166" s="321" t="s">
        <v>568</v>
      </c>
      <c r="E166" s="321" t="s">
        <v>587</v>
      </c>
      <c r="F166" s="238" t="s">
        <v>588</v>
      </c>
      <c r="G166" s="325" t="s">
        <v>56</v>
      </c>
      <c r="H166" s="325" t="s">
        <v>56</v>
      </c>
      <c r="I166" s="325" t="s">
        <v>56</v>
      </c>
      <c r="J166" s="44" t="s">
        <v>462</v>
      </c>
      <c r="K166" s="255"/>
      <c r="L166" s="208"/>
      <c r="M166" s="207"/>
      <c r="N166" s="211"/>
      <c r="O166" s="207"/>
      <c r="P166" s="207"/>
      <c r="Q166" s="207"/>
      <c r="R166" s="211"/>
      <c r="S166" s="207"/>
      <c r="T166" s="207"/>
      <c r="U166" s="209"/>
      <c r="V166" s="211"/>
      <c r="W166" s="207"/>
      <c r="X166" s="207"/>
      <c r="Y166" s="187"/>
      <c r="Z166" s="187"/>
      <c r="AA166" s="187"/>
      <c r="AB166" s="187"/>
      <c r="AC166" s="187"/>
      <c r="AD166" s="187"/>
      <c r="AE166" s="187"/>
      <c r="AF166" s="187"/>
      <c r="AG166" s="187"/>
      <c r="AH166" s="187"/>
      <c r="AI166" s="187"/>
      <c r="AJ166" s="187"/>
      <c r="AK166" s="187"/>
      <c r="AL166" s="187"/>
      <c r="AM166" s="187"/>
      <c r="AN166" s="187"/>
      <c r="AO166" s="187"/>
      <c r="AP166" s="187"/>
      <c r="AQ166" s="187"/>
      <c r="AR166" s="187"/>
      <c r="AS166" s="187"/>
      <c r="AT166" s="187"/>
      <c r="AU166" s="187"/>
      <c r="AV166" s="187"/>
      <c r="AW166" s="187"/>
      <c r="AX166" s="187"/>
      <c r="AY166" s="187"/>
      <c r="AZ166" s="187"/>
      <c r="BA166" s="187"/>
      <c r="BB166" s="187"/>
      <c r="BC166" s="187"/>
      <c r="BD166" s="187"/>
      <c r="BE166" s="187"/>
      <c r="BF166" s="187"/>
      <c r="BG166" s="187"/>
      <c r="BH166" s="187"/>
      <c r="BI166" s="187"/>
      <c r="BJ166" s="187"/>
      <c r="BK166" s="187"/>
      <c r="BL166" s="187"/>
      <c r="BM166" s="187"/>
      <c r="BN166" s="187"/>
      <c r="BO166" s="187"/>
      <c r="BP166" s="187"/>
      <c r="BQ166" s="187"/>
      <c r="BR166" s="187"/>
      <c r="BS166" s="187"/>
      <c r="BT166" s="187"/>
      <c r="BU166" s="187"/>
      <c r="BV166" s="187"/>
      <c r="BW166" s="187"/>
      <c r="BX166" s="187"/>
      <c r="BY166" s="187"/>
      <c r="BZ166" s="187"/>
      <c r="CA166" s="187"/>
      <c r="CB166" s="187"/>
      <c r="CC166" s="187"/>
      <c r="CD166" s="187"/>
      <c r="CE166" s="187"/>
      <c r="CF166" s="187"/>
      <c r="CG166" s="187"/>
      <c r="CH166" s="187"/>
      <c r="CI166" s="187"/>
      <c r="CJ166" s="187"/>
      <c r="CK166" s="187"/>
      <c r="CL166" s="187"/>
    </row>
    <row r="167">
      <c r="A167" s="244" t="str">
        <f t="shared" si="18"/>
        <v>TC_01.134</v>
      </c>
      <c r="B167" s="211" t="s">
        <v>67</v>
      </c>
      <c r="C167" s="226" t="s">
        <v>589</v>
      </c>
      <c r="D167" s="321" t="s">
        <v>568</v>
      </c>
      <c r="E167" s="217" t="s">
        <v>590</v>
      </c>
      <c r="F167" s="217" t="s">
        <v>591</v>
      </c>
      <c r="G167" s="325" t="s">
        <v>56</v>
      </c>
      <c r="H167" s="325" t="s">
        <v>56</v>
      </c>
      <c r="I167" s="325" t="s">
        <v>56</v>
      </c>
      <c r="J167" s="44" t="s">
        <v>462</v>
      </c>
      <c r="K167" s="207"/>
      <c r="L167" s="208"/>
      <c r="M167" s="207"/>
      <c r="N167" s="211"/>
      <c r="O167" s="207"/>
      <c r="P167" s="207"/>
      <c r="Q167" s="207"/>
      <c r="R167" s="211"/>
      <c r="S167" s="207"/>
      <c r="T167" s="207"/>
      <c r="U167" s="209"/>
      <c r="V167" s="211"/>
      <c r="W167" s="207"/>
      <c r="X167" s="207"/>
      <c r="Y167" s="187"/>
      <c r="Z167" s="187"/>
      <c r="AA167" s="187"/>
      <c r="AB167" s="187"/>
      <c r="AC167" s="187"/>
      <c r="AD167" s="187"/>
      <c r="AE167" s="187"/>
      <c r="AF167" s="187"/>
      <c r="AG167" s="187"/>
      <c r="AH167" s="187"/>
      <c r="AI167" s="187"/>
      <c r="AJ167" s="187"/>
      <c r="AK167" s="187"/>
      <c r="AL167" s="187"/>
      <c r="AM167" s="187"/>
      <c r="AN167" s="187"/>
      <c r="AO167" s="187"/>
      <c r="AP167" s="187"/>
      <c r="AQ167" s="187"/>
      <c r="AR167" s="187"/>
      <c r="AS167" s="187"/>
      <c r="AT167" s="187"/>
      <c r="AU167" s="187"/>
      <c r="AV167" s="187"/>
      <c r="AW167" s="187"/>
      <c r="AX167" s="187"/>
      <c r="AY167" s="187"/>
      <c r="AZ167" s="187"/>
      <c r="BA167" s="187"/>
      <c r="BB167" s="187"/>
      <c r="BC167" s="187"/>
      <c r="BD167" s="187"/>
      <c r="BE167" s="187"/>
      <c r="BF167" s="187"/>
      <c r="BG167" s="187"/>
      <c r="BH167" s="187"/>
      <c r="BI167" s="187"/>
      <c r="BJ167" s="187"/>
      <c r="BK167" s="187"/>
      <c r="BL167" s="187"/>
      <c r="BM167" s="187"/>
      <c r="BN167" s="187"/>
      <c r="BO167" s="187"/>
      <c r="BP167" s="187"/>
      <c r="BQ167" s="187"/>
      <c r="BR167" s="187"/>
      <c r="BS167" s="187"/>
      <c r="BT167" s="187"/>
      <c r="BU167" s="187"/>
      <c r="BV167" s="187"/>
      <c r="BW167" s="187"/>
      <c r="BX167" s="187"/>
      <c r="BY167" s="187"/>
      <c r="BZ167" s="187"/>
      <c r="CA167" s="187"/>
      <c r="CB167" s="187"/>
      <c r="CC167" s="187"/>
      <c r="CD167" s="187"/>
      <c r="CE167" s="187"/>
      <c r="CF167" s="187"/>
      <c r="CG167" s="187"/>
      <c r="CH167" s="187"/>
      <c r="CI167" s="187"/>
      <c r="CJ167" s="187"/>
      <c r="CK167" s="187"/>
      <c r="CL167" s="187"/>
    </row>
    <row r="168">
      <c r="A168" s="244" t="str">
        <f t="shared" si="18"/>
        <v>TC_01.135</v>
      </c>
      <c r="B168" s="211" t="s">
        <v>67</v>
      </c>
      <c r="C168" s="215" t="s">
        <v>592</v>
      </c>
      <c r="D168" s="321" t="s">
        <v>568</v>
      </c>
      <c r="E168" s="321" t="s">
        <v>593</v>
      </c>
      <c r="F168" s="217" t="s">
        <v>594</v>
      </c>
      <c r="G168" s="325" t="s">
        <v>56</v>
      </c>
      <c r="H168" s="325" t="s">
        <v>56</v>
      </c>
      <c r="I168" s="325" t="s">
        <v>56</v>
      </c>
      <c r="J168" s="44" t="s">
        <v>462</v>
      </c>
      <c r="K168" s="207"/>
      <c r="L168" s="208"/>
      <c r="M168" s="207"/>
      <c r="N168" s="211"/>
      <c r="O168" s="207"/>
      <c r="P168" s="207"/>
      <c r="Q168" s="207"/>
      <c r="R168" s="211"/>
      <c r="S168" s="207"/>
      <c r="T168" s="207"/>
      <c r="U168" s="209"/>
      <c r="V168" s="211"/>
      <c r="W168" s="207"/>
      <c r="X168" s="207"/>
      <c r="Y168" s="187"/>
      <c r="Z168" s="187"/>
      <c r="AA168" s="187"/>
      <c r="AB168" s="187"/>
      <c r="AC168" s="187"/>
      <c r="AD168" s="187"/>
      <c r="AE168" s="187"/>
      <c r="AF168" s="187"/>
      <c r="AG168" s="187"/>
      <c r="AH168" s="187"/>
      <c r="AI168" s="187"/>
      <c r="AJ168" s="187"/>
      <c r="AK168" s="187"/>
      <c r="AL168" s="187"/>
      <c r="AM168" s="187"/>
      <c r="AN168" s="187"/>
      <c r="AO168" s="187"/>
      <c r="AP168" s="187"/>
      <c r="AQ168" s="187"/>
      <c r="AR168" s="187"/>
      <c r="AS168" s="187"/>
      <c r="AT168" s="187"/>
      <c r="AU168" s="187"/>
      <c r="AV168" s="187"/>
      <c r="AW168" s="187"/>
      <c r="AX168" s="187"/>
      <c r="AY168" s="187"/>
      <c r="AZ168" s="187"/>
      <c r="BA168" s="187"/>
      <c r="BB168" s="187"/>
      <c r="BC168" s="187"/>
      <c r="BD168" s="187"/>
      <c r="BE168" s="187"/>
      <c r="BF168" s="187"/>
      <c r="BG168" s="187"/>
      <c r="BH168" s="187"/>
      <c r="BI168" s="187"/>
      <c r="BJ168" s="187"/>
      <c r="BK168" s="187"/>
      <c r="BL168" s="187"/>
      <c r="BM168" s="187"/>
      <c r="BN168" s="187"/>
      <c r="BO168" s="187"/>
      <c r="BP168" s="187"/>
      <c r="BQ168" s="187"/>
      <c r="BR168" s="187"/>
      <c r="BS168" s="187"/>
      <c r="BT168" s="187"/>
      <c r="BU168" s="187"/>
      <c r="BV168" s="187"/>
      <c r="BW168" s="187"/>
      <c r="BX168" s="187"/>
      <c r="BY168" s="187"/>
      <c r="BZ168" s="187"/>
      <c r="CA168" s="187"/>
      <c r="CB168" s="187"/>
      <c r="CC168" s="187"/>
      <c r="CD168" s="187"/>
      <c r="CE168" s="187"/>
      <c r="CF168" s="187"/>
      <c r="CG168" s="187"/>
      <c r="CH168" s="187"/>
      <c r="CI168" s="187"/>
      <c r="CJ168" s="187"/>
      <c r="CK168" s="187"/>
      <c r="CL168" s="187"/>
    </row>
    <row r="169">
      <c r="A169" s="309"/>
      <c r="B169" s="309"/>
      <c r="C169" s="331"/>
      <c r="D169" s="332"/>
      <c r="E169" s="333"/>
      <c r="F169" s="334"/>
      <c r="G169" s="322"/>
      <c r="H169" s="322"/>
      <c r="I169" s="322"/>
      <c r="J169" s="211"/>
      <c r="K169" s="207"/>
      <c r="L169" s="208"/>
      <c r="M169" s="207"/>
      <c r="N169" s="211"/>
      <c r="O169" s="207"/>
      <c r="P169" s="207"/>
      <c r="Q169" s="207"/>
      <c r="R169" s="211"/>
      <c r="S169" s="207"/>
      <c r="T169" s="207"/>
      <c r="U169" s="209"/>
      <c r="V169" s="211"/>
      <c r="W169" s="207"/>
      <c r="X169" s="207"/>
      <c r="Y169" s="187"/>
      <c r="Z169" s="187"/>
      <c r="AA169" s="187"/>
      <c r="AB169" s="187"/>
      <c r="AC169" s="187"/>
      <c r="AD169" s="187"/>
      <c r="AE169" s="187"/>
      <c r="AF169" s="187"/>
      <c r="AG169" s="187"/>
      <c r="AH169" s="187"/>
      <c r="AI169" s="187"/>
      <c r="AJ169" s="187"/>
      <c r="AK169" s="187"/>
      <c r="AL169" s="187"/>
      <c r="AM169" s="187"/>
      <c r="AN169" s="187"/>
      <c r="AO169" s="187"/>
      <c r="AP169" s="187"/>
      <c r="AQ169" s="187"/>
      <c r="AR169" s="187"/>
      <c r="AS169" s="187"/>
      <c r="AT169" s="187"/>
      <c r="AU169" s="187"/>
      <c r="AV169" s="187"/>
      <c r="AW169" s="187"/>
      <c r="AX169" s="187"/>
      <c r="AY169" s="187"/>
      <c r="AZ169" s="187"/>
      <c r="BA169" s="187"/>
      <c r="BB169" s="187"/>
      <c r="BC169" s="187"/>
      <c r="BD169" s="187"/>
      <c r="BE169" s="187"/>
      <c r="BF169" s="187"/>
      <c r="BG169" s="187"/>
      <c r="BH169" s="187"/>
      <c r="BI169" s="187"/>
      <c r="BJ169" s="187"/>
      <c r="BK169" s="187"/>
      <c r="BL169" s="187"/>
      <c r="BM169" s="187"/>
      <c r="BN169" s="187"/>
      <c r="BO169" s="187"/>
      <c r="BP169" s="187"/>
      <c r="BQ169" s="187"/>
      <c r="BR169" s="187"/>
      <c r="BS169" s="187"/>
      <c r="BT169" s="187"/>
      <c r="BU169" s="187"/>
      <c r="BV169" s="187"/>
      <c r="BW169" s="187"/>
      <c r="BX169" s="187"/>
      <c r="BY169" s="187"/>
      <c r="BZ169" s="187"/>
      <c r="CA169" s="187"/>
      <c r="CB169" s="187"/>
      <c r="CC169" s="187"/>
      <c r="CD169" s="187"/>
      <c r="CE169" s="187"/>
      <c r="CF169" s="187"/>
      <c r="CG169" s="187"/>
      <c r="CH169" s="187"/>
      <c r="CI169" s="187"/>
      <c r="CJ169" s="187"/>
      <c r="CK169" s="187"/>
      <c r="CL169" s="187"/>
    </row>
    <row r="170">
      <c r="A170" s="309"/>
      <c r="B170" s="309"/>
      <c r="C170" s="335"/>
      <c r="D170" s="336"/>
      <c r="E170" s="333"/>
      <c r="F170" s="337"/>
      <c r="G170" s="322"/>
      <c r="H170" s="322"/>
      <c r="I170" s="322"/>
      <c r="J170" s="211"/>
      <c r="K170" s="207"/>
      <c r="L170" s="208"/>
      <c r="M170" s="207"/>
      <c r="N170" s="211"/>
      <c r="O170" s="207"/>
      <c r="P170" s="207"/>
      <c r="Q170" s="207"/>
      <c r="R170" s="211"/>
      <c r="S170" s="207"/>
      <c r="T170" s="207"/>
      <c r="U170" s="209"/>
      <c r="V170" s="211"/>
      <c r="W170" s="207"/>
      <c r="X170" s="207"/>
      <c r="Y170" s="187"/>
      <c r="Z170" s="187"/>
      <c r="AA170" s="187"/>
      <c r="AB170" s="187"/>
      <c r="AC170" s="187"/>
      <c r="AD170" s="187"/>
      <c r="AE170" s="187"/>
      <c r="AF170" s="187"/>
      <c r="AG170" s="187"/>
      <c r="AH170" s="187"/>
      <c r="AI170" s="187"/>
      <c r="AJ170" s="187"/>
      <c r="AK170" s="187"/>
      <c r="AL170" s="187"/>
      <c r="AM170" s="187"/>
      <c r="AN170" s="187"/>
      <c r="AO170" s="187"/>
      <c r="AP170" s="187"/>
      <c r="AQ170" s="187"/>
      <c r="AR170" s="187"/>
      <c r="AS170" s="187"/>
      <c r="AT170" s="187"/>
      <c r="AU170" s="187"/>
      <c r="AV170" s="187"/>
      <c r="AW170" s="187"/>
      <c r="AX170" s="187"/>
      <c r="AY170" s="187"/>
      <c r="AZ170" s="187"/>
      <c r="BA170" s="187"/>
      <c r="BB170" s="187"/>
      <c r="BC170" s="187"/>
      <c r="BD170" s="187"/>
      <c r="BE170" s="187"/>
      <c r="BF170" s="187"/>
      <c r="BG170" s="187"/>
      <c r="BH170" s="187"/>
      <c r="BI170" s="187"/>
      <c r="BJ170" s="187"/>
      <c r="BK170" s="187"/>
      <c r="BL170" s="187"/>
      <c r="BM170" s="187"/>
      <c r="BN170" s="187"/>
      <c r="BO170" s="187"/>
      <c r="BP170" s="187"/>
      <c r="BQ170" s="187"/>
      <c r="BR170" s="187"/>
      <c r="BS170" s="187"/>
      <c r="BT170" s="187"/>
      <c r="BU170" s="187"/>
      <c r="BV170" s="187"/>
      <c r="BW170" s="187"/>
      <c r="BX170" s="187"/>
      <c r="BY170" s="187"/>
      <c r="BZ170" s="187"/>
      <c r="CA170" s="187"/>
      <c r="CB170" s="187"/>
      <c r="CC170" s="187"/>
      <c r="CD170" s="187"/>
      <c r="CE170" s="187"/>
      <c r="CF170" s="187"/>
      <c r="CG170" s="187"/>
      <c r="CH170" s="187"/>
      <c r="CI170" s="187"/>
      <c r="CJ170" s="187"/>
      <c r="CK170" s="187"/>
      <c r="CL170" s="187"/>
    </row>
    <row r="171">
      <c r="A171" s="309"/>
      <c r="B171" s="309"/>
      <c r="C171" s="338"/>
      <c r="D171" s="311"/>
      <c r="E171" s="311"/>
      <c r="F171" s="311"/>
      <c r="G171" s="322"/>
      <c r="H171" s="322"/>
      <c r="I171" s="322"/>
      <c r="J171" s="211"/>
      <c r="K171" s="207"/>
      <c r="L171" s="208"/>
      <c r="M171" s="207"/>
      <c r="N171" s="211"/>
      <c r="O171" s="207"/>
      <c r="P171" s="207"/>
      <c r="Q171" s="207"/>
      <c r="R171" s="211"/>
      <c r="S171" s="207"/>
      <c r="T171" s="207"/>
      <c r="U171" s="209"/>
      <c r="V171" s="211"/>
      <c r="W171" s="207"/>
      <c r="X171" s="207"/>
      <c r="Y171" s="187"/>
      <c r="Z171" s="187"/>
      <c r="AA171" s="187"/>
      <c r="AB171" s="187"/>
      <c r="AC171" s="187"/>
      <c r="AD171" s="187"/>
      <c r="AE171" s="187"/>
      <c r="AF171" s="187"/>
      <c r="AG171" s="187"/>
      <c r="AH171" s="187"/>
      <c r="AI171" s="187"/>
      <c r="AJ171" s="187"/>
      <c r="AK171" s="187"/>
      <c r="AL171" s="187"/>
      <c r="AM171" s="187"/>
      <c r="AN171" s="187"/>
      <c r="AO171" s="187"/>
      <c r="AP171" s="187"/>
      <c r="AQ171" s="187"/>
      <c r="AR171" s="187"/>
      <c r="AS171" s="187"/>
      <c r="AT171" s="187"/>
      <c r="AU171" s="187"/>
      <c r="AV171" s="187"/>
      <c r="AW171" s="187"/>
      <c r="AX171" s="187"/>
      <c r="AY171" s="187"/>
      <c r="AZ171" s="187"/>
      <c r="BA171" s="187"/>
      <c r="BB171" s="187"/>
      <c r="BC171" s="187"/>
      <c r="BD171" s="187"/>
      <c r="BE171" s="187"/>
      <c r="BF171" s="187"/>
      <c r="BG171" s="187"/>
      <c r="BH171" s="187"/>
      <c r="BI171" s="187"/>
      <c r="BJ171" s="187"/>
      <c r="BK171" s="187"/>
      <c r="BL171" s="187"/>
      <c r="BM171" s="187"/>
      <c r="BN171" s="187"/>
      <c r="BO171" s="187"/>
      <c r="BP171" s="187"/>
      <c r="BQ171" s="187"/>
      <c r="BR171" s="187"/>
      <c r="BS171" s="187"/>
      <c r="BT171" s="187"/>
      <c r="BU171" s="187"/>
      <c r="BV171" s="187"/>
      <c r="BW171" s="187"/>
      <c r="BX171" s="187"/>
      <c r="BY171" s="187"/>
      <c r="BZ171" s="187"/>
      <c r="CA171" s="187"/>
      <c r="CB171" s="187"/>
      <c r="CC171" s="187"/>
      <c r="CD171" s="187"/>
      <c r="CE171" s="187"/>
      <c r="CF171" s="187"/>
      <c r="CG171" s="187"/>
      <c r="CH171" s="187"/>
      <c r="CI171" s="187"/>
      <c r="CJ171" s="187"/>
      <c r="CK171" s="187"/>
      <c r="CL171" s="187"/>
    </row>
    <row r="172">
      <c r="A172" s="154"/>
      <c r="B172" s="154"/>
      <c r="C172" s="339"/>
      <c r="D172" s="207"/>
      <c r="E172" s="207"/>
      <c r="F172" s="207"/>
      <c r="G172" s="322"/>
      <c r="H172" s="322"/>
      <c r="I172" s="322"/>
      <c r="J172" s="211"/>
      <c r="K172" s="207"/>
      <c r="L172" s="208"/>
      <c r="M172" s="207"/>
      <c r="N172" s="211"/>
      <c r="O172" s="207"/>
      <c r="P172" s="207"/>
      <c r="Q172" s="207"/>
      <c r="R172" s="211"/>
      <c r="S172" s="207"/>
      <c r="T172" s="207"/>
      <c r="U172" s="209"/>
      <c r="V172" s="211"/>
      <c r="W172" s="207"/>
      <c r="X172" s="207"/>
      <c r="Y172" s="187"/>
      <c r="Z172" s="187"/>
      <c r="AA172" s="187"/>
      <c r="AB172" s="187"/>
      <c r="AC172" s="187"/>
      <c r="AD172" s="187"/>
      <c r="AE172" s="187"/>
      <c r="AF172" s="187"/>
      <c r="AG172" s="187"/>
      <c r="AH172" s="187"/>
      <c r="AI172" s="187"/>
      <c r="AJ172" s="187"/>
      <c r="AK172" s="187"/>
      <c r="AL172" s="187"/>
      <c r="AM172" s="187"/>
      <c r="AN172" s="187"/>
      <c r="AO172" s="187"/>
      <c r="AP172" s="187"/>
      <c r="AQ172" s="187"/>
      <c r="AR172" s="187"/>
      <c r="AS172" s="187"/>
      <c r="AT172" s="187"/>
      <c r="AU172" s="187"/>
      <c r="AV172" s="187"/>
      <c r="AW172" s="187"/>
      <c r="AX172" s="187"/>
      <c r="AY172" s="187"/>
      <c r="AZ172" s="187"/>
      <c r="BA172" s="187"/>
      <c r="BB172" s="187"/>
      <c r="BC172" s="187"/>
      <c r="BD172" s="187"/>
      <c r="BE172" s="187"/>
      <c r="BF172" s="187"/>
      <c r="BG172" s="187"/>
      <c r="BH172" s="187"/>
      <c r="BI172" s="187"/>
      <c r="BJ172" s="187"/>
      <c r="BK172" s="187"/>
      <c r="BL172" s="187"/>
      <c r="BM172" s="187"/>
      <c r="BN172" s="187"/>
      <c r="BO172" s="187"/>
      <c r="BP172" s="187"/>
      <c r="BQ172" s="187"/>
      <c r="BR172" s="187"/>
      <c r="BS172" s="187"/>
      <c r="BT172" s="187"/>
      <c r="BU172" s="187"/>
      <c r="BV172" s="187"/>
      <c r="BW172" s="187"/>
      <c r="BX172" s="187"/>
      <c r="BY172" s="187"/>
      <c r="BZ172" s="187"/>
      <c r="CA172" s="187"/>
      <c r="CB172" s="187"/>
      <c r="CC172" s="187"/>
      <c r="CD172" s="187"/>
      <c r="CE172" s="187"/>
      <c r="CF172" s="187"/>
      <c r="CG172" s="187"/>
      <c r="CH172" s="187"/>
      <c r="CI172" s="187"/>
      <c r="CJ172" s="187"/>
      <c r="CK172" s="187"/>
      <c r="CL172" s="187"/>
    </row>
    <row r="173">
      <c r="A173" s="154"/>
      <c r="B173" s="154"/>
      <c r="C173" s="339"/>
      <c r="D173" s="207"/>
      <c r="E173" s="207"/>
      <c r="F173" s="266"/>
      <c r="G173" s="322"/>
      <c r="H173" s="322"/>
      <c r="I173" s="322"/>
      <c r="J173" s="211"/>
      <c r="K173" s="207"/>
      <c r="L173" s="208"/>
      <c r="M173" s="207"/>
      <c r="N173" s="211"/>
      <c r="O173" s="207"/>
      <c r="P173" s="207"/>
      <c r="Q173" s="207"/>
      <c r="R173" s="211"/>
      <c r="S173" s="207"/>
      <c r="T173" s="207"/>
      <c r="U173" s="209"/>
      <c r="V173" s="211"/>
      <c r="W173" s="207"/>
      <c r="X173" s="207"/>
      <c r="Y173" s="187"/>
      <c r="Z173" s="187"/>
      <c r="AA173" s="187"/>
      <c r="AB173" s="187"/>
      <c r="AC173" s="187"/>
      <c r="AD173" s="187"/>
      <c r="AE173" s="187"/>
      <c r="AF173" s="187"/>
      <c r="AG173" s="187"/>
      <c r="AH173" s="187"/>
      <c r="AI173" s="187"/>
      <c r="AJ173" s="187"/>
      <c r="AK173" s="187"/>
      <c r="AL173" s="187"/>
      <c r="AM173" s="187"/>
      <c r="AN173" s="187"/>
      <c r="AO173" s="187"/>
      <c r="AP173" s="187"/>
      <c r="AQ173" s="187"/>
      <c r="AR173" s="187"/>
      <c r="AS173" s="187"/>
      <c r="AT173" s="187"/>
      <c r="AU173" s="187"/>
      <c r="AV173" s="187"/>
      <c r="AW173" s="187"/>
      <c r="AX173" s="187"/>
      <c r="AY173" s="187"/>
      <c r="AZ173" s="187"/>
      <c r="BA173" s="187"/>
      <c r="BB173" s="187"/>
      <c r="BC173" s="187"/>
      <c r="BD173" s="187"/>
      <c r="BE173" s="187"/>
      <c r="BF173" s="187"/>
      <c r="BG173" s="187"/>
      <c r="BH173" s="187"/>
      <c r="BI173" s="187"/>
      <c r="BJ173" s="187"/>
      <c r="BK173" s="187"/>
      <c r="BL173" s="187"/>
      <c r="BM173" s="187"/>
      <c r="BN173" s="187"/>
      <c r="BO173" s="187"/>
      <c r="BP173" s="187"/>
      <c r="BQ173" s="187"/>
      <c r="BR173" s="187"/>
      <c r="BS173" s="187"/>
      <c r="BT173" s="187"/>
      <c r="BU173" s="187"/>
      <c r="BV173" s="187"/>
      <c r="BW173" s="187"/>
      <c r="BX173" s="187"/>
      <c r="BY173" s="187"/>
      <c r="BZ173" s="187"/>
      <c r="CA173" s="187"/>
      <c r="CB173" s="187"/>
      <c r="CC173" s="187"/>
      <c r="CD173" s="187"/>
      <c r="CE173" s="187"/>
      <c r="CF173" s="187"/>
      <c r="CG173" s="187"/>
      <c r="CH173" s="187"/>
      <c r="CI173" s="187"/>
      <c r="CJ173" s="187"/>
      <c r="CK173" s="187"/>
      <c r="CL173" s="187"/>
    </row>
    <row r="174">
      <c r="A174" s="154"/>
      <c r="B174" s="154"/>
      <c r="C174" s="340"/>
      <c r="D174" s="207"/>
      <c r="E174" s="207"/>
      <c r="F174" s="266"/>
      <c r="G174" s="322"/>
      <c r="H174" s="322"/>
      <c r="I174" s="322"/>
      <c r="J174" s="211"/>
      <c r="K174" s="207"/>
      <c r="L174" s="208"/>
      <c r="M174" s="207"/>
      <c r="N174" s="211"/>
      <c r="O174" s="207"/>
      <c r="P174" s="207"/>
      <c r="Q174" s="207"/>
      <c r="R174" s="211"/>
      <c r="S174" s="207"/>
      <c r="T174" s="207"/>
      <c r="U174" s="209"/>
      <c r="V174" s="211"/>
      <c r="W174" s="207"/>
      <c r="X174" s="207"/>
      <c r="Y174" s="187"/>
      <c r="Z174" s="187"/>
      <c r="AA174" s="187"/>
      <c r="AB174" s="187"/>
      <c r="AC174" s="187"/>
      <c r="AD174" s="187"/>
      <c r="AE174" s="187"/>
      <c r="AF174" s="187"/>
      <c r="AG174" s="187"/>
      <c r="AH174" s="187"/>
      <c r="AI174" s="187"/>
      <c r="AJ174" s="187"/>
      <c r="AK174" s="187"/>
      <c r="AL174" s="187"/>
      <c r="AM174" s="187"/>
      <c r="AN174" s="187"/>
      <c r="AO174" s="187"/>
      <c r="AP174" s="187"/>
      <c r="AQ174" s="187"/>
      <c r="AR174" s="187"/>
      <c r="AS174" s="187"/>
      <c r="AT174" s="187"/>
      <c r="AU174" s="187"/>
      <c r="AV174" s="187"/>
      <c r="AW174" s="187"/>
      <c r="AX174" s="187"/>
      <c r="AY174" s="187"/>
      <c r="AZ174" s="187"/>
      <c r="BA174" s="187"/>
      <c r="BB174" s="187"/>
      <c r="BC174" s="187"/>
      <c r="BD174" s="187"/>
      <c r="BE174" s="187"/>
      <c r="BF174" s="187"/>
      <c r="BG174" s="187"/>
      <c r="BH174" s="187"/>
      <c r="BI174" s="187"/>
      <c r="BJ174" s="187"/>
      <c r="BK174" s="187"/>
      <c r="BL174" s="187"/>
      <c r="BM174" s="187"/>
      <c r="BN174" s="187"/>
      <c r="BO174" s="187"/>
      <c r="BP174" s="187"/>
      <c r="BQ174" s="187"/>
      <c r="BR174" s="187"/>
      <c r="BS174" s="187"/>
      <c r="BT174" s="187"/>
      <c r="BU174" s="187"/>
      <c r="BV174" s="187"/>
      <c r="BW174" s="187"/>
      <c r="BX174" s="187"/>
      <c r="BY174" s="187"/>
      <c r="BZ174" s="187"/>
      <c r="CA174" s="187"/>
      <c r="CB174" s="187"/>
      <c r="CC174" s="187"/>
      <c r="CD174" s="187"/>
      <c r="CE174" s="187"/>
      <c r="CF174" s="187"/>
      <c r="CG174" s="187"/>
      <c r="CH174" s="187"/>
      <c r="CI174" s="187"/>
      <c r="CJ174" s="187"/>
      <c r="CK174" s="187"/>
      <c r="CL174" s="187"/>
    </row>
    <row r="175">
      <c r="A175" s="154"/>
      <c r="B175" s="154"/>
      <c r="C175" s="341"/>
      <c r="D175" s="207"/>
      <c r="E175" s="207"/>
      <c r="F175" s="266"/>
      <c r="G175" s="322"/>
      <c r="H175" s="322"/>
      <c r="I175" s="322"/>
      <c r="J175" s="211"/>
      <c r="K175" s="207"/>
      <c r="L175" s="208"/>
      <c r="M175" s="207"/>
      <c r="N175" s="211"/>
      <c r="O175" s="207"/>
      <c r="P175" s="207"/>
      <c r="Q175" s="207"/>
      <c r="R175" s="211"/>
      <c r="S175" s="207"/>
      <c r="T175" s="207"/>
      <c r="U175" s="209"/>
      <c r="V175" s="211"/>
      <c r="W175" s="207"/>
      <c r="X175" s="207"/>
      <c r="Y175" s="187"/>
      <c r="Z175" s="187"/>
      <c r="AA175" s="187"/>
      <c r="AB175" s="187"/>
      <c r="AC175" s="187"/>
      <c r="AD175" s="187"/>
      <c r="AE175" s="187"/>
      <c r="AF175" s="187"/>
      <c r="AG175" s="187"/>
      <c r="AH175" s="187"/>
      <c r="AI175" s="187"/>
      <c r="AJ175" s="187"/>
      <c r="AK175" s="187"/>
      <c r="AL175" s="187"/>
      <c r="AM175" s="187"/>
      <c r="AN175" s="187"/>
      <c r="AO175" s="187"/>
      <c r="AP175" s="187"/>
      <c r="AQ175" s="187"/>
      <c r="AR175" s="187"/>
      <c r="AS175" s="187"/>
      <c r="AT175" s="187"/>
      <c r="AU175" s="187"/>
      <c r="AV175" s="187"/>
      <c r="AW175" s="187"/>
      <c r="AX175" s="187"/>
      <c r="AY175" s="187"/>
      <c r="AZ175" s="187"/>
      <c r="BA175" s="187"/>
      <c r="BB175" s="187"/>
      <c r="BC175" s="187"/>
      <c r="BD175" s="187"/>
      <c r="BE175" s="187"/>
      <c r="BF175" s="187"/>
      <c r="BG175" s="187"/>
      <c r="BH175" s="187"/>
      <c r="BI175" s="187"/>
      <c r="BJ175" s="187"/>
      <c r="BK175" s="187"/>
      <c r="BL175" s="187"/>
      <c r="BM175" s="187"/>
      <c r="BN175" s="187"/>
      <c r="BO175" s="187"/>
      <c r="BP175" s="187"/>
      <c r="BQ175" s="187"/>
      <c r="BR175" s="187"/>
      <c r="BS175" s="187"/>
      <c r="BT175" s="187"/>
      <c r="BU175" s="187"/>
      <c r="BV175" s="187"/>
      <c r="BW175" s="187"/>
      <c r="BX175" s="187"/>
      <c r="BY175" s="187"/>
      <c r="BZ175" s="187"/>
      <c r="CA175" s="187"/>
      <c r="CB175" s="187"/>
      <c r="CC175" s="187"/>
      <c r="CD175" s="187"/>
      <c r="CE175" s="187"/>
      <c r="CF175" s="187"/>
      <c r="CG175" s="187"/>
      <c r="CH175" s="187"/>
      <c r="CI175" s="187"/>
      <c r="CJ175" s="187"/>
      <c r="CK175" s="187"/>
      <c r="CL175" s="187"/>
    </row>
    <row r="176">
      <c r="A176" s="154"/>
      <c r="B176" s="154"/>
      <c r="C176" s="341"/>
      <c r="D176" s="207"/>
      <c r="E176" s="209"/>
      <c r="F176" s="209"/>
      <c r="G176" s="322"/>
      <c r="H176" s="322"/>
      <c r="I176" s="322"/>
      <c r="J176" s="211"/>
      <c r="K176" s="207"/>
      <c r="L176" s="208"/>
      <c r="M176" s="207"/>
      <c r="N176" s="211"/>
      <c r="O176" s="207"/>
      <c r="P176" s="207"/>
      <c r="Q176" s="207"/>
      <c r="R176" s="211"/>
      <c r="S176" s="207"/>
      <c r="T176" s="207"/>
      <c r="U176" s="209"/>
      <c r="V176" s="211"/>
      <c r="W176" s="207"/>
      <c r="X176" s="207"/>
      <c r="Y176" s="187"/>
      <c r="Z176" s="187"/>
      <c r="AA176" s="187"/>
      <c r="AB176" s="187"/>
      <c r="AC176" s="187"/>
      <c r="AD176" s="187"/>
      <c r="AE176" s="187"/>
      <c r="AF176" s="187"/>
      <c r="AG176" s="187"/>
      <c r="AH176" s="187"/>
      <c r="AI176" s="187"/>
      <c r="AJ176" s="187"/>
      <c r="AK176" s="187"/>
      <c r="AL176" s="187"/>
      <c r="AM176" s="187"/>
      <c r="AN176" s="187"/>
      <c r="AO176" s="187"/>
      <c r="AP176" s="187"/>
      <c r="AQ176" s="187"/>
      <c r="AR176" s="187"/>
      <c r="AS176" s="187"/>
      <c r="AT176" s="187"/>
      <c r="AU176" s="187"/>
      <c r="AV176" s="187"/>
      <c r="AW176" s="187"/>
      <c r="AX176" s="187"/>
      <c r="AY176" s="187"/>
      <c r="AZ176" s="187"/>
      <c r="BA176" s="187"/>
      <c r="BB176" s="187"/>
      <c r="BC176" s="187"/>
      <c r="BD176" s="187"/>
      <c r="BE176" s="187"/>
      <c r="BF176" s="187"/>
      <c r="BG176" s="187"/>
      <c r="BH176" s="187"/>
      <c r="BI176" s="187"/>
      <c r="BJ176" s="187"/>
      <c r="BK176" s="187"/>
      <c r="BL176" s="187"/>
      <c r="BM176" s="187"/>
      <c r="BN176" s="187"/>
      <c r="BO176" s="187"/>
      <c r="BP176" s="187"/>
      <c r="BQ176" s="187"/>
      <c r="BR176" s="187"/>
      <c r="BS176" s="187"/>
      <c r="BT176" s="187"/>
      <c r="BU176" s="187"/>
      <c r="BV176" s="187"/>
      <c r="BW176" s="187"/>
      <c r="BX176" s="187"/>
      <c r="BY176" s="187"/>
      <c r="BZ176" s="187"/>
      <c r="CA176" s="187"/>
      <c r="CB176" s="187"/>
      <c r="CC176" s="187"/>
      <c r="CD176" s="187"/>
      <c r="CE176" s="187"/>
      <c r="CF176" s="187"/>
      <c r="CG176" s="187"/>
      <c r="CH176" s="187"/>
      <c r="CI176" s="187"/>
      <c r="CJ176" s="187"/>
      <c r="CK176" s="187"/>
      <c r="CL176" s="187"/>
    </row>
    <row r="177">
      <c r="A177" s="154"/>
      <c r="B177" s="154"/>
      <c r="C177" s="341"/>
      <c r="D177" s="207"/>
      <c r="E177" s="209"/>
      <c r="F177" s="209"/>
      <c r="G177" s="342"/>
      <c r="H177" s="342"/>
      <c r="I177" s="342"/>
      <c r="J177" s="343"/>
      <c r="K177" s="344"/>
      <c r="L177" s="208"/>
      <c r="M177" s="345"/>
      <c r="N177" s="154"/>
      <c r="O177" s="207"/>
      <c r="P177" s="207"/>
      <c r="Q177" s="345"/>
      <c r="R177" s="154"/>
      <c r="S177" s="207"/>
      <c r="T177" s="207"/>
      <c r="U177" s="345"/>
      <c r="V177" s="154"/>
      <c r="W177" s="207"/>
      <c r="X177" s="207"/>
      <c r="Y177" s="187"/>
      <c r="Z177" s="187"/>
      <c r="AA177" s="187"/>
      <c r="AB177" s="187"/>
      <c r="AC177" s="187"/>
      <c r="AD177" s="187"/>
      <c r="AE177" s="187"/>
      <c r="AF177" s="187"/>
      <c r="AG177" s="187"/>
      <c r="AH177" s="187"/>
      <c r="AI177" s="187"/>
      <c r="AJ177" s="187"/>
      <c r="AK177" s="187"/>
      <c r="AL177" s="187"/>
      <c r="AM177" s="187"/>
      <c r="AN177" s="187"/>
      <c r="AO177" s="187"/>
      <c r="AP177" s="187"/>
      <c r="AQ177" s="187"/>
      <c r="AR177" s="187"/>
      <c r="AS177" s="187"/>
      <c r="AT177" s="187"/>
      <c r="AU177" s="187"/>
      <c r="AV177" s="187"/>
      <c r="AW177" s="187"/>
      <c r="AX177" s="187"/>
      <c r="AY177" s="187"/>
      <c r="AZ177" s="187"/>
      <c r="BA177" s="187"/>
      <c r="BB177" s="187"/>
      <c r="BC177" s="187"/>
      <c r="BD177" s="187"/>
      <c r="BE177" s="187"/>
      <c r="BF177" s="187"/>
      <c r="BG177" s="187"/>
      <c r="BH177" s="187"/>
      <c r="BI177" s="187"/>
      <c r="BJ177" s="187"/>
      <c r="BK177" s="187"/>
      <c r="BL177" s="187"/>
      <c r="BM177" s="187"/>
      <c r="BN177" s="187"/>
      <c r="BO177" s="187"/>
      <c r="BP177" s="187"/>
      <c r="BQ177" s="187"/>
      <c r="BR177" s="187"/>
      <c r="BS177" s="187"/>
      <c r="BT177" s="187"/>
      <c r="BU177" s="187"/>
      <c r="BV177" s="187"/>
      <c r="BW177" s="187"/>
      <c r="BX177" s="187"/>
      <c r="BY177" s="187"/>
      <c r="BZ177" s="187"/>
      <c r="CA177" s="187"/>
      <c r="CB177" s="187"/>
      <c r="CC177" s="187"/>
      <c r="CD177" s="187"/>
      <c r="CE177" s="187"/>
      <c r="CF177" s="187"/>
      <c r="CG177" s="187"/>
      <c r="CH177" s="187"/>
      <c r="CI177" s="187"/>
      <c r="CJ177" s="187"/>
      <c r="CK177" s="187"/>
      <c r="CL177" s="187"/>
    </row>
    <row r="178">
      <c r="A178" s="154"/>
      <c r="B178" s="154"/>
      <c r="C178" s="339"/>
      <c r="D178" s="207"/>
      <c r="E178" s="207"/>
      <c r="F178" s="207"/>
      <c r="G178" s="342"/>
      <c r="H178" s="342"/>
      <c r="I178" s="342"/>
      <c r="J178" s="343"/>
      <c r="K178" s="207"/>
      <c r="L178" s="208"/>
      <c r="M178" s="345"/>
      <c r="N178" s="154"/>
      <c r="O178" s="207"/>
      <c r="P178" s="207"/>
      <c r="Q178" s="345"/>
      <c r="R178" s="154"/>
      <c r="S178" s="207"/>
      <c r="T178" s="207"/>
      <c r="U178" s="345"/>
      <c r="V178" s="154"/>
      <c r="W178" s="207"/>
      <c r="X178" s="207"/>
      <c r="Y178" s="187"/>
      <c r="Z178" s="187"/>
      <c r="AA178" s="187"/>
      <c r="AB178" s="187"/>
      <c r="AC178" s="187"/>
      <c r="AD178" s="187"/>
      <c r="AE178" s="187"/>
      <c r="AF178" s="187"/>
      <c r="AG178" s="187"/>
      <c r="AH178" s="187"/>
      <c r="AI178" s="187"/>
      <c r="AJ178" s="187"/>
      <c r="AK178" s="187"/>
      <c r="AL178" s="187"/>
      <c r="AM178" s="187"/>
      <c r="AN178" s="187"/>
      <c r="AO178" s="187"/>
      <c r="AP178" s="187"/>
      <c r="AQ178" s="187"/>
      <c r="AR178" s="187"/>
      <c r="AS178" s="187"/>
      <c r="AT178" s="187"/>
      <c r="AU178" s="187"/>
      <c r="AV178" s="187"/>
      <c r="AW178" s="187"/>
      <c r="AX178" s="187"/>
      <c r="AY178" s="187"/>
      <c r="AZ178" s="187"/>
      <c r="BA178" s="187"/>
      <c r="BB178" s="187"/>
      <c r="BC178" s="187"/>
      <c r="BD178" s="187"/>
      <c r="BE178" s="187"/>
      <c r="BF178" s="187"/>
      <c r="BG178" s="187"/>
      <c r="BH178" s="187"/>
      <c r="BI178" s="187"/>
      <c r="BJ178" s="187"/>
      <c r="BK178" s="187"/>
      <c r="BL178" s="187"/>
      <c r="BM178" s="187"/>
      <c r="BN178" s="187"/>
      <c r="BO178" s="187"/>
      <c r="BP178" s="187"/>
      <c r="BQ178" s="187"/>
      <c r="BR178" s="187"/>
      <c r="BS178" s="187"/>
      <c r="BT178" s="187"/>
      <c r="BU178" s="187"/>
      <c r="BV178" s="187"/>
      <c r="BW178" s="187"/>
      <c r="BX178" s="187"/>
      <c r="BY178" s="187"/>
      <c r="BZ178" s="187"/>
      <c r="CA178" s="187"/>
      <c r="CB178" s="187"/>
      <c r="CC178" s="187"/>
      <c r="CD178" s="187"/>
      <c r="CE178" s="187"/>
      <c r="CF178" s="187"/>
      <c r="CG178" s="187"/>
      <c r="CH178" s="187"/>
      <c r="CI178" s="187"/>
      <c r="CJ178" s="187"/>
      <c r="CK178" s="187"/>
      <c r="CL178" s="187"/>
    </row>
    <row r="179">
      <c r="A179" s="154"/>
      <c r="B179" s="154"/>
      <c r="C179" s="339"/>
      <c r="D179" s="207"/>
      <c r="E179" s="207"/>
      <c r="F179" s="209"/>
      <c r="G179" s="342"/>
      <c r="H179" s="342"/>
      <c r="I179" s="342"/>
      <c r="J179" s="343"/>
      <c r="K179" s="207"/>
      <c r="L179" s="208"/>
      <c r="M179" s="345"/>
      <c r="N179" s="154"/>
      <c r="O179" s="207"/>
      <c r="P179" s="207"/>
      <c r="Q179" s="345"/>
      <c r="R179" s="154"/>
      <c r="S179" s="207"/>
      <c r="T179" s="207"/>
      <c r="U179" s="345"/>
      <c r="V179" s="154"/>
      <c r="W179" s="207"/>
      <c r="X179" s="207"/>
      <c r="Y179" s="187"/>
      <c r="Z179" s="187"/>
      <c r="AA179" s="187"/>
      <c r="AB179" s="187"/>
      <c r="AC179" s="187"/>
      <c r="AD179" s="187"/>
      <c r="AE179" s="187"/>
      <c r="AF179" s="187"/>
      <c r="AG179" s="187"/>
      <c r="AH179" s="187"/>
      <c r="AI179" s="187"/>
      <c r="AJ179" s="187"/>
      <c r="AK179" s="187"/>
      <c r="AL179" s="187"/>
      <c r="AM179" s="187"/>
      <c r="AN179" s="187"/>
      <c r="AO179" s="187"/>
      <c r="AP179" s="187"/>
      <c r="AQ179" s="187"/>
      <c r="AR179" s="187"/>
      <c r="AS179" s="187"/>
      <c r="AT179" s="187"/>
      <c r="AU179" s="187"/>
      <c r="AV179" s="187"/>
      <c r="AW179" s="187"/>
      <c r="AX179" s="187"/>
      <c r="AY179" s="187"/>
      <c r="AZ179" s="187"/>
      <c r="BA179" s="187"/>
      <c r="BB179" s="187"/>
      <c r="BC179" s="187"/>
      <c r="BD179" s="187"/>
      <c r="BE179" s="187"/>
      <c r="BF179" s="187"/>
      <c r="BG179" s="187"/>
      <c r="BH179" s="187"/>
      <c r="BI179" s="187"/>
      <c r="BJ179" s="187"/>
      <c r="BK179" s="187"/>
      <c r="BL179" s="187"/>
      <c r="BM179" s="187"/>
      <c r="BN179" s="187"/>
      <c r="BO179" s="187"/>
      <c r="BP179" s="187"/>
      <c r="BQ179" s="187"/>
      <c r="BR179" s="187"/>
      <c r="BS179" s="187"/>
      <c r="BT179" s="187"/>
      <c r="BU179" s="187"/>
      <c r="BV179" s="187"/>
      <c r="BW179" s="187"/>
      <c r="BX179" s="187"/>
      <c r="BY179" s="187"/>
      <c r="BZ179" s="187"/>
      <c r="CA179" s="187"/>
      <c r="CB179" s="187"/>
      <c r="CC179" s="187"/>
      <c r="CD179" s="187"/>
      <c r="CE179" s="187"/>
      <c r="CF179" s="187"/>
      <c r="CG179" s="187"/>
      <c r="CH179" s="187"/>
      <c r="CI179" s="187"/>
      <c r="CJ179" s="187"/>
      <c r="CK179" s="187"/>
      <c r="CL179" s="187"/>
    </row>
    <row r="180">
      <c r="A180" s="154"/>
      <c r="B180" s="154"/>
      <c r="C180" s="339"/>
      <c r="D180" s="207"/>
      <c r="E180" s="207"/>
      <c r="F180" s="207"/>
      <c r="G180" s="342"/>
      <c r="H180" s="342"/>
      <c r="I180" s="342"/>
      <c r="J180" s="343"/>
      <c r="K180" s="207"/>
      <c r="L180" s="208"/>
      <c r="M180" s="345"/>
      <c r="N180" s="154"/>
      <c r="O180" s="207"/>
      <c r="P180" s="207"/>
      <c r="Q180" s="345"/>
      <c r="R180" s="154"/>
      <c r="S180" s="207"/>
      <c r="T180" s="207"/>
      <c r="U180" s="345"/>
      <c r="V180" s="154"/>
      <c r="W180" s="207"/>
      <c r="X180" s="207"/>
      <c r="Y180" s="187"/>
      <c r="Z180" s="187"/>
      <c r="AA180" s="187"/>
      <c r="AB180" s="187"/>
      <c r="AC180" s="187"/>
      <c r="AD180" s="187"/>
      <c r="AE180" s="187"/>
      <c r="AF180" s="187"/>
      <c r="AG180" s="187"/>
      <c r="AH180" s="187"/>
      <c r="AI180" s="187"/>
      <c r="AJ180" s="187"/>
      <c r="AK180" s="187"/>
      <c r="AL180" s="187"/>
      <c r="AM180" s="187"/>
      <c r="AN180" s="187"/>
      <c r="AO180" s="187"/>
      <c r="AP180" s="187"/>
      <c r="AQ180" s="187"/>
      <c r="AR180" s="187"/>
      <c r="AS180" s="187"/>
      <c r="AT180" s="187"/>
      <c r="AU180" s="187"/>
      <c r="AV180" s="187"/>
      <c r="AW180" s="187"/>
      <c r="AX180" s="187"/>
      <c r="AY180" s="187"/>
      <c r="AZ180" s="187"/>
      <c r="BA180" s="187"/>
      <c r="BB180" s="187"/>
      <c r="BC180" s="187"/>
      <c r="BD180" s="187"/>
      <c r="BE180" s="187"/>
      <c r="BF180" s="187"/>
      <c r="BG180" s="187"/>
      <c r="BH180" s="187"/>
      <c r="BI180" s="187"/>
      <c r="BJ180" s="187"/>
      <c r="BK180" s="187"/>
      <c r="BL180" s="187"/>
      <c r="BM180" s="187"/>
      <c r="BN180" s="187"/>
      <c r="BO180" s="187"/>
      <c r="BP180" s="187"/>
      <c r="BQ180" s="187"/>
      <c r="BR180" s="187"/>
      <c r="BS180" s="187"/>
      <c r="BT180" s="187"/>
      <c r="BU180" s="187"/>
      <c r="BV180" s="187"/>
      <c r="BW180" s="187"/>
      <c r="BX180" s="187"/>
      <c r="BY180" s="187"/>
      <c r="BZ180" s="187"/>
      <c r="CA180" s="187"/>
      <c r="CB180" s="187"/>
      <c r="CC180" s="187"/>
      <c r="CD180" s="187"/>
      <c r="CE180" s="187"/>
      <c r="CF180" s="187"/>
      <c r="CG180" s="187"/>
      <c r="CH180" s="187"/>
      <c r="CI180" s="187"/>
      <c r="CJ180" s="187"/>
      <c r="CK180" s="187"/>
      <c r="CL180" s="187"/>
    </row>
    <row r="181">
      <c r="A181" s="154"/>
      <c r="B181" s="154"/>
      <c r="C181" s="339"/>
      <c r="D181" s="207"/>
      <c r="E181" s="207"/>
      <c r="F181" s="207"/>
      <c r="G181" s="346"/>
      <c r="H181" s="346"/>
      <c r="I181" s="346"/>
      <c r="J181" s="344"/>
      <c r="K181" s="344"/>
      <c r="L181" s="347"/>
      <c r="M181" s="346"/>
      <c r="N181" s="344"/>
      <c r="O181" s="344"/>
      <c r="P181" s="348"/>
      <c r="Q181" s="346"/>
      <c r="R181" s="344"/>
      <c r="S181" s="344"/>
      <c r="T181" s="348"/>
      <c r="U181" s="346"/>
      <c r="V181" s="344"/>
      <c r="W181" s="344"/>
      <c r="X181" s="348"/>
      <c r="Y181" s="186"/>
      <c r="Z181" s="186"/>
      <c r="AA181" s="186"/>
      <c r="AB181" s="186"/>
      <c r="AC181" s="186"/>
      <c r="AD181" s="186"/>
      <c r="AE181" s="186"/>
      <c r="AF181" s="186"/>
      <c r="AG181" s="186"/>
      <c r="AH181" s="186"/>
      <c r="AI181" s="186"/>
      <c r="AJ181" s="186"/>
      <c r="AK181" s="186"/>
      <c r="AL181" s="186"/>
      <c r="AM181" s="186"/>
      <c r="AN181" s="186"/>
      <c r="AO181" s="186"/>
      <c r="AP181" s="186"/>
      <c r="AQ181" s="186"/>
      <c r="AR181" s="186"/>
      <c r="AS181" s="186"/>
      <c r="AT181" s="186"/>
      <c r="AU181" s="186"/>
      <c r="AV181" s="186"/>
      <c r="AW181" s="186"/>
      <c r="AX181" s="186"/>
      <c r="AY181" s="186"/>
      <c r="AZ181" s="186"/>
      <c r="BA181" s="186"/>
      <c r="BB181" s="186"/>
      <c r="BC181" s="186"/>
      <c r="BD181" s="186"/>
      <c r="BE181" s="186"/>
      <c r="BF181" s="186"/>
      <c r="BG181" s="186"/>
      <c r="BH181" s="186"/>
      <c r="BI181" s="186"/>
      <c r="BJ181" s="186"/>
      <c r="BK181" s="186"/>
      <c r="BL181" s="186"/>
      <c r="BM181" s="186"/>
      <c r="BN181" s="186"/>
      <c r="BO181" s="186"/>
      <c r="BP181" s="186"/>
      <c r="BQ181" s="186"/>
      <c r="BR181" s="186"/>
      <c r="BS181" s="186"/>
      <c r="BT181" s="186"/>
      <c r="BU181" s="186"/>
      <c r="BV181" s="186"/>
      <c r="BW181" s="186"/>
      <c r="BX181" s="186"/>
      <c r="BY181" s="186"/>
      <c r="BZ181" s="186"/>
      <c r="CA181" s="186"/>
      <c r="CB181" s="186"/>
      <c r="CC181" s="186"/>
      <c r="CD181" s="186"/>
      <c r="CE181" s="186"/>
      <c r="CF181" s="186"/>
      <c r="CG181" s="186"/>
      <c r="CH181" s="186"/>
      <c r="CI181" s="186"/>
      <c r="CJ181" s="186"/>
      <c r="CK181" s="186"/>
      <c r="CL181" s="186"/>
    </row>
  </sheetData>
  <autoFilter ref="$G$1:$L$181"/>
  <mergeCells count="41">
    <mergeCell ref="C7:C8"/>
    <mergeCell ref="D7:D8"/>
    <mergeCell ref="F7:F8"/>
    <mergeCell ref="G7:L7"/>
    <mergeCell ref="M7:P7"/>
    <mergeCell ref="Q7:T7"/>
    <mergeCell ref="U7:X7"/>
    <mergeCell ref="G8:I8"/>
    <mergeCell ref="B2:E2"/>
    <mergeCell ref="A3:B3"/>
    <mergeCell ref="C3:D3"/>
    <mergeCell ref="A4:B4"/>
    <mergeCell ref="C4:D4"/>
    <mergeCell ref="A7:A8"/>
    <mergeCell ref="B7:B8"/>
    <mergeCell ref="E7:E8"/>
    <mergeCell ref="A9:F9"/>
    <mergeCell ref="A10:F10"/>
    <mergeCell ref="A11:F11"/>
    <mergeCell ref="A15:F15"/>
    <mergeCell ref="A19:F19"/>
    <mergeCell ref="A25:F25"/>
    <mergeCell ref="B26:F26"/>
    <mergeCell ref="B35:F35"/>
    <mergeCell ref="B42:F42"/>
    <mergeCell ref="A50:F50"/>
    <mergeCell ref="B51:F51"/>
    <mergeCell ref="B60:F60"/>
    <mergeCell ref="B66:F66"/>
    <mergeCell ref="A148:F148"/>
    <mergeCell ref="A157:F157"/>
    <mergeCell ref="B158:F158"/>
    <mergeCell ref="B161:F161"/>
    <mergeCell ref="B165:F165"/>
    <mergeCell ref="B71:F71"/>
    <mergeCell ref="B76:F76"/>
    <mergeCell ref="B89:F89"/>
    <mergeCell ref="B96:F96"/>
    <mergeCell ref="A119:F119"/>
    <mergeCell ref="A125:F125"/>
    <mergeCell ref="A136:F136"/>
  </mergeCells>
  <conditionalFormatting sqref="H9:I24 M9:M181 Q9:Q181 U9:U181 G11:G24 G35:G42 H35:I48 G50:H68 I50:I51 I60 I66 H81:H88 G96:H181 I96 I119:I181 O120:O124 S120:S124 O137:O156 S137:S156">
    <cfRule type="cellIs" dxfId="0" priority="1" operator="equal">
      <formula>"Block"</formula>
    </cfRule>
  </conditionalFormatting>
  <conditionalFormatting sqref="H9:I24 M9:M181 Q9:Q181 U9:U181 G11:G24 G35:G42 H35:I48 G50:H68 I50:I51 I60 I66 H81:H88 G96:H181 I96 I119:I181 O120:O124 S120:S124 O137:O156 S137:S156">
    <cfRule type="cellIs" dxfId="1" priority="2" operator="equal">
      <formula>"Fail"</formula>
    </cfRule>
  </conditionalFormatting>
  <conditionalFormatting sqref="H9:I24 M9:M181 Q9:Q181 U9:U181 G11:G24 G35:G42 H35:I48 G50:H68 I50:I51 I60 I66 H81:H88 G96:H181 I96 I119:I181 O120:O124 S120:S124 O137:O156 S137:S156">
    <cfRule type="cellIs" dxfId="2" priority="3" operator="equal">
      <formula>"Pass"</formula>
    </cfRule>
  </conditionalFormatting>
  <conditionalFormatting sqref="H9:I24 M9:M181 Q9:Q181 U9:U181 G11:G24 G35:G42 H35:I48 G50:H68 I50:I51 I60 I66 H81:H88 G96:H181 I96 I119:I181 O120:O124 S120:S124 O137:O156 S137:S156">
    <cfRule type="cellIs" dxfId="3" priority="4" operator="equal">
      <formula>"N/A"</formula>
    </cfRule>
  </conditionalFormatting>
  <conditionalFormatting sqref="H9:I25 M9:M176 Q9:Q176 U9:U181 G11:G25 G35:G42 H35:H181 I35:I51 G50:G71 I60 I66 I71 G73:G76 I76 G89:G181 I89 I96 I119:I181 O120:O124 S120:S124">
    <cfRule type="cellIs" dxfId="4" priority="5" operator="equal">
      <formula>"Block"</formula>
    </cfRule>
  </conditionalFormatting>
  <conditionalFormatting sqref="H9:I25 M9:M176 Q9:Q176 U9:U181 G11:G25 G35:G42 H35:H181 I35:I51 G50:G71 I60 I66 I71 G73:G76 I76 G89:G181 I89 I96 I119:I181 O120:O124 S120:S124">
    <cfRule type="cellIs" dxfId="5" priority="6" operator="equal">
      <formula>"Fail"</formula>
    </cfRule>
  </conditionalFormatting>
  <conditionalFormatting sqref="H9:I25 M9:M176 Q9:Q176 U9:U181 G11:G25 G35:G42 H35:H181 I35:I51 G50:G71 I60 I66 I71 G73:G76 I76 G89:G181 I89 I96 I119:I181 O120:O124 S120:S124">
    <cfRule type="cellIs" dxfId="6" priority="7" operator="equal">
      <formula>"Pass"</formula>
    </cfRule>
  </conditionalFormatting>
  <conditionalFormatting sqref="H9:I25 M9:M176 Q9:Q176 U9:U181 G11:G25 G35:G42 H35:H181 I35:I51 G50:G71 I60 I66 I71 G73:G76 I76 G89:G181 I89 I96 I119:I181 O120:O124 S120:S124">
    <cfRule type="cellIs" dxfId="7" priority="8" operator="equal">
      <formula>"N/A"</formula>
    </cfRule>
  </conditionalFormatting>
  <conditionalFormatting sqref="G57:H68 I60 I66 H81:H88 G96:H176 I96 I119:I176">
    <cfRule type="cellIs" dxfId="4" priority="9" operator="equal">
      <formula>"Block"</formula>
    </cfRule>
  </conditionalFormatting>
  <conditionalFormatting sqref="G57:H68 I60 I66 H81:H88 G96:H176 I96 I119:I176">
    <cfRule type="cellIs" dxfId="5" priority="10" operator="equal">
      <formula>"Fail"</formula>
    </cfRule>
  </conditionalFormatting>
  <conditionalFormatting sqref="G57:H68 I60 I66 H81:H88 G96:H176 I96 I119:I176">
    <cfRule type="cellIs" dxfId="6" priority="11" operator="equal">
      <formula>"Pass"</formula>
    </cfRule>
  </conditionalFormatting>
  <conditionalFormatting sqref="G57:H68 I60 I66 H81:H88 G96:H176 I96 I119:I176">
    <cfRule type="cellIs" dxfId="7" priority="12" operator="equal">
      <formula>"N/A"</formula>
    </cfRule>
  </conditionalFormatting>
  <conditionalFormatting sqref="H9:I25 M9:M176 Q9:Q176 U9:U181 G11:G25 G35:G42 H35:H181 I35:I51 G50:G71 I60 I66 I71 G73:G76 I76 G89:G181 I89 I96 I119:I181">
    <cfRule type="cellIs" dxfId="0" priority="13" operator="equal">
      <formula>"Block"</formula>
    </cfRule>
  </conditionalFormatting>
  <conditionalFormatting sqref="H9:I25 M9:M176 Q9:Q176 U9:U181 G11:G25 G35:G42 H35:H181 I35:I51 G50:G71 I60 I66 I71 G73:G76 I76 G89:G181 I89 I96 I119:I181">
    <cfRule type="cellIs" dxfId="1" priority="14" operator="equal">
      <formula>"Fail"</formula>
    </cfRule>
  </conditionalFormatting>
  <conditionalFormatting sqref="H9:I25 M9:M176 Q9:Q176 U9:U181 G11:G25 G35:G42 H35:H181 I35:I51 G50:G71 I60 I66 I71 G73:G76 I76 G89:G181 I89 I96 I119:I181">
    <cfRule type="cellIs" dxfId="2" priority="15" operator="equal">
      <formula>"Pass"</formula>
    </cfRule>
  </conditionalFormatting>
  <conditionalFormatting sqref="H9:I25 M9:M176 Q9:Q176 U9:U181 G11:G25 G35:G42 H35:H181 I35:I51 G50:G71 I60 I66 I71 G73:G76 I76 G89:G181 I89 I96 I119:I181">
    <cfRule type="cellIs" dxfId="3" priority="16" operator="equal">
      <formula>"N/A"</formula>
    </cfRule>
  </conditionalFormatting>
  <dataValidations>
    <dataValidation type="list" allowBlank="1" showErrorMessage="1" sqref="G12:I25 G35:I42 H43:I49 G50:I51 G52:H59 G60:I60 G61:H65 G66:I66 G67:H70 G71:I71 H72 G73:H75 G76:I76 H77:H88 G89:I89 G90:H95 G96:I96 G97:H118 M9:M119 Q9:Q119 U9:U119 G119:I124 O120:O124 S120:S124 G125:J125 M125:N125 Q125:R125 U125:V125 G126:I135 M126:M135 Q126:Q135 U126:U135 G136:J136 M136:N136 Q136:R136 U136:V136 M137:M147 O137:O156 S137:S156 G137:I181 M149:M181 Q157:Q181 U157:U181">
      <formula1>"Pass,Fail,Block,N/A"</formula1>
    </dataValidation>
    <dataValidation type="list" allowBlank="1" showErrorMessage="1" sqref="B12:B14 B16:B18 B20:B24 B27:B34 B36:B41 B43:B49 B52:B59 B61:B65 B67:B70 B72:B75 B77:B88 B90:B95 B97:B118 B120:B124 B126:B135 B137:B147 B149:B156 B159:B160 B162:B164 B166:B181">
      <formula1>"High,Medium,Low"</formula1>
    </dataValidation>
  </dataValidations>
  <hyperlinks>
    <hyperlink r:id="rId1" ref="F12"/>
    <hyperlink r:id="rId2" ref="F13"/>
    <hyperlink r:id="rId3" ref="C14"/>
    <hyperlink r:id="rId4" ref="F14"/>
    <hyperlink r:id="rId5" ref="K70"/>
    <hyperlink r:id="rId6" ref="K153"/>
    <hyperlink r:id="rId7" ref="K156"/>
  </hyperlinks>
  <printOptions/>
  <pageMargins bottom="0.75" footer="0.0" header="0.0" left="0.7" right="0.7" top="0.75"/>
  <pageSetup orientation="landscape"/>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outlineLevel="1">
      <c r="A1" s="349"/>
      <c r="B1" s="173"/>
      <c r="C1" s="174"/>
      <c r="D1" s="175"/>
      <c r="E1" s="176"/>
      <c r="F1" s="177"/>
      <c r="G1" s="350"/>
      <c r="H1" s="351"/>
      <c r="I1" s="178"/>
      <c r="J1" s="179"/>
      <c r="K1" s="352"/>
      <c r="L1" s="351"/>
      <c r="M1" s="351"/>
      <c r="N1" s="353"/>
      <c r="O1" s="352"/>
      <c r="P1" s="351"/>
      <c r="Q1" s="351"/>
      <c r="R1" s="353"/>
      <c r="S1" s="352"/>
      <c r="T1" s="351"/>
      <c r="U1" s="351"/>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3"/>
      <c r="CH1" s="353"/>
      <c r="CI1" s="353"/>
      <c r="CJ1" s="353"/>
      <c r="CK1" s="353"/>
      <c r="CL1" s="353"/>
    </row>
    <row r="2" outlineLevel="1">
      <c r="A2" s="180"/>
      <c r="B2" s="354"/>
      <c r="C2" s="182"/>
      <c r="D2" s="182"/>
      <c r="E2" s="182"/>
      <c r="F2" s="183"/>
      <c r="G2" s="350"/>
      <c r="H2" s="351"/>
      <c r="I2" s="178"/>
      <c r="J2" s="179"/>
      <c r="K2" s="352"/>
      <c r="L2" s="351"/>
      <c r="M2" s="351"/>
      <c r="N2" s="353"/>
      <c r="O2" s="352"/>
      <c r="P2" s="351"/>
      <c r="Q2" s="351"/>
      <c r="R2" s="353"/>
      <c r="S2" s="352"/>
      <c r="T2" s="351"/>
      <c r="U2" s="351"/>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353"/>
      <c r="AU2" s="353"/>
      <c r="AV2" s="353"/>
      <c r="AW2" s="353"/>
      <c r="AX2" s="353"/>
      <c r="AY2" s="353"/>
      <c r="AZ2" s="353"/>
      <c r="BA2" s="353"/>
      <c r="BB2" s="353"/>
      <c r="BC2" s="353"/>
      <c r="BD2" s="353"/>
      <c r="BE2" s="353"/>
      <c r="BF2" s="353"/>
      <c r="BG2" s="353"/>
      <c r="BH2" s="353"/>
      <c r="BI2" s="353"/>
      <c r="BJ2" s="353"/>
      <c r="BK2" s="353"/>
      <c r="BL2" s="353"/>
      <c r="BM2" s="353"/>
      <c r="BN2" s="353"/>
      <c r="BO2" s="353"/>
      <c r="BP2" s="353"/>
      <c r="BQ2" s="353"/>
      <c r="BR2" s="353"/>
      <c r="BS2" s="353"/>
      <c r="BT2" s="353"/>
      <c r="BU2" s="353"/>
      <c r="BV2" s="353"/>
      <c r="BW2" s="353"/>
      <c r="BX2" s="353"/>
      <c r="BY2" s="353"/>
      <c r="BZ2" s="353"/>
      <c r="CA2" s="353"/>
      <c r="CB2" s="353"/>
      <c r="CC2" s="353"/>
      <c r="CD2" s="353"/>
      <c r="CE2" s="353"/>
      <c r="CF2" s="353"/>
      <c r="CG2" s="353"/>
      <c r="CH2" s="353"/>
      <c r="CI2" s="353"/>
      <c r="CJ2" s="353"/>
      <c r="CK2" s="353"/>
      <c r="CL2" s="353"/>
    </row>
    <row r="3" outlineLevel="1">
      <c r="A3" s="355" t="s">
        <v>114</v>
      </c>
      <c r="B3" s="118"/>
      <c r="C3" s="188" t="s">
        <v>107</v>
      </c>
      <c r="D3" s="118"/>
      <c r="E3" s="186"/>
      <c r="F3" s="187"/>
      <c r="G3" s="350"/>
      <c r="H3" s="351"/>
      <c r="I3" s="178"/>
      <c r="J3" s="186"/>
      <c r="K3" s="352"/>
      <c r="L3" s="351"/>
      <c r="M3" s="351"/>
      <c r="N3" s="356"/>
      <c r="O3" s="352"/>
      <c r="P3" s="351"/>
      <c r="Q3" s="351"/>
      <c r="R3" s="356"/>
      <c r="S3" s="352"/>
      <c r="T3" s="351"/>
      <c r="U3" s="351"/>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row>
    <row r="4" outlineLevel="1">
      <c r="A4" s="355" t="s">
        <v>115</v>
      </c>
      <c r="B4" s="118"/>
      <c r="C4" s="188" t="s">
        <v>24</v>
      </c>
      <c r="D4" s="118"/>
      <c r="E4" s="186"/>
      <c r="F4" s="187"/>
      <c r="G4" s="350"/>
      <c r="H4" s="351"/>
      <c r="I4" s="178"/>
      <c r="J4" s="186"/>
      <c r="K4" s="352"/>
      <c r="L4" s="351"/>
      <c r="M4" s="351"/>
      <c r="N4" s="356"/>
      <c r="O4" s="352"/>
      <c r="P4" s="351"/>
      <c r="Q4" s="351"/>
      <c r="R4" s="356"/>
      <c r="S4" s="352"/>
      <c r="T4" s="351"/>
      <c r="U4" s="351"/>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6"/>
      <c r="BM4" s="356"/>
      <c r="BN4" s="356"/>
      <c r="BO4" s="356"/>
      <c r="BP4" s="356"/>
      <c r="BQ4" s="356"/>
      <c r="BR4" s="356"/>
      <c r="BS4" s="356"/>
      <c r="BT4" s="356"/>
      <c r="BU4" s="356"/>
      <c r="BV4" s="356"/>
      <c r="BW4" s="356"/>
      <c r="BX4" s="356"/>
      <c r="BY4" s="356"/>
      <c r="BZ4" s="356"/>
      <c r="CA4" s="356"/>
      <c r="CB4" s="356"/>
      <c r="CC4" s="356"/>
      <c r="CD4" s="356"/>
      <c r="CE4" s="356"/>
      <c r="CF4" s="356"/>
      <c r="CG4" s="356"/>
      <c r="CH4" s="356"/>
      <c r="CI4" s="356"/>
      <c r="CJ4" s="356"/>
      <c r="CK4" s="356"/>
      <c r="CL4" s="356"/>
    </row>
    <row r="5" outlineLevel="1">
      <c r="A5" s="190"/>
      <c r="B5" s="190"/>
      <c r="C5" s="190"/>
      <c r="D5" s="190"/>
      <c r="E5" s="191"/>
      <c r="F5" s="192"/>
      <c r="G5" s="350"/>
      <c r="H5" s="351"/>
      <c r="I5" s="178"/>
      <c r="J5" s="179"/>
      <c r="K5" s="352"/>
      <c r="L5" s="351"/>
      <c r="M5" s="351"/>
      <c r="N5" s="353"/>
      <c r="O5" s="352"/>
      <c r="P5" s="351"/>
      <c r="Q5" s="351"/>
      <c r="R5" s="353"/>
      <c r="S5" s="352"/>
      <c r="T5" s="351"/>
      <c r="U5" s="351"/>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c r="BI5" s="353"/>
      <c r="BJ5" s="353"/>
      <c r="BK5" s="353"/>
      <c r="BL5" s="353"/>
      <c r="BM5" s="353"/>
      <c r="BN5" s="353"/>
      <c r="BO5" s="353"/>
      <c r="BP5" s="353"/>
      <c r="BQ5" s="353"/>
      <c r="BR5" s="353"/>
      <c r="BS5" s="353"/>
      <c r="BT5" s="353"/>
      <c r="BU5" s="353"/>
      <c r="BV5" s="353"/>
      <c r="BW5" s="353"/>
      <c r="BX5" s="353"/>
      <c r="BY5" s="353"/>
      <c r="BZ5" s="353"/>
      <c r="CA5" s="353"/>
      <c r="CB5" s="353"/>
      <c r="CC5" s="353"/>
      <c r="CD5" s="353"/>
      <c r="CE5" s="353"/>
      <c r="CF5" s="353"/>
      <c r="CG5" s="353"/>
      <c r="CH5" s="353"/>
      <c r="CI5" s="353"/>
      <c r="CJ5" s="353"/>
      <c r="CK5" s="353"/>
      <c r="CL5" s="353"/>
    </row>
    <row r="6" outlineLevel="1">
      <c r="A6" s="194"/>
      <c r="B6" s="194"/>
      <c r="C6" s="194"/>
      <c r="D6" s="194"/>
      <c r="E6" s="195"/>
      <c r="F6" s="192"/>
      <c r="G6" s="350"/>
      <c r="H6" s="351"/>
      <c r="I6" s="178"/>
      <c r="J6" s="179"/>
      <c r="K6" s="352"/>
      <c r="L6" s="351"/>
      <c r="M6" s="351"/>
      <c r="N6" s="353"/>
      <c r="O6" s="352"/>
      <c r="P6" s="351"/>
      <c r="Q6" s="351"/>
      <c r="R6" s="353"/>
      <c r="S6" s="352"/>
      <c r="T6" s="351"/>
      <c r="U6" s="351"/>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row>
    <row r="7">
      <c r="A7" s="142" t="s">
        <v>116</v>
      </c>
      <c r="B7" s="142" t="s">
        <v>117</v>
      </c>
      <c r="C7" s="142" t="s">
        <v>118</v>
      </c>
      <c r="D7" s="142" t="s">
        <v>119</v>
      </c>
      <c r="E7" s="142" t="s">
        <v>120</v>
      </c>
      <c r="F7" s="197" t="s">
        <v>121</v>
      </c>
      <c r="G7" s="198" t="str">
        <f>Summary!G8</f>
        <v>Round 1 (09/04/2026 - 15/04/2026)</v>
      </c>
      <c r="H7" s="199"/>
      <c r="I7" s="199"/>
      <c r="J7" s="200"/>
      <c r="K7" s="198" t="str">
        <f>Summary!L8</f>
        <v>Round 2 (dd/mm/yyyy - dd/mm/yyyy)</v>
      </c>
      <c r="L7" s="199"/>
      <c r="M7" s="199"/>
      <c r="N7" s="200"/>
      <c r="O7" s="201" t="str">
        <f>Summary!Q8</f>
        <v>Round 3(dd/mm/yyyy - dd/mm/yyyy)</v>
      </c>
      <c r="P7" s="144"/>
      <c r="Q7" s="144"/>
      <c r="R7" s="167"/>
      <c r="S7" s="201" t="str">
        <f>Summary!V8</f>
        <v>Round 4 (dd/mm/yyyy - dd/mm/yyyy)</v>
      </c>
      <c r="T7" s="144"/>
      <c r="U7" s="144"/>
      <c r="V7" s="167"/>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row>
    <row r="8">
      <c r="A8" s="56"/>
      <c r="B8" s="56"/>
      <c r="C8" s="56"/>
      <c r="D8" s="56"/>
      <c r="E8" s="56"/>
      <c r="F8" s="56"/>
      <c r="G8" s="203" t="s">
        <v>122</v>
      </c>
      <c r="H8" s="203" t="s">
        <v>123</v>
      </c>
      <c r="I8" s="203" t="s">
        <v>124</v>
      </c>
      <c r="J8" s="203" t="s">
        <v>125</v>
      </c>
      <c r="K8" s="203" t="s">
        <v>122</v>
      </c>
      <c r="L8" s="203" t="s">
        <v>123</v>
      </c>
      <c r="M8" s="203" t="s">
        <v>124</v>
      </c>
      <c r="N8" s="203" t="s">
        <v>125</v>
      </c>
      <c r="O8" s="203" t="s">
        <v>122</v>
      </c>
      <c r="P8" s="203" t="s">
        <v>123</v>
      </c>
      <c r="Q8" s="203" t="s">
        <v>124</v>
      </c>
      <c r="R8" s="203" t="s">
        <v>125</v>
      </c>
      <c r="S8" s="203" t="s">
        <v>122</v>
      </c>
      <c r="T8" s="203" t="s">
        <v>123</v>
      </c>
      <c r="U8" s="203" t="s">
        <v>124</v>
      </c>
      <c r="V8" s="203" t="s">
        <v>125</v>
      </c>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row>
    <row r="9">
      <c r="A9" s="357" t="s">
        <v>595</v>
      </c>
      <c r="B9" s="144"/>
      <c r="C9" s="144"/>
      <c r="D9" s="144"/>
      <c r="E9" s="144"/>
      <c r="F9" s="167"/>
      <c r="G9" s="358"/>
      <c r="H9" s="359"/>
      <c r="I9" s="359"/>
      <c r="J9" s="359"/>
      <c r="K9" s="359"/>
      <c r="L9" s="359"/>
      <c r="M9" s="359"/>
      <c r="N9" s="359"/>
      <c r="O9" s="359"/>
      <c r="P9" s="359"/>
      <c r="Q9" s="359"/>
      <c r="R9" s="359"/>
      <c r="S9" s="358"/>
      <c r="T9" s="359"/>
      <c r="U9" s="359"/>
      <c r="V9" s="359"/>
      <c r="W9" s="360"/>
      <c r="X9" s="360"/>
      <c r="Y9" s="360"/>
      <c r="Z9" s="360"/>
      <c r="AA9" s="360"/>
      <c r="AB9" s="360"/>
      <c r="AC9" s="360"/>
      <c r="AD9" s="360"/>
      <c r="AE9" s="360"/>
      <c r="AF9" s="360"/>
      <c r="AG9" s="360"/>
      <c r="AH9" s="360"/>
      <c r="AI9" s="360"/>
      <c r="AJ9" s="360"/>
      <c r="AK9" s="360"/>
      <c r="AL9" s="360"/>
      <c r="AM9" s="360"/>
      <c r="AN9" s="360"/>
      <c r="AO9" s="360"/>
      <c r="AP9" s="360"/>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6"/>
      <c r="BQ9" s="246"/>
      <c r="BR9" s="246"/>
      <c r="BS9" s="246"/>
      <c r="BT9" s="246"/>
      <c r="BU9" s="246"/>
      <c r="BV9" s="246"/>
      <c r="BW9" s="246"/>
      <c r="BX9" s="246"/>
      <c r="BY9" s="246"/>
      <c r="BZ9" s="246"/>
      <c r="CA9" s="246"/>
      <c r="CB9" s="246"/>
      <c r="CC9" s="246"/>
      <c r="CD9" s="246"/>
      <c r="CE9" s="246"/>
      <c r="CF9" s="246"/>
      <c r="CG9" s="246"/>
      <c r="CH9" s="246"/>
      <c r="CI9" s="246"/>
      <c r="CJ9" s="246"/>
      <c r="CK9" s="246"/>
      <c r="CL9" s="246"/>
    </row>
    <row r="10" outlineLevel="1">
      <c r="A10" s="213" t="str">
        <f t="shared" ref="A10:A12" si="1">IF(E10="","",$C$3&amp;"."&amp;COUNTA($E$9:E10)&amp;"")</f>
        <v>TC_02.1</v>
      </c>
      <c r="B10" s="214" t="s">
        <v>65</v>
      </c>
      <c r="C10" s="215" t="s">
        <v>596</v>
      </c>
      <c r="D10" s="361"/>
      <c r="E10" s="217" t="s">
        <v>597</v>
      </c>
      <c r="F10" s="217" t="s">
        <v>598</v>
      </c>
      <c r="G10" s="43" t="s">
        <v>56</v>
      </c>
      <c r="H10" s="211" t="s">
        <v>135</v>
      </c>
      <c r="I10" s="213"/>
      <c r="J10" s="221"/>
      <c r="K10" s="220"/>
      <c r="L10" s="213"/>
      <c r="M10" s="213"/>
      <c r="N10" s="221"/>
      <c r="O10" s="220"/>
      <c r="P10" s="213"/>
      <c r="Q10" s="213"/>
      <c r="R10" s="221"/>
      <c r="S10" s="43"/>
      <c r="T10" s="213"/>
      <c r="U10" s="213"/>
      <c r="V10" s="221"/>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row>
    <row r="11" outlineLevel="1">
      <c r="A11" s="213" t="str">
        <f t="shared" si="1"/>
        <v>TC_02.2</v>
      </c>
      <c r="B11" s="214" t="s">
        <v>65</v>
      </c>
      <c r="C11" s="226" t="s">
        <v>599</v>
      </c>
      <c r="D11" s="361"/>
      <c r="E11" s="362" t="s">
        <v>600</v>
      </c>
      <c r="F11" s="238" t="s">
        <v>601</v>
      </c>
      <c r="G11" s="43" t="s">
        <v>56</v>
      </c>
      <c r="H11" s="211" t="s">
        <v>135</v>
      </c>
      <c r="I11" s="213"/>
      <c r="J11" s="221"/>
      <c r="K11" s="220"/>
      <c r="L11" s="213"/>
      <c r="M11" s="213"/>
      <c r="N11" s="221"/>
      <c r="O11" s="220"/>
      <c r="P11" s="213"/>
      <c r="Q11" s="213"/>
      <c r="R11" s="221"/>
      <c r="S11" s="43"/>
      <c r="T11" s="213"/>
      <c r="U11" s="213"/>
      <c r="V11" s="221"/>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row>
    <row r="12" outlineLevel="1">
      <c r="A12" s="213" t="str">
        <f t="shared" si="1"/>
        <v>TC_02.3</v>
      </c>
      <c r="B12" s="211" t="s">
        <v>67</v>
      </c>
      <c r="C12" s="215" t="s">
        <v>602</v>
      </c>
      <c r="D12" s="358"/>
      <c r="E12" s="362" t="s">
        <v>603</v>
      </c>
      <c r="F12" s="217" t="s">
        <v>604</v>
      </c>
      <c r="G12" s="43" t="s">
        <v>56</v>
      </c>
      <c r="H12" s="211" t="s">
        <v>135</v>
      </c>
      <c r="I12" s="213"/>
      <c r="J12" s="221"/>
      <c r="K12" s="220"/>
      <c r="L12" s="213"/>
      <c r="M12" s="213"/>
      <c r="N12" s="221"/>
      <c r="O12" s="220"/>
      <c r="P12" s="213"/>
      <c r="Q12" s="213"/>
      <c r="R12" s="221"/>
      <c r="S12" s="43"/>
      <c r="T12" s="213"/>
      <c r="U12" s="213"/>
      <c r="V12" s="221"/>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row>
    <row r="13">
      <c r="A13" s="363" t="s">
        <v>605</v>
      </c>
      <c r="B13" s="144"/>
      <c r="C13" s="144"/>
      <c r="D13" s="144"/>
      <c r="E13" s="144"/>
      <c r="F13" s="167"/>
      <c r="G13" s="43"/>
      <c r="H13" s="244"/>
      <c r="I13" s="244"/>
      <c r="J13" s="245"/>
      <c r="K13" s="220"/>
      <c r="L13" s="244"/>
      <c r="M13" s="244"/>
      <c r="N13" s="245"/>
      <c r="O13" s="220"/>
      <c r="P13" s="244"/>
      <c r="Q13" s="244"/>
      <c r="R13" s="245"/>
      <c r="S13" s="43"/>
      <c r="T13" s="244"/>
      <c r="U13" s="244"/>
      <c r="V13" s="245"/>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6"/>
      <c r="CE13" s="246"/>
      <c r="CF13" s="246"/>
      <c r="CG13" s="246"/>
      <c r="CH13" s="246"/>
      <c r="CI13" s="246"/>
      <c r="CJ13" s="246"/>
      <c r="CK13" s="246"/>
      <c r="CL13" s="246"/>
    </row>
    <row r="14">
      <c r="A14" s="244" t="str">
        <f>IF(C14="","",$C$3&amp;"."&amp;COUNTA($C$9:C14)&amp;"")</f>
        <v/>
      </c>
      <c r="B14" s="364" t="s">
        <v>606</v>
      </c>
      <c r="C14" s="144"/>
      <c r="D14" s="144"/>
      <c r="E14" s="144"/>
      <c r="F14" s="167"/>
      <c r="G14" s="43"/>
      <c r="H14" s="244"/>
      <c r="I14" s="244"/>
      <c r="J14" s="245"/>
      <c r="K14" s="220"/>
      <c r="L14" s="244"/>
      <c r="M14" s="244"/>
      <c r="N14" s="245"/>
      <c r="O14" s="220"/>
      <c r="P14" s="244"/>
      <c r="Q14" s="244"/>
      <c r="R14" s="245"/>
      <c r="S14" s="43"/>
      <c r="T14" s="244"/>
      <c r="U14" s="244"/>
      <c r="V14" s="245"/>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6"/>
      <c r="CE14" s="246"/>
      <c r="CF14" s="246"/>
      <c r="CG14" s="246"/>
      <c r="CH14" s="246"/>
      <c r="CI14" s="246"/>
      <c r="CJ14" s="246"/>
      <c r="CK14" s="246"/>
      <c r="CL14" s="246"/>
    </row>
    <row r="15" outlineLevel="1">
      <c r="A15" s="213" t="str">
        <f>IF(E15="","",$C$3&amp;"."&amp;COUNTA($E$9:E15)&amp;"")</f>
        <v>TC_02.4</v>
      </c>
      <c r="B15" s="211" t="s">
        <v>67</v>
      </c>
      <c r="C15" s="227" t="s">
        <v>607</v>
      </c>
      <c r="D15" s="227" t="s">
        <v>158</v>
      </c>
      <c r="E15" s="217" t="s">
        <v>608</v>
      </c>
      <c r="F15" s="365" t="s">
        <v>609</v>
      </c>
      <c r="G15" s="43" t="s">
        <v>56</v>
      </c>
      <c r="H15" s="247" t="s">
        <v>135</v>
      </c>
      <c r="I15" s="244"/>
      <c r="J15" s="245"/>
      <c r="K15" s="220"/>
      <c r="L15" s="244"/>
      <c r="M15" s="244"/>
      <c r="N15" s="245"/>
      <c r="O15" s="220"/>
      <c r="P15" s="244"/>
      <c r="Q15" s="244"/>
      <c r="R15" s="245"/>
      <c r="S15" s="43"/>
      <c r="T15" s="244"/>
      <c r="U15" s="244"/>
      <c r="V15" s="245"/>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6"/>
      <c r="BQ15" s="246"/>
      <c r="BR15" s="246"/>
      <c r="BS15" s="246"/>
      <c r="BT15" s="246"/>
      <c r="BU15" s="246"/>
      <c r="BV15" s="246"/>
      <c r="BW15" s="246"/>
      <c r="BX15" s="246"/>
      <c r="BY15" s="246"/>
      <c r="BZ15" s="246"/>
      <c r="CA15" s="246"/>
      <c r="CB15" s="246"/>
      <c r="CC15" s="246"/>
      <c r="CD15" s="246"/>
      <c r="CE15" s="246"/>
      <c r="CF15" s="246"/>
      <c r="CG15" s="246"/>
      <c r="CH15" s="246"/>
      <c r="CI15" s="246"/>
      <c r="CJ15" s="246"/>
      <c r="CK15" s="246"/>
      <c r="CL15" s="246"/>
    </row>
    <row r="16">
      <c r="A16" s="244" t="str">
        <f>IF(C16="","",$C$3&amp;"."&amp;COUNTA($C$9:C16)&amp;"")</f>
        <v/>
      </c>
      <c r="B16" s="364" t="s">
        <v>610</v>
      </c>
      <c r="C16" s="144"/>
      <c r="D16" s="144"/>
      <c r="E16" s="144"/>
      <c r="F16" s="167"/>
      <c r="G16" s="43"/>
      <c r="H16" s="244"/>
      <c r="I16" s="244"/>
      <c r="J16" s="245"/>
      <c r="K16" s="220"/>
      <c r="L16" s="244"/>
      <c r="M16" s="244"/>
      <c r="N16" s="245"/>
      <c r="O16" s="220"/>
      <c r="P16" s="244"/>
      <c r="Q16" s="244"/>
      <c r="R16" s="245"/>
      <c r="S16" s="43"/>
      <c r="T16" s="244"/>
      <c r="U16" s="244"/>
      <c r="V16" s="245"/>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6"/>
      <c r="CB16" s="246"/>
      <c r="CC16" s="246"/>
      <c r="CD16" s="246"/>
      <c r="CE16" s="246"/>
      <c r="CF16" s="246"/>
      <c r="CG16" s="246"/>
      <c r="CH16" s="246"/>
      <c r="CI16" s="246"/>
      <c r="CJ16" s="246"/>
      <c r="CK16" s="246"/>
      <c r="CL16" s="246"/>
    </row>
    <row r="17" outlineLevel="1">
      <c r="A17" s="244" t="str">
        <f t="shared" ref="A17:A19" si="2">IF(E17="","",$C$3&amp;"."&amp;COUNTA($E$9:E17)&amp;"")</f>
        <v>TC_02.5</v>
      </c>
      <c r="B17" s="233" t="s">
        <v>67</v>
      </c>
      <c r="C17" s="366" t="s">
        <v>611</v>
      </c>
      <c r="D17" s="367"/>
      <c r="E17" s="368" t="s">
        <v>612</v>
      </c>
      <c r="F17" s="368" t="s">
        <v>613</v>
      </c>
      <c r="G17" s="44" t="s">
        <v>56</v>
      </c>
      <c r="H17" s="44" t="s">
        <v>135</v>
      </c>
      <c r="I17" s="221"/>
      <c r="J17" s="249"/>
      <c r="K17" s="43"/>
      <c r="L17" s="247"/>
      <c r="M17" s="248"/>
      <c r="N17" s="249"/>
      <c r="O17" s="250"/>
      <c r="P17" s="247"/>
      <c r="Q17" s="248"/>
      <c r="R17" s="249"/>
      <c r="S17" s="250"/>
      <c r="T17" s="247"/>
      <c r="U17" s="248"/>
      <c r="V17" s="249"/>
      <c r="W17" s="250"/>
      <c r="X17" s="247"/>
      <c r="Y17" s="248"/>
      <c r="Z17" s="249"/>
      <c r="AA17" s="250"/>
      <c r="AB17" s="247"/>
      <c r="AC17" s="248"/>
      <c r="AD17" s="249"/>
      <c r="AE17" s="43"/>
      <c r="AF17" s="247"/>
      <c r="AG17" s="369"/>
      <c r="AH17" s="255"/>
      <c r="AI17" s="43"/>
      <c r="AJ17" s="247"/>
      <c r="AK17" s="244"/>
      <c r="AL17" s="255"/>
      <c r="AM17" s="43"/>
      <c r="AN17" s="247"/>
      <c r="AO17" s="244"/>
      <c r="AP17" s="255"/>
      <c r="AQ17" s="370"/>
      <c r="AR17" s="248"/>
      <c r="AS17" s="248"/>
      <c r="AT17" s="249"/>
      <c r="AU17" s="370"/>
      <c r="AV17" s="248"/>
      <c r="AW17" s="248"/>
      <c r="AX17" s="249"/>
      <c r="AY17" s="370"/>
      <c r="AZ17" s="248"/>
      <c r="BA17" s="248"/>
      <c r="BB17" s="371"/>
      <c r="BC17" s="372"/>
      <c r="BD17" s="372"/>
      <c r="BE17" s="372"/>
      <c r="BF17" s="372"/>
      <c r="BG17" s="372"/>
      <c r="BH17" s="372"/>
      <c r="BI17" s="372"/>
      <c r="BJ17" s="372"/>
      <c r="BK17" s="372"/>
      <c r="BL17" s="372"/>
      <c r="BM17" s="372"/>
      <c r="BN17" s="372"/>
      <c r="BO17" s="372"/>
      <c r="BP17" s="372"/>
      <c r="BQ17" s="372"/>
      <c r="BR17" s="372"/>
      <c r="BS17" s="372"/>
      <c r="BT17" s="372"/>
      <c r="BU17" s="372"/>
      <c r="BV17" s="372"/>
      <c r="BW17" s="372"/>
      <c r="BX17" s="372"/>
      <c r="BY17" s="372"/>
      <c r="BZ17" s="372"/>
      <c r="CA17" s="372"/>
      <c r="CB17" s="372"/>
      <c r="CC17" s="372"/>
      <c r="CD17" s="372"/>
      <c r="CE17" s="372"/>
      <c r="CF17" s="372"/>
      <c r="CG17" s="372"/>
      <c r="CH17" s="372"/>
      <c r="CI17" s="372"/>
      <c r="CJ17" s="372"/>
      <c r="CK17" s="372"/>
      <c r="CL17" s="372"/>
    </row>
    <row r="18" outlineLevel="1">
      <c r="A18" s="244" t="str">
        <f t="shared" si="2"/>
        <v>TC_02.6</v>
      </c>
      <c r="B18" s="211" t="s">
        <v>65</v>
      </c>
      <c r="C18" s="366" t="s">
        <v>614</v>
      </c>
      <c r="D18" s="266" t="s">
        <v>615</v>
      </c>
      <c r="E18" s="368" t="s">
        <v>616</v>
      </c>
      <c r="F18" s="368" t="s">
        <v>617</v>
      </c>
      <c r="G18" s="44" t="s">
        <v>56</v>
      </c>
      <c r="H18" s="44" t="s">
        <v>135</v>
      </c>
      <c r="I18" s="221"/>
      <c r="J18" s="245"/>
      <c r="K18" s="43"/>
      <c r="L18" s="247"/>
      <c r="M18" s="247"/>
      <c r="N18" s="245"/>
      <c r="O18" s="43"/>
      <c r="P18" s="247"/>
      <c r="Q18" s="247"/>
      <c r="R18" s="245"/>
      <c r="S18" s="43"/>
      <c r="T18" s="247"/>
      <c r="U18" s="247"/>
      <c r="V18" s="255"/>
      <c r="W18" s="43"/>
      <c r="X18" s="247"/>
      <c r="Y18" s="373"/>
      <c r="Z18" s="255"/>
      <c r="AA18" s="43"/>
      <c r="AB18" s="247"/>
      <c r="AC18" s="373"/>
      <c r="AD18" s="255"/>
      <c r="AE18" s="43"/>
      <c r="AF18" s="247"/>
      <c r="AG18" s="369"/>
      <c r="AH18" s="255"/>
      <c r="AI18" s="43"/>
      <c r="AJ18" s="247"/>
      <c r="AK18" s="244"/>
      <c r="AL18" s="255"/>
      <c r="AM18" s="43"/>
      <c r="AN18" s="247"/>
      <c r="AO18" s="244"/>
      <c r="AP18" s="255"/>
      <c r="AQ18" s="220"/>
      <c r="AR18" s="244"/>
      <c r="AS18" s="244"/>
      <c r="AT18" s="245"/>
      <c r="AU18" s="220"/>
      <c r="AV18" s="244"/>
      <c r="AW18" s="244"/>
      <c r="AX18" s="245"/>
      <c r="AY18" s="220"/>
      <c r="AZ18" s="244"/>
      <c r="BA18" s="244"/>
      <c r="BB18" s="374"/>
      <c r="BC18" s="260"/>
      <c r="BD18" s="260"/>
      <c r="BE18" s="260"/>
      <c r="BF18" s="260"/>
      <c r="BG18" s="260"/>
      <c r="BH18" s="260"/>
      <c r="BI18" s="260"/>
      <c r="BJ18" s="260"/>
      <c r="BK18" s="260"/>
      <c r="BL18" s="260"/>
      <c r="BM18" s="260"/>
      <c r="BN18" s="260"/>
      <c r="BO18" s="260"/>
      <c r="BP18" s="260"/>
      <c r="BQ18" s="260"/>
      <c r="BR18" s="260"/>
      <c r="BS18" s="260"/>
      <c r="BT18" s="260"/>
      <c r="BU18" s="260"/>
      <c r="BV18" s="260"/>
      <c r="BW18" s="260"/>
      <c r="BX18" s="260"/>
      <c r="BY18" s="260"/>
      <c r="BZ18" s="260"/>
      <c r="CA18" s="260"/>
      <c r="CB18" s="260"/>
      <c r="CC18" s="260"/>
      <c r="CD18" s="260"/>
      <c r="CE18" s="260"/>
      <c r="CF18" s="260"/>
      <c r="CG18" s="260"/>
      <c r="CH18" s="260"/>
      <c r="CI18" s="260"/>
      <c r="CJ18" s="260"/>
      <c r="CK18" s="260"/>
      <c r="CL18" s="260"/>
    </row>
    <row r="19" outlineLevel="1">
      <c r="A19" s="244" t="str">
        <f t="shared" si="2"/>
        <v>TC_02.7</v>
      </c>
      <c r="B19" s="211" t="s">
        <v>65</v>
      </c>
      <c r="C19" s="366" t="s">
        <v>618</v>
      </c>
      <c r="D19" s="266" t="s">
        <v>619</v>
      </c>
      <c r="E19" s="368" t="s">
        <v>620</v>
      </c>
      <c r="F19" s="368" t="s">
        <v>621</v>
      </c>
      <c r="G19" s="44" t="s">
        <v>56</v>
      </c>
      <c r="H19" s="44" t="s">
        <v>135</v>
      </c>
      <c r="I19" s="221"/>
      <c r="J19" s="245"/>
      <c r="K19" s="43"/>
      <c r="L19" s="247"/>
      <c r="M19" s="247"/>
      <c r="N19" s="245"/>
      <c r="O19" s="43"/>
      <c r="P19" s="247"/>
      <c r="Q19" s="247"/>
      <c r="R19" s="245"/>
      <c r="S19" s="43"/>
      <c r="T19" s="247"/>
      <c r="U19" s="247"/>
      <c r="V19" s="255"/>
      <c r="W19" s="43"/>
      <c r="X19" s="247"/>
      <c r="Y19" s="373"/>
      <c r="Z19" s="255"/>
      <c r="AA19" s="43"/>
      <c r="AB19" s="247"/>
      <c r="AC19" s="373"/>
      <c r="AD19" s="255"/>
      <c r="AE19" s="43"/>
      <c r="AF19" s="247"/>
      <c r="AG19" s="369"/>
      <c r="AH19" s="255"/>
      <c r="AI19" s="43"/>
      <c r="AJ19" s="247"/>
      <c r="AK19" s="244"/>
      <c r="AL19" s="255"/>
      <c r="AM19" s="43"/>
      <c r="AN19" s="247"/>
      <c r="AO19" s="244"/>
      <c r="AP19" s="255"/>
      <c r="AQ19" s="220"/>
      <c r="AR19" s="244"/>
      <c r="AS19" s="244"/>
      <c r="AT19" s="245"/>
      <c r="AU19" s="220"/>
      <c r="AV19" s="244"/>
      <c r="AW19" s="244"/>
      <c r="AX19" s="245"/>
      <c r="AY19" s="220"/>
      <c r="AZ19" s="244"/>
      <c r="BA19" s="244"/>
      <c r="BB19" s="374"/>
      <c r="BC19" s="260"/>
      <c r="BD19" s="260"/>
      <c r="BE19" s="260"/>
      <c r="BF19" s="260"/>
      <c r="BG19" s="260"/>
      <c r="BH19" s="260"/>
      <c r="BI19" s="260"/>
      <c r="BJ19" s="260"/>
      <c r="BK19" s="260"/>
      <c r="BL19" s="260"/>
      <c r="BM19" s="260"/>
      <c r="BN19" s="260"/>
      <c r="BO19" s="260"/>
      <c r="BP19" s="260"/>
      <c r="BQ19" s="260"/>
      <c r="BR19" s="260"/>
      <c r="BS19" s="260"/>
      <c r="BT19" s="260"/>
      <c r="BU19" s="260"/>
      <c r="BV19" s="260"/>
      <c r="BW19" s="260"/>
      <c r="BX19" s="260"/>
      <c r="BY19" s="260"/>
      <c r="BZ19" s="260"/>
      <c r="CA19" s="260"/>
      <c r="CB19" s="260"/>
      <c r="CC19" s="260"/>
      <c r="CD19" s="260"/>
      <c r="CE19" s="260"/>
      <c r="CF19" s="260"/>
      <c r="CG19" s="260"/>
      <c r="CH19" s="260"/>
      <c r="CI19" s="260"/>
      <c r="CJ19" s="260"/>
      <c r="CK19" s="260"/>
      <c r="CL19" s="260"/>
    </row>
    <row r="20">
      <c r="A20" s="244" t="str">
        <f>IF(C20="","",$C$3&amp;"."&amp;COUNTA($C$9:C20)&amp;"")</f>
        <v/>
      </c>
      <c r="B20" s="364" t="s">
        <v>622</v>
      </c>
      <c r="C20" s="144"/>
      <c r="D20" s="144"/>
      <c r="E20" s="144"/>
      <c r="F20" s="167"/>
      <c r="G20" s="43"/>
      <c r="H20" s="244"/>
      <c r="I20" s="244"/>
      <c r="J20" s="245"/>
      <c r="K20" s="220"/>
      <c r="L20" s="244"/>
      <c r="M20" s="244"/>
      <c r="N20" s="245"/>
      <c r="O20" s="220"/>
      <c r="P20" s="244"/>
      <c r="Q20" s="244"/>
      <c r="R20" s="245"/>
      <c r="S20" s="43"/>
      <c r="T20" s="244"/>
      <c r="U20" s="244"/>
      <c r="V20" s="245"/>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6"/>
      <c r="BO20" s="246"/>
      <c r="BP20" s="246"/>
      <c r="BQ20" s="246"/>
      <c r="BR20" s="246"/>
      <c r="BS20" s="246"/>
      <c r="BT20" s="246"/>
      <c r="BU20" s="246"/>
      <c r="BV20" s="246"/>
      <c r="BW20" s="246"/>
      <c r="BX20" s="246"/>
      <c r="BY20" s="246"/>
      <c r="BZ20" s="246"/>
      <c r="CA20" s="246"/>
      <c r="CB20" s="246"/>
      <c r="CC20" s="246"/>
      <c r="CD20" s="246"/>
      <c r="CE20" s="246"/>
      <c r="CF20" s="246"/>
      <c r="CG20" s="246"/>
      <c r="CH20" s="246"/>
      <c r="CI20" s="246"/>
      <c r="CJ20" s="246"/>
      <c r="CK20" s="246"/>
      <c r="CL20" s="246"/>
    </row>
    <row r="21" outlineLevel="1">
      <c r="A21" s="244" t="str">
        <f t="shared" ref="A21:A26" si="3">IF(E21="","",$C$3&amp;"."&amp;COUNTA($E$9:E21)&amp;"")</f>
        <v>TC_02.8</v>
      </c>
      <c r="B21" s="233" t="s">
        <v>67</v>
      </c>
      <c r="C21" s="366" t="s">
        <v>623</v>
      </c>
      <c r="D21" s="367"/>
      <c r="E21" s="368" t="s">
        <v>624</v>
      </c>
      <c r="F21" s="368" t="s">
        <v>625</v>
      </c>
      <c r="G21" s="44" t="s">
        <v>56</v>
      </c>
      <c r="H21" s="44" t="s">
        <v>462</v>
      </c>
      <c r="I21" s="221"/>
      <c r="J21" s="249"/>
      <c r="K21" s="43"/>
      <c r="L21" s="247"/>
      <c r="M21" s="248"/>
      <c r="N21" s="249"/>
      <c r="O21" s="250"/>
      <c r="P21" s="247"/>
      <c r="Q21" s="248"/>
      <c r="R21" s="249"/>
      <c r="S21" s="250"/>
      <c r="T21" s="247"/>
      <c r="U21" s="248"/>
      <c r="V21" s="249"/>
      <c r="W21" s="250"/>
      <c r="X21" s="247"/>
      <c r="Y21" s="248"/>
      <c r="Z21" s="249"/>
      <c r="AA21" s="250"/>
      <c r="AB21" s="247"/>
      <c r="AC21" s="248"/>
      <c r="AD21" s="249"/>
      <c r="AE21" s="43"/>
      <c r="AF21" s="247"/>
      <c r="AG21" s="369"/>
      <c r="AH21" s="255"/>
      <c r="AI21" s="43"/>
      <c r="AJ21" s="247"/>
      <c r="AK21" s="244"/>
      <c r="AL21" s="255"/>
      <c r="AM21" s="43"/>
      <c r="AN21" s="247"/>
      <c r="AO21" s="244"/>
      <c r="AP21" s="255"/>
      <c r="AQ21" s="370"/>
      <c r="AR21" s="248"/>
      <c r="AS21" s="248"/>
      <c r="AT21" s="249"/>
      <c r="AU21" s="370"/>
      <c r="AV21" s="248"/>
      <c r="AW21" s="248"/>
      <c r="AX21" s="249"/>
      <c r="AY21" s="370"/>
      <c r="AZ21" s="248"/>
      <c r="BA21" s="248"/>
      <c r="BB21" s="371"/>
      <c r="BC21" s="372"/>
      <c r="BD21" s="372"/>
      <c r="BE21" s="372"/>
      <c r="BF21" s="372"/>
      <c r="BG21" s="372"/>
      <c r="BH21" s="372"/>
      <c r="BI21" s="372"/>
      <c r="BJ21" s="372"/>
      <c r="BK21" s="372"/>
      <c r="BL21" s="372"/>
      <c r="BM21" s="372"/>
      <c r="BN21" s="372"/>
      <c r="BO21" s="372"/>
      <c r="BP21" s="372"/>
      <c r="BQ21" s="372"/>
      <c r="BR21" s="372"/>
      <c r="BS21" s="372"/>
      <c r="BT21" s="372"/>
      <c r="BU21" s="372"/>
      <c r="BV21" s="372"/>
      <c r="BW21" s="372"/>
      <c r="BX21" s="372"/>
      <c r="BY21" s="372"/>
      <c r="BZ21" s="372"/>
      <c r="CA21" s="372"/>
      <c r="CB21" s="372"/>
      <c r="CC21" s="372"/>
      <c r="CD21" s="372"/>
      <c r="CE21" s="372"/>
      <c r="CF21" s="372"/>
      <c r="CG21" s="372"/>
      <c r="CH21" s="372"/>
      <c r="CI21" s="372"/>
      <c r="CJ21" s="372"/>
      <c r="CK21" s="372"/>
      <c r="CL21" s="372"/>
    </row>
    <row r="22" outlineLevel="1">
      <c r="A22" s="244" t="str">
        <f t="shared" si="3"/>
        <v>TC_02.9</v>
      </c>
      <c r="B22" s="213" t="s">
        <v>67</v>
      </c>
      <c r="C22" s="366" t="s">
        <v>626</v>
      </c>
      <c r="D22" s="375"/>
      <c r="E22" s="368" t="s">
        <v>627</v>
      </c>
      <c r="F22" s="368" t="s">
        <v>628</v>
      </c>
      <c r="G22" s="44" t="s">
        <v>56</v>
      </c>
      <c r="H22" s="44" t="s">
        <v>462</v>
      </c>
      <c r="I22" s="221"/>
      <c r="J22" s="257"/>
      <c r="K22" s="43"/>
      <c r="L22" s="247"/>
      <c r="M22" s="257"/>
      <c r="N22" s="245"/>
      <c r="O22" s="43"/>
      <c r="P22" s="247"/>
      <c r="Q22" s="257"/>
      <c r="R22" s="245"/>
      <c r="S22" s="43"/>
      <c r="T22" s="247"/>
      <c r="U22" s="257"/>
      <c r="V22" s="255"/>
      <c r="W22" s="43"/>
      <c r="X22" s="247"/>
      <c r="Y22" s="257"/>
      <c r="Z22" s="255"/>
      <c r="AA22" s="43"/>
      <c r="AB22" s="247"/>
      <c r="AC22" s="257"/>
      <c r="AD22" s="255"/>
      <c r="AE22" s="43"/>
      <c r="AF22" s="247"/>
      <c r="AG22" s="257"/>
      <c r="AH22" s="255"/>
      <c r="AI22" s="43"/>
      <c r="AJ22" s="247"/>
      <c r="AK22" s="257"/>
      <c r="AL22" s="255"/>
      <c r="AM22" s="43"/>
      <c r="AN22" s="247"/>
      <c r="AO22" s="257"/>
      <c r="AP22" s="255"/>
      <c r="AQ22" s="220"/>
      <c r="AR22" s="244"/>
      <c r="AS22" s="244"/>
      <c r="AT22" s="245"/>
      <c r="AU22" s="220"/>
      <c r="AV22" s="244"/>
      <c r="AW22" s="244"/>
      <c r="AX22" s="245"/>
      <c r="AY22" s="220"/>
      <c r="AZ22" s="244"/>
      <c r="BA22" s="244"/>
      <c r="BB22" s="374"/>
      <c r="BC22" s="260"/>
      <c r="BD22" s="260"/>
      <c r="BE22" s="260"/>
      <c r="BF22" s="260"/>
      <c r="BG22" s="260"/>
      <c r="BH22" s="260"/>
      <c r="BI22" s="260"/>
      <c r="BJ22" s="260"/>
      <c r="BK22" s="260"/>
      <c r="BL22" s="260"/>
      <c r="BM22" s="260"/>
      <c r="BN22" s="260"/>
      <c r="BO22" s="260"/>
      <c r="BP22" s="260"/>
      <c r="BQ22" s="260"/>
      <c r="BR22" s="260"/>
      <c r="BS22" s="260"/>
      <c r="BT22" s="260"/>
      <c r="BU22" s="260"/>
      <c r="BV22" s="260"/>
      <c r="BW22" s="260"/>
      <c r="BX22" s="260"/>
      <c r="BY22" s="260"/>
      <c r="BZ22" s="260"/>
      <c r="CA22" s="260"/>
      <c r="CB22" s="260"/>
      <c r="CC22" s="260"/>
      <c r="CD22" s="260"/>
      <c r="CE22" s="260"/>
      <c r="CF22" s="260"/>
      <c r="CG22" s="260"/>
      <c r="CH22" s="260"/>
      <c r="CI22" s="260"/>
      <c r="CJ22" s="260"/>
      <c r="CK22" s="260"/>
      <c r="CL22" s="260"/>
    </row>
    <row r="23" outlineLevel="1">
      <c r="A23" s="244" t="str">
        <f t="shared" si="3"/>
        <v>TC_02.10</v>
      </c>
      <c r="B23" s="233" t="s">
        <v>67</v>
      </c>
      <c r="C23" s="366" t="s">
        <v>629</v>
      </c>
      <c r="D23" s="375"/>
      <c r="E23" s="368" t="s">
        <v>630</v>
      </c>
      <c r="F23" s="368" t="s">
        <v>631</v>
      </c>
      <c r="G23" s="44" t="s">
        <v>56</v>
      </c>
      <c r="H23" s="44" t="s">
        <v>462</v>
      </c>
      <c r="I23" s="221"/>
      <c r="J23" s="249"/>
      <c r="K23" s="43"/>
      <c r="L23" s="247"/>
      <c r="M23" s="248"/>
      <c r="N23" s="249"/>
      <c r="O23" s="250"/>
      <c r="P23" s="247"/>
      <c r="Q23" s="259"/>
      <c r="R23" s="249"/>
      <c r="S23" s="250"/>
      <c r="T23" s="247"/>
      <c r="U23" s="248"/>
      <c r="V23" s="249"/>
      <c r="W23" s="250"/>
      <c r="X23" s="247"/>
      <c r="Y23" s="248"/>
      <c r="Z23" s="249"/>
      <c r="AA23" s="250"/>
      <c r="AB23" s="247"/>
      <c r="AC23" s="248"/>
      <c r="AD23" s="249"/>
      <c r="AE23" s="43"/>
      <c r="AF23" s="247"/>
      <c r="AG23" s="369"/>
      <c r="AH23" s="255"/>
      <c r="AI23" s="43"/>
      <c r="AJ23" s="247"/>
      <c r="AK23" s="244"/>
      <c r="AL23" s="255"/>
      <c r="AM23" s="43"/>
      <c r="AN23" s="247"/>
      <c r="AO23" s="244"/>
      <c r="AP23" s="255"/>
      <c r="AQ23" s="370"/>
      <c r="AR23" s="248"/>
      <c r="AS23" s="248"/>
      <c r="AT23" s="249"/>
      <c r="AU23" s="370"/>
      <c r="AV23" s="248"/>
      <c r="AW23" s="248"/>
      <c r="AX23" s="249"/>
      <c r="AY23" s="370"/>
      <c r="AZ23" s="248"/>
      <c r="BA23" s="248"/>
      <c r="BB23" s="371"/>
      <c r="BC23" s="372"/>
      <c r="BD23" s="372"/>
      <c r="BE23" s="372"/>
      <c r="BF23" s="372"/>
      <c r="BG23" s="372"/>
      <c r="BH23" s="372"/>
      <c r="BI23" s="372"/>
      <c r="BJ23" s="372"/>
      <c r="BK23" s="372"/>
      <c r="BL23" s="372"/>
      <c r="BM23" s="372"/>
      <c r="BN23" s="372"/>
      <c r="BO23" s="372"/>
      <c r="BP23" s="372"/>
      <c r="BQ23" s="372"/>
      <c r="BR23" s="372"/>
      <c r="BS23" s="372"/>
      <c r="BT23" s="372"/>
      <c r="BU23" s="372"/>
      <c r="BV23" s="372"/>
      <c r="BW23" s="372"/>
      <c r="BX23" s="372"/>
      <c r="BY23" s="372"/>
      <c r="BZ23" s="372"/>
      <c r="CA23" s="372"/>
      <c r="CB23" s="372"/>
      <c r="CC23" s="372"/>
      <c r="CD23" s="372"/>
      <c r="CE23" s="372"/>
      <c r="CF23" s="372"/>
      <c r="CG23" s="372"/>
      <c r="CH23" s="372"/>
      <c r="CI23" s="372"/>
      <c r="CJ23" s="372"/>
      <c r="CK23" s="372"/>
      <c r="CL23" s="372"/>
    </row>
    <row r="24" outlineLevel="1">
      <c r="A24" s="244" t="str">
        <f t="shared" si="3"/>
        <v>TC_02.11</v>
      </c>
      <c r="B24" s="213" t="s">
        <v>67</v>
      </c>
      <c r="C24" s="376" t="s">
        <v>632</v>
      </c>
      <c r="D24" s="367"/>
      <c r="E24" s="375" t="s">
        <v>633</v>
      </c>
      <c r="F24" s="375" t="s">
        <v>634</v>
      </c>
      <c r="G24" s="44" t="s">
        <v>56</v>
      </c>
      <c r="H24" s="44" t="s">
        <v>462</v>
      </c>
      <c r="I24" s="221"/>
      <c r="J24" s="255"/>
      <c r="K24" s="43"/>
      <c r="L24" s="247"/>
      <c r="M24" s="244"/>
      <c r="N24" s="245"/>
      <c r="O24" s="43"/>
      <c r="P24" s="247"/>
      <c r="Q24" s="244"/>
      <c r="R24" s="245"/>
      <c r="S24" s="43"/>
      <c r="T24" s="247"/>
      <c r="U24" s="257"/>
      <c r="V24" s="255"/>
      <c r="W24" s="43"/>
      <c r="X24" s="247"/>
      <c r="Y24" s="257"/>
      <c r="Z24" s="255"/>
      <c r="AA24" s="43"/>
      <c r="AB24" s="247"/>
      <c r="AC24" s="257"/>
      <c r="AD24" s="255"/>
      <c r="AE24" s="43"/>
      <c r="AF24" s="247"/>
      <c r="AG24" s="369"/>
      <c r="AH24" s="255"/>
      <c r="AI24" s="43"/>
      <c r="AJ24" s="247"/>
      <c r="AK24" s="244"/>
      <c r="AL24" s="255"/>
      <c r="AM24" s="43"/>
      <c r="AN24" s="247"/>
      <c r="AO24" s="244"/>
      <c r="AP24" s="255"/>
      <c r="AQ24" s="220"/>
      <c r="AR24" s="244"/>
      <c r="AS24" s="244"/>
      <c r="AT24" s="245"/>
      <c r="AU24" s="220"/>
      <c r="AV24" s="244"/>
      <c r="AW24" s="244"/>
      <c r="AX24" s="245"/>
      <c r="AY24" s="220"/>
      <c r="AZ24" s="244"/>
      <c r="BA24" s="244"/>
      <c r="BB24" s="374"/>
      <c r="BC24" s="260"/>
      <c r="BD24" s="260"/>
      <c r="BE24" s="260"/>
      <c r="BF24" s="260"/>
      <c r="BG24" s="260"/>
      <c r="BH24" s="260"/>
      <c r="BI24" s="260"/>
      <c r="BJ24" s="260"/>
      <c r="BK24" s="260"/>
      <c r="BL24" s="260"/>
      <c r="BM24" s="260"/>
      <c r="BN24" s="260"/>
      <c r="BO24" s="260"/>
      <c r="BP24" s="260"/>
      <c r="BQ24" s="260"/>
      <c r="BR24" s="260"/>
      <c r="BS24" s="260"/>
      <c r="BT24" s="260"/>
      <c r="BU24" s="260"/>
      <c r="BV24" s="260"/>
      <c r="BW24" s="260"/>
      <c r="BX24" s="260"/>
      <c r="BY24" s="260"/>
      <c r="BZ24" s="260"/>
      <c r="CA24" s="260"/>
      <c r="CB24" s="260"/>
      <c r="CC24" s="260"/>
      <c r="CD24" s="260"/>
      <c r="CE24" s="260"/>
      <c r="CF24" s="260"/>
      <c r="CG24" s="260"/>
      <c r="CH24" s="260"/>
      <c r="CI24" s="260"/>
      <c r="CJ24" s="260"/>
      <c r="CK24" s="260"/>
      <c r="CL24" s="260"/>
    </row>
    <row r="25" outlineLevel="1">
      <c r="A25" s="244" t="str">
        <f t="shared" si="3"/>
        <v>TC_02.12</v>
      </c>
      <c r="B25" s="213" t="s">
        <v>67</v>
      </c>
      <c r="C25" s="376" t="s">
        <v>635</v>
      </c>
      <c r="D25" s="367"/>
      <c r="E25" s="375" t="s">
        <v>636</v>
      </c>
      <c r="F25" s="375" t="s">
        <v>637</v>
      </c>
      <c r="G25" s="44" t="s">
        <v>56</v>
      </c>
      <c r="H25" s="44" t="s">
        <v>462</v>
      </c>
      <c r="I25" s="221"/>
      <c r="J25" s="245"/>
      <c r="K25" s="43"/>
      <c r="L25" s="247"/>
      <c r="M25" s="244"/>
      <c r="N25" s="245"/>
      <c r="O25" s="43"/>
      <c r="P25" s="247"/>
      <c r="Q25" s="244"/>
      <c r="R25" s="245"/>
      <c r="S25" s="43"/>
      <c r="T25" s="247"/>
      <c r="U25" s="244"/>
      <c r="V25" s="245"/>
      <c r="W25" s="43"/>
      <c r="X25" s="247"/>
      <c r="Y25" s="244"/>
      <c r="Z25" s="245"/>
      <c r="AA25" s="43"/>
      <c r="AB25" s="247"/>
      <c r="AC25" s="244"/>
      <c r="AD25" s="245"/>
      <c r="AE25" s="43"/>
      <c r="AF25" s="247"/>
      <c r="AG25" s="369"/>
      <c r="AH25" s="255"/>
      <c r="AI25" s="43"/>
      <c r="AJ25" s="247"/>
      <c r="AK25" s="244"/>
      <c r="AL25" s="255"/>
      <c r="AM25" s="43"/>
      <c r="AN25" s="247"/>
      <c r="AO25" s="244"/>
      <c r="AP25" s="255"/>
      <c r="AQ25" s="220"/>
      <c r="AR25" s="244"/>
      <c r="AS25" s="244"/>
      <c r="AT25" s="245"/>
      <c r="AU25" s="220"/>
      <c r="AV25" s="244"/>
      <c r="AW25" s="244"/>
      <c r="AX25" s="245"/>
      <c r="AY25" s="220"/>
      <c r="AZ25" s="244"/>
      <c r="BA25" s="244"/>
      <c r="BB25" s="374"/>
      <c r="BC25" s="260"/>
      <c r="BD25" s="260"/>
      <c r="BE25" s="260"/>
      <c r="BF25" s="260"/>
      <c r="BG25" s="260"/>
      <c r="BH25" s="260"/>
      <c r="BI25" s="260"/>
      <c r="BJ25" s="260"/>
      <c r="BK25" s="260"/>
      <c r="BL25" s="260"/>
      <c r="BM25" s="260"/>
      <c r="BN25" s="260"/>
      <c r="BO25" s="260"/>
      <c r="BP25" s="260"/>
      <c r="BQ25" s="260"/>
      <c r="BR25" s="260"/>
      <c r="BS25" s="260"/>
      <c r="BT25" s="260"/>
      <c r="BU25" s="260"/>
      <c r="BV25" s="260"/>
      <c r="BW25" s="260"/>
      <c r="BX25" s="260"/>
      <c r="BY25" s="260"/>
      <c r="BZ25" s="260"/>
      <c r="CA25" s="260"/>
      <c r="CB25" s="260"/>
      <c r="CC25" s="260"/>
      <c r="CD25" s="260"/>
      <c r="CE25" s="260"/>
      <c r="CF25" s="260"/>
      <c r="CG25" s="260"/>
      <c r="CH25" s="260"/>
      <c r="CI25" s="260"/>
      <c r="CJ25" s="260"/>
      <c r="CK25" s="260"/>
      <c r="CL25" s="260"/>
    </row>
    <row r="26" outlineLevel="1">
      <c r="A26" s="244" t="str">
        <f t="shared" si="3"/>
        <v>TC_02.13</v>
      </c>
      <c r="B26" s="213" t="s">
        <v>67</v>
      </c>
      <c r="C26" s="377" t="s">
        <v>638</v>
      </c>
      <c r="D26" s="367"/>
      <c r="E26" s="375" t="s">
        <v>639</v>
      </c>
      <c r="F26" s="375" t="s">
        <v>640</v>
      </c>
      <c r="G26" s="44" t="s">
        <v>56</v>
      </c>
      <c r="H26" s="44" t="s">
        <v>462</v>
      </c>
      <c r="I26" s="221"/>
      <c r="J26" s="245"/>
      <c r="K26" s="43"/>
      <c r="L26" s="247"/>
      <c r="M26" s="244"/>
      <c r="N26" s="245"/>
      <c r="O26" s="43"/>
      <c r="P26" s="247"/>
      <c r="Q26" s="244"/>
      <c r="R26" s="245"/>
      <c r="S26" s="43"/>
      <c r="T26" s="247"/>
      <c r="U26" s="244"/>
      <c r="V26" s="245"/>
      <c r="W26" s="43"/>
      <c r="X26" s="247"/>
      <c r="Y26" s="244"/>
      <c r="Z26" s="245"/>
      <c r="AA26" s="43"/>
      <c r="AB26" s="247"/>
      <c r="AC26" s="244"/>
      <c r="AD26" s="245"/>
      <c r="AE26" s="43"/>
      <c r="AF26" s="247"/>
      <c r="AG26" s="369"/>
      <c r="AH26" s="255"/>
      <c r="AI26" s="43"/>
      <c r="AJ26" s="247"/>
      <c r="AK26" s="244"/>
      <c r="AL26" s="255"/>
      <c r="AM26" s="43"/>
      <c r="AN26" s="247"/>
      <c r="AO26" s="244"/>
      <c r="AP26" s="255"/>
      <c r="AQ26" s="220"/>
      <c r="AR26" s="244"/>
      <c r="AS26" s="244"/>
      <c r="AT26" s="245"/>
      <c r="AU26" s="220"/>
      <c r="AV26" s="244"/>
      <c r="AW26" s="244"/>
      <c r="AX26" s="245"/>
      <c r="AY26" s="220"/>
      <c r="AZ26" s="244"/>
      <c r="BA26" s="244"/>
      <c r="BB26" s="374"/>
      <c r="BC26" s="260"/>
      <c r="BD26" s="260"/>
      <c r="BE26" s="260"/>
      <c r="BF26" s="260"/>
      <c r="BG26" s="260"/>
      <c r="BH26" s="260"/>
      <c r="BI26" s="260"/>
      <c r="BJ26" s="260"/>
      <c r="BK26" s="260"/>
      <c r="BL26" s="260"/>
      <c r="BM26" s="260"/>
      <c r="BN26" s="260"/>
      <c r="BO26" s="260"/>
      <c r="BP26" s="260"/>
      <c r="BQ26" s="260"/>
      <c r="BR26" s="260"/>
      <c r="BS26" s="260"/>
      <c r="BT26" s="260"/>
      <c r="BU26" s="260"/>
      <c r="BV26" s="260"/>
      <c r="BW26" s="260"/>
      <c r="BX26" s="260"/>
      <c r="BY26" s="260"/>
      <c r="BZ26" s="260"/>
      <c r="CA26" s="260"/>
      <c r="CB26" s="260"/>
      <c r="CC26" s="260"/>
      <c r="CD26" s="260"/>
      <c r="CE26" s="260"/>
      <c r="CF26" s="260"/>
      <c r="CG26" s="260"/>
      <c r="CH26" s="260"/>
      <c r="CI26" s="260"/>
      <c r="CJ26" s="260"/>
      <c r="CK26" s="260"/>
      <c r="CL26" s="260"/>
    </row>
    <row r="27">
      <c r="A27" s="213" t="str">
        <f>IF(E27="","",$C$3&amp;"."&amp;COUNTA($E$16:E27)&amp;"")</f>
        <v/>
      </c>
      <c r="B27" s="378" t="s">
        <v>641</v>
      </c>
      <c r="C27" s="144"/>
      <c r="D27" s="144"/>
      <c r="E27" s="144"/>
      <c r="F27" s="167"/>
      <c r="G27" s="211"/>
      <c r="H27" s="211"/>
      <c r="I27" s="221"/>
      <c r="J27" s="245"/>
      <c r="K27" s="220"/>
      <c r="L27" s="244"/>
      <c r="M27" s="244"/>
      <c r="N27" s="245"/>
      <c r="O27" s="220"/>
      <c r="P27" s="244"/>
      <c r="Q27" s="244"/>
      <c r="R27" s="245"/>
      <c r="S27" s="43"/>
      <c r="T27" s="244"/>
      <c r="U27" s="244"/>
      <c r="V27" s="245"/>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6"/>
      <c r="BO27" s="246"/>
      <c r="BP27" s="246"/>
      <c r="BQ27" s="246"/>
      <c r="BR27" s="246"/>
      <c r="BS27" s="246"/>
      <c r="BT27" s="246"/>
      <c r="BU27" s="246"/>
      <c r="BV27" s="246"/>
      <c r="BW27" s="246"/>
      <c r="BX27" s="246"/>
      <c r="BY27" s="246"/>
      <c r="BZ27" s="246"/>
      <c r="CA27" s="246"/>
      <c r="CB27" s="246"/>
      <c r="CC27" s="246"/>
      <c r="CD27" s="246"/>
      <c r="CE27" s="246"/>
      <c r="CF27" s="246"/>
      <c r="CG27" s="246"/>
      <c r="CH27" s="246"/>
      <c r="CI27" s="246"/>
      <c r="CJ27" s="246"/>
      <c r="CK27" s="246"/>
      <c r="CL27" s="246"/>
    </row>
    <row r="28" outlineLevel="1">
      <c r="A28" s="244" t="str">
        <f t="shared" ref="A28:A30" si="4">IF(E28="","",$C$3&amp;"."&amp;COUNTA($E$9:E28)&amp;"")</f>
        <v>TC_02.14</v>
      </c>
      <c r="B28" s="314" t="s">
        <v>67</v>
      </c>
      <c r="C28" s="318" t="s">
        <v>642</v>
      </c>
      <c r="D28" s="379"/>
      <c r="E28" s="317" t="s">
        <v>643</v>
      </c>
      <c r="F28" s="380" t="s">
        <v>644</v>
      </c>
      <c r="G28" s="211" t="s">
        <v>56</v>
      </c>
      <c r="H28" s="211" t="s">
        <v>135</v>
      </c>
      <c r="I28" s="303" t="s">
        <v>645</v>
      </c>
      <c r="J28" s="255" t="s">
        <v>646</v>
      </c>
      <c r="K28" s="220"/>
      <c r="L28" s="244"/>
      <c r="M28" s="244"/>
      <c r="N28" s="245"/>
      <c r="O28" s="220"/>
      <c r="P28" s="244"/>
      <c r="Q28" s="244"/>
      <c r="R28" s="245"/>
      <c r="S28" s="43"/>
      <c r="T28" s="244"/>
      <c r="U28" s="244"/>
      <c r="V28" s="245"/>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6"/>
      <c r="BK28" s="246"/>
      <c r="BL28" s="246"/>
      <c r="BM28" s="246"/>
      <c r="BN28" s="246"/>
      <c r="BO28" s="246"/>
      <c r="BP28" s="246"/>
      <c r="BQ28" s="246"/>
      <c r="BR28" s="246"/>
      <c r="BS28" s="246"/>
      <c r="BT28" s="246"/>
      <c r="BU28" s="246"/>
      <c r="BV28" s="246"/>
      <c r="BW28" s="246"/>
      <c r="BX28" s="246"/>
      <c r="BY28" s="246"/>
      <c r="BZ28" s="246"/>
      <c r="CA28" s="246"/>
      <c r="CB28" s="246"/>
      <c r="CC28" s="246"/>
      <c r="CD28" s="246"/>
      <c r="CE28" s="246"/>
      <c r="CF28" s="246"/>
      <c r="CG28" s="246"/>
      <c r="CH28" s="246"/>
      <c r="CI28" s="246"/>
      <c r="CJ28" s="246"/>
      <c r="CK28" s="246"/>
      <c r="CL28" s="246"/>
    </row>
    <row r="29">
      <c r="A29" s="244" t="str">
        <f t="shared" si="4"/>
        <v/>
      </c>
      <c r="B29" s="378" t="s">
        <v>647</v>
      </c>
      <c r="C29" s="144"/>
      <c r="D29" s="144"/>
      <c r="E29" s="144"/>
      <c r="F29" s="167"/>
      <c r="G29" s="209"/>
      <c r="H29" s="209"/>
      <c r="I29" s="207"/>
      <c r="J29" s="207"/>
      <c r="K29" s="207"/>
      <c r="L29" s="207"/>
      <c r="M29" s="207"/>
      <c r="N29" s="207"/>
      <c r="O29" s="207"/>
      <c r="P29" s="207"/>
      <c r="Q29" s="207"/>
      <c r="R29" s="207"/>
      <c r="S29" s="209"/>
      <c r="T29" s="207"/>
      <c r="U29" s="207"/>
      <c r="V29" s="207"/>
      <c r="W29" s="187"/>
      <c r="X29" s="187"/>
      <c r="Y29" s="187"/>
      <c r="Z29" s="187"/>
      <c r="AA29" s="187"/>
      <c r="AB29" s="187"/>
      <c r="AC29" s="187"/>
      <c r="AD29" s="187"/>
      <c r="AE29" s="187"/>
      <c r="AF29" s="187"/>
      <c r="AG29" s="187"/>
      <c r="AH29" s="187"/>
      <c r="AI29" s="187"/>
      <c r="AJ29" s="187"/>
      <c r="AK29" s="187"/>
      <c r="AL29" s="187"/>
      <c r="AM29" s="187"/>
      <c r="AN29" s="187"/>
      <c r="AO29" s="187"/>
      <c r="AP29" s="187"/>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6"/>
      <c r="BO29" s="246"/>
      <c r="BP29" s="246"/>
      <c r="BQ29" s="246"/>
      <c r="BR29" s="246"/>
      <c r="BS29" s="246"/>
      <c r="BT29" s="246"/>
      <c r="BU29" s="246"/>
      <c r="BV29" s="246"/>
      <c r="BW29" s="246"/>
      <c r="BX29" s="246"/>
      <c r="BY29" s="246"/>
      <c r="BZ29" s="246"/>
      <c r="CA29" s="246"/>
      <c r="CB29" s="246"/>
      <c r="CC29" s="246"/>
      <c r="CD29" s="246"/>
      <c r="CE29" s="246"/>
      <c r="CF29" s="246"/>
      <c r="CG29" s="246"/>
      <c r="CH29" s="246"/>
      <c r="CI29" s="246"/>
      <c r="CJ29" s="246"/>
      <c r="CK29" s="246"/>
      <c r="CL29" s="246"/>
    </row>
    <row r="30" outlineLevel="1">
      <c r="A30" s="244" t="str">
        <f t="shared" si="4"/>
        <v>TC_02.15</v>
      </c>
      <c r="B30" s="314" t="s">
        <v>67</v>
      </c>
      <c r="C30" s="326" t="s">
        <v>648</v>
      </c>
      <c r="D30" s="381"/>
      <c r="E30" s="323" t="s">
        <v>649</v>
      </c>
      <c r="F30" s="382" t="s">
        <v>650</v>
      </c>
      <c r="G30" s="44" t="s">
        <v>56</v>
      </c>
      <c r="H30" s="44" t="s">
        <v>462</v>
      </c>
      <c r="I30" s="221"/>
      <c r="J30" s="245"/>
      <c r="K30" s="220"/>
      <c r="L30" s="244"/>
      <c r="M30" s="244"/>
      <c r="N30" s="245"/>
      <c r="O30" s="220"/>
      <c r="P30" s="244"/>
      <c r="Q30" s="244"/>
      <c r="R30" s="245"/>
      <c r="S30" s="43"/>
      <c r="T30" s="244"/>
      <c r="U30" s="244"/>
      <c r="V30" s="245"/>
      <c r="W30" s="246"/>
      <c r="X30" s="246"/>
      <c r="Y30" s="246"/>
      <c r="Z30" s="246"/>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6"/>
      <c r="BK30" s="246"/>
      <c r="BL30" s="246"/>
      <c r="BM30" s="246"/>
      <c r="BN30" s="246"/>
      <c r="BO30" s="246"/>
      <c r="BP30" s="246"/>
      <c r="BQ30" s="246"/>
      <c r="BR30" s="246"/>
      <c r="BS30" s="246"/>
      <c r="BT30" s="246"/>
      <c r="BU30" s="246"/>
      <c r="BV30" s="246"/>
      <c r="BW30" s="246"/>
      <c r="BX30" s="246"/>
      <c r="BY30" s="246"/>
      <c r="BZ30" s="246"/>
      <c r="CA30" s="246"/>
      <c r="CB30" s="246"/>
      <c r="CC30" s="246"/>
      <c r="CD30" s="246"/>
      <c r="CE30" s="246"/>
      <c r="CF30" s="246"/>
      <c r="CG30" s="246"/>
      <c r="CH30" s="246"/>
      <c r="CI30" s="246"/>
      <c r="CJ30" s="246"/>
      <c r="CK30" s="246"/>
      <c r="CL30" s="246"/>
    </row>
    <row r="31">
      <c r="A31" s="363" t="s">
        <v>565</v>
      </c>
      <c r="B31" s="144"/>
      <c r="C31" s="144"/>
      <c r="D31" s="144"/>
      <c r="E31" s="144"/>
      <c r="F31" s="167"/>
      <c r="G31" s="43"/>
      <c r="H31" s="244"/>
      <c r="I31" s="244"/>
      <c r="J31" s="245"/>
      <c r="K31" s="220"/>
      <c r="L31" s="244"/>
      <c r="M31" s="244"/>
      <c r="N31" s="245"/>
      <c r="O31" s="220"/>
      <c r="P31" s="244"/>
      <c r="Q31" s="244"/>
      <c r="R31" s="245"/>
      <c r="S31" s="43"/>
      <c r="T31" s="244"/>
      <c r="U31" s="244"/>
      <c r="V31" s="245"/>
      <c r="W31" s="246"/>
      <c r="X31" s="246"/>
      <c r="Y31" s="246"/>
      <c r="Z31" s="246"/>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6"/>
      <c r="BK31" s="246"/>
      <c r="BL31" s="246"/>
      <c r="BM31" s="246"/>
      <c r="BN31" s="246"/>
      <c r="BO31" s="246"/>
      <c r="BP31" s="246"/>
      <c r="BQ31" s="246"/>
      <c r="BR31" s="246"/>
      <c r="BS31" s="246"/>
      <c r="BT31" s="246"/>
      <c r="BU31" s="246"/>
      <c r="BV31" s="246"/>
      <c r="BW31" s="246"/>
      <c r="BX31" s="246"/>
      <c r="BY31" s="246"/>
      <c r="BZ31" s="246"/>
      <c r="CA31" s="246"/>
      <c r="CB31" s="246"/>
      <c r="CC31" s="246"/>
      <c r="CD31" s="246"/>
      <c r="CE31" s="246"/>
      <c r="CF31" s="246"/>
      <c r="CG31" s="246"/>
      <c r="CH31" s="246"/>
      <c r="CI31" s="246"/>
      <c r="CJ31" s="246"/>
      <c r="CK31" s="246"/>
      <c r="CL31" s="246"/>
    </row>
    <row r="32" outlineLevel="1">
      <c r="A32" s="244" t="str">
        <f t="shared" ref="A32:A38" si="5">IF(E32="","",$C$3&amp;"."&amp;COUNTA($E$9:E32)&amp;"")</f>
        <v>TC_02.16</v>
      </c>
      <c r="B32" s="214" t="s">
        <v>65</v>
      </c>
      <c r="C32" s="226" t="s">
        <v>651</v>
      </c>
      <c r="D32" s="383" t="s">
        <v>652</v>
      </c>
      <c r="E32" s="321" t="s">
        <v>653</v>
      </c>
      <c r="F32" s="384" t="s">
        <v>654</v>
      </c>
      <c r="G32" s="385" t="s">
        <v>60</v>
      </c>
      <c r="H32" s="44" t="s">
        <v>462</v>
      </c>
      <c r="I32" s="207"/>
      <c r="J32" s="386" t="s">
        <v>655</v>
      </c>
      <c r="K32" s="387"/>
      <c r="L32" s="387"/>
      <c r="M32" s="387"/>
      <c r="N32" s="387"/>
      <c r="O32" s="387"/>
      <c r="P32" s="387"/>
      <c r="Q32" s="387"/>
      <c r="R32" s="387"/>
      <c r="S32" s="387"/>
      <c r="T32" s="387"/>
      <c r="U32" s="387"/>
      <c r="V32" s="387"/>
      <c r="W32" s="126"/>
      <c r="X32" s="126"/>
      <c r="Y32" s="126"/>
      <c r="Z32" s="126"/>
      <c r="AA32" s="126"/>
      <c r="AB32" s="388"/>
      <c r="AC32" s="126"/>
      <c r="AD32" s="126"/>
      <c r="AE32" s="126"/>
      <c r="AF32" s="126"/>
      <c r="AG32" s="126"/>
      <c r="AH32" s="126"/>
      <c r="AI32" s="126"/>
      <c r="AJ32" s="126"/>
      <c r="AK32" s="126"/>
      <c r="AL32" s="126"/>
      <c r="AM32" s="126"/>
      <c r="AN32" s="388"/>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row>
    <row r="33" outlineLevel="1">
      <c r="A33" s="244" t="str">
        <f t="shared" si="5"/>
        <v>TC_02.17</v>
      </c>
      <c r="B33" s="214" t="s">
        <v>65</v>
      </c>
      <c r="C33" s="215" t="s">
        <v>656</v>
      </c>
      <c r="D33" s="217" t="s">
        <v>657</v>
      </c>
      <c r="E33" s="321" t="s">
        <v>653</v>
      </c>
      <c r="F33" s="217" t="s">
        <v>658</v>
      </c>
      <c r="G33" s="44" t="s">
        <v>62</v>
      </c>
      <c r="H33" s="44" t="s">
        <v>462</v>
      </c>
      <c r="I33" s="389" t="s">
        <v>659</v>
      </c>
      <c r="J33" s="386" t="s">
        <v>660</v>
      </c>
      <c r="K33" s="387"/>
      <c r="L33" s="387"/>
      <c r="M33" s="387"/>
      <c r="N33" s="387"/>
      <c r="O33" s="387"/>
      <c r="P33" s="387"/>
      <c r="Q33" s="387"/>
      <c r="R33" s="387"/>
      <c r="S33" s="387"/>
      <c r="T33" s="387"/>
      <c r="U33" s="387"/>
      <c r="V33" s="387"/>
      <c r="W33" s="126"/>
      <c r="X33" s="126"/>
      <c r="Y33" s="126"/>
      <c r="Z33" s="126"/>
      <c r="AA33" s="126"/>
      <c r="AB33" s="388"/>
      <c r="AC33" s="126"/>
      <c r="AD33" s="126"/>
      <c r="AE33" s="126"/>
      <c r="AF33" s="126"/>
      <c r="AG33" s="126"/>
      <c r="AH33" s="126"/>
      <c r="AI33" s="126"/>
      <c r="AJ33" s="126"/>
      <c r="AK33" s="126"/>
      <c r="AL33" s="126"/>
      <c r="AM33" s="126"/>
      <c r="AN33" s="388"/>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6"/>
      <c r="CH33" s="126"/>
      <c r="CI33" s="126"/>
      <c r="CJ33" s="126"/>
      <c r="CK33" s="126"/>
      <c r="CL33" s="126"/>
    </row>
    <row r="34" outlineLevel="1">
      <c r="A34" s="244" t="str">
        <f t="shared" si="5"/>
        <v>TC_02.18</v>
      </c>
      <c r="B34" s="214" t="s">
        <v>65</v>
      </c>
      <c r="C34" s="215" t="s">
        <v>661</v>
      </c>
      <c r="D34" s="217" t="s">
        <v>662</v>
      </c>
      <c r="E34" s="321" t="s">
        <v>663</v>
      </c>
      <c r="F34" s="217" t="s">
        <v>664</v>
      </c>
      <c r="G34" s="385" t="s">
        <v>60</v>
      </c>
      <c r="H34" s="44" t="s">
        <v>462</v>
      </c>
      <c r="I34" s="207"/>
      <c r="J34" s="390" t="s">
        <v>665</v>
      </c>
      <c r="K34" s="387"/>
      <c r="L34" s="387"/>
      <c r="M34" s="387"/>
      <c r="N34" s="387"/>
      <c r="O34" s="387"/>
      <c r="P34" s="387"/>
      <c r="Q34" s="387"/>
      <c r="R34" s="387"/>
      <c r="S34" s="387"/>
      <c r="T34" s="387"/>
      <c r="U34" s="387"/>
      <c r="V34" s="387"/>
      <c r="W34" s="126"/>
      <c r="X34" s="126"/>
      <c r="Y34" s="126"/>
      <c r="Z34" s="126"/>
      <c r="AA34" s="126"/>
      <c r="AB34" s="388"/>
      <c r="AC34" s="126"/>
      <c r="AD34" s="126"/>
      <c r="AE34" s="126"/>
      <c r="AF34" s="126"/>
      <c r="AG34" s="126"/>
      <c r="AH34" s="126"/>
      <c r="AI34" s="126"/>
      <c r="AJ34" s="126"/>
      <c r="AK34" s="126"/>
      <c r="AL34" s="126"/>
      <c r="AM34" s="126"/>
      <c r="AN34" s="388"/>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6"/>
      <c r="CD34" s="126"/>
      <c r="CE34" s="126"/>
      <c r="CF34" s="126"/>
      <c r="CG34" s="126"/>
      <c r="CH34" s="126"/>
      <c r="CI34" s="126"/>
      <c r="CJ34" s="126"/>
      <c r="CK34" s="126"/>
      <c r="CL34" s="126"/>
    </row>
    <row r="35" outlineLevel="1">
      <c r="A35" s="244" t="str">
        <f t="shared" si="5"/>
        <v>TC_02.19</v>
      </c>
      <c r="B35" s="214" t="s">
        <v>65</v>
      </c>
      <c r="C35" s="215" t="s">
        <v>666</v>
      </c>
      <c r="D35" s="217" t="s">
        <v>667</v>
      </c>
      <c r="E35" s="321" t="s">
        <v>668</v>
      </c>
      <c r="F35" s="217" t="s">
        <v>669</v>
      </c>
      <c r="G35" s="385" t="s">
        <v>60</v>
      </c>
      <c r="H35" s="44" t="s">
        <v>462</v>
      </c>
      <c r="I35" s="207"/>
      <c r="J35" s="390" t="s">
        <v>665</v>
      </c>
      <c r="K35" s="387"/>
      <c r="L35" s="387"/>
      <c r="M35" s="387"/>
      <c r="N35" s="387"/>
      <c r="O35" s="387"/>
      <c r="P35" s="387"/>
      <c r="Q35" s="387"/>
      <c r="R35" s="387"/>
      <c r="S35" s="387"/>
      <c r="T35" s="387"/>
      <c r="U35" s="387"/>
      <c r="V35" s="387"/>
      <c r="W35" s="126"/>
      <c r="X35" s="126"/>
      <c r="Y35" s="126"/>
      <c r="Z35" s="126"/>
      <c r="AA35" s="126"/>
      <c r="AB35" s="388"/>
      <c r="AC35" s="126"/>
      <c r="AD35" s="126"/>
      <c r="AE35" s="126"/>
      <c r="AF35" s="126"/>
      <c r="AG35" s="126"/>
      <c r="AH35" s="126"/>
      <c r="AI35" s="126"/>
      <c r="AJ35" s="126"/>
      <c r="AK35" s="126"/>
      <c r="AL35" s="126"/>
      <c r="AM35" s="126"/>
      <c r="AN35" s="388"/>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6"/>
      <c r="CD35" s="126"/>
      <c r="CE35" s="126"/>
      <c r="CF35" s="126"/>
      <c r="CG35" s="126"/>
      <c r="CH35" s="126"/>
      <c r="CI35" s="126"/>
      <c r="CJ35" s="126"/>
      <c r="CK35" s="126"/>
      <c r="CL35" s="126"/>
    </row>
    <row r="36" outlineLevel="1">
      <c r="A36" s="244" t="str">
        <f t="shared" si="5"/>
        <v>TC_02.20</v>
      </c>
      <c r="B36" s="214" t="s">
        <v>65</v>
      </c>
      <c r="C36" s="215" t="s">
        <v>670</v>
      </c>
      <c r="D36" s="217" t="s">
        <v>671</v>
      </c>
      <c r="E36" s="321" t="s">
        <v>672</v>
      </c>
      <c r="F36" s="217" t="s">
        <v>673</v>
      </c>
      <c r="G36" s="385" t="s">
        <v>60</v>
      </c>
      <c r="H36" s="44" t="s">
        <v>462</v>
      </c>
      <c r="I36" s="207"/>
      <c r="J36" s="390" t="s">
        <v>665</v>
      </c>
      <c r="K36" s="387"/>
      <c r="L36" s="387"/>
      <c r="M36" s="387"/>
      <c r="N36" s="387"/>
      <c r="O36" s="387"/>
      <c r="P36" s="387"/>
      <c r="Q36" s="387"/>
      <c r="R36" s="387"/>
      <c r="S36" s="387"/>
      <c r="T36" s="387"/>
      <c r="U36" s="387"/>
      <c r="V36" s="387"/>
      <c r="W36" s="126"/>
      <c r="X36" s="126"/>
      <c r="Y36" s="126"/>
      <c r="Z36" s="126"/>
      <c r="AA36" s="126"/>
      <c r="AB36" s="388"/>
      <c r="AC36" s="126"/>
      <c r="AD36" s="126"/>
      <c r="AE36" s="126"/>
      <c r="AF36" s="126"/>
      <c r="AG36" s="126"/>
      <c r="AH36" s="126"/>
      <c r="AI36" s="126"/>
      <c r="AJ36" s="126"/>
      <c r="AK36" s="126"/>
      <c r="AL36" s="126"/>
      <c r="AM36" s="126"/>
      <c r="AN36" s="388"/>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6"/>
      <c r="CD36" s="126"/>
      <c r="CE36" s="126"/>
      <c r="CF36" s="126"/>
      <c r="CG36" s="126"/>
      <c r="CH36" s="126"/>
      <c r="CI36" s="126"/>
      <c r="CJ36" s="126"/>
      <c r="CK36" s="126"/>
      <c r="CL36" s="126"/>
    </row>
    <row r="37" outlineLevel="1">
      <c r="A37" s="244" t="str">
        <f t="shared" si="5"/>
        <v>TC_02.21</v>
      </c>
      <c r="B37" s="214" t="s">
        <v>65</v>
      </c>
      <c r="C37" s="215" t="s">
        <v>674</v>
      </c>
      <c r="D37" s="217" t="s">
        <v>671</v>
      </c>
      <c r="E37" s="321" t="s">
        <v>675</v>
      </c>
      <c r="F37" s="217" t="s">
        <v>676</v>
      </c>
      <c r="G37" s="385" t="s">
        <v>60</v>
      </c>
      <c r="H37" s="44" t="s">
        <v>462</v>
      </c>
      <c r="I37" s="207"/>
      <c r="J37" s="390" t="s">
        <v>665</v>
      </c>
      <c r="K37" s="387"/>
      <c r="L37" s="387"/>
      <c r="M37" s="387"/>
      <c r="N37" s="387"/>
      <c r="O37" s="387"/>
      <c r="P37" s="387"/>
      <c r="Q37" s="387"/>
      <c r="R37" s="387"/>
      <c r="S37" s="387"/>
      <c r="T37" s="387"/>
      <c r="U37" s="387"/>
      <c r="V37" s="387"/>
      <c r="W37" s="126"/>
      <c r="X37" s="126"/>
      <c r="Y37" s="126"/>
      <c r="Z37" s="126"/>
      <c r="AA37" s="126"/>
      <c r="AB37" s="388"/>
      <c r="AC37" s="126"/>
      <c r="AD37" s="126"/>
      <c r="AE37" s="126"/>
      <c r="AF37" s="126"/>
      <c r="AG37" s="126"/>
      <c r="AH37" s="126"/>
      <c r="AI37" s="126"/>
      <c r="AJ37" s="126"/>
      <c r="AK37" s="126"/>
      <c r="AL37" s="126"/>
      <c r="AM37" s="126"/>
      <c r="AN37" s="388"/>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6"/>
      <c r="CD37" s="126"/>
      <c r="CE37" s="126"/>
      <c r="CF37" s="126"/>
      <c r="CG37" s="126"/>
      <c r="CH37" s="126"/>
      <c r="CI37" s="126"/>
      <c r="CJ37" s="126"/>
      <c r="CK37" s="126"/>
      <c r="CL37" s="126"/>
    </row>
    <row r="38" outlineLevel="1">
      <c r="A38" s="244" t="str">
        <f t="shared" si="5"/>
        <v>TC_02.22</v>
      </c>
      <c r="B38" s="214" t="s">
        <v>65</v>
      </c>
      <c r="C38" s="215" t="s">
        <v>677</v>
      </c>
      <c r="D38" s="383" t="s">
        <v>678</v>
      </c>
      <c r="E38" s="321" t="s">
        <v>679</v>
      </c>
      <c r="F38" s="217" t="s">
        <v>680</v>
      </c>
      <c r="G38" s="385" t="s">
        <v>56</v>
      </c>
      <c r="H38" s="44" t="s">
        <v>462</v>
      </c>
      <c r="I38" s="207"/>
      <c r="J38" s="391"/>
      <c r="K38" s="387"/>
      <c r="L38" s="387"/>
      <c r="M38" s="387"/>
      <c r="N38" s="387"/>
      <c r="O38" s="387"/>
      <c r="P38" s="387"/>
      <c r="Q38" s="387"/>
      <c r="R38" s="387"/>
      <c r="S38" s="387"/>
      <c r="T38" s="387"/>
      <c r="U38" s="387"/>
      <c r="V38" s="387"/>
      <c r="W38" s="126"/>
      <c r="X38" s="126"/>
      <c r="Y38" s="126"/>
      <c r="Z38" s="126"/>
      <c r="AA38" s="126"/>
      <c r="AB38" s="388"/>
      <c r="AC38" s="126"/>
      <c r="AD38" s="126"/>
      <c r="AE38" s="126"/>
      <c r="AF38" s="126"/>
      <c r="AG38" s="126"/>
      <c r="AH38" s="126"/>
      <c r="AI38" s="126"/>
      <c r="AJ38" s="126"/>
      <c r="AK38" s="126"/>
      <c r="AL38" s="126"/>
      <c r="AM38" s="126"/>
      <c r="AN38" s="388"/>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row>
    <row r="39" outlineLevel="1">
      <c r="A39" s="244"/>
      <c r="B39" s="214"/>
      <c r="C39" s="226"/>
      <c r="D39" s="238"/>
      <c r="E39" s="217"/>
      <c r="F39" s="238"/>
      <c r="G39" s="392"/>
      <c r="H39" s="391"/>
      <c r="I39" s="207"/>
      <c r="J39" s="391"/>
      <c r="K39" s="387"/>
      <c r="L39" s="387"/>
      <c r="M39" s="387"/>
      <c r="N39" s="387"/>
      <c r="O39" s="387"/>
      <c r="P39" s="387"/>
      <c r="Q39" s="387"/>
      <c r="R39" s="387"/>
      <c r="S39" s="387"/>
      <c r="T39" s="387"/>
      <c r="U39" s="387"/>
      <c r="V39" s="387"/>
      <c r="W39" s="126"/>
      <c r="X39" s="126"/>
      <c r="Y39" s="126"/>
      <c r="Z39" s="126"/>
      <c r="AA39" s="126"/>
      <c r="AB39" s="388"/>
      <c r="AC39" s="126"/>
      <c r="AD39" s="126"/>
      <c r="AE39" s="126"/>
      <c r="AF39" s="126"/>
      <c r="AG39" s="126"/>
      <c r="AH39" s="126"/>
      <c r="AI39" s="126"/>
      <c r="AJ39" s="126"/>
      <c r="AK39" s="126"/>
      <c r="AL39" s="126"/>
      <c r="AM39" s="126"/>
      <c r="AN39" s="388"/>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6"/>
      <c r="CD39" s="126"/>
      <c r="CE39" s="126"/>
      <c r="CF39" s="126"/>
      <c r="CG39" s="126"/>
      <c r="CH39" s="126"/>
      <c r="CI39" s="126"/>
      <c r="CJ39" s="126"/>
      <c r="CK39" s="126"/>
      <c r="CL39" s="126"/>
    </row>
    <row r="40" outlineLevel="1">
      <c r="A40" s="244"/>
      <c r="B40" s="214"/>
      <c r="C40" s="226"/>
      <c r="D40" s="238"/>
      <c r="E40" s="217"/>
      <c r="F40" s="238"/>
      <c r="G40" s="392"/>
      <c r="H40" s="387"/>
      <c r="I40" s="207"/>
      <c r="J40" s="387"/>
      <c r="K40" s="387"/>
      <c r="L40" s="387"/>
      <c r="M40" s="387"/>
      <c r="N40" s="387"/>
      <c r="O40" s="387"/>
      <c r="P40" s="387"/>
      <c r="Q40" s="387"/>
      <c r="R40" s="387"/>
      <c r="S40" s="391"/>
      <c r="T40" s="387"/>
      <c r="U40" s="387"/>
      <c r="V40" s="387"/>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6"/>
      <c r="CD40" s="126"/>
      <c r="CE40" s="126"/>
      <c r="CF40" s="126"/>
      <c r="CG40" s="126"/>
      <c r="CH40" s="126"/>
      <c r="CI40" s="126"/>
      <c r="CJ40" s="126"/>
      <c r="CK40" s="126"/>
      <c r="CL40" s="126"/>
    </row>
    <row r="41" outlineLevel="1">
      <c r="A41" s="244"/>
      <c r="B41" s="214"/>
      <c r="C41" s="226"/>
      <c r="D41" s="238"/>
      <c r="E41" s="217"/>
      <c r="F41" s="217"/>
      <c r="G41" s="392"/>
      <c r="H41" s="391"/>
      <c r="I41" s="207"/>
      <c r="J41" s="387"/>
      <c r="K41" s="387"/>
      <c r="L41" s="387"/>
      <c r="M41" s="387"/>
      <c r="N41" s="387"/>
      <c r="O41" s="387"/>
      <c r="P41" s="387"/>
      <c r="Q41" s="387"/>
      <c r="R41" s="387"/>
      <c r="S41" s="391"/>
      <c r="T41" s="387"/>
      <c r="U41" s="387"/>
      <c r="V41" s="387"/>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6"/>
      <c r="CD41" s="126"/>
      <c r="CE41" s="126"/>
      <c r="CF41" s="126"/>
      <c r="CG41" s="126"/>
      <c r="CH41" s="126"/>
      <c r="CI41" s="126"/>
      <c r="CJ41" s="126"/>
      <c r="CK41" s="126"/>
      <c r="CL41" s="126"/>
    </row>
    <row r="42" outlineLevel="1">
      <c r="A42" s="244"/>
      <c r="B42" s="211"/>
      <c r="C42" s="226"/>
      <c r="D42" s="393"/>
      <c r="E42" s="217"/>
      <c r="F42" s="238"/>
      <c r="G42" s="392"/>
      <c r="H42" s="391"/>
      <c r="I42" s="207"/>
      <c r="J42" s="387"/>
      <c r="K42" s="387"/>
      <c r="L42" s="387"/>
      <c r="M42" s="387"/>
      <c r="N42" s="387"/>
      <c r="O42" s="387"/>
      <c r="P42" s="387"/>
      <c r="Q42" s="387"/>
      <c r="R42" s="387"/>
      <c r="S42" s="391"/>
      <c r="T42" s="387"/>
      <c r="U42" s="387"/>
      <c r="V42" s="387"/>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126"/>
      <c r="CE42" s="126"/>
      <c r="CF42" s="126"/>
      <c r="CG42" s="126"/>
      <c r="CH42" s="126"/>
      <c r="CI42" s="126"/>
      <c r="CJ42" s="126"/>
      <c r="CK42" s="126"/>
      <c r="CL42" s="126"/>
    </row>
    <row r="43" outlineLevel="1">
      <c r="A43" s="244"/>
      <c r="B43" s="211"/>
      <c r="C43" s="226"/>
      <c r="D43" s="393"/>
      <c r="E43" s="217"/>
      <c r="F43" s="238"/>
      <c r="G43" s="392"/>
      <c r="H43" s="391"/>
      <c r="I43" s="209"/>
      <c r="J43" s="391"/>
      <c r="K43" s="387"/>
      <c r="L43" s="387"/>
      <c r="M43" s="387"/>
      <c r="N43" s="387"/>
      <c r="O43" s="387"/>
      <c r="P43" s="387"/>
      <c r="Q43" s="387"/>
      <c r="R43" s="387"/>
      <c r="S43" s="391"/>
      <c r="T43" s="387"/>
      <c r="U43" s="387"/>
      <c r="V43" s="387"/>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6"/>
      <c r="CD43" s="126"/>
      <c r="CE43" s="126"/>
      <c r="CF43" s="126"/>
      <c r="CG43" s="126"/>
      <c r="CH43" s="126"/>
      <c r="CI43" s="126"/>
      <c r="CJ43" s="126"/>
      <c r="CK43" s="126"/>
      <c r="CL43" s="126"/>
    </row>
    <row r="44" outlineLevel="1">
      <c r="A44" s="244"/>
      <c r="B44" s="211"/>
      <c r="C44" s="226"/>
      <c r="D44" s="393"/>
      <c r="E44" s="217"/>
      <c r="F44" s="238"/>
      <c r="G44" s="392"/>
      <c r="H44" s="391"/>
      <c r="I44" s="207"/>
      <c r="J44" s="387"/>
      <c r="K44" s="387"/>
      <c r="L44" s="387"/>
      <c r="M44" s="387"/>
      <c r="N44" s="387"/>
      <c r="O44" s="387"/>
      <c r="P44" s="387"/>
      <c r="Q44" s="387"/>
      <c r="R44" s="387"/>
      <c r="S44" s="391"/>
      <c r="T44" s="387"/>
      <c r="U44" s="387"/>
      <c r="V44" s="387"/>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row>
    <row r="45" outlineLevel="1">
      <c r="A45" s="244"/>
      <c r="B45" s="211"/>
      <c r="C45" s="226"/>
      <c r="D45" s="393"/>
      <c r="E45" s="217"/>
      <c r="F45" s="217"/>
      <c r="G45" s="392"/>
      <c r="H45" s="391"/>
      <c r="I45" s="207"/>
      <c r="J45" s="391"/>
      <c r="K45" s="387"/>
      <c r="L45" s="387"/>
      <c r="M45" s="387"/>
      <c r="N45" s="387"/>
      <c r="O45" s="387"/>
      <c r="P45" s="387"/>
      <c r="Q45" s="387"/>
      <c r="R45" s="387"/>
      <c r="S45" s="391"/>
      <c r="T45" s="387"/>
      <c r="U45" s="387"/>
      <c r="V45" s="387"/>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6"/>
      <c r="CD45" s="126"/>
      <c r="CE45" s="126"/>
      <c r="CF45" s="126"/>
      <c r="CG45" s="126"/>
      <c r="CH45" s="126"/>
      <c r="CI45" s="126"/>
      <c r="CJ45" s="126"/>
      <c r="CK45" s="126"/>
      <c r="CL45" s="126"/>
    </row>
    <row r="46" outlineLevel="1">
      <c r="A46" s="244"/>
      <c r="B46" s="211"/>
      <c r="C46" s="215"/>
      <c r="D46" s="393"/>
      <c r="E46" s="217"/>
      <c r="F46" s="217"/>
      <c r="G46" s="394"/>
      <c r="H46" s="395"/>
      <c r="I46" s="221"/>
      <c r="J46" s="221"/>
      <c r="K46" s="396"/>
      <c r="L46" s="396"/>
      <c r="M46" s="396"/>
      <c r="N46" s="396"/>
      <c r="O46" s="396"/>
      <c r="P46" s="396"/>
      <c r="Q46" s="396"/>
      <c r="R46" s="396"/>
      <c r="S46" s="393"/>
      <c r="T46" s="396"/>
      <c r="U46" s="396"/>
      <c r="V46" s="396"/>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c r="AZ46" s="141"/>
      <c r="BA46" s="141"/>
      <c r="BB46" s="141"/>
      <c r="BC46" s="141"/>
      <c r="BD46" s="141"/>
      <c r="BE46" s="141"/>
      <c r="BF46" s="141"/>
      <c r="BG46" s="141"/>
      <c r="BH46" s="141"/>
      <c r="BI46" s="141"/>
      <c r="BJ46" s="141"/>
      <c r="BK46" s="141"/>
      <c r="BL46" s="141"/>
      <c r="BM46" s="141"/>
      <c r="BN46" s="141"/>
      <c r="BO46" s="141"/>
      <c r="BP46" s="141"/>
      <c r="BQ46" s="141"/>
      <c r="BR46" s="141"/>
      <c r="BS46" s="141"/>
      <c r="BT46" s="141"/>
      <c r="BU46" s="141"/>
      <c r="BV46" s="141"/>
      <c r="BW46" s="141"/>
      <c r="BX46" s="141"/>
      <c r="BY46" s="141"/>
      <c r="BZ46" s="141"/>
      <c r="CA46" s="141"/>
      <c r="CB46" s="141"/>
      <c r="CC46" s="141"/>
      <c r="CD46" s="141"/>
      <c r="CE46" s="141"/>
      <c r="CF46" s="141"/>
      <c r="CG46" s="141"/>
      <c r="CH46" s="141"/>
      <c r="CI46" s="141"/>
      <c r="CJ46" s="141"/>
      <c r="CK46" s="141"/>
      <c r="CL46" s="141"/>
    </row>
    <row r="47">
      <c r="A47" s="213"/>
      <c r="B47" s="263"/>
      <c r="C47" s="226"/>
      <c r="D47" s="238"/>
      <c r="E47" s="270"/>
      <c r="F47" s="238"/>
      <c r="G47" s="397"/>
      <c r="H47" s="44"/>
      <c r="I47" s="221"/>
      <c r="J47" s="221"/>
      <c r="K47" s="396"/>
      <c r="L47" s="396"/>
      <c r="M47" s="396"/>
      <c r="N47" s="396"/>
      <c r="O47" s="396"/>
      <c r="P47" s="396"/>
      <c r="Q47" s="396"/>
      <c r="R47" s="396"/>
      <c r="S47" s="393"/>
      <c r="T47" s="396"/>
      <c r="U47" s="396"/>
      <c r="V47" s="396"/>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c r="AW47" s="141"/>
      <c r="AX47" s="141"/>
      <c r="AY47" s="141"/>
      <c r="AZ47" s="141"/>
      <c r="BA47" s="141"/>
      <c r="BB47" s="141"/>
      <c r="BC47" s="141"/>
      <c r="BD47" s="141"/>
      <c r="BE47" s="141"/>
      <c r="BF47" s="141"/>
      <c r="BG47" s="141"/>
      <c r="BH47" s="141"/>
      <c r="BI47" s="141"/>
      <c r="BJ47" s="141"/>
      <c r="BK47" s="141"/>
      <c r="BL47" s="141"/>
      <c r="BM47" s="141"/>
      <c r="BN47" s="141"/>
      <c r="BO47" s="141"/>
      <c r="BP47" s="141"/>
      <c r="BQ47" s="141"/>
      <c r="BR47" s="141"/>
      <c r="BS47" s="141"/>
      <c r="BT47" s="141"/>
      <c r="BU47" s="141"/>
      <c r="BV47" s="141"/>
      <c r="BW47" s="141"/>
      <c r="BX47" s="141"/>
      <c r="BY47" s="141"/>
      <c r="BZ47" s="141"/>
      <c r="CA47" s="141"/>
      <c r="CB47" s="141"/>
      <c r="CC47" s="141"/>
      <c r="CD47" s="141"/>
      <c r="CE47" s="141"/>
      <c r="CF47" s="141"/>
      <c r="CG47" s="141"/>
      <c r="CH47" s="141"/>
      <c r="CI47" s="141"/>
      <c r="CJ47" s="141"/>
      <c r="CK47" s="141"/>
      <c r="CL47" s="141"/>
    </row>
    <row r="48">
      <c r="A48" s="213"/>
      <c r="B48" s="263"/>
      <c r="C48" s="242"/>
      <c r="D48" s="398"/>
      <c r="E48" s="236"/>
      <c r="F48" s="235"/>
      <c r="G48" s="397"/>
      <c r="H48" s="44"/>
      <c r="I48" s="221"/>
      <c r="J48" s="217"/>
      <c r="K48" s="396"/>
      <c r="L48" s="396"/>
      <c r="M48" s="396"/>
      <c r="N48" s="396"/>
      <c r="O48" s="396"/>
      <c r="P48" s="396"/>
      <c r="Q48" s="396"/>
      <c r="R48" s="396"/>
      <c r="S48" s="393"/>
      <c r="T48" s="396"/>
      <c r="U48" s="396"/>
      <c r="V48" s="396"/>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c r="AW48" s="141"/>
      <c r="AX48" s="141"/>
      <c r="AY48" s="141"/>
      <c r="AZ48" s="141"/>
      <c r="BA48" s="141"/>
      <c r="BB48" s="141"/>
      <c r="BC48" s="141"/>
      <c r="BD48" s="141"/>
      <c r="BE48" s="141"/>
      <c r="BF48" s="141"/>
      <c r="BG48" s="141"/>
      <c r="BH48" s="141"/>
      <c r="BI48" s="141"/>
      <c r="BJ48" s="141"/>
      <c r="BK48" s="141"/>
      <c r="BL48" s="141"/>
      <c r="BM48" s="141"/>
      <c r="BN48" s="141"/>
      <c r="BO48" s="141"/>
      <c r="BP48" s="141"/>
      <c r="BQ48" s="141"/>
      <c r="BR48" s="141"/>
      <c r="BS48" s="141"/>
      <c r="BT48" s="141"/>
      <c r="BU48" s="141"/>
      <c r="BV48" s="141"/>
      <c r="BW48" s="141"/>
      <c r="BX48" s="141"/>
      <c r="BY48" s="141"/>
      <c r="BZ48" s="141"/>
      <c r="CA48" s="141"/>
      <c r="CB48" s="141"/>
      <c r="CC48" s="141"/>
      <c r="CD48" s="141"/>
      <c r="CE48" s="141"/>
      <c r="CF48" s="141"/>
      <c r="CG48" s="141"/>
      <c r="CH48" s="141"/>
      <c r="CI48" s="141"/>
      <c r="CJ48" s="141"/>
      <c r="CK48" s="141"/>
      <c r="CL48" s="141"/>
    </row>
    <row r="49">
      <c r="A49" s="213"/>
      <c r="B49" s="263"/>
      <c r="C49" s="242"/>
      <c r="D49" s="398"/>
      <c r="E49" s="236"/>
      <c r="F49" s="235"/>
      <c r="G49" s="43"/>
      <c r="H49" s="211"/>
      <c r="I49" s="213"/>
      <c r="J49" s="217"/>
      <c r="K49" s="396"/>
      <c r="L49" s="396"/>
      <c r="M49" s="396"/>
      <c r="N49" s="396"/>
      <c r="O49" s="396"/>
      <c r="P49" s="396"/>
      <c r="Q49" s="396"/>
      <c r="R49" s="396"/>
      <c r="S49" s="393"/>
      <c r="T49" s="396"/>
      <c r="U49" s="396"/>
      <c r="V49" s="396"/>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c r="AW49" s="141"/>
      <c r="AX49" s="141"/>
      <c r="AY49" s="141"/>
      <c r="AZ49" s="141"/>
      <c r="BA49" s="141"/>
      <c r="BB49" s="141"/>
      <c r="BC49" s="141"/>
      <c r="BD49" s="141"/>
      <c r="BE49" s="141"/>
      <c r="BF49" s="141"/>
      <c r="BG49" s="141"/>
      <c r="BH49" s="141"/>
      <c r="BI49" s="141"/>
      <c r="BJ49" s="141"/>
      <c r="BK49" s="141"/>
      <c r="BL49" s="141"/>
      <c r="BM49" s="141"/>
      <c r="BN49" s="141"/>
      <c r="BO49" s="141"/>
      <c r="BP49" s="141"/>
      <c r="BQ49" s="141"/>
      <c r="BR49" s="141"/>
      <c r="BS49" s="141"/>
      <c r="BT49" s="141"/>
      <c r="BU49" s="141"/>
      <c r="BV49" s="141"/>
      <c r="BW49" s="141"/>
      <c r="BX49" s="141"/>
      <c r="BY49" s="141"/>
      <c r="BZ49" s="141"/>
      <c r="CA49" s="141"/>
      <c r="CB49" s="141"/>
      <c r="CC49" s="141"/>
      <c r="CD49" s="141"/>
      <c r="CE49" s="141"/>
      <c r="CF49" s="141"/>
      <c r="CG49" s="141"/>
      <c r="CH49" s="141"/>
      <c r="CI49" s="141"/>
      <c r="CJ49" s="141"/>
      <c r="CK49" s="141"/>
      <c r="CL49" s="141"/>
    </row>
    <row r="50">
      <c r="A50" s="213"/>
      <c r="B50" s="263"/>
      <c r="C50" s="242"/>
      <c r="D50" s="398"/>
      <c r="E50" s="236"/>
      <c r="F50" s="238"/>
      <c r="G50" s="397"/>
      <c r="H50" s="44"/>
      <c r="I50" s="221"/>
      <c r="J50" s="221"/>
      <c r="K50" s="396"/>
      <c r="L50" s="396"/>
      <c r="M50" s="396"/>
      <c r="N50" s="396"/>
      <c r="O50" s="396"/>
      <c r="P50" s="396"/>
      <c r="Q50" s="396"/>
      <c r="R50" s="396"/>
      <c r="S50" s="393"/>
      <c r="T50" s="396"/>
      <c r="U50" s="396"/>
      <c r="V50" s="396"/>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c r="AW50" s="141"/>
      <c r="AX50" s="141"/>
      <c r="AY50" s="141"/>
      <c r="AZ50" s="141"/>
      <c r="BA50" s="141"/>
      <c r="BB50" s="141"/>
      <c r="BC50" s="141"/>
      <c r="BD50" s="141"/>
      <c r="BE50" s="141"/>
      <c r="BF50" s="141"/>
      <c r="BG50" s="141"/>
      <c r="BH50" s="141"/>
      <c r="BI50" s="141"/>
      <c r="BJ50" s="141"/>
      <c r="BK50" s="141"/>
      <c r="BL50" s="141"/>
      <c r="BM50" s="141"/>
      <c r="BN50" s="141"/>
      <c r="BO50" s="141"/>
      <c r="BP50" s="141"/>
      <c r="BQ50" s="141"/>
      <c r="BR50" s="141"/>
      <c r="BS50" s="141"/>
      <c r="BT50" s="141"/>
      <c r="BU50" s="141"/>
      <c r="BV50" s="141"/>
      <c r="BW50" s="141"/>
      <c r="BX50" s="141"/>
      <c r="BY50" s="141"/>
      <c r="BZ50" s="141"/>
      <c r="CA50" s="141"/>
      <c r="CB50" s="141"/>
      <c r="CC50" s="141"/>
      <c r="CD50" s="141"/>
      <c r="CE50" s="141"/>
      <c r="CF50" s="141"/>
      <c r="CG50" s="141"/>
      <c r="CH50" s="141"/>
      <c r="CI50" s="141"/>
      <c r="CJ50" s="141"/>
      <c r="CK50" s="141"/>
      <c r="CL50" s="141"/>
    </row>
    <row r="51">
      <c r="A51" s="213"/>
      <c r="B51" s="263"/>
      <c r="C51" s="242"/>
      <c r="D51" s="398"/>
      <c r="E51" s="236"/>
      <c r="F51" s="235"/>
      <c r="G51" s="397"/>
      <c r="H51" s="44"/>
      <c r="I51" s="221"/>
      <c r="J51" s="221"/>
      <c r="K51" s="396"/>
      <c r="L51" s="396"/>
      <c r="M51" s="396"/>
      <c r="N51" s="396"/>
      <c r="O51" s="396"/>
      <c r="P51" s="396"/>
      <c r="Q51" s="396"/>
      <c r="R51" s="396"/>
      <c r="S51" s="393"/>
      <c r="T51" s="396"/>
      <c r="U51" s="396"/>
      <c r="V51" s="396"/>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41"/>
      <c r="BE51" s="141"/>
      <c r="BF51" s="141"/>
      <c r="BG51" s="141"/>
      <c r="BH51" s="141"/>
      <c r="BI51" s="141"/>
      <c r="BJ51" s="141"/>
      <c r="BK51" s="141"/>
      <c r="BL51" s="141"/>
      <c r="BM51" s="141"/>
      <c r="BN51" s="141"/>
      <c r="BO51" s="141"/>
      <c r="BP51" s="141"/>
      <c r="BQ51" s="141"/>
      <c r="BR51" s="141"/>
      <c r="BS51" s="141"/>
      <c r="BT51" s="141"/>
      <c r="BU51" s="141"/>
      <c r="BV51" s="141"/>
      <c r="BW51" s="141"/>
      <c r="BX51" s="141"/>
      <c r="BY51" s="141"/>
      <c r="BZ51" s="141"/>
      <c r="CA51" s="141"/>
      <c r="CB51" s="141"/>
      <c r="CC51" s="141"/>
      <c r="CD51" s="141"/>
      <c r="CE51" s="141"/>
      <c r="CF51" s="141"/>
      <c r="CG51" s="141"/>
      <c r="CH51" s="141"/>
      <c r="CI51" s="141"/>
      <c r="CJ51" s="141"/>
      <c r="CK51" s="141"/>
      <c r="CL51" s="141"/>
    </row>
    <row r="52">
      <c r="A52" s="213"/>
      <c r="B52" s="263"/>
      <c r="C52" s="242"/>
      <c r="D52" s="398"/>
      <c r="E52" s="236"/>
      <c r="F52" s="236"/>
      <c r="G52" s="397"/>
      <c r="H52" s="44"/>
      <c r="I52" s="221"/>
      <c r="J52" s="221"/>
      <c r="K52" s="396"/>
      <c r="L52" s="396"/>
      <c r="M52" s="396"/>
      <c r="N52" s="396"/>
      <c r="O52" s="396"/>
      <c r="P52" s="396"/>
      <c r="Q52" s="396"/>
      <c r="R52" s="396"/>
      <c r="S52" s="393"/>
      <c r="T52" s="396"/>
      <c r="U52" s="396"/>
      <c r="V52" s="396"/>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41"/>
      <c r="BF52" s="141"/>
      <c r="BG52" s="141"/>
      <c r="BH52" s="141"/>
      <c r="BI52" s="141"/>
      <c r="BJ52" s="141"/>
      <c r="BK52" s="141"/>
      <c r="BL52" s="141"/>
      <c r="BM52" s="141"/>
      <c r="BN52" s="141"/>
      <c r="BO52" s="141"/>
      <c r="BP52" s="141"/>
      <c r="BQ52" s="141"/>
      <c r="BR52" s="141"/>
      <c r="BS52" s="141"/>
      <c r="BT52" s="141"/>
      <c r="BU52" s="141"/>
      <c r="BV52" s="141"/>
      <c r="BW52" s="141"/>
      <c r="BX52" s="141"/>
      <c r="BY52" s="141"/>
      <c r="BZ52" s="141"/>
      <c r="CA52" s="141"/>
      <c r="CB52" s="141"/>
      <c r="CC52" s="141"/>
      <c r="CD52" s="141"/>
      <c r="CE52" s="141"/>
      <c r="CF52" s="141"/>
      <c r="CG52" s="141"/>
      <c r="CH52" s="141"/>
      <c r="CI52" s="141"/>
      <c r="CJ52" s="141"/>
      <c r="CK52" s="141"/>
      <c r="CL52" s="141"/>
    </row>
    <row r="53">
      <c r="A53" s="213"/>
      <c r="B53" s="263"/>
      <c r="C53" s="242"/>
      <c r="D53" s="398"/>
      <c r="E53" s="236"/>
      <c r="F53" s="236"/>
      <c r="G53" s="397"/>
      <c r="H53" s="44"/>
      <c r="I53" s="221"/>
      <c r="J53" s="221"/>
      <c r="K53" s="396"/>
      <c r="L53" s="396"/>
      <c r="M53" s="396"/>
      <c r="N53" s="396"/>
      <c r="O53" s="396"/>
      <c r="P53" s="396"/>
      <c r="Q53" s="396"/>
      <c r="R53" s="396"/>
      <c r="S53" s="393"/>
      <c r="T53" s="396"/>
      <c r="U53" s="396"/>
      <c r="V53" s="396"/>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41"/>
      <c r="BF53" s="141"/>
      <c r="BG53" s="141"/>
      <c r="BH53" s="141"/>
      <c r="BI53" s="141"/>
      <c r="BJ53" s="141"/>
      <c r="BK53" s="141"/>
      <c r="BL53" s="141"/>
      <c r="BM53" s="141"/>
      <c r="BN53" s="141"/>
      <c r="BO53" s="141"/>
      <c r="BP53" s="141"/>
      <c r="BQ53" s="141"/>
      <c r="BR53" s="141"/>
      <c r="BS53" s="141"/>
      <c r="BT53" s="141"/>
      <c r="BU53" s="141"/>
      <c r="BV53" s="141"/>
      <c r="BW53" s="141"/>
      <c r="BX53" s="141"/>
      <c r="BY53" s="141"/>
      <c r="BZ53" s="141"/>
      <c r="CA53" s="141"/>
      <c r="CB53" s="141"/>
      <c r="CC53" s="141"/>
      <c r="CD53" s="141"/>
      <c r="CE53" s="141"/>
      <c r="CF53" s="141"/>
      <c r="CG53" s="141"/>
      <c r="CH53" s="141"/>
      <c r="CI53" s="141"/>
      <c r="CJ53" s="141"/>
      <c r="CK53" s="141"/>
      <c r="CL53" s="141"/>
    </row>
    <row r="54">
      <c r="A54" s="213"/>
      <c r="B54" s="263"/>
      <c r="C54" s="242"/>
      <c r="D54" s="398"/>
      <c r="E54" s="236"/>
      <c r="F54" s="236"/>
      <c r="G54" s="397"/>
      <c r="H54" s="44"/>
      <c r="I54" s="221"/>
      <c r="J54" s="221"/>
      <c r="K54" s="396"/>
      <c r="L54" s="396"/>
      <c r="M54" s="396"/>
      <c r="N54" s="396"/>
      <c r="O54" s="396"/>
      <c r="P54" s="396"/>
      <c r="Q54" s="396"/>
      <c r="R54" s="396"/>
      <c r="S54" s="393"/>
      <c r="T54" s="396"/>
      <c r="U54" s="396"/>
      <c r="V54" s="396"/>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E54" s="141"/>
      <c r="BF54" s="141"/>
      <c r="BG54" s="141"/>
      <c r="BH54" s="141"/>
      <c r="BI54" s="141"/>
      <c r="BJ54" s="141"/>
      <c r="BK54" s="141"/>
      <c r="BL54" s="141"/>
      <c r="BM54" s="141"/>
      <c r="BN54" s="141"/>
      <c r="BO54" s="141"/>
      <c r="BP54" s="141"/>
      <c r="BQ54" s="141"/>
      <c r="BR54" s="141"/>
      <c r="BS54" s="141"/>
      <c r="BT54" s="141"/>
      <c r="BU54" s="141"/>
      <c r="BV54" s="141"/>
      <c r="BW54" s="141"/>
      <c r="BX54" s="141"/>
      <c r="BY54" s="141"/>
      <c r="BZ54" s="141"/>
      <c r="CA54" s="141"/>
      <c r="CB54" s="141"/>
      <c r="CC54" s="141"/>
      <c r="CD54" s="141"/>
      <c r="CE54" s="141"/>
      <c r="CF54" s="141"/>
      <c r="CG54" s="141"/>
      <c r="CH54" s="141"/>
      <c r="CI54" s="141"/>
      <c r="CJ54" s="141"/>
      <c r="CK54" s="141"/>
      <c r="CL54" s="141"/>
    </row>
    <row r="55">
      <c r="A55" s="213"/>
      <c r="B55" s="263"/>
      <c r="C55" s="242"/>
      <c r="D55" s="398"/>
      <c r="E55" s="236"/>
      <c r="F55" s="236"/>
      <c r="G55" s="397"/>
      <c r="H55" s="44"/>
      <c r="I55" s="217"/>
      <c r="J55" s="399"/>
      <c r="K55" s="396"/>
      <c r="L55" s="396"/>
      <c r="M55" s="396"/>
      <c r="N55" s="396"/>
      <c r="O55" s="396"/>
      <c r="P55" s="396"/>
      <c r="Q55" s="396"/>
      <c r="R55" s="396"/>
      <c r="S55" s="393"/>
      <c r="T55" s="396"/>
      <c r="U55" s="396"/>
      <c r="V55" s="396"/>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E55" s="141"/>
      <c r="BF55" s="141"/>
      <c r="BG55" s="141"/>
      <c r="BH55" s="141"/>
      <c r="BI55" s="141"/>
      <c r="BJ55" s="141"/>
      <c r="BK55" s="141"/>
      <c r="BL55" s="141"/>
      <c r="BM55" s="141"/>
      <c r="BN55" s="141"/>
      <c r="BO55" s="141"/>
      <c r="BP55" s="141"/>
      <c r="BQ55" s="141"/>
      <c r="BR55" s="141"/>
      <c r="BS55" s="141"/>
      <c r="BT55" s="141"/>
      <c r="BU55" s="141"/>
      <c r="BV55" s="141"/>
      <c r="BW55" s="141"/>
      <c r="BX55" s="141"/>
      <c r="BY55" s="141"/>
      <c r="BZ55" s="141"/>
      <c r="CA55" s="141"/>
      <c r="CB55" s="141"/>
      <c r="CC55" s="141"/>
      <c r="CD55" s="141"/>
      <c r="CE55" s="141"/>
      <c r="CF55" s="141"/>
      <c r="CG55" s="141"/>
      <c r="CH55" s="141"/>
      <c r="CI55" s="141"/>
      <c r="CJ55" s="141"/>
      <c r="CK55" s="141"/>
      <c r="CL55" s="141"/>
    </row>
    <row r="56">
      <c r="A56" s="213"/>
      <c r="B56" s="263"/>
      <c r="C56" s="242"/>
      <c r="D56" s="398"/>
      <c r="E56" s="236"/>
      <c r="F56" s="236"/>
      <c r="G56" s="397"/>
      <c r="H56" s="44"/>
      <c r="I56" s="221"/>
      <c r="J56" s="221"/>
      <c r="K56" s="396"/>
      <c r="L56" s="396"/>
      <c r="M56" s="396"/>
      <c r="N56" s="396"/>
      <c r="O56" s="396"/>
      <c r="P56" s="396"/>
      <c r="Q56" s="396"/>
      <c r="R56" s="396"/>
      <c r="S56" s="393"/>
      <c r="T56" s="396"/>
      <c r="U56" s="396"/>
      <c r="V56" s="396"/>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E56" s="141"/>
      <c r="BF56" s="141"/>
      <c r="BG56" s="141"/>
      <c r="BH56" s="141"/>
      <c r="BI56" s="141"/>
      <c r="BJ56" s="141"/>
      <c r="BK56" s="141"/>
      <c r="BL56" s="141"/>
      <c r="BM56" s="141"/>
      <c r="BN56" s="141"/>
      <c r="BO56" s="141"/>
      <c r="BP56" s="141"/>
      <c r="BQ56" s="141"/>
      <c r="BR56" s="141"/>
      <c r="BS56" s="141"/>
      <c r="BT56" s="141"/>
      <c r="BU56" s="141"/>
      <c r="BV56" s="141"/>
      <c r="BW56" s="141"/>
      <c r="BX56" s="141"/>
      <c r="BY56" s="141"/>
      <c r="BZ56" s="141"/>
      <c r="CA56" s="141"/>
      <c r="CB56" s="141"/>
      <c r="CC56" s="141"/>
      <c r="CD56" s="141"/>
      <c r="CE56" s="141"/>
      <c r="CF56" s="141"/>
      <c r="CG56" s="141"/>
      <c r="CH56" s="141"/>
      <c r="CI56" s="141"/>
      <c r="CJ56" s="141"/>
      <c r="CK56" s="141"/>
      <c r="CL56" s="141"/>
    </row>
  </sheetData>
  <autoFilter ref="$G$1:$J$56"/>
  <mergeCells count="23">
    <mergeCell ref="C7:C8"/>
    <mergeCell ref="D7:D8"/>
    <mergeCell ref="F7:F8"/>
    <mergeCell ref="G7:J7"/>
    <mergeCell ref="K7:N7"/>
    <mergeCell ref="O7:R7"/>
    <mergeCell ref="S7:V7"/>
    <mergeCell ref="B2:E2"/>
    <mergeCell ref="A3:B3"/>
    <mergeCell ref="C3:D3"/>
    <mergeCell ref="A4:B4"/>
    <mergeCell ref="C4:D4"/>
    <mergeCell ref="A7:A8"/>
    <mergeCell ref="B7:B8"/>
    <mergeCell ref="B29:F29"/>
    <mergeCell ref="A31:F31"/>
    <mergeCell ref="E7:E8"/>
    <mergeCell ref="A9:F9"/>
    <mergeCell ref="A13:F13"/>
    <mergeCell ref="B14:F14"/>
    <mergeCell ref="B16:F16"/>
    <mergeCell ref="B20:F20"/>
    <mergeCell ref="B27:F27"/>
  </mergeCells>
  <conditionalFormatting sqref="G9:G12 K9:K56 O9:O56 S9:S56 G17:G39 W17:W39 AA17:AA39 AE17:AE39 AI17:AI39 AM17:AM39 AQ17:AQ39 AU17:AU39 AY17:AY39">
    <cfRule type="cellIs" dxfId="0" priority="1" operator="equal">
      <formula>"Block"</formula>
    </cfRule>
  </conditionalFormatting>
  <conditionalFormatting sqref="G9:G12 K9:K56 O9:O56 S9:S56 G17:G39 W17:W39 AA17:AA39 AE17:AE39 AI17:AI39 AM17:AM39 AQ17:AQ39 AU17:AU39 AY17:AY39">
    <cfRule type="cellIs" dxfId="1" priority="2" operator="equal">
      <formula>"Fail"</formula>
    </cfRule>
  </conditionalFormatting>
  <conditionalFormatting sqref="G9:G12 K9:K56 O9:O56 S9:S56 G17:G39 W17:W39 AA17:AA39 AE17:AE39 AI17:AI39 AM17:AM39 AQ17:AQ39 AU17:AU39 AY17:AY39">
    <cfRule type="cellIs" dxfId="2" priority="3" operator="equal">
      <formula>"Pass"</formula>
    </cfRule>
  </conditionalFormatting>
  <conditionalFormatting sqref="G9:G12 K9:K56 O9:O56 S9:S56 G17:G39 W17:W39 AA17:AA39 AE17:AE39 AI17:AI39 AM17:AM39 AQ17:AQ39 AU17:AU39 AY17:AY39">
    <cfRule type="cellIs" dxfId="3" priority="4" operator="equal">
      <formula>"N/A"</formula>
    </cfRule>
  </conditionalFormatting>
  <conditionalFormatting sqref="G9:G56 K9:K56 O9:O56 S9:S56">
    <cfRule type="cellIs" dxfId="4" priority="5" operator="equal">
      <formula>"Block"</formula>
    </cfRule>
  </conditionalFormatting>
  <conditionalFormatting sqref="G9:G56 K9:K56 O9:O56 S9:S56">
    <cfRule type="cellIs" dxfId="5" priority="6" operator="equal">
      <formula>"Fail"</formula>
    </cfRule>
  </conditionalFormatting>
  <conditionalFormatting sqref="G9:G56 K9:K56 O9:O56 S9:S56">
    <cfRule type="cellIs" dxfId="6" priority="7" operator="equal">
      <formula>"Pass"</formula>
    </cfRule>
  </conditionalFormatting>
  <conditionalFormatting sqref="G9:G56 K9:K56 O9:O56 S9:S56">
    <cfRule type="cellIs" dxfId="7" priority="8" operator="equal">
      <formula>"N/A"</formula>
    </cfRule>
  </conditionalFormatting>
  <conditionalFormatting sqref="G31:G39">
    <cfRule type="cellIs" dxfId="4" priority="9" operator="equal">
      <formula>"Block"</formula>
    </cfRule>
  </conditionalFormatting>
  <conditionalFormatting sqref="G31:G39">
    <cfRule type="cellIs" dxfId="5" priority="10" operator="equal">
      <formula>"Fail"</formula>
    </cfRule>
  </conditionalFormatting>
  <conditionalFormatting sqref="G31:G39">
    <cfRule type="cellIs" dxfId="6" priority="11" operator="equal">
      <formula>"Pass"</formula>
    </cfRule>
  </conditionalFormatting>
  <conditionalFormatting sqref="G31:G39">
    <cfRule type="cellIs" dxfId="7" priority="12" operator="equal">
      <formula>"N/A"</formula>
    </cfRule>
  </conditionalFormatting>
  <conditionalFormatting sqref="G9:G56 K9:K56 O9:O56 S9:S56">
    <cfRule type="cellIs" dxfId="0" priority="13" operator="equal">
      <formula>"Block"</formula>
    </cfRule>
  </conditionalFormatting>
  <conditionalFormatting sqref="G9:G56 K9:K56 O9:O56 S9:S56">
    <cfRule type="cellIs" dxfId="1" priority="14" operator="equal">
      <formula>"Fail"</formula>
    </cfRule>
  </conditionalFormatting>
  <conditionalFormatting sqref="G9:G56 K9:K56 O9:O56 S9:S56">
    <cfRule type="cellIs" dxfId="2" priority="15" operator="equal">
      <formula>"Pass"</formula>
    </cfRule>
  </conditionalFormatting>
  <conditionalFormatting sqref="G9:G56 K9:K56 O9:O56 S9:S56">
    <cfRule type="cellIs" dxfId="3" priority="16" operator="equal">
      <formula>"N/A"</formula>
    </cfRule>
  </conditionalFormatting>
  <dataValidations>
    <dataValidation type="list" allowBlank="1" showErrorMessage="1" sqref="W17:W19 AA17:AA19 AE17:AE19 AI17:AI19 AM17:AM19 AQ17:AQ19 AU17:AU19 AY17:AY19 W21:W26 AA21:AA26 AE21:AE26 AI21:AI26 AM21:AM26 AQ21:AQ26 AU21:AU26 AY21:AY26 W29 AA29 AE29 AI29 AM29 W32:W39 AA32:AA39 AE32:AE39 AI32:AI39 AM32:AM39 AQ32:AQ39 AU32:AU39 AY32:AY39 G9:G56 K9:K56 O9:O56 S9:S56">
      <formula1>"Pass,Fail,Block,N/A"</formula1>
    </dataValidation>
    <dataValidation type="list" allowBlank="1" showErrorMessage="1" sqref="B10:B12 B15 B17:B19 B21:B26 B28 B30 B32:B56">
      <formula1>"High,Medium,Low"</formula1>
    </dataValidation>
  </dataValidations>
  <hyperlinks>
    <hyperlink display="Block hiển thị thông tin gồm:&#10;Title Sản phẩm dịch vụ đã chọn (Số lượng)&#10;- Icon Gói dịch vụ &#10;- Tên gói dịch vụ &#10;- Chu kỳ gói dịch vụ &#10;- Giá tiền&#10;* refer sheet: Thông tin chung" location="'Thông tin chung'!A1" ref="F15"/>
    <hyperlink display="Hiển thị các trường thông tin gồm: &#10;- Số điện thoại&#10;- Địa chỉ (nếu có nhập địa chỉ)&#10;- icon collapse (mặc định)" location="'Thông tin chung'!A1" ref="F28"/>
    <hyperlink r:id="rId1" ref="I28"/>
    <hyperlink display="Hiển thị các thông tin gồm &#10;+ Tên gói - chu kỳ - giá tiền&#10;+ Textbox Nhập ưu đãi - hyperlink Chọn ưu đãi - Button Áp dụng&#10;+ Cần thanh toán - Giá tiền&#10;+ Button Thanh toán&#10;+ icon collapse (mặc định)&#10;+ Text (Bằng việc nhấn vào nút Thanh toán bạn đã đồng ý với các &lt;linktext&gt; điều khoản của FPT Telecom" location="'Thông tin chung'!A1" ref="F30"/>
    <hyperlink r:id="rId2" ref="I33"/>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outlineLevel="1">
      <c r="A1" s="349"/>
      <c r="B1" s="173"/>
      <c r="C1" s="175"/>
      <c r="D1" s="175"/>
      <c r="E1" s="176"/>
      <c r="F1" s="177"/>
      <c r="G1" s="350"/>
      <c r="H1" s="351"/>
      <c r="I1" s="178"/>
      <c r="J1" s="179"/>
      <c r="K1" s="352"/>
      <c r="L1" s="351"/>
      <c r="M1" s="351"/>
      <c r="N1" s="353"/>
      <c r="O1" s="352"/>
      <c r="P1" s="351"/>
      <c r="Q1" s="351"/>
      <c r="R1" s="353"/>
      <c r="S1" s="352"/>
      <c r="T1" s="351"/>
      <c r="U1" s="351"/>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3"/>
      <c r="CH1" s="353"/>
      <c r="CI1" s="353"/>
      <c r="CJ1" s="353"/>
      <c r="CK1" s="353"/>
      <c r="CL1" s="353"/>
    </row>
    <row r="2" outlineLevel="1">
      <c r="A2" s="180"/>
      <c r="B2" s="354"/>
      <c r="C2" s="182"/>
      <c r="D2" s="182"/>
      <c r="E2" s="182"/>
      <c r="F2" s="183"/>
      <c r="G2" s="350"/>
      <c r="H2" s="351"/>
      <c r="I2" s="178"/>
      <c r="J2" s="179"/>
      <c r="K2" s="352"/>
      <c r="L2" s="351"/>
      <c r="M2" s="351"/>
      <c r="N2" s="353"/>
      <c r="O2" s="352"/>
      <c r="P2" s="351"/>
      <c r="Q2" s="351"/>
      <c r="R2" s="353"/>
      <c r="S2" s="352"/>
      <c r="T2" s="351"/>
      <c r="U2" s="351"/>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353"/>
      <c r="AU2" s="353"/>
      <c r="AV2" s="353"/>
      <c r="AW2" s="353"/>
      <c r="AX2" s="353"/>
      <c r="AY2" s="353"/>
      <c r="AZ2" s="353"/>
      <c r="BA2" s="353"/>
      <c r="BB2" s="353"/>
      <c r="BC2" s="353"/>
      <c r="BD2" s="353"/>
      <c r="BE2" s="353"/>
      <c r="BF2" s="353"/>
      <c r="BG2" s="353"/>
      <c r="BH2" s="353"/>
      <c r="BI2" s="353"/>
      <c r="BJ2" s="353"/>
      <c r="BK2" s="353"/>
      <c r="BL2" s="353"/>
      <c r="BM2" s="353"/>
      <c r="BN2" s="353"/>
      <c r="BO2" s="353"/>
      <c r="BP2" s="353"/>
      <c r="BQ2" s="353"/>
      <c r="BR2" s="353"/>
      <c r="BS2" s="353"/>
      <c r="BT2" s="353"/>
      <c r="BU2" s="353"/>
      <c r="BV2" s="353"/>
      <c r="BW2" s="353"/>
      <c r="BX2" s="353"/>
      <c r="BY2" s="353"/>
      <c r="BZ2" s="353"/>
      <c r="CA2" s="353"/>
      <c r="CB2" s="353"/>
      <c r="CC2" s="353"/>
      <c r="CD2" s="353"/>
      <c r="CE2" s="353"/>
      <c r="CF2" s="353"/>
      <c r="CG2" s="353"/>
      <c r="CH2" s="353"/>
      <c r="CI2" s="353"/>
      <c r="CJ2" s="353"/>
      <c r="CK2" s="353"/>
      <c r="CL2" s="353"/>
    </row>
    <row r="3" outlineLevel="1">
      <c r="A3" s="355" t="s">
        <v>114</v>
      </c>
      <c r="B3" s="118"/>
      <c r="C3" s="400" t="s">
        <v>108</v>
      </c>
      <c r="D3" s="118"/>
      <c r="E3" s="186"/>
      <c r="F3" s="187"/>
      <c r="G3" s="350"/>
      <c r="H3" s="351"/>
      <c r="I3" s="178"/>
      <c r="J3" s="186"/>
      <c r="K3" s="352"/>
      <c r="L3" s="351"/>
      <c r="M3" s="351"/>
      <c r="N3" s="356"/>
      <c r="O3" s="352"/>
      <c r="P3" s="351"/>
      <c r="Q3" s="351"/>
      <c r="R3" s="356"/>
      <c r="S3" s="352"/>
      <c r="T3" s="351"/>
      <c r="U3" s="351"/>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row>
    <row r="4" outlineLevel="1">
      <c r="A4" s="355" t="s">
        <v>115</v>
      </c>
      <c r="B4" s="118"/>
      <c r="C4" s="188" t="s">
        <v>26</v>
      </c>
      <c r="D4" s="118"/>
      <c r="E4" s="186"/>
      <c r="F4" s="187"/>
      <c r="G4" s="350"/>
      <c r="H4" s="351"/>
      <c r="I4" s="178"/>
      <c r="J4" s="186"/>
      <c r="K4" s="352"/>
      <c r="L4" s="351"/>
      <c r="M4" s="351"/>
      <c r="N4" s="356"/>
      <c r="O4" s="352"/>
      <c r="P4" s="351"/>
      <c r="Q4" s="351"/>
      <c r="R4" s="356"/>
      <c r="S4" s="352"/>
      <c r="T4" s="351"/>
      <c r="U4" s="351"/>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6"/>
      <c r="BM4" s="356"/>
      <c r="BN4" s="356"/>
      <c r="BO4" s="356"/>
      <c r="BP4" s="356"/>
      <c r="BQ4" s="356"/>
      <c r="BR4" s="356"/>
      <c r="BS4" s="356"/>
      <c r="BT4" s="356"/>
      <c r="BU4" s="356"/>
      <c r="BV4" s="356"/>
      <c r="BW4" s="356"/>
      <c r="BX4" s="356"/>
      <c r="BY4" s="356"/>
      <c r="BZ4" s="356"/>
      <c r="CA4" s="356"/>
      <c r="CB4" s="356"/>
      <c r="CC4" s="356"/>
      <c r="CD4" s="356"/>
      <c r="CE4" s="356"/>
      <c r="CF4" s="356"/>
      <c r="CG4" s="356"/>
      <c r="CH4" s="356"/>
      <c r="CI4" s="356"/>
      <c r="CJ4" s="356"/>
      <c r="CK4" s="356"/>
      <c r="CL4" s="356"/>
    </row>
    <row r="5" outlineLevel="1">
      <c r="A5" s="190"/>
      <c r="B5" s="190"/>
      <c r="C5" s="190"/>
      <c r="D5" s="190"/>
      <c r="E5" s="191"/>
      <c r="F5" s="192"/>
      <c r="G5" s="350"/>
      <c r="H5" s="351"/>
      <c r="I5" s="178"/>
      <c r="J5" s="179"/>
      <c r="K5" s="352"/>
      <c r="L5" s="351"/>
      <c r="M5" s="351"/>
      <c r="N5" s="353"/>
      <c r="O5" s="352"/>
      <c r="P5" s="351"/>
      <c r="Q5" s="351"/>
      <c r="R5" s="353"/>
      <c r="S5" s="352"/>
      <c r="T5" s="351"/>
      <c r="U5" s="351"/>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c r="BI5" s="353"/>
      <c r="BJ5" s="353"/>
      <c r="BK5" s="353"/>
      <c r="BL5" s="353"/>
      <c r="BM5" s="353"/>
      <c r="BN5" s="353"/>
      <c r="BO5" s="353"/>
      <c r="BP5" s="353"/>
      <c r="BQ5" s="353"/>
      <c r="BR5" s="353"/>
      <c r="BS5" s="353"/>
      <c r="BT5" s="353"/>
      <c r="BU5" s="353"/>
      <c r="BV5" s="353"/>
      <c r="BW5" s="353"/>
      <c r="BX5" s="353"/>
      <c r="BY5" s="353"/>
      <c r="BZ5" s="353"/>
      <c r="CA5" s="353"/>
      <c r="CB5" s="353"/>
      <c r="CC5" s="353"/>
      <c r="CD5" s="353"/>
      <c r="CE5" s="353"/>
      <c r="CF5" s="353"/>
      <c r="CG5" s="353"/>
      <c r="CH5" s="353"/>
      <c r="CI5" s="353"/>
      <c r="CJ5" s="353"/>
      <c r="CK5" s="353"/>
      <c r="CL5" s="353"/>
    </row>
    <row r="6" outlineLevel="1">
      <c r="A6" s="194"/>
      <c r="B6" s="194"/>
      <c r="C6" s="194"/>
      <c r="D6" s="194"/>
      <c r="E6" s="195"/>
      <c r="F6" s="192"/>
      <c r="G6" s="350"/>
      <c r="H6" s="351"/>
      <c r="I6" s="178"/>
      <c r="J6" s="179"/>
      <c r="K6" s="352"/>
      <c r="L6" s="351"/>
      <c r="M6" s="351"/>
      <c r="N6" s="353"/>
      <c r="O6" s="352"/>
      <c r="P6" s="351"/>
      <c r="Q6" s="351"/>
      <c r="R6" s="353"/>
      <c r="S6" s="352"/>
      <c r="T6" s="351"/>
      <c r="U6" s="351"/>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row>
    <row r="7">
      <c r="A7" s="142" t="s">
        <v>116</v>
      </c>
      <c r="B7" s="142" t="s">
        <v>117</v>
      </c>
      <c r="C7" s="142" t="s">
        <v>118</v>
      </c>
      <c r="D7" s="142" t="s">
        <v>119</v>
      </c>
      <c r="E7" s="142" t="s">
        <v>120</v>
      </c>
      <c r="F7" s="197" t="s">
        <v>121</v>
      </c>
      <c r="G7" s="198" t="str">
        <f>Summary!G8</f>
        <v>Round 1 (09/04/2026 - 15/04/2026)</v>
      </c>
      <c r="H7" s="199"/>
      <c r="I7" s="199"/>
      <c r="J7" s="200"/>
      <c r="K7" s="198" t="str">
        <f>Summary!L8</f>
        <v>Round 2 (dd/mm/yyyy - dd/mm/yyyy)</v>
      </c>
      <c r="L7" s="199"/>
      <c r="M7" s="199"/>
      <c r="N7" s="200"/>
      <c r="O7" s="201" t="str">
        <f>Summary!Q8</f>
        <v>Round 3(dd/mm/yyyy - dd/mm/yyyy)</v>
      </c>
      <c r="P7" s="144"/>
      <c r="Q7" s="144"/>
      <c r="R7" s="167"/>
      <c r="S7" s="201" t="str">
        <f>Summary!V8</f>
        <v>Round 4 (dd/mm/yyyy - dd/mm/yyyy)</v>
      </c>
      <c r="T7" s="144"/>
      <c r="U7" s="144"/>
      <c r="V7" s="167"/>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row>
    <row r="8">
      <c r="A8" s="56"/>
      <c r="B8" s="56"/>
      <c r="C8" s="56"/>
      <c r="D8" s="56"/>
      <c r="E8" s="56"/>
      <c r="F8" s="56"/>
      <c r="G8" s="203" t="s">
        <v>122</v>
      </c>
      <c r="H8" s="203" t="s">
        <v>123</v>
      </c>
      <c r="I8" s="203" t="s">
        <v>124</v>
      </c>
      <c r="J8" s="203" t="s">
        <v>125</v>
      </c>
      <c r="K8" s="203" t="s">
        <v>122</v>
      </c>
      <c r="L8" s="203" t="s">
        <v>123</v>
      </c>
      <c r="M8" s="203" t="s">
        <v>124</v>
      </c>
      <c r="N8" s="203" t="s">
        <v>125</v>
      </c>
      <c r="O8" s="203" t="s">
        <v>122</v>
      </c>
      <c r="P8" s="203" t="s">
        <v>123</v>
      </c>
      <c r="Q8" s="203" t="s">
        <v>124</v>
      </c>
      <c r="R8" s="203" t="s">
        <v>125</v>
      </c>
      <c r="S8" s="203" t="s">
        <v>122</v>
      </c>
      <c r="T8" s="203" t="s">
        <v>123</v>
      </c>
      <c r="U8" s="203" t="s">
        <v>124</v>
      </c>
      <c r="V8" s="203" t="s">
        <v>125</v>
      </c>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row>
    <row r="9">
      <c r="A9" s="357" t="s">
        <v>595</v>
      </c>
      <c r="B9" s="144"/>
      <c r="C9" s="144"/>
      <c r="D9" s="144"/>
      <c r="E9" s="144"/>
      <c r="F9" s="167"/>
      <c r="G9" s="358"/>
      <c r="H9" s="401"/>
      <c r="I9" s="359"/>
      <c r="J9" s="359"/>
      <c r="K9" s="359"/>
      <c r="L9" s="359"/>
      <c r="M9" s="359"/>
      <c r="N9" s="359"/>
      <c r="O9" s="359"/>
      <c r="P9" s="359"/>
      <c r="Q9" s="359"/>
      <c r="R9" s="359"/>
      <c r="S9" s="358"/>
      <c r="T9" s="359"/>
      <c r="U9" s="359"/>
      <c r="V9" s="359"/>
      <c r="W9" s="360"/>
      <c r="X9" s="360"/>
      <c r="Y9" s="360"/>
      <c r="Z9" s="360"/>
      <c r="AA9" s="360"/>
      <c r="AB9" s="360"/>
      <c r="AC9" s="360"/>
      <c r="AD9" s="360"/>
      <c r="AE9" s="360"/>
      <c r="AF9" s="360"/>
      <c r="AG9" s="360"/>
      <c r="AH9" s="360"/>
      <c r="AI9" s="360"/>
      <c r="AJ9" s="360"/>
      <c r="AK9" s="360"/>
      <c r="AL9" s="360"/>
      <c r="AM9" s="360"/>
      <c r="AN9" s="360"/>
      <c r="AO9" s="360"/>
      <c r="AP9" s="360"/>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6"/>
      <c r="BQ9" s="246"/>
      <c r="BR9" s="246"/>
      <c r="BS9" s="246"/>
      <c r="BT9" s="246"/>
      <c r="BU9" s="246"/>
      <c r="BV9" s="246"/>
      <c r="BW9" s="246"/>
      <c r="BX9" s="246"/>
      <c r="BY9" s="246"/>
      <c r="BZ9" s="246"/>
      <c r="CA9" s="246"/>
      <c r="CB9" s="246"/>
      <c r="CC9" s="246"/>
      <c r="CD9" s="246"/>
      <c r="CE9" s="246"/>
      <c r="CF9" s="246"/>
      <c r="CG9" s="246"/>
      <c r="CH9" s="246"/>
      <c r="CI9" s="246"/>
      <c r="CJ9" s="246"/>
      <c r="CK9" s="246"/>
      <c r="CL9" s="246"/>
    </row>
    <row r="10" outlineLevel="1">
      <c r="A10" s="213" t="str">
        <f t="shared" ref="A10:A12" si="1">IF(E10="","",$C$3&amp;"."&amp;COUNTA($E$9:E10)&amp;"")</f>
        <v>TC_03.1</v>
      </c>
      <c r="B10" s="214" t="s">
        <v>65</v>
      </c>
      <c r="C10" s="217" t="s">
        <v>681</v>
      </c>
      <c r="D10" s="358"/>
      <c r="E10" s="217" t="s">
        <v>682</v>
      </c>
      <c r="F10" s="217" t="s">
        <v>598</v>
      </c>
      <c r="G10" s="43" t="s">
        <v>56</v>
      </c>
      <c r="H10" s="211" t="s">
        <v>135</v>
      </c>
      <c r="I10" s="213"/>
      <c r="J10" s="221"/>
      <c r="K10" s="220"/>
      <c r="L10" s="213"/>
      <c r="M10" s="213"/>
      <c r="N10" s="221"/>
      <c r="O10" s="220"/>
      <c r="P10" s="213"/>
      <c r="Q10" s="213"/>
      <c r="R10" s="221"/>
      <c r="S10" s="43"/>
      <c r="T10" s="213"/>
      <c r="U10" s="213"/>
      <c r="V10" s="221"/>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row>
    <row r="11" outlineLevel="1">
      <c r="A11" s="213" t="str">
        <f t="shared" si="1"/>
        <v>TC_03.2</v>
      </c>
      <c r="B11" s="214" t="s">
        <v>65</v>
      </c>
      <c r="C11" s="238" t="s">
        <v>599</v>
      </c>
      <c r="D11" s="358"/>
      <c r="E11" s="362" t="s">
        <v>683</v>
      </c>
      <c r="F11" s="238" t="s">
        <v>601</v>
      </c>
      <c r="G11" s="43" t="s">
        <v>56</v>
      </c>
      <c r="H11" s="211" t="s">
        <v>135</v>
      </c>
      <c r="I11" s="213"/>
      <c r="J11" s="221"/>
      <c r="K11" s="220"/>
      <c r="L11" s="213"/>
      <c r="M11" s="213"/>
      <c r="N11" s="221"/>
      <c r="O11" s="220"/>
      <c r="P11" s="213"/>
      <c r="Q11" s="213"/>
      <c r="R11" s="221"/>
      <c r="S11" s="43"/>
      <c r="T11" s="213"/>
      <c r="U11" s="213"/>
      <c r="V11" s="221"/>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row>
    <row r="12" outlineLevel="1">
      <c r="A12" s="213" t="str">
        <f t="shared" si="1"/>
        <v>TC_03.3</v>
      </c>
      <c r="B12" s="211" t="s">
        <v>67</v>
      </c>
      <c r="C12" s="217" t="s">
        <v>684</v>
      </c>
      <c r="D12" s="358"/>
      <c r="E12" s="362" t="s">
        <v>685</v>
      </c>
      <c r="F12" s="217" t="s">
        <v>686</v>
      </c>
      <c r="G12" s="43" t="s">
        <v>56</v>
      </c>
      <c r="H12" s="211" t="s">
        <v>135</v>
      </c>
      <c r="I12" s="213"/>
      <c r="J12" s="221"/>
      <c r="K12" s="220"/>
      <c r="L12" s="213"/>
      <c r="M12" s="213"/>
      <c r="N12" s="221"/>
      <c r="O12" s="220"/>
      <c r="P12" s="213"/>
      <c r="Q12" s="213"/>
      <c r="R12" s="221"/>
      <c r="S12" s="43"/>
      <c r="T12" s="213"/>
      <c r="U12" s="213"/>
      <c r="V12" s="221"/>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row>
    <row r="13">
      <c r="A13" s="363" t="s">
        <v>605</v>
      </c>
      <c r="B13" s="144"/>
      <c r="C13" s="144"/>
      <c r="D13" s="144"/>
      <c r="E13" s="144"/>
      <c r="F13" s="167"/>
      <c r="G13" s="43"/>
      <c r="H13" s="244"/>
      <c r="I13" s="244"/>
      <c r="J13" s="245"/>
      <c r="K13" s="220"/>
      <c r="L13" s="244"/>
      <c r="M13" s="244"/>
      <c r="N13" s="245"/>
      <c r="O13" s="220"/>
      <c r="P13" s="244"/>
      <c r="Q13" s="244"/>
      <c r="R13" s="245"/>
      <c r="S13" s="43"/>
      <c r="T13" s="244"/>
      <c r="U13" s="244"/>
      <c r="V13" s="245"/>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6"/>
      <c r="CE13" s="246"/>
      <c r="CF13" s="246"/>
      <c r="CG13" s="246"/>
      <c r="CH13" s="246"/>
      <c r="CI13" s="246"/>
      <c r="CJ13" s="246"/>
      <c r="CK13" s="246"/>
      <c r="CL13" s="246"/>
    </row>
    <row r="14">
      <c r="A14" s="244" t="str">
        <f>IF(C14="","",$C$3&amp;"."&amp;COUNTA($C$9:C14)&amp;"")</f>
        <v/>
      </c>
      <c r="B14" s="364" t="s">
        <v>606</v>
      </c>
      <c r="C14" s="144"/>
      <c r="D14" s="144"/>
      <c r="E14" s="144"/>
      <c r="F14" s="167"/>
      <c r="G14" s="43"/>
      <c r="H14" s="244"/>
      <c r="I14" s="244"/>
      <c r="J14" s="245"/>
      <c r="K14" s="220"/>
      <c r="L14" s="244"/>
      <c r="M14" s="244"/>
      <c r="N14" s="245"/>
      <c r="O14" s="220"/>
      <c r="P14" s="244"/>
      <c r="Q14" s="244"/>
      <c r="R14" s="245"/>
      <c r="S14" s="43"/>
      <c r="T14" s="244"/>
      <c r="U14" s="244"/>
      <c r="V14" s="245"/>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6"/>
      <c r="CE14" s="246"/>
      <c r="CF14" s="246"/>
      <c r="CG14" s="246"/>
      <c r="CH14" s="246"/>
      <c r="CI14" s="246"/>
      <c r="CJ14" s="246"/>
      <c r="CK14" s="246"/>
      <c r="CL14" s="246"/>
    </row>
    <row r="15" outlineLevel="1">
      <c r="A15" s="213" t="str">
        <f>IF(E15="","",$C$3&amp;"."&amp;COUNTA($E$9:E15)&amp;"")</f>
        <v>TC_03.4</v>
      </c>
      <c r="B15" s="211" t="s">
        <v>67</v>
      </c>
      <c r="C15" s="227" t="s">
        <v>607</v>
      </c>
      <c r="D15" s="227" t="s">
        <v>687</v>
      </c>
      <c r="E15" s="217" t="s">
        <v>688</v>
      </c>
      <c r="F15" s="402" t="s">
        <v>689</v>
      </c>
      <c r="G15" s="43" t="s">
        <v>56</v>
      </c>
      <c r="H15" s="247" t="s">
        <v>135</v>
      </c>
      <c r="I15" s="244"/>
      <c r="J15" s="245"/>
      <c r="K15" s="220"/>
      <c r="L15" s="244"/>
      <c r="M15" s="244"/>
      <c r="N15" s="245"/>
      <c r="O15" s="220"/>
      <c r="P15" s="244"/>
      <c r="Q15" s="244"/>
      <c r="R15" s="245"/>
      <c r="S15" s="43"/>
      <c r="T15" s="244"/>
      <c r="U15" s="244"/>
      <c r="V15" s="245"/>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6"/>
      <c r="BQ15" s="246"/>
      <c r="BR15" s="246"/>
      <c r="BS15" s="246"/>
      <c r="BT15" s="246"/>
      <c r="BU15" s="246"/>
      <c r="BV15" s="246"/>
      <c r="BW15" s="246"/>
      <c r="BX15" s="246"/>
      <c r="BY15" s="246"/>
      <c r="BZ15" s="246"/>
      <c r="CA15" s="246"/>
      <c r="CB15" s="246"/>
      <c r="CC15" s="246"/>
      <c r="CD15" s="246"/>
      <c r="CE15" s="246"/>
      <c r="CF15" s="246"/>
      <c r="CG15" s="246"/>
      <c r="CH15" s="246"/>
      <c r="CI15" s="246"/>
      <c r="CJ15" s="246"/>
      <c r="CK15" s="246"/>
      <c r="CL15" s="246"/>
    </row>
    <row r="16">
      <c r="A16" s="244" t="str">
        <f>IF(C16="","",$C$3&amp;"."&amp;COUNTA($C$9:C16)&amp;"")</f>
        <v/>
      </c>
      <c r="B16" s="364" t="s">
        <v>610</v>
      </c>
      <c r="C16" s="144"/>
      <c r="D16" s="144"/>
      <c r="E16" s="144"/>
      <c r="F16" s="167"/>
      <c r="G16" s="43"/>
      <c r="H16" s="244"/>
      <c r="I16" s="244"/>
      <c r="J16" s="245"/>
      <c r="K16" s="220"/>
      <c r="L16" s="244"/>
      <c r="M16" s="244"/>
      <c r="N16" s="245"/>
      <c r="O16" s="220"/>
      <c r="P16" s="244"/>
      <c r="Q16" s="244"/>
      <c r="R16" s="245"/>
      <c r="S16" s="43"/>
      <c r="T16" s="244"/>
      <c r="U16" s="244"/>
      <c r="V16" s="245"/>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6"/>
      <c r="CB16" s="246"/>
      <c r="CC16" s="246"/>
      <c r="CD16" s="246"/>
      <c r="CE16" s="246"/>
      <c r="CF16" s="246"/>
      <c r="CG16" s="246"/>
      <c r="CH16" s="246"/>
      <c r="CI16" s="246"/>
      <c r="CJ16" s="246"/>
      <c r="CK16" s="246"/>
      <c r="CL16" s="246"/>
    </row>
    <row r="17" outlineLevel="1">
      <c r="A17" s="244" t="str">
        <f t="shared" ref="A17:A18" si="2">IF(E17="","",$C$3&amp;"."&amp;COUNTA($E$9:E17)&amp;"")</f>
        <v>TC_03.5</v>
      </c>
      <c r="B17" s="233" t="s">
        <v>67</v>
      </c>
      <c r="C17" s="368" t="s">
        <v>611</v>
      </c>
      <c r="D17" s="367"/>
      <c r="E17" s="368" t="s">
        <v>690</v>
      </c>
      <c r="F17" s="368" t="s">
        <v>691</v>
      </c>
      <c r="G17" s="44" t="s">
        <v>56</v>
      </c>
      <c r="H17" s="44" t="s">
        <v>135</v>
      </c>
      <c r="I17" s="303" t="s">
        <v>692</v>
      </c>
      <c r="J17" s="403" t="s">
        <v>646</v>
      </c>
      <c r="K17" s="43"/>
      <c r="L17" s="247"/>
      <c r="M17" s="248"/>
      <c r="N17" s="249"/>
      <c r="O17" s="250"/>
      <c r="P17" s="247"/>
      <c r="Q17" s="248"/>
      <c r="R17" s="249"/>
      <c r="S17" s="250"/>
      <c r="T17" s="247"/>
      <c r="U17" s="248"/>
      <c r="V17" s="249"/>
      <c r="W17" s="250"/>
      <c r="X17" s="247"/>
      <c r="Y17" s="248"/>
      <c r="Z17" s="249"/>
      <c r="AA17" s="250"/>
      <c r="AB17" s="247"/>
      <c r="AC17" s="248"/>
      <c r="AD17" s="249"/>
      <c r="AE17" s="43"/>
      <c r="AF17" s="247"/>
      <c r="AG17" s="369"/>
      <c r="AH17" s="255"/>
      <c r="AI17" s="43"/>
      <c r="AJ17" s="247"/>
      <c r="AK17" s="244"/>
      <c r="AL17" s="255"/>
      <c r="AM17" s="43"/>
      <c r="AN17" s="247"/>
      <c r="AO17" s="244"/>
      <c r="AP17" s="255"/>
      <c r="AQ17" s="370"/>
      <c r="AR17" s="248"/>
      <c r="AS17" s="248"/>
      <c r="AT17" s="249"/>
      <c r="AU17" s="370"/>
      <c r="AV17" s="248"/>
      <c r="AW17" s="248"/>
      <c r="AX17" s="249"/>
      <c r="AY17" s="370"/>
      <c r="AZ17" s="248"/>
      <c r="BA17" s="248"/>
      <c r="BB17" s="371"/>
      <c r="BC17" s="372"/>
      <c r="BD17" s="372"/>
      <c r="BE17" s="372"/>
      <c r="BF17" s="372"/>
      <c r="BG17" s="372"/>
      <c r="BH17" s="372"/>
      <c r="BI17" s="372"/>
      <c r="BJ17" s="372"/>
      <c r="BK17" s="372"/>
      <c r="BL17" s="372"/>
      <c r="BM17" s="372"/>
      <c r="BN17" s="372"/>
      <c r="BO17" s="372"/>
      <c r="BP17" s="372"/>
      <c r="BQ17" s="372"/>
      <c r="BR17" s="372"/>
      <c r="BS17" s="372"/>
      <c r="BT17" s="372"/>
      <c r="BU17" s="372"/>
      <c r="BV17" s="372"/>
      <c r="BW17" s="372"/>
      <c r="BX17" s="372"/>
      <c r="BY17" s="372"/>
      <c r="BZ17" s="372"/>
      <c r="CA17" s="372"/>
      <c r="CB17" s="372"/>
      <c r="CC17" s="372"/>
      <c r="CD17" s="372"/>
      <c r="CE17" s="372"/>
      <c r="CF17" s="372"/>
      <c r="CG17" s="372"/>
      <c r="CH17" s="372"/>
      <c r="CI17" s="372"/>
      <c r="CJ17" s="372"/>
      <c r="CK17" s="372"/>
      <c r="CL17" s="372"/>
    </row>
    <row r="18" outlineLevel="1">
      <c r="A18" s="244" t="str">
        <f t="shared" si="2"/>
        <v>TC_03.6</v>
      </c>
      <c r="B18" s="233" t="s">
        <v>67</v>
      </c>
      <c r="C18" s="235" t="s">
        <v>693</v>
      </c>
      <c r="D18" s="221"/>
      <c r="E18" s="235" t="s">
        <v>694</v>
      </c>
      <c r="F18" s="235" t="s">
        <v>695</v>
      </c>
      <c r="G18" s="44" t="s">
        <v>56</v>
      </c>
      <c r="H18" s="44" t="s">
        <v>135</v>
      </c>
      <c r="I18" s="303" t="s">
        <v>692</v>
      </c>
      <c r="J18" s="255" t="s">
        <v>646</v>
      </c>
      <c r="K18" s="43"/>
      <c r="L18" s="247"/>
      <c r="M18" s="247"/>
      <c r="N18" s="245"/>
      <c r="O18" s="43"/>
      <c r="P18" s="247"/>
      <c r="Q18" s="247"/>
      <c r="R18" s="245"/>
      <c r="S18" s="43"/>
      <c r="T18" s="247"/>
      <c r="U18" s="247"/>
      <c r="V18" s="255"/>
      <c r="W18" s="43"/>
      <c r="X18" s="247"/>
      <c r="Y18" s="373"/>
      <c r="Z18" s="255"/>
      <c r="AA18" s="43"/>
      <c r="AB18" s="247"/>
      <c r="AC18" s="373"/>
      <c r="AD18" s="255"/>
      <c r="AE18" s="43"/>
      <c r="AF18" s="247"/>
      <c r="AG18" s="369"/>
      <c r="AH18" s="255"/>
      <c r="AI18" s="43"/>
      <c r="AJ18" s="247"/>
      <c r="AK18" s="244"/>
      <c r="AL18" s="255"/>
      <c r="AM18" s="43"/>
      <c r="AN18" s="247"/>
      <c r="AO18" s="244"/>
      <c r="AP18" s="255"/>
      <c r="AQ18" s="220"/>
      <c r="AR18" s="244"/>
      <c r="AS18" s="244"/>
      <c r="AT18" s="245"/>
      <c r="AU18" s="220"/>
      <c r="AV18" s="244"/>
      <c r="AW18" s="244"/>
      <c r="AX18" s="245"/>
      <c r="AY18" s="220"/>
      <c r="AZ18" s="244"/>
      <c r="BA18" s="244"/>
      <c r="BB18" s="374"/>
      <c r="BC18" s="260"/>
      <c r="BD18" s="260"/>
      <c r="BE18" s="260"/>
      <c r="BF18" s="260"/>
      <c r="BG18" s="260"/>
      <c r="BH18" s="260"/>
      <c r="BI18" s="260"/>
      <c r="BJ18" s="260"/>
      <c r="BK18" s="260"/>
      <c r="BL18" s="260"/>
      <c r="BM18" s="260"/>
      <c r="BN18" s="260"/>
      <c r="BO18" s="260"/>
      <c r="BP18" s="260"/>
      <c r="BQ18" s="260"/>
      <c r="BR18" s="260"/>
      <c r="BS18" s="260"/>
      <c r="BT18" s="260"/>
      <c r="BU18" s="260"/>
      <c r="BV18" s="260"/>
      <c r="BW18" s="260"/>
      <c r="BX18" s="260"/>
      <c r="BY18" s="260"/>
      <c r="BZ18" s="260"/>
      <c r="CA18" s="260"/>
      <c r="CB18" s="260"/>
      <c r="CC18" s="260"/>
      <c r="CD18" s="260"/>
      <c r="CE18" s="260"/>
      <c r="CF18" s="260"/>
      <c r="CG18" s="260"/>
      <c r="CH18" s="260"/>
      <c r="CI18" s="260"/>
      <c r="CJ18" s="260"/>
      <c r="CK18" s="260"/>
      <c r="CL18" s="260"/>
    </row>
    <row r="19">
      <c r="A19" s="213" t="str">
        <f>IF(E19="","",$C$3&amp;"."&amp;COUNTA($E$16:E19)&amp;"")</f>
        <v/>
      </c>
      <c r="B19" s="404" t="s">
        <v>641</v>
      </c>
      <c r="C19" s="144"/>
      <c r="D19" s="144"/>
      <c r="E19" s="144"/>
      <c r="F19" s="167"/>
      <c r="G19" s="211"/>
      <c r="H19" s="211"/>
      <c r="I19" s="221"/>
      <c r="J19" s="245"/>
      <c r="K19" s="220"/>
      <c r="L19" s="244"/>
      <c r="M19" s="244"/>
      <c r="N19" s="245"/>
      <c r="O19" s="220"/>
      <c r="P19" s="244"/>
      <c r="Q19" s="244"/>
      <c r="R19" s="245"/>
      <c r="S19" s="43"/>
      <c r="T19" s="244"/>
      <c r="U19" s="244"/>
      <c r="V19" s="245"/>
      <c r="W19" s="246"/>
      <c r="X19" s="246"/>
      <c r="Y19" s="246"/>
      <c r="Z19" s="246"/>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6"/>
      <c r="BK19" s="246"/>
      <c r="BL19" s="246"/>
      <c r="BM19" s="246"/>
      <c r="BN19" s="246"/>
      <c r="BO19" s="246"/>
      <c r="BP19" s="246"/>
      <c r="BQ19" s="246"/>
      <c r="BR19" s="246"/>
      <c r="BS19" s="246"/>
      <c r="BT19" s="246"/>
      <c r="BU19" s="246"/>
      <c r="BV19" s="246"/>
      <c r="BW19" s="246"/>
      <c r="BX19" s="246"/>
      <c r="BY19" s="246"/>
      <c r="BZ19" s="246"/>
      <c r="CA19" s="246"/>
      <c r="CB19" s="246"/>
      <c r="CC19" s="246"/>
      <c r="CD19" s="246"/>
      <c r="CE19" s="246"/>
      <c r="CF19" s="246"/>
      <c r="CG19" s="246"/>
      <c r="CH19" s="246"/>
      <c r="CI19" s="246"/>
      <c r="CJ19" s="246"/>
      <c r="CK19" s="246"/>
      <c r="CL19" s="246"/>
    </row>
    <row r="20" outlineLevel="1">
      <c r="A20" s="244" t="str">
        <f t="shared" ref="A20:A22" si="3">IF(E20="","",$C$3&amp;"."&amp;COUNTA($E$9:E20)&amp;"")</f>
        <v>TC_03.7</v>
      </c>
      <c r="B20" s="214" t="s">
        <v>67</v>
      </c>
      <c r="C20" s="235" t="s">
        <v>642</v>
      </c>
      <c r="D20" s="381"/>
      <c r="E20" s="307" t="s">
        <v>696</v>
      </c>
      <c r="F20" s="382" t="s">
        <v>697</v>
      </c>
      <c r="G20" s="211" t="s">
        <v>56</v>
      </c>
      <c r="H20" s="211" t="s">
        <v>135</v>
      </c>
      <c r="I20" s="303" t="s">
        <v>692</v>
      </c>
      <c r="J20" s="255" t="s">
        <v>646</v>
      </c>
      <c r="K20" s="220"/>
      <c r="L20" s="244"/>
      <c r="M20" s="244"/>
      <c r="N20" s="245"/>
      <c r="O20" s="220"/>
      <c r="P20" s="244"/>
      <c r="Q20" s="244"/>
      <c r="R20" s="245"/>
      <c r="S20" s="43"/>
      <c r="T20" s="244"/>
      <c r="U20" s="244"/>
      <c r="V20" s="245"/>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6"/>
      <c r="BO20" s="246"/>
      <c r="BP20" s="246"/>
      <c r="BQ20" s="246"/>
      <c r="BR20" s="246"/>
      <c r="BS20" s="246"/>
      <c r="BT20" s="246"/>
      <c r="BU20" s="246"/>
      <c r="BV20" s="246"/>
      <c r="BW20" s="246"/>
      <c r="BX20" s="246"/>
      <c r="BY20" s="246"/>
      <c r="BZ20" s="246"/>
      <c r="CA20" s="246"/>
      <c r="CB20" s="246"/>
      <c r="CC20" s="246"/>
      <c r="CD20" s="246"/>
      <c r="CE20" s="246"/>
      <c r="CF20" s="246"/>
      <c r="CG20" s="246"/>
      <c r="CH20" s="246"/>
      <c r="CI20" s="246"/>
      <c r="CJ20" s="246"/>
      <c r="CK20" s="246"/>
      <c r="CL20" s="246"/>
    </row>
    <row r="21">
      <c r="A21" s="244" t="str">
        <f t="shared" si="3"/>
        <v/>
      </c>
      <c r="B21" s="405" t="s">
        <v>585</v>
      </c>
      <c r="C21" s="144"/>
      <c r="D21" s="144"/>
      <c r="E21" s="144"/>
      <c r="F21" s="167"/>
      <c r="G21" s="209"/>
      <c r="H21" s="228"/>
      <c r="I21" s="207"/>
      <c r="J21" s="207"/>
      <c r="K21" s="207"/>
      <c r="L21" s="207"/>
      <c r="M21" s="207"/>
      <c r="N21" s="207"/>
      <c r="O21" s="207"/>
      <c r="P21" s="207"/>
      <c r="Q21" s="207"/>
      <c r="R21" s="207"/>
      <c r="S21" s="209"/>
      <c r="T21" s="207"/>
      <c r="U21" s="207"/>
      <c r="V21" s="207"/>
      <c r="W21" s="187"/>
      <c r="X21" s="187"/>
      <c r="Y21" s="187"/>
      <c r="Z21" s="187"/>
      <c r="AA21" s="187"/>
      <c r="AB21" s="187"/>
      <c r="AC21" s="187"/>
      <c r="AD21" s="187"/>
      <c r="AE21" s="187"/>
      <c r="AF21" s="187"/>
      <c r="AG21" s="187"/>
      <c r="AH21" s="187"/>
      <c r="AI21" s="187"/>
      <c r="AJ21" s="187"/>
      <c r="AK21" s="187"/>
      <c r="AL21" s="187"/>
      <c r="AM21" s="187"/>
      <c r="AN21" s="187"/>
      <c r="AO21" s="187"/>
      <c r="AP21" s="187"/>
      <c r="AQ21" s="246"/>
      <c r="AR21" s="246"/>
      <c r="AS21" s="246"/>
      <c r="AT21" s="246"/>
      <c r="AU21" s="246"/>
      <c r="AV21" s="246"/>
      <c r="AW21" s="246"/>
      <c r="AX21" s="246"/>
      <c r="AY21" s="246"/>
      <c r="AZ21" s="246"/>
      <c r="BA21" s="246"/>
      <c r="BB21" s="246"/>
      <c r="BC21" s="246"/>
      <c r="BD21" s="246"/>
      <c r="BE21" s="246"/>
      <c r="BF21" s="246"/>
      <c r="BG21" s="246"/>
      <c r="BH21" s="246"/>
      <c r="BI21" s="246"/>
      <c r="BJ21" s="246"/>
      <c r="BK21" s="246"/>
      <c r="BL21" s="246"/>
      <c r="BM21" s="246"/>
      <c r="BN21" s="246"/>
      <c r="BO21" s="246"/>
      <c r="BP21" s="246"/>
      <c r="BQ21" s="246"/>
      <c r="BR21" s="246"/>
      <c r="BS21" s="246"/>
      <c r="BT21" s="246"/>
      <c r="BU21" s="246"/>
      <c r="BV21" s="246"/>
      <c r="BW21" s="246"/>
      <c r="BX21" s="246"/>
      <c r="BY21" s="246"/>
      <c r="BZ21" s="246"/>
      <c r="CA21" s="246"/>
      <c r="CB21" s="246"/>
      <c r="CC21" s="246"/>
      <c r="CD21" s="246"/>
      <c r="CE21" s="246"/>
      <c r="CF21" s="246"/>
      <c r="CG21" s="246"/>
      <c r="CH21" s="246"/>
      <c r="CI21" s="246"/>
      <c r="CJ21" s="246"/>
      <c r="CK21" s="246"/>
      <c r="CL21" s="246"/>
    </row>
    <row r="22">
      <c r="A22" s="244" t="str">
        <f t="shared" si="3"/>
        <v>TC_03.8</v>
      </c>
      <c r="B22" s="214" t="s">
        <v>67</v>
      </c>
      <c r="C22" s="236" t="s">
        <v>648</v>
      </c>
      <c r="D22" s="381"/>
      <c r="E22" s="321" t="s">
        <v>698</v>
      </c>
      <c r="F22" s="235" t="s">
        <v>699</v>
      </c>
      <c r="G22" s="211" t="s">
        <v>56</v>
      </c>
      <c r="H22" s="211" t="s">
        <v>135</v>
      </c>
      <c r="I22" s="221"/>
      <c r="J22" s="255"/>
      <c r="K22" s="220"/>
      <c r="L22" s="244"/>
      <c r="M22" s="244"/>
      <c r="N22" s="245"/>
      <c r="O22" s="220"/>
      <c r="P22" s="244"/>
      <c r="Q22" s="244"/>
      <c r="R22" s="245"/>
      <c r="S22" s="43"/>
      <c r="T22" s="244"/>
      <c r="U22" s="244"/>
      <c r="V22" s="245"/>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6"/>
      <c r="BO22" s="246"/>
      <c r="BP22" s="246"/>
      <c r="BQ22" s="246"/>
      <c r="BR22" s="246"/>
      <c r="BS22" s="246"/>
      <c r="BT22" s="246"/>
      <c r="BU22" s="246"/>
      <c r="BV22" s="246"/>
      <c r="BW22" s="246"/>
      <c r="BX22" s="246"/>
      <c r="BY22" s="246"/>
      <c r="BZ22" s="246"/>
      <c r="CA22" s="246"/>
      <c r="CB22" s="246"/>
      <c r="CC22" s="246"/>
      <c r="CD22" s="246"/>
      <c r="CE22" s="246"/>
      <c r="CF22" s="246"/>
      <c r="CG22" s="246"/>
      <c r="CH22" s="246"/>
      <c r="CI22" s="246"/>
      <c r="CJ22" s="246"/>
      <c r="CK22" s="246"/>
      <c r="CL22" s="246"/>
    </row>
    <row r="23">
      <c r="A23" s="363" t="s">
        <v>565</v>
      </c>
      <c r="B23" s="144"/>
      <c r="C23" s="144"/>
      <c r="D23" s="144"/>
      <c r="E23" s="144"/>
      <c r="F23" s="167"/>
      <c r="G23" s="43"/>
      <c r="H23" s="244"/>
      <c r="I23" s="244"/>
      <c r="J23" s="245"/>
      <c r="K23" s="220"/>
      <c r="L23" s="244"/>
      <c r="M23" s="244"/>
      <c r="N23" s="245"/>
      <c r="O23" s="220"/>
      <c r="P23" s="244"/>
      <c r="Q23" s="244"/>
      <c r="R23" s="245"/>
      <c r="S23" s="43"/>
      <c r="T23" s="244"/>
      <c r="U23" s="244"/>
      <c r="V23" s="245"/>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6"/>
      <c r="BO23" s="246"/>
      <c r="BP23" s="246"/>
      <c r="BQ23" s="246"/>
      <c r="BR23" s="246"/>
      <c r="BS23" s="246"/>
      <c r="BT23" s="246"/>
      <c r="BU23" s="246"/>
      <c r="BV23" s="246"/>
      <c r="BW23" s="246"/>
      <c r="BX23" s="246"/>
      <c r="BY23" s="246"/>
      <c r="BZ23" s="246"/>
      <c r="CA23" s="246"/>
      <c r="CB23" s="246"/>
      <c r="CC23" s="246"/>
      <c r="CD23" s="246"/>
      <c r="CE23" s="246"/>
      <c r="CF23" s="246"/>
      <c r="CG23" s="246"/>
      <c r="CH23" s="246"/>
      <c r="CI23" s="246"/>
      <c r="CJ23" s="246"/>
      <c r="CK23" s="246"/>
      <c r="CL23" s="246"/>
    </row>
    <row r="24">
      <c r="A24" s="244" t="str">
        <f t="shared" ref="A24:A39" si="4">IF(E24="","",$C$3&amp;"."&amp;COUNTA($E$9:E24)&amp;"")</f>
        <v>TC_03.9</v>
      </c>
      <c r="B24" s="238" t="s">
        <v>65</v>
      </c>
      <c r="C24" s="238" t="s">
        <v>651</v>
      </c>
      <c r="D24" s="383" t="s">
        <v>652</v>
      </c>
      <c r="E24" s="321" t="s">
        <v>700</v>
      </c>
      <c r="F24" s="384" t="s">
        <v>701</v>
      </c>
      <c r="G24" s="385" t="s">
        <v>60</v>
      </c>
      <c r="H24" s="406" t="s">
        <v>135</v>
      </c>
      <c r="I24" s="207"/>
      <c r="J24" s="266" t="s">
        <v>702</v>
      </c>
      <c r="K24" s="387"/>
      <c r="L24" s="387"/>
      <c r="M24" s="387"/>
      <c r="N24" s="387"/>
      <c r="O24" s="387"/>
      <c r="P24" s="387"/>
      <c r="Q24" s="387"/>
      <c r="R24" s="387"/>
      <c r="S24" s="387"/>
      <c r="T24" s="387"/>
      <c r="U24" s="387"/>
      <c r="V24" s="387"/>
      <c r="W24" s="126"/>
      <c r="X24" s="126"/>
      <c r="Y24" s="126"/>
      <c r="Z24" s="126"/>
      <c r="AA24" s="126"/>
      <c r="AB24" s="388"/>
      <c r="AC24" s="126"/>
      <c r="AD24" s="126"/>
      <c r="AE24" s="126"/>
      <c r="AF24" s="126"/>
      <c r="AG24" s="126"/>
      <c r="AH24" s="126"/>
      <c r="AI24" s="126"/>
      <c r="AJ24" s="126"/>
      <c r="AK24" s="126"/>
      <c r="AL24" s="126"/>
      <c r="AM24" s="126"/>
      <c r="AN24" s="388"/>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6"/>
      <c r="CD24" s="126"/>
      <c r="CE24" s="126"/>
      <c r="CF24" s="126"/>
      <c r="CG24" s="126"/>
      <c r="CH24" s="126"/>
      <c r="CI24" s="126"/>
      <c r="CJ24" s="126"/>
      <c r="CK24" s="126"/>
      <c r="CL24" s="126"/>
    </row>
    <row r="25">
      <c r="A25" s="244" t="str">
        <f t="shared" si="4"/>
        <v>TC_03.10</v>
      </c>
      <c r="B25" s="238" t="s">
        <v>65</v>
      </c>
      <c r="C25" s="217" t="s">
        <v>656</v>
      </c>
      <c r="D25" s="217" t="s">
        <v>657</v>
      </c>
      <c r="E25" s="321" t="s">
        <v>703</v>
      </c>
      <c r="F25" s="217" t="s">
        <v>704</v>
      </c>
      <c r="G25" s="385" t="s">
        <v>56</v>
      </c>
      <c r="H25" s="406" t="s">
        <v>135</v>
      </c>
      <c r="I25" s="266" t="s">
        <v>705</v>
      </c>
      <c r="J25" s="266" t="s">
        <v>706</v>
      </c>
      <c r="K25" s="387"/>
      <c r="L25" s="387"/>
      <c r="M25" s="387"/>
      <c r="N25" s="387"/>
      <c r="O25" s="387"/>
      <c r="P25" s="387"/>
      <c r="Q25" s="387"/>
      <c r="R25" s="387"/>
      <c r="S25" s="387"/>
      <c r="T25" s="387"/>
      <c r="U25" s="387"/>
      <c r="V25" s="387"/>
      <c r="W25" s="126"/>
      <c r="X25" s="126"/>
      <c r="Y25" s="126"/>
      <c r="Z25" s="126"/>
      <c r="AA25" s="126"/>
      <c r="AB25" s="388"/>
      <c r="AC25" s="126"/>
      <c r="AD25" s="126"/>
      <c r="AE25" s="126"/>
      <c r="AF25" s="126"/>
      <c r="AG25" s="126"/>
      <c r="AH25" s="126"/>
      <c r="AI25" s="126"/>
      <c r="AJ25" s="126"/>
      <c r="AK25" s="126"/>
      <c r="AL25" s="126"/>
      <c r="AM25" s="126"/>
      <c r="AN25" s="388"/>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row>
    <row r="26">
      <c r="A26" s="244" t="str">
        <f t="shared" si="4"/>
        <v>TC_03.11</v>
      </c>
      <c r="B26" s="214" t="s">
        <v>65</v>
      </c>
      <c r="C26" s="217" t="s">
        <v>707</v>
      </c>
      <c r="D26" s="217" t="s">
        <v>708</v>
      </c>
      <c r="E26" s="217" t="s">
        <v>709</v>
      </c>
      <c r="F26" s="217" t="s">
        <v>710</v>
      </c>
      <c r="G26" s="44" t="s">
        <v>56</v>
      </c>
      <c r="H26" s="44" t="s">
        <v>135</v>
      </c>
      <c r="I26" s="303" t="s">
        <v>711</v>
      </c>
      <c r="J26" s="217" t="s">
        <v>646</v>
      </c>
      <c r="K26" s="396"/>
      <c r="L26" s="396"/>
      <c r="M26" s="396"/>
      <c r="N26" s="396"/>
      <c r="O26" s="396"/>
      <c r="P26" s="396"/>
      <c r="Q26" s="396"/>
      <c r="R26" s="396"/>
      <c r="S26" s="393"/>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6"/>
      <c r="BK26" s="396"/>
      <c r="BL26" s="396"/>
      <c r="BM26" s="396"/>
      <c r="BN26" s="396"/>
      <c r="BO26" s="396"/>
      <c r="BP26" s="396"/>
      <c r="BQ26" s="396"/>
      <c r="BR26" s="396"/>
      <c r="BS26" s="396"/>
      <c r="BT26" s="396"/>
      <c r="BU26" s="396"/>
      <c r="BV26" s="396"/>
      <c r="BW26" s="396"/>
      <c r="BX26" s="396"/>
      <c r="BY26" s="396"/>
      <c r="BZ26" s="396"/>
      <c r="CA26" s="396"/>
      <c r="CB26" s="396"/>
      <c r="CC26" s="396"/>
      <c r="CD26" s="396"/>
      <c r="CE26" s="396"/>
      <c r="CF26" s="396"/>
      <c r="CG26" s="396"/>
      <c r="CH26" s="396"/>
      <c r="CI26" s="396"/>
      <c r="CJ26" s="396"/>
      <c r="CK26" s="396"/>
      <c r="CL26" s="396"/>
    </row>
    <row r="27">
      <c r="A27" s="244" t="str">
        <f t="shared" si="4"/>
        <v>TC_03.12</v>
      </c>
      <c r="B27" s="214" t="s">
        <v>65</v>
      </c>
      <c r="C27" s="217" t="s">
        <v>712</v>
      </c>
      <c r="D27" s="217" t="s">
        <v>708</v>
      </c>
      <c r="E27" s="217" t="s">
        <v>713</v>
      </c>
      <c r="F27" s="217" t="s">
        <v>714</v>
      </c>
      <c r="G27" s="44" t="s">
        <v>60</v>
      </c>
      <c r="H27" s="44" t="s">
        <v>135</v>
      </c>
      <c r="I27" s="217"/>
      <c r="J27" s="266" t="s">
        <v>715</v>
      </c>
      <c r="K27" s="396"/>
      <c r="L27" s="396"/>
      <c r="M27" s="396"/>
      <c r="N27" s="396"/>
      <c r="O27" s="396"/>
      <c r="P27" s="396"/>
      <c r="Q27" s="396"/>
      <c r="R27" s="396"/>
      <c r="S27" s="393"/>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c r="BL27" s="396"/>
      <c r="BM27" s="396"/>
      <c r="BN27" s="396"/>
      <c r="BO27" s="396"/>
      <c r="BP27" s="396"/>
      <c r="BQ27" s="396"/>
      <c r="BR27" s="396"/>
      <c r="BS27" s="396"/>
      <c r="BT27" s="396"/>
      <c r="BU27" s="396"/>
      <c r="BV27" s="396"/>
      <c r="BW27" s="396"/>
      <c r="BX27" s="396"/>
      <c r="BY27" s="396"/>
      <c r="BZ27" s="396"/>
      <c r="CA27" s="396"/>
      <c r="CB27" s="396"/>
      <c r="CC27" s="396"/>
      <c r="CD27" s="396"/>
      <c r="CE27" s="396"/>
      <c r="CF27" s="396"/>
      <c r="CG27" s="396"/>
      <c r="CH27" s="396"/>
      <c r="CI27" s="396"/>
      <c r="CJ27" s="396"/>
      <c r="CK27" s="396"/>
      <c r="CL27" s="396"/>
    </row>
    <row r="28">
      <c r="A28" s="244" t="str">
        <f t="shared" si="4"/>
        <v>TC_03.13</v>
      </c>
      <c r="B28" s="214" t="s">
        <v>65</v>
      </c>
      <c r="C28" s="217" t="s">
        <v>716</v>
      </c>
      <c r="D28" s="217" t="s">
        <v>708</v>
      </c>
      <c r="E28" s="217" t="s">
        <v>717</v>
      </c>
      <c r="F28" s="217" t="s">
        <v>718</v>
      </c>
      <c r="G28" s="44" t="s">
        <v>56</v>
      </c>
      <c r="H28" s="44" t="s">
        <v>135</v>
      </c>
      <c r="I28" s="221"/>
      <c r="J28" s="266"/>
      <c r="K28" s="396"/>
      <c r="L28" s="396"/>
      <c r="M28" s="396"/>
      <c r="N28" s="396"/>
      <c r="O28" s="396"/>
      <c r="P28" s="396"/>
      <c r="Q28" s="396"/>
      <c r="R28" s="396"/>
      <c r="S28" s="393"/>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6"/>
      <c r="BD28" s="396"/>
      <c r="BE28" s="396"/>
      <c r="BF28" s="396"/>
      <c r="BG28" s="396"/>
      <c r="BH28" s="396"/>
      <c r="BI28" s="396"/>
      <c r="BJ28" s="396"/>
      <c r="BK28" s="396"/>
      <c r="BL28" s="396"/>
      <c r="BM28" s="396"/>
      <c r="BN28" s="396"/>
      <c r="BO28" s="396"/>
      <c r="BP28" s="396"/>
      <c r="BQ28" s="396"/>
      <c r="BR28" s="396"/>
      <c r="BS28" s="396"/>
      <c r="BT28" s="396"/>
      <c r="BU28" s="396"/>
      <c r="BV28" s="396"/>
      <c r="BW28" s="396"/>
      <c r="BX28" s="396"/>
      <c r="BY28" s="396"/>
      <c r="BZ28" s="396"/>
      <c r="CA28" s="396"/>
      <c r="CB28" s="396"/>
      <c r="CC28" s="396"/>
      <c r="CD28" s="396"/>
      <c r="CE28" s="396"/>
      <c r="CF28" s="396"/>
      <c r="CG28" s="396"/>
      <c r="CH28" s="396"/>
      <c r="CI28" s="396"/>
      <c r="CJ28" s="396"/>
      <c r="CK28" s="396"/>
      <c r="CL28" s="396"/>
    </row>
    <row r="29">
      <c r="A29" s="244" t="str">
        <f t="shared" si="4"/>
        <v>TC_03.14</v>
      </c>
      <c r="B29" s="214" t="s">
        <v>65</v>
      </c>
      <c r="C29" s="217" t="s">
        <v>719</v>
      </c>
      <c r="D29" s="217" t="s">
        <v>708</v>
      </c>
      <c r="E29" s="217" t="s">
        <v>720</v>
      </c>
      <c r="F29" s="217" t="s">
        <v>721</v>
      </c>
      <c r="G29" s="44" t="s">
        <v>60</v>
      </c>
      <c r="H29" s="44" t="s">
        <v>135</v>
      </c>
      <c r="I29" s="221"/>
      <c r="J29" s="266" t="s">
        <v>706</v>
      </c>
      <c r="K29" s="396"/>
      <c r="L29" s="396"/>
      <c r="M29" s="396"/>
      <c r="N29" s="396"/>
      <c r="O29" s="396"/>
      <c r="P29" s="396"/>
      <c r="Q29" s="396"/>
      <c r="R29" s="396"/>
      <c r="S29" s="393"/>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M29" s="396"/>
      <c r="BN29" s="396"/>
      <c r="BO29" s="396"/>
      <c r="BP29" s="396"/>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row>
    <row r="30">
      <c r="A30" s="244" t="str">
        <f t="shared" si="4"/>
        <v>TC_03.15</v>
      </c>
      <c r="B30" s="214" t="s">
        <v>65</v>
      </c>
      <c r="C30" s="217" t="s">
        <v>722</v>
      </c>
      <c r="D30" s="217" t="s">
        <v>723</v>
      </c>
      <c r="E30" s="217" t="s">
        <v>724</v>
      </c>
      <c r="F30" s="217" t="s">
        <v>725</v>
      </c>
      <c r="G30" s="44" t="s">
        <v>60</v>
      </c>
      <c r="H30" s="44" t="s">
        <v>135</v>
      </c>
      <c r="I30" s="221"/>
      <c r="J30" s="266" t="s">
        <v>706</v>
      </c>
      <c r="K30" s="396"/>
      <c r="L30" s="396"/>
      <c r="M30" s="396"/>
      <c r="N30" s="396"/>
      <c r="O30" s="396"/>
      <c r="P30" s="396"/>
      <c r="Q30" s="396"/>
      <c r="R30" s="396"/>
      <c r="S30" s="393"/>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6"/>
      <c r="BD30" s="396"/>
      <c r="BE30" s="396"/>
      <c r="BF30" s="396"/>
      <c r="BG30" s="396"/>
      <c r="BH30" s="396"/>
      <c r="BI30" s="396"/>
      <c r="BJ30" s="396"/>
      <c r="BK30" s="396"/>
      <c r="BL30" s="396"/>
      <c r="BM30" s="396"/>
      <c r="BN30" s="396"/>
      <c r="BO30" s="396"/>
      <c r="BP30" s="396"/>
      <c r="BQ30" s="396"/>
      <c r="BR30" s="396"/>
      <c r="BS30" s="396"/>
      <c r="BT30" s="396"/>
      <c r="BU30" s="396"/>
      <c r="BV30" s="396"/>
      <c r="BW30" s="396"/>
      <c r="BX30" s="396"/>
      <c r="BY30" s="396"/>
      <c r="BZ30" s="396"/>
      <c r="CA30" s="396"/>
      <c r="CB30" s="396"/>
      <c r="CC30" s="396"/>
      <c r="CD30" s="396"/>
      <c r="CE30" s="396"/>
      <c r="CF30" s="396"/>
      <c r="CG30" s="396"/>
      <c r="CH30" s="396"/>
      <c r="CI30" s="396"/>
      <c r="CJ30" s="396"/>
      <c r="CK30" s="396"/>
      <c r="CL30" s="396"/>
    </row>
    <row r="31">
      <c r="A31" s="244" t="str">
        <f t="shared" si="4"/>
        <v>TC_03.16</v>
      </c>
      <c r="B31" s="214" t="s">
        <v>65</v>
      </c>
      <c r="C31" s="217" t="s">
        <v>726</v>
      </c>
      <c r="D31" s="217" t="s">
        <v>727</v>
      </c>
      <c r="E31" s="217" t="s">
        <v>728</v>
      </c>
      <c r="F31" s="217" t="s">
        <v>729</v>
      </c>
      <c r="G31" s="44" t="s">
        <v>60</v>
      </c>
      <c r="H31" s="44" t="s">
        <v>135</v>
      </c>
      <c r="I31" s="221"/>
      <c r="J31" s="266" t="s">
        <v>706</v>
      </c>
      <c r="K31" s="396"/>
      <c r="L31" s="396"/>
      <c r="M31" s="396"/>
      <c r="N31" s="396"/>
      <c r="O31" s="396"/>
      <c r="P31" s="396"/>
      <c r="Q31" s="396"/>
      <c r="R31" s="396"/>
      <c r="S31" s="393"/>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c r="BL31" s="396"/>
      <c r="BM31" s="396"/>
      <c r="BN31" s="396"/>
      <c r="BO31" s="396"/>
      <c r="BP31" s="396"/>
      <c r="BQ31" s="396"/>
      <c r="BR31" s="396"/>
      <c r="BS31" s="396"/>
      <c r="BT31" s="396"/>
      <c r="BU31" s="396"/>
      <c r="BV31" s="396"/>
      <c r="BW31" s="396"/>
      <c r="BX31" s="396"/>
      <c r="BY31" s="396"/>
      <c r="BZ31" s="396"/>
      <c r="CA31" s="396"/>
      <c r="CB31" s="396"/>
      <c r="CC31" s="396"/>
      <c r="CD31" s="396"/>
      <c r="CE31" s="396"/>
      <c r="CF31" s="396"/>
      <c r="CG31" s="396"/>
      <c r="CH31" s="396"/>
      <c r="CI31" s="396"/>
      <c r="CJ31" s="396"/>
      <c r="CK31" s="396"/>
      <c r="CL31" s="396"/>
    </row>
    <row r="32">
      <c r="A32" s="244" t="str">
        <f t="shared" si="4"/>
        <v>TC_03.17</v>
      </c>
      <c r="B32" s="214" t="s">
        <v>65</v>
      </c>
      <c r="C32" s="217" t="s">
        <v>730</v>
      </c>
      <c r="D32" s="217" t="s">
        <v>727</v>
      </c>
      <c r="E32" s="217" t="s">
        <v>731</v>
      </c>
      <c r="F32" s="217" t="s">
        <v>732</v>
      </c>
      <c r="G32" s="44" t="s">
        <v>60</v>
      </c>
      <c r="H32" s="44" t="s">
        <v>135</v>
      </c>
      <c r="I32" s="221"/>
      <c r="J32" s="266" t="s">
        <v>706</v>
      </c>
      <c r="K32" s="396"/>
      <c r="L32" s="396"/>
      <c r="M32" s="396"/>
      <c r="N32" s="396"/>
      <c r="O32" s="396"/>
      <c r="P32" s="396"/>
      <c r="Q32" s="396"/>
      <c r="R32" s="396"/>
      <c r="S32" s="393"/>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c r="BC32" s="396"/>
      <c r="BD32" s="396"/>
      <c r="BE32" s="396"/>
      <c r="BF32" s="396"/>
      <c r="BG32" s="396"/>
      <c r="BH32" s="396"/>
      <c r="BI32" s="396"/>
      <c r="BJ32" s="396"/>
      <c r="BK32" s="396"/>
      <c r="BL32" s="396"/>
      <c r="BM32" s="396"/>
      <c r="BN32" s="396"/>
      <c r="BO32" s="396"/>
      <c r="BP32" s="396"/>
      <c r="BQ32" s="396"/>
      <c r="BR32" s="396"/>
      <c r="BS32" s="396"/>
      <c r="BT32" s="396"/>
      <c r="BU32" s="396"/>
      <c r="BV32" s="396"/>
      <c r="BW32" s="396"/>
      <c r="BX32" s="396"/>
      <c r="BY32" s="396"/>
      <c r="BZ32" s="396"/>
      <c r="CA32" s="396"/>
      <c r="CB32" s="396"/>
      <c r="CC32" s="396"/>
      <c r="CD32" s="396"/>
      <c r="CE32" s="396"/>
      <c r="CF32" s="396"/>
      <c r="CG32" s="396"/>
      <c r="CH32" s="396"/>
      <c r="CI32" s="396"/>
      <c r="CJ32" s="396"/>
      <c r="CK32" s="396"/>
      <c r="CL32" s="396"/>
    </row>
    <row r="33">
      <c r="A33" s="244" t="str">
        <f t="shared" si="4"/>
        <v>TC_03.18</v>
      </c>
      <c r="B33" s="214" t="s">
        <v>65</v>
      </c>
      <c r="C33" s="217" t="s">
        <v>733</v>
      </c>
      <c r="D33" s="217" t="s">
        <v>727</v>
      </c>
      <c r="E33" s="217" t="s">
        <v>734</v>
      </c>
      <c r="F33" s="217" t="s">
        <v>735</v>
      </c>
      <c r="G33" s="44" t="s">
        <v>60</v>
      </c>
      <c r="H33" s="44" t="s">
        <v>135</v>
      </c>
      <c r="I33" s="221"/>
      <c r="J33" s="266" t="s">
        <v>706</v>
      </c>
      <c r="K33" s="396"/>
      <c r="L33" s="396"/>
      <c r="M33" s="396"/>
      <c r="N33" s="396"/>
      <c r="O33" s="396"/>
      <c r="P33" s="396"/>
      <c r="Q33" s="396"/>
      <c r="R33" s="396"/>
      <c r="S33" s="393"/>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row>
    <row r="34">
      <c r="A34" s="244" t="str">
        <f t="shared" si="4"/>
        <v>TC_03.19</v>
      </c>
      <c r="B34" s="214" t="s">
        <v>65</v>
      </c>
      <c r="C34" s="217" t="s">
        <v>736</v>
      </c>
      <c r="D34" s="217" t="s">
        <v>727</v>
      </c>
      <c r="E34" s="217" t="s">
        <v>737</v>
      </c>
      <c r="F34" s="217" t="s">
        <v>738</v>
      </c>
      <c r="G34" s="44" t="s">
        <v>60</v>
      </c>
      <c r="H34" s="44" t="s">
        <v>135</v>
      </c>
      <c r="I34" s="221"/>
      <c r="J34" s="266" t="s">
        <v>706</v>
      </c>
      <c r="K34" s="396"/>
      <c r="L34" s="396"/>
      <c r="M34" s="396"/>
      <c r="N34" s="396"/>
      <c r="O34" s="396"/>
      <c r="P34" s="396"/>
      <c r="Q34" s="396"/>
      <c r="R34" s="396"/>
      <c r="S34" s="393"/>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c r="BC34" s="396"/>
      <c r="BD34" s="396"/>
      <c r="BE34" s="396"/>
      <c r="BF34" s="396"/>
      <c r="BG34" s="396"/>
      <c r="BH34" s="396"/>
      <c r="BI34" s="396"/>
      <c r="BJ34" s="396"/>
      <c r="BK34" s="396"/>
      <c r="BL34" s="396"/>
      <c r="BM34" s="396"/>
      <c r="BN34" s="396"/>
      <c r="BO34" s="396"/>
      <c r="BP34" s="396"/>
      <c r="BQ34" s="396"/>
      <c r="BR34" s="396"/>
      <c r="BS34" s="396"/>
      <c r="BT34" s="396"/>
      <c r="BU34" s="396"/>
      <c r="BV34" s="396"/>
      <c r="BW34" s="396"/>
      <c r="BX34" s="396"/>
      <c r="BY34" s="396"/>
      <c r="BZ34" s="396"/>
      <c r="CA34" s="396"/>
      <c r="CB34" s="396"/>
      <c r="CC34" s="396"/>
      <c r="CD34" s="396"/>
      <c r="CE34" s="396"/>
      <c r="CF34" s="396"/>
      <c r="CG34" s="396"/>
      <c r="CH34" s="396"/>
      <c r="CI34" s="396"/>
      <c r="CJ34" s="396"/>
      <c r="CK34" s="396"/>
      <c r="CL34" s="396"/>
    </row>
    <row r="35">
      <c r="A35" s="244" t="str">
        <f t="shared" si="4"/>
        <v>TC_03.20</v>
      </c>
      <c r="B35" s="214" t="s">
        <v>65</v>
      </c>
      <c r="C35" s="217" t="s">
        <v>739</v>
      </c>
      <c r="D35" s="217" t="s">
        <v>727</v>
      </c>
      <c r="E35" s="217" t="s">
        <v>740</v>
      </c>
      <c r="F35" s="217" t="s">
        <v>741</v>
      </c>
      <c r="G35" s="44" t="s">
        <v>60</v>
      </c>
      <c r="H35" s="44" t="s">
        <v>135</v>
      </c>
      <c r="I35" s="221"/>
      <c r="J35" s="266" t="s">
        <v>706</v>
      </c>
      <c r="K35" s="396"/>
      <c r="L35" s="396"/>
      <c r="M35" s="396"/>
      <c r="N35" s="396"/>
      <c r="O35" s="396"/>
      <c r="P35" s="396"/>
      <c r="Q35" s="396"/>
      <c r="R35" s="396"/>
      <c r="S35" s="393"/>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c r="BL35" s="396"/>
      <c r="BM35" s="396"/>
      <c r="BN35" s="396"/>
      <c r="BO35" s="396"/>
      <c r="BP35" s="396"/>
      <c r="BQ35" s="396"/>
      <c r="BR35" s="396"/>
      <c r="BS35" s="396"/>
      <c r="BT35" s="396"/>
      <c r="BU35" s="396"/>
      <c r="BV35" s="396"/>
      <c r="BW35" s="396"/>
      <c r="BX35" s="396"/>
      <c r="BY35" s="396"/>
      <c r="BZ35" s="396"/>
      <c r="CA35" s="396"/>
      <c r="CB35" s="396"/>
      <c r="CC35" s="396"/>
      <c r="CD35" s="396"/>
      <c r="CE35" s="396"/>
      <c r="CF35" s="396"/>
      <c r="CG35" s="396"/>
      <c r="CH35" s="396"/>
      <c r="CI35" s="396"/>
      <c r="CJ35" s="396"/>
      <c r="CK35" s="396"/>
      <c r="CL35" s="396"/>
    </row>
    <row r="36">
      <c r="A36" s="244" t="str">
        <f t="shared" si="4"/>
        <v>TC_03.21</v>
      </c>
      <c r="B36" s="214" t="s">
        <v>65</v>
      </c>
      <c r="C36" s="217" t="s">
        <v>742</v>
      </c>
      <c r="D36" s="217" t="s">
        <v>708</v>
      </c>
      <c r="E36" s="217" t="s">
        <v>743</v>
      </c>
      <c r="F36" s="217" t="s">
        <v>744</v>
      </c>
      <c r="G36" s="44" t="s">
        <v>60</v>
      </c>
      <c r="H36" s="44" t="s">
        <v>135</v>
      </c>
      <c r="I36" s="221"/>
      <c r="J36" s="266" t="s">
        <v>706</v>
      </c>
      <c r="K36" s="396"/>
      <c r="L36" s="396"/>
      <c r="M36" s="396"/>
      <c r="N36" s="396"/>
      <c r="O36" s="396"/>
      <c r="P36" s="396"/>
      <c r="Q36" s="396"/>
      <c r="R36" s="396"/>
      <c r="S36" s="393"/>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96"/>
      <c r="BP36" s="396"/>
      <c r="BQ36" s="396"/>
      <c r="BR36" s="396"/>
      <c r="BS36" s="396"/>
      <c r="BT36" s="396"/>
      <c r="BU36" s="396"/>
      <c r="BV36" s="396"/>
      <c r="BW36" s="396"/>
      <c r="BX36" s="396"/>
      <c r="BY36" s="396"/>
      <c r="BZ36" s="396"/>
      <c r="CA36" s="396"/>
      <c r="CB36" s="396"/>
      <c r="CC36" s="396"/>
      <c r="CD36" s="396"/>
      <c r="CE36" s="396"/>
      <c r="CF36" s="396"/>
      <c r="CG36" s="396"/>
      <c r="CH36" s="396"/>
      <c r="CI36" s="396"/>
      <c r="CJ36" s="396"/>
      <c r="CK36" s="396"/>
      <c r="CL36" s="396"/>
    </row>
    <row r="37">
      <c r="A37" s="244" t="str">
        <f t="shared" si="4"/>
        <v>TC_03.22</v>
      </c>
      <c r="B37" s="214" t="s">
        <v>65</v>
      </c>
      <c r="C37" s="217" t="s">
        <v>745</v>
      </c>
      <c r="D37" s="217" t="s">
        <v>746</v>
      </c>
      <c r="E37" s="217" t="s">
        <v>747</v>
      </c>
      <c r="F37" s="384" t="s">
        <v>748</v>
      </c>
      <c r="G37" s="44" t="s">
        <v>60</v>
      </c>
      <c r="H37" s="44" t="s">
        <v>135</v>
      </c>
      <c r="I37" s="221"/>
      <c r="J37" s="266" t="s">
        <v>706</v>
      </c>
      <c r="K37" s="396"/>
      <c r="L37" s="396"/>
      <c r="M37" s="396"/>
      <c r="N37" s="396"/>
      <c r="O37" s="396"/>
      <c r="P37" s="396"/>
      <c r="Q37" s="396"/>
      <c r="R37" s="396"/>
      <c r="S37" s="393"/>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c r="BL37" s="396"/>
      <c r="BM37" s="396"/>
      <c r="BN37" s="396"/>
      <c r="BO37" s="396"/>
      <c r="BP37" s="396"/>
      <c r="BQ37" s="396"/>
      <c r="BR37" s="396"/>
      <c r="BS37" s="396"/>
      <c r="BT37" s="396"/>
      <c r="BU37" s="396"/>
      <c r="BV37" s="396"/>
      <c r="BW37" s="396"/>
      <c r="BX37" s="396"/>
      <c r="BY37" s="396"/>
      <c r="BZ37" s="396"/>
      <c r="CA37" s="396"/>
      <c r="CB37" s="396"/>
      <c r="CC37" s="396"/>
      <c r="CD37" s="396"/>
      <c r="CE37" s="396"/>
      <c r="CF37" s="396"/>
      <c r="CG37" s="396"/>
      <c r="CH37" s="396"/>
      <c r="CI37" s="396"/>
      <c r="CJ37" s="396"/>
      <c r="CK37" s="396"/>
      <c r="CL37" s="396"/>
    </row>
    <row r="38">
      <c r="A38" s="244" t="str">
        <f t="shared" si="4"/>
        <v>TC_03.23</v>
      </c>
      <c r="B38" s="214" t="s">
        <v>65</v>
      </c>
      <c r="C38" s="217" t="s">
        <v>749</v>
      </c>
      <c r="D38" s="217" t="s">
        <v>746</v>
      </c>
      <c r="E38" s="217" t="s">
        <v>750</v>
      </c>
      <c r="F38" s="217" t="s">
        <v>748</v>
      </c>
      <c r="G38" s="44" t="s">
        <v>60</v>
      </c>
      <c r="H38" s="44" t="s">
        <v>135</v>
      </c>
      <c r="I38" s="221"/>
      <c r="J38" s="266" t="s">
        <v>706</v>
      </c>
      <c r="K38" s="396"/>
      <c r="L38" s="396"/>
      <c r="M38" s="396"/>
      <c r="N38" s="396"/>
      <c r="O38" s="396"/>
      <c r="P38" s="396"/>
      <c r="Q38" s="396"/>
      <c r="R38" s="396"/>
      <c r="S38" s="393"/>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G38" s="396"/>
      <c r="BH38" s="396"/>
      <c r="BI38" s="396"/>
      <c r="BJ38" s="396"/>
      <c r="BK38" s="396"/>
      <c r="BL38" s="396"/>
      <c r="BM38" s="396"/>
      <c r="BN38" s="396"/>
      <c r="BO38" s="396"/>
      <c r="BP38" s="396"/>
      <c r="BQ38" s="396"/>
      <c r="BR38" s="396"/>
      <c r="BS38" s="396"/>
      <c r="BT38" s="396"/>
      <c r="BU38" s="396"/>
      <c r="BV38" s="396"/>
      <c r="BW38" s="396"/>
      <c r="BX38" s="396"/>
      <c r="BY38" s="396"/>
      <c r="BZ38" s="396"/>
      <c r="CA38" s="396"/>
      <c r="CB38" s="396"/>
      <c r="CC38" s="396"/>
      <c r="CD38" s="396"/>
      <c r="CE38" s="396"/>
      <c r="CF38" s="396"/>
      <c r="CG38" s="396"/>
      <c r="CH38" s="396"/>
      <c r="CI38" s="396"/>
      <c r="CJ38" s="396"/>
      <c r="CK38" s="396"/>
      <c r="CL38" s="396"/>
    </row>
    <row r="39">
      <c r="A39" s="244" t="str">
        <f t="shared" si="4"/>
        <v>TC_03.24</v>
      </c>
      <c r="B39" s="214" t="s">
        <v>65</v>
      </c>
      <c r="C39" s="217" t="s">
        <v>751</v>
      </c>
      <c r="D39" s="217" t="s">
        <v>752</v>
      </c>
      <c r="E39" s="217" t="s">
        <v>753</v>
      </c>
      <c r="F39" s="217" t="s">
        <v>754</v>
      </c>
      <c r="G39" s="44" t="s">
        <v>60</v>
      </c>
      <c r="H39" s="44" t="s">
        <v>135</v>
      </c>
      <c r="I39" s="221"/>
      <c r="J39" s="266" t="s">
        <v>706</v>
      </c>
      <c r="K39" s="396"/>
      <c r="L39" s="396"/>
      <c r="M39" s="396"/>
      <c r="N39" s="396"/>
      <c r="O39" s="396"/>
      <c r="P39" s="396"/>
      <c r="Q39" s="396"/>
      <c r="R39" s="396"/>
      <c r="S39" s="393"/>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row>
  </sheetData>
  <autoFilter ref="$G$1:$J$30"/>
  <mergeCells count="22">
    <mergeCell ref="C7:C8"/>
    <mergeCell ref="D7:D8"/>
    <mergeCell ref="F7:F8"/>
    <mergeCell ref="G7:J7"/>
    <mergeCell ref="K7:N7"/>
    <mergeCell ref="O7:R7"/>
    <mergeCell ref="S7:V7"/>
    <mergeCell ref="E7:E8"/>
    <mergeCell ref="A9:F9"/>
    <mergeCell ref="A13:F13"/>
    <mergeCell ref="B14:F14"/>
    <mergeCell ref="B16:F16"/>
    <mergeCell ref="B19:F19"/>
    <mergeCell ref="B21:F21"/>
    <mergeCell ref="A23:F23"/>
    <mergeCell ref="B2:E2"/>
    <mergeCell ref="A3:B3"/>
    <mergeCell ref="C3:D3"/>
    <mergeCell ref="A4:B4"/>
    <mergeCell ref="C4:D4"/>
    <mergeCell ref="A7:A8"/>
    <mergeCell ref="B7:B8"/>
  </mergeCells>
  <conditionalFormatting sqref="G9:G39 K9:K39 O9:O39 S9:S39 W11:W25 AA11:AA25 AE11:AE25 AI11:AI25 AM11:AM25 AQ11:AQ25 AU11:AU25 AY11:AY25">
    <cfRule type="cellIs" dxfId="0" priority="1" operator="equal">
      <formula>"Block"</formula>
    </cfRule>
  </conditionalFormatting>
  <conditionalFormatting sqref="G9:G39 K9:K39 O9:O39 S9:S39 W11:W25 AA11:AA25 AE11:AE25 AI11:AI25 AM11:AM25 AQ11:AQ25 AU11:AU25 AY11:AY25">
    <cfRule type="cellIs" dxfId="1" priority="2" operator="equal">
      <formula>"Fail"</formula>
    </cfRule>
  </conditionalFormatting>
  <conditionalFormatting sqref="G9:G39 K9:K39 O9:O39 S9:S39 W11:W25 AA11:AA25 AE11:AE25 AI11:AI25 AM11:AM25 AQ11:AQ25 AU11:AU25 AY11:AY25">
    <cfRule type="cellIs" dxfId="2" priority="3" operator="equal">
      <formula>"Pass"</formula>
    </cfRule>
  </conditionalFormatting>
  <conditionalFormatting sqref="G9:G39 K9:K39 O9:O39 S9:S39 W11:W25 AA11:AA25 AE11:AE25 AI11:AI25 AM11:AM25 AQ11:AQ25 AU11:AU25 AY11:AY25">
    <cfRule type="cellIs" dxfId="3" priority="4" operator="equal">
      <formula>"N/A"</formula>
    </cfRule>
  </conditionalFormatting>
  <conditionalFormatting sqref="G9:G39 K9:K39 O9:O39 S9:S39">
    <cfRule type="cellIs" dxfId="4" priority="5" operator="equal">
      <formula>"Block"</formula>
    </cfRule>
  </conditionalFormatting>
  <conditionalFormatting sqref="G9:G39 K9:K39 O9:O39 S9:S39">
    <cfRule type="cellIs" dxfId="5" priority="6" operator="equal">
      <formula>"Fail"</formula>
    </cfRule>
  </conditionalFormatting>
  <conditionalFormatting sqref="G9:G39 K9:K39 O9:O39 S9:S39">
    <cfRule type="cellIs" dxfId="6" priority="7" operator="equal">
      <formula>"Pass"</formula>
    </cfRule>
  </conditionalFormatting>
  <conditionalFormatting sqref="G9:G39 K9:K39 O9:O39 S9:S39">
    <cfRule type="cellIs" dxfId="7" priority="8" operator="equal">
      <formula>"N/A"</formula>
    </cfRule>
  </conditionalFormatting>
  <conditionalFormatting sqref="G23:G25">
    <cfRule type="cellIs" dxfId="4" priority="9" operator="equal">
      <formula>"Block"</formula>
    </cfRule>
  </conditionalFormatting>
  <conditionalFormatting sqref="G23:G25">
    <cfRule type="cellIs" dxfId="5" priority="10" operator="equal">
      <formula>"Fail"</formula>
    </cfRule>
  </conditionalFormatting>
  <conditionalFormatting sqref="G23:G25">
    <cfRule type="cellIs" dxfId="6" priority="11" operator="equal">
      <formula>"Pass"</formula>
    </cfRule>
  </conditionalFormatting>
  <conditionalFormatting sqref="G23:G25">
    <cfRule type="cellIs" dxfId="7" priority="12" operator="equal">
      <formula>"N/A"</formula>
    </cfRule>
  </conditionalFormatting>
  <conditionalFormatting sqref="G9:G39 K9:K39 O9:O39 S9:S39">
    <cfRule type="cellIs" dxfId="0" priority="13" operator="equal">
      <formula>"Block"</formula>
    </cfRule>
  </conditionalFormatting>
  <conditionalFormatting sqref="G9:G39 K9:K39 O9:O39 S9:S39">
    <cfRule type="cellIs" dxfId="1" priority="14" operator="equal">
      <formula>"Fail"</formula>
    </cfRule>
  </conditionalFormatting>
  <conditionalFormatting sqref="G9:G39 K9:K39 O9:O39 S9:S39">
    <cfRule type="cellIs" dxfId="2" priority="15" operator="equal">
      <formula>"Pass"</formula>
    </cfRule>
  </conditionalFormatting>
  <conditionalFormatting sqref="G9:G39 K9:K39 O9:O39 S9:S39">
    <cfRule type="cellIs" dxfId="3" priority="16" operator="equal">
      <formula>"N/A"</formula>
    </cfRule>
  </conditionalFormatting>
  <dataValidations>
    <dataValidation type="list" allowBlank="1" showErrorMessage="1" sqref="W17:W18 AA17:AA18 AE17:AE18 AI17:AI18 AM17:AM18 AQ17:AQ18 AU17:AU18 AY17:AY18 W21 AA21 AE21 AI21 AM21 W24:W25 AA24:AA25 AE24:AE25 AI24:AI25 AM24:AM25 AQ24:AQ25 AU24:AU25 AY24:AY25 G9:G39 K9:K39 O9:O39 S9:S39">
      <formula1>"Pass,Fail,Block,N/A"</formula1>
    </dataValidation>
    <dataValidation type="list" allowBlank="1" showErrorMessage="1" sqref="B10:B12 B15 B17:B18 B20 B22 B24:B39">
      <formula1>"High,Medium,Low"</formula1>
    </dataValidation>
  </dataValidations>
  <hyperlinks>
    <hyperlink display="Block hiển thị thông tin gồm:&#10;Title Sản phẩm dịch vụ đã chọn (Số lượng)&#10;- Icon Gói dịch vụ &#10;- Tên gói dịch vụ &#10;- Chu kỳ gói dịch vụ &#10;- Giá tiền&#10;Ref: sheet Thông tin chung" location="'Thông tin chung'!A1" ref="F15"/>
    <hyperlink r:id="rId4" ref="I17"/>
    <hyperlink r:id="rId5" ref="I18"/>
    <hyperlink display="Hiển thị các trường thông tin gồm:&#10;- Số điện thoại&#10;- Email(hiện nếu có chọnTôi muốn nhận hóa đơn)&#10;- Địa chỉ(hiện nếu có chọn Tôi muốn nhận hóa đơn)&#10;- icon collapse (mặc định)&#10;Ref: sheet Thông tin chung" location="'Thông tin chung'!A1" ref="F20"/>
    <hyperlink r:id="rId6" ref="I20"/>
    <hyperlink r:id="rId7" ref="I26"/>
  </hyperlinks>
  <printOptions/>
  <pageMargins bottom="0.75" footer="0.0" header="0.0" left="0.7" right="0.7" top="0.75"/>
  <pageSetup orientation="landscape"/>
  <drawing r:id="rId8"/>
  <legacy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outlineLevel="1">
      <c r="A1" s="349"/>
      <c r="B1" s="173"/>
      <c r="C1" s="175"/>
      <c r="D1" s="175"/>
      <c r="E1" s="176"/>
      <c r="F1" s="177"/>
      <c r="G1" s="350"/>
      <c r="H1" s="351"/>
      <c r="I1" s="178"/>
      <c r="J1" s="179"/>
      <c r="K1" s="352"/>
      <c r="L1" s="351"/>
      <c r="M1" s="351"/>
      <c r="N1" s="353"/>
      <c r="O1" s="352"/>
      <c r="P1" s="351"/>
      <c r="Q1" s="351"/>
      <c r="R1" s="353"/>
      <c r="S1" s="352"/>
      <c r="T1" s="351"/>
      <c r="U1" s="351"/>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3"/>
      <c r="CH1" s="353"/>
      <c r="CI1" s="353"/>
      <c r="CJ1" s="353"/>
      <c r="CK1" s="353"/>
      <c r="CL1" s="353"/>
    </row>
    <row r="2" outlineLevel="1">
      <c r="A2" s="180"/>
      <c r="B2" s="354"/>
      <c r="C2" s="182"/>
      <c r="D2" s="182"/>
      <c r="E2" s="182"/>
      <c r="F2" s="183"/>
      <c r="G2" s="350"/>
      <c r="H2" s="351"/>
      <c r="I2" s="178"/>
      <c r="J2" s="179"/>
      <c r="K2" s="352"/>
      <c r="L2" s="351"/>
      <c r="M2" s="351"/>
      <c r="N2" s="353"/>
      <c r="O2" s="352"/>
      <c r="P2" s="351"/>
      <c r="Q2" s="351"/>
      <c r="R2" s="353"/>
      <c r="S2" s="352"/>
      <c r="T2" s="351"/>
      <c r="U2" s="351"/>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353"/>
      <c r="AU2" s="353"/>
      <c r="AV2" s="353"/>
      <c r="AW2" s="353"/>
      <c r="AX2" s="353"/>
      <c r="AY2" s="353"/>
      <c r="AZ2" s="353"/>
      <c r="BA2" s="353"/>
      <c r="BB2" s="353"/>
      <c r="BC2" s="353"/>
      <c r="BD2" s="353"/>
      <c r="BE2" s="353"/>
      <c r="BF2" s="353"/>
      <c r="BG2" s="353"/>
      <c r="BH2" s="353"/>
      <c r="BI2" s="353"/>
      <c r="BJ2" s="353"/>
      <c r="BK2" s="353"/>
      <c r="BL2" s="353"/>
      <c r="BM2" s="353"/>
      <c r="BN2" s="353"/>
      <c r="BO2" s="353"/>
      <c r="BP2" s="353"/>
      <c r="BQ2" s="353"/>
      <c r="BR2" s="353"/>
      <c r="BS2" s="353"/>
      <c r="BT2" s="353"/>
      <c r="BU2" s="353"/>
      <c r="BV2" s="353"/>
      <c r="BW2" s="353"/>
      <c r="BX2" s="353"/>
      <c r="BY2" s="353"/>
      <c r="BZ2" s="353"/>
      <c r="CA2" s="353"/>
      <c r="CB2" s="353"/>
      <c r="CC2" s="353"/>
      <c r="CD2" s="353"/>
      <c r="CE2" s="353"/>
      <c r="CF2" s="353"/>
      <c r="CG2" s="353"/>
      <c r="CH2" s="353"/>
      <c r="CI2" s="353"/>
      <c r="CJ2" s="353"/>
      <c r="CK2" s="353"/>
      <c r="CL2" s="353"/>
    </row>
    <row r="3" outlineLevel="1">
      <c r="A3" s="355" t="s">
        <v>114</v>
      </c>
      <c r="B3" s="118"/>
      <c r="C3" s="400" t="s">
        <v>109</v>
      </c>
      <c r="D3" s="118"/>
      <c r="E3" s="186"/>
      <c r="F3" s="187"/>
      <c r="G3" s="350"/>
      <c r="H3" s="351"/>
      <c r="I3" s="178"/>
      <c r="J3" s="186"/>
      <c r="K3" s="352"/>
      <c r="L3" s="351"/>
      <c r="M3" s="351"/>
      <c r="N3" s="356"/>
      <c r="O3" s="352"/>
      <c r="P3" s="351"/>
      <c r="Q3" s="351"/>
      <c r="R3" s="356"/>
      <c r="S3" s="352"/>
      <c r="T3" s="351"/>
      <c r="U3" s="351"/>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row>
    <row r="4" outlineLevel="1">
      <c r="A4" s="355" t="s">
        <v>115</v>
      </c>
      <c r="B4" s="118"/>
      <c r="C4" s="188" t="s">
        <v>28</v>
      </c>
      <c r="D4" s="118"/>
      <c r="E4" s="186"/>
      <c r="F4" s="187"/>
      <c r="G4" s="350"/>
      <c r="H4" s="351"/>
      <c r="I4" s="178"/>
      <c r="J4" s="186"/>
      <c r="K4" s="352"/>
      <c r="L4" s="351"/>
      <c r="M4" s="351"/>
      <c r="N4" s="356"/>
      <c r="O4" s="352"/>
      <c r="P4" s="351"/>
      <c r="Q4" s="351"/>
      <c r="R4" s="356"/>
      <c r="S4" s="352"/>
      <c r="T4" s="351"/>
      <c r="U4" s="351"/>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6"/>
      <c r="BM4" s="356"/>
      <c r="BN4" s="356"/>
      <c r="BO4" s="356"/>
      <c r="BP4" s="356"/>
      <c r="BQ4" s="356"/>
      <c r="BR4" s="356"/>
      <c r="BS4" s="356"/>
      <c r="BT4" s="356"/>
      <c r="BU4" s="356"/>
      <c r="BV4" s="356"/>
      <c r="BW4" s="356"/>
      <c r="BX4" s="356"/>
      <c r="BY4" s="356"/>
      <c r="BZ4" s="356"/>
      <c r="CA4" s="356"/>
      <c r="CB4" s="356"/>
      <c r="CC4" s="356"/>
      <c r="CD4" s="356"/>
      <c r="CE4" s="356"/>
      <c r="CF4" s="356"/>
      <c r="CG4" s="356"/>
      <c r="CH4" s="356"/>
      <c r="CI4" s="356"/>
      <c r="CJ4" s="356"/>
      <c r="CK4" s="356"/>
      <c r="CL4" s="356"/>
    </row>
    <row r="5" outlineLevel="1">
      <c r="A5" s="190"/>
      <c r="B5" s="190"/>
      <c r="C5" s="190"/>
      <c r="D5" s="190"/>
      <c r="E5" s="191"/>
      <c r="F5" s="192"/>
      <c r="G5" s="350"/>
      <c r="H5" s="351"/>
      <c r="I5" s="178"/>
      <c r="J5" s="179"/>
      <c r="K5" s="352"/>
      <c r="L5" s="351"/>
      <c r="M5" s="351"/>
      <c r="N5" s="353"/>
      <c r="O5" s="352"/>
      <c r="P5" s="351"/>
      <c r="Q5" s="351"/>
      <c r="R5" s="353"/>
      <c r="S5" s="352"/>
      <c r="T5" s="351"/>
      <c r="U5" s="351"/>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c r="BI5" s="353"/>
      <c r="BJ5" s="353"/>
      <c r="BK5" s="353"/>
      <c r="BL5" s="353"/>
      <c r="BM5" s="353"/>
      <c r="BN5" s="353"/>
      <c r="BO5" s="353"/>
      <c r="BP5" s="353"/>
      <c r="BQ5" s="353"/>
      <c r="BR5" s="353"/>
      <c r="BS5" s="353"/>
      <c r="BT5" s="353"/>
      <c r="BU5" s="353"/>
      <c r="BV5" s="353"/>
      <c r="BW5" s="353"/>
      <c r="BX5" s="353"/>
      <c r="BY5" s="353"/>
      <c r="BZ5" s="353"/>
      <c r="CA5" s="353"/>
      <c r="CB5" s="353"/>
      <c r="CC5" s="353"/>
      <c r="CD5" s="353"/>
      <c r="CE5" s="353"/>
      <c r="CF5" s="353"/>
      <c r="CG5" s="353"/>
      <c r="CH5" s="353"/>
      <c r="CI5" s="353"/>
      <c r="CJ5" s="353"/>
      <c r="CK5" s="353"/>
      <c r="CL5" s="353"/>
    </row>
    <row r="6" outlineLevel="1">
      <c r="A6" s="194"/>
      <c r="B6" s="194"/>
      <c r="C6" s="194"/>
      <c r="D6" s="194"/>
      <c r="E6" s="195"/>
      <c r="F6" s="192"/>
      <c r="G6" s="350"/>
      <c r="H6" s="351"/>
      <c r="I6" s="178"/>
      <c r="J6" s="179"/>
      <c r="K6" s="352"/>
      <c r="L6" s="351"/>
      <c r="M6" s="351"/>
      <c r="N6" s="353"/>
      <c r="O6" s="352"/>
      <c r="P6" s="351"/>
      <c r="Q6" s="351"/>
      <c r="R6" s="353"/>
      <c r="S6" s="352"/>
      <c r="T6" s="351"/>
      <c r="U6" s="351"/>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row>
    <row r="7">
      <c r="A7" s="142" t="s">
        <v>116</v>
      </c>
      <c r="B7" s="142" t="s">
        <v>117</v>
      </c>
      <c r="C7" s="142" t="s">
        <v>118</v>
      </c>
      <c r="D7" s="142" t="s">
        <v>119</v>
      </c>
      <c r="E7" s="142" t="s">
        <v>120</v>
      </c>
      <c r="F7" s="197" t="s">
        <v>121</v>
      </c>
      <c r="G7" s="198" t="str">
        <f>Summary!G8</f>
        <v>Round 1 (09/04/2026 - 15/04/2026)</v>
      </c>
      <c r="H7" s="199"/>
      <c r="I7" s="199"/>
      <c r="J7" s="200"/>
      <c r="K7" s="198" t="str">
        <f>Summary!L8</f>
        <v>Round 2 (dd/mm/yyyy - dd/mm/yyyy)</v>
      </c>
      <c r="L7" s="199"/>
      <c r="M7" s="199"/>
      <c r="N7" s="200"/>
      <c r="O7" s="201" t="str">
        <f>Summary!Q8</f>
        <v>Round 3(dd/mm/yyyy - dd/mm/yyyy)</v>
      </c>
      <c r="P7" s="144"/>
      <c r="Q7" s="144"/>
      <c r="R7" s="167"/>
      <c r="S7" s="201" t="str">
        <f>Summary!V8</f>
        <v>Round 4 (dd/mm/yyyy - dd/mm/yyyy)</v>
      </c>
      <c r="T7" s="144"/>
      <c r="U7" s="144"/>
      <c r="V7" s="167"/>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row>
    <row r="8">
      <c r="A8" s="56"/>
      <c r="B8" s="56"/>
      <c r="C8" s="56"/>
      <c r="D8" s="56"/>
      <c r="E8" s="56"/>
      <c r="F8" s="56"/>
      <c r="G8" s="203" t="s">
        <v>122</v>
      </c>
      <c r="H8" s="203" t="s">
        <v>123</v>
      </c>
      <c r="I8" s="203" t="s">
        <v>124</v>
      </c>
      <c r="J8" s="203" t="s">
        <v>125</v>
      </c>
      <c r="K8" s="203" t="s">
        <v>122</v>
      </c>
      <c r="L8" s="203" t="s">
        <v>123</v>
      </c>
      <c r="M8" s="203" t="s">
        <v>124</v>
      </c>
      <c r="N8" s="203" t="s">
        <v>125</v>
      </c>
      <c r="O8" s="203" t="s">
        <v>122</v>
      </c>
      <c r="P8" s="203" t="s">
        <v>123</v>
      </c>
      <c r="Q8" s="203" t="s">
        <v>124</v>
      </c>
      <c r="R8" s="203" t="s">
        <v>125</v>
      </c>
      <c r="S8" s="203" t="s">
        <v>122</v>
      </c>
      <c r="T8" s="203" t="s">
        <v>123</v>
      </c>
      <c r="U8" s="203" t="s">
        <v>124</v>
      </c>
      <c r="V8" s="203" t="s">
        <v>125</v>
      </c>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row>
    <row r="9">
      <c r="A9" s="357" t="s">
        <v>595</v>
      </c>
      <c r="B9" s="144"/>
      <c r="C9" s="144"/>
      <c r="D9" s="144"/>
      <c r="E9" s="144"/>
      <c r="F9" s="167"/>
      <c r="G9" s="358"/>
      <c r="H9" s="359"/>
      <c r="I9" s="359"/>
      <c r="J9" s="359"/>
      <c r="K9" s="359"/>
      <c r="L9" s="359"/>
      <c r="M9" s="359"/>
      <c r="N9" s="359"/>
      <c r="O9" s="359"/>
      <c r="P9" s="359"/>
      <c r="Q9" s="359"/>
      <c r="R9" s="359"/>
      <c r="S9" s="358"/>
      <c r="T9" s="359"/>
      <c r="U9" s="359"/>
      <c r="V9" s="359"/>
      <c r="W9" s="360"/>
      <c r="X9" s="360"/>
      <c r="Y9" s="360"/>
      <c r="Z9" s="360"/>
      <c r="AA9" s="360"/>
      <c r="AB9" s="360"/>
      <c r="AC9" s="360"/>
      <c r="AD9" s="360"/>
      <c r="AE9" s="360"/>
      <c r="AF9" s="360"/>
      <c r="AG9" s="360"/>
      <c r="AH9" s="360"/>
      <c r="AI9" s="360"/>
      <c r="AJ9" s="360"/>
      <c r="AK9" s="360"/>
      <c r="AL9" s="360"/>
      <c r="AM9" s="360"/>
      <c r="AN9" s="360"/>
      <c r="AO9" s="360"/>
      <c r="AP9" s="360"/>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6"/>
      <c r="BQ9" s="246"/>
      <c r="BR9" s="246"/>
      <c r="BS9" s="246"/>
      <c r="BT9" s="246"/>
      <c r="BU9" s="246"/>
      <c r="BV9" s="246"/>
      <c r="BW9" s="246"/>
      <c r="BX9" s="246"/>
      <c r="BY9" s="246"/>
      <c r="BZ9" s="246"/>
      <c r="CA9" s="246"/>
      <c r="CB9" s="246"/>
      <c r="CC9" s="246"/>
      <c r="CD9" s="246"/>
      <c r="CE9" s="246"/>
      <c r="CF9" s="246"/>
      <c r="CG9" s="246"/>
      <c r="CH9" s="246"/>
      <c r="CI9" s="246"/>
      <c r="CJ9" s="246"/>
      <c r="CK9" s="246"/>
      <c r="CL9" s="246"/>
    </row>
    <row r="10">
      <c r="A10" s="213" t="str">
        <f t="shared" ref="A10:A12" si="1">IF(E10="","",$C$3&amp;"."&amp;COUNTA($E$9:E10)&amp;"")</f>
        <v>TC_04.1</v>
      </c>
      <c r="B10" s="214" t="s">
        <v>65</v>
      </c>
      <c r="C10" s="217" t="s">
        <v>755</v>
      </c>
      <c r="D10" s="358"/>
      <c r="E10" s="217" t="s">
        <v>756</v>
      </c>
      <c r="F10" s="217" t="s">
        <v>757</v>
      </c>
      <c r="G10" s="43" t="s">
        <v>56</v>
      </c>
      <c r="H10" s="211" t="s">
        <v>135</v>
      </c>
      <c r="I10" s="213"/>
      <c r="J10" s="221"/>
      <c r="K10" s="220"/>
      <c r="L10" s="213"/>
      <c r="M10" s="213"/>
      <c r="N10" s="221"/>
      <c r="O10" s="220"/>
      <c r="P10" s="213"/>
      <c r="Q10" s="213"/>
      <c r="R10" s="221"/>
      <c r="S10" s="43"/>
      <c r="T10" s="213"/>
      <c r="U10" s="213"/>
      <c r="V10" s="221"/>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row>
    <row r="11">
      <c r="A11" s="213" t="str">
        <f t="shared" si="1"/>
        <v>TC_04.2</v>
      </c>
      <c r="B11" s="214" t="s">
        <v>65</v>
      </c>
      <c r="C11" s="238" t="s">
        <v>599</v>
      </c>
      <c r="D11" s="358"/>
      <c r="E11" s="362" t="s">
        <v>758</v>
      </c>
      <c r="F11" s="238" t="s">
        <v>601</v>
      </c>
      <c r="G11" s="43" t="s">
        <v>56</v>
      </c>
      <c r="H11" s="211" t="s">
        <v>135</v>
      </c>
      <c r="I11" s="213"/>
      <c r="J11" s="221"/>
      <c r="K11" s="220"/>
      <c r="L11" s="213"/>
      <c r="M11" s="213"/>
      <c r="N11" s="221"/>
      <c r="O11" s="220"/>
      <c r="P11" s="213"/>
      <c r="Q11" s="213"/>
      <c r="R11" s="221"/>
      <c r="S11" s="43"/>
      <c r="T11" s="213"/>
      <c r="U11" s="213"/>
      <c r="V11" s="221"/>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row>
    <row r="12">
      <c r="A12" s="213" t="str">
        <f t="shared" si="1"/>
        <v>TC_04.3</v>
      </c>
      <c r="B12" s="211" t="s">
        <v>67</v>
      </c>
      <c r="C12" s="217" t="s">
        <v>759</v>
      </c>
      <c r="D12" s="358"/>
      <c r="E12" s="362" t="s">
        <v>760</v>
      </c>
      <c r="F12" s="217" t="s">
        <v>761</v>
      </c>
      <c r="G12" s="43" t="s">
        <v>56</v>
      </c>
      <c r="H12" s="211" t="s">
        <v>135</v>
      </c>
      <c r="I12" s="213"/>
      <c r="J12" s="221"/>
      <c r="K12" s="220"/>
      <c r="L12" s="213"/>
      <c r="M12" s="213"/>
      <c r="N12" s="221"/>
      <c r="O12" s="220"/>
      <c r="P12" s="213"/>
      <c r="Q12" s="213"/>
      <c r="R12" s="221"/>
      <c r="S12" s="43"/>
      <c r="T12" s="213"/>
      <c r="U12" s="213"/>
      <c r="V12" s="221"/>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row>
    <row r="13">
      <c r="A13" s="363" t="s">
        <v>605</v>
      </c>
      <c r="B13" s="144"/>
      <c r="C13" s="144"/>
      <c r="D13" s="144"/>
      <c r="E13" s="144"/>
      <c r="F13" s="167"/>
      <c r="G13" s="43"/>
      <c r="H13" s="244"/>
      <c r="I13" s="244"/>
      <c r="J13" s="245"/>
      <c r="K13" s="220"/>
      <c r="L13" s="244"/>
      <c r="M13" s="244"/>
      <c r="N13" s="245"/>
      <c r="O13" s="220"/>
      <c r="P13" s="244"/>
      <c r="Q13" s="244"/>
      <c r="R13" s="245"/>
      <c r="S13" s="43"/>
      <c r="T13" s="244"/>
      <c r="U13" s="244"/>
      <c r="V13" s="245"/>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6"/>
      <c r="CE13" s="246"/>
      <c r="CF13" s="246"/>
      <c r="CG13" s="246"/>
      <c r="CH13" s="246"/>
      <c r="CI13" s="246"/>
      <c r="CJ13" s="246"/>
      <c r="CK13" s="246"/>
      <c r="CL13" s="246"/>
    </row>
    <row r="14">
      <c r="A14" s="244" t="str">
        <f>IF(C14="","",$C$3&amp;"."&amp;COUNTA($C$9:C14)&amp;"")</f>
        <v/>
      </c>
      <c r="B14" s="364" t="s">
        <v>606</v>
      </c>
      <c r="C14" s="144"/>
      <c r="D14" s="144"/>
      <c r="E14" s="144"/>
      <c r="F14" s="167"/>
      <c r="G14" s="43"/>
      <c r="H14" s="244"/>
      <c r="I14" s="244"/>
      <c r="J14" s="245"/>
      <c r="K14" s="220"/>
      <c r="L14" s="244"/>
      <c r="M14" s="244"/>
      <c r="N14" s="245"/>
      <c r="O14" s="220"/>
      <c r="P14" s="244"/>
      <c r="Q14" s="244"/>
      <c r="R14" s="245"/>
      <c r="S14" s="43"/>
      <c r="T14" s="244"/>
      <c r="U14" s="244"/>
      <c r="V14" s="245"/>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6"/>
      <c r="CE14" s="246"/>
      <c r="CF14" s="246"/>
      <c r="CG14" s="246"/>
      <c r="CH14" s="246"/>
      <c r="CI14" s="246"/>
      <c r="CJ14" s="246"/>
      <c r="CK14" s="246"/>
      <c r="CL14" s="246"/>
    </row>
    <row r="15" outlineLevel="1">
      <c r="A15" s="213" t="str">
        <f>IF(E15="","",$C$3&amp;"."&amp;COUNTA($E$9:E15)&amp;"")</f>
        <v>TC_04.4</v>
      </c>
      <c r="B15" s="211" t="s">
        <v>67</v>
      </c>
      <c r="C15" s="227" t="s">
        <v>607</v>
      </c>
      <c r="D15" s="227" t="s">
        <v>762</v>
      </c>
      <c r="E15" s="217" t="s">
        <v>763</v>
      </c>
      <c r="F15" s="402" t="s">
        <v>764</v>
      </c>
      <c r="G15" s="43" t="s">
        <v>56</v>
      </c>
      <c r="H15" s="247" t="s">
        <v>135</v>
      </c>
      <c r="I15" s="244"/>
      <c r="J15" s="245"/>
      <c r="K15" s="220"/>
      <c r="L15" s="244"/>
      <c r="M15" s="244"/>
      <c r="N15" s="245"/>
      <c r="O15" s="220"/>
      <c r="P15" s="244"/>
      <c r="Q15" s="244"/>
      <c r="R15" s="245"/>
      <c r="S15" s="43"/>
      <c r="T15" s="244"/>
      <c r="U15" s="244"/>
      <c r="V15" s="245"/>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6"/>
      <c r="BQ15" s="246"/>
      <c r="BR15" s="246"/>
      <c r="BS15" s="246"/>
      <c r="BT15" s="246"/>
      <c r="BU15" s="246"/>
      <c r="BV15" s="246"/>
      <c r="BW15" s="246"/>
      <c r="BX15" s="246"/>
      <c r="BY15" s="246"/>
      <c r="BZ15" s="246"/>
      <c r="CA15" s="246"/>
      <c r="CB15" s="246"/>
      <c r="CC15" s="246"/>
      <c r="CD15" s="246"/>
      <c r="CE15" s="246"/>
      <c r="CF15" s="246"/>
      <c r="CG15" s="246"/>
      <c r="CH15" s="246"/>
      <c r="CI15" s="246"/>
      <c r="CJ15" s="246"/>
      <c r="CK15" s="246"/>
      <c r="CL15" s="246"/>
    </row>
    <row r="16">
      <c r="A16" s="244" t="str">
        <f>IF(C16="","",$C$3&amp;"."&amp;COUNTA($C$9:C16)&amp;"")</f>
        <v/>
      </c>
      <c r="B16" s="364" t="s">
        <v>610</v>
      </c>
      <c r="C16" s="144"/>
      <c r="D16" s="144"/>
      <c r="E16" s="144"/>
      <c r="F16" s="167"/>
      <c r="G16" s="43"/>
      <c r="H16" s="244"/>
      <c r="I16" s="244"/>
      <c r="J16" s="245"/>
      <c r="K16" s="220"/>
      <c r="L16" s="244"/>
      <c r="M16" s="244"/>
      <c r="N16" s="245"/>
      <c r="O16" s="220"/>
      <c r="P16" s="244"/>
      <c r="Q16" s="244"/>
      <c r="R16" s="245"/>
      <c r="S16" s="43"/>
      <c r="T16" s="244"/>
      <c r="U16" s="244"/>
      <c r="V16" s="245"/>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6"/>
      <c r="CB16" s="246"/>
      <c r="CC16" s="246"/>
      <c r="CD16" s="246"/>
      <c r="CE16" s="246"/>
      <c r="CF16" s="246"/>
      <c r="CG16" s="246"/>
      <c r="CH16" s="246"/>
      <c r="CI16" s="246"/>
      <c r="CJ16" s="246"/>
      <c r="CK16" s="246"/>
      <c r="CL16" s="246"/>
    </row>
    <row r="17">
      <c r="A17" s="244" t="str">
        <f>IF(E17="","",$C$3&amp;"."&amp;COUNTA($E$9:E17)&amp;"")</f>
        <v>TC_04.5</v>
      </c>
      <c r="B17" s="233" t="s">
        <v>67</v>
      </c>
      <c r="C17" s="368" t="s">
        <v>611</v>
      </c>
      <c r="D17" s="367"/>
      <c r="E17" s="368" t="s">
        <v>765</v>
      </c>
      <c r="F17" s="368" t="s">
        <v>766</v>
      </c>
      <c r="G17" s="44" t="s">
        <v>56</v>
      </c>
      <c r="H17" s="44" t="s">
        <v>135</v>
      </c>
      <c r="I17" s="221"/>
      <c r="J17" s="249"/>
      <c r="K17" s="43"/>
      <c r="L17" s="247"/>
      <c r="M17" s="248"/>
      <c r="N17" s="249"/>
      <c r="O17" s="250"/>
      <c r="P17" s="247"/>
      <c r="Q17" s="248"/>
      <c r="R17" s="249"/>
      <c r="S17" s="250"/>
      <c r="T17" s="247"/>
      <c r="U17" s="248"/>
      <c r="V17" s="249"/>
      <c r="W17" s="250"/>
      <c r="X17" s="247"/>
      <c r="Y17" s="248"/>
      <c r="Z17" s="249"/>
      <c r="AA17" s="250"/>
      <c r="AB17" s="247"/>
      <c r="AC17" s="248"/>
      <c r="AD17" s="249"/>
      <c r="AE17" s="43"/>
      <c r="AF17" s="247"/>
      <c r="AG17" s="369"/>
      <c r="AH17" s="255"/>
      <c r="AI17" s="43"/>
      <c r="AJ17" s="247"/>
      <c r="AK17" s="244"/>
      <c r="AL17" s="255"/>
      <c r="AM17" s="43"/>
      <c r="AN17" s="247"/>
      <c r="AO17" s="244"/>
      <c r="AP17" s="255"/>
      <c r="AQ17" s="370"/>
      <c r="AR17" s="248"/>
      <c r="AS17" s="248"/>
      <c r="AT17" s="249"/>
      <c r="AU17" s="370"/>
      <c r="AV17" s="248"/>
      <c r="AW17" s="248"/>
      <c r="AX17" s="249"/>
      <c r="AY17" s="370"/>
      <c r="AZ17" s="248"/>
      <c r="BA17" s="248"/>
      <c r="BB17" s="371"/>
      <c r="BC17" s="372"/>
      <c r="BD17" s="372"/>
      <c r="BE17" s="372"/>
      <c r="BF17" s="372"/>
      <c r="BG17" s="372"/>
      <c r="BH17" s="372"/>
      <c r="BI17" s="372"/>
      <c r="BJ17" s="372"/>
      <c r="BK17" s="372"/>
      <c r="BL17" s="372"/>
      <c r="BM17" s="372"/>
      <c r="BN17" s="372"/>
      <c r="BO17" s="372"/>
      <c r="BP17" s="372"/>
      <c r="BQ17" s="372"/>
      <c r="BR17" s="372"/>
      <c r="BS17" s="372"/>
      <c r="BT17" s="372"/>
      <c r="BU17" s="372"/>
      <c r="BV17" s="372"/>
      <c r="BW17" s="372"/>
      <c r="BX17" s="372"/>
      <c r="BY17" s="372"/>
      <c r="BZ17" s="372"/>
      <c r="CA17" s="372"/>
      <c r="CB17" s="372"/>
      <c r="CC17" s="372"/>
      <c r="CD17" s="372"/>
      <c r="CE17" s="372"/>
      <c r="CF17" s="372"/>
      <c r="CG17" s="372"/>
      <c r="CH17" s="372"/>
      <c r="CI17" s="372"/>
      <c r="CJ17" s="372"/>
      <c r="CK17" s="372"/>
      <c r="CL17" s="372"/>
    </row>
    <row r="18">
      <c r="A18" s="213" t="str">
        <f>IF(E18="","",$C$3&amp;"."&amp;COUNTA($E$16:E18)&amp;"")</f>
        <v/>
      </c>
      <c r="B18" s="404" t="s">
        <v>641</v>
      </c>
      <c r="C18" s="144"/>
      <c r="D18" s="144"/>
      <c r="E18" s="144"/>
      <c r="F18" s="167"/>
      <c r="G18" s="211"/>
      <c r="H18" s="211"/>
      <c r="I18" s="221"/>
      <c r="J18" s="245"/>
      <c r="K18" s="220"/>
      <c r="L18" s="244"/>
      <c r="M18" s="244"/>
      <c r="N18" s="245"/>
      <c r="O18" s="220"/>
      <c r="P18" s="244"/>
      <c r="Q18" s="244"/>
      <c r="R18" s="245"/>
      <c r="S18" s="43"/>
      <c r="T18" s="244"/>
      <c r="U18" s="244"/>
      <c r="V18" s="245"/>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6"/>
      <c r="BK18" s="246"/>
      <c r="BL18" s="246"/>
      <c r="BM18" s="246"/>
      <c r="BN18" s="246"/>
      <c r="BO18" s="246"/>
      <c r="BP18" s="246"/>
      <c r="BQ18" s="246"/>
      <c r="BR18" s="246"/>
      <c r="BS18" s="246"/>
      <c r="BT18" s="246"/>
      <c r="BU18" s="246"/>
      <c r="BV18" s="246"/>
      <c r="BW18" s="246"/>
      <c r="BX18" s="246"/>
      <c r="BY18" s="246"/>
      <c r="BZ18" s="246"/>
      <c r="CA18" s="246"/>
      <c r="CB18" s="246"/>
      <c r="CC18" s="246"/>
      <c r="CD18" s="246"/>
      <c r="CE18" s="246"/>
      <c r="CF18" s="246"/>
      <c r="CG18" s="246"/>
      <c r="CH18" s="246"/>
      <c r="CI18" s="246"/>
      <c r="CJ18" s="246"/>
      <c r="CK18" s="246"/>
      <c r="CL18" s="246"/>
    </row>
    <row r="19">
      <c r="A19" s="244" t="str">
        <f t="shared" ref="A19:A21" si="2">IF(E19="","",$C$3&amp;"."&amp;COUNTA($E$9:E19)&amp;"")</f>
        <v>TC_04.6</v>
      </c>
      <c r="B19" s="214" t="s">
        <v>67</v>
      </c>
      <c r="C19" s="235" t="s">
        <v>642</v>
      </c>
      <c r="D19" s="381"/>
      <c r="E19" s="307" t="s">
        <v>767</v>
      </c>
      <c r="F19" s="382" t="s">
        <v>768</v>
      </c>
      <c r="G19" s="211" t="s">
        <v>56</v>
      </c>
      <c r="H19" s="211" t="s">
        <v>135</v>
      </c>
      <c r="I19" s="221"/>
      <c r="J19" s="245"/>
      <c r="K19" s="220"/>
      <c r="L19" s="244"/>
      <c r="M19" s="244"/>
      <c r="N19" s="245"/>
      <c r="O19" s="220"/>
      <c r="P19" s="244"/>
      <c r="Q19" s="244"/>
      <c r="R19" s="245"/>
      <c r="S19" s="43"/>
      <c r="T19" s="244"/>
      <c r="U19" s="244"/>
      <c r="V19" s="245"/>
      <c r="W19" s="246"/>
      <c r="X19" s="246"/>
      <c r="Y19" s="246"/>
      <c r="Z19" s="246"/>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6"/>
      <c r="BK19" s="246"/>
      <c r="BL19" s="246"/>
      <c r="BM19" s="246"/>
      <c r="BN19" s="246"/>
      <c r="BO19" s="246"/>
      <c r="BP19" s="246"/>
      <c r="BQ19" s="246"/>
      <c r="BR19" s="246"/>
      <c r="BS19" s="246"/>
      <c r="BT19" s="246"/>
      <c r="BU19" s="246"/>
      <c r="BV19" s="246"/>
      <c r="BW19" s="246"/>
      <c r="BX19" s="246"/>
      <c r="BY19" s="246"/>
      <c r="BZ19" s="246"/>
      <c r="CA19" s="246"/>
      <c r="CB19" s="246"/>
      <c r="CC19" s="246"/>
      <c r="CD19" s="246"/>
      <c r="CE19" s="246"/>
      <c r="CF19" s="246"/>
      <c r="CG19" s="246"/>
      <c r="CH19" s="246"/>
      <c r="CI19" s="246"/>
      <c r="CJ19" s="246"/>
      <c r="CK19" s="246"/>
      <c r="CL19" s="246"/>
    </row>
    <row r="20">
      <c r="A20" s="244" t="str">
        <f t="shared" si="2"/>
        <v/>
      </c>
      <c r="B20" s="405" t="s">
        <v>585</v>
      </c>
      <c r="C20" s="144"/>
      <c r="D20" s="144"/>
      <c r="E20" s="144"/>
      <c r="F20" s="167"/>
      <c r="G20" s="209"/>
      <c r="H20" s="209"/>
      <c r="I20" s="207"/>
      <c r="J20" s="207"/>
      <c r="K20" s="207"/>
      <c r="L20" s="207"/>
      <c r="M20" s="207"/>
      <c r="N20" s="207"/>
      <c r="O20" s="207"/>
      <c r="P20" s="207"/>
      <c r="Q20" s="207"/>
      <c r="R20" s="207"/>
      <c r="S20" s="209"/>
      <c r="T20" s="207"/>
      <c r="U20" s="207"/>
      <c r="V20" s="207"/>
      <c r="W20" s="187"/>
      <c r="X20" s="187"/>
      <c r="Y20" s="187"/>
      <c r="Z20" s="187"/>
      <c r="AA20" s="187"/>
      <c r="AB20" s="187"/>
      <c r="AC20" s="187"/>
      <c r="AD20" s="187"/>
      <c r="AE20" s="187"/>
      <c r="AF20" s="187"/>
      <c r="AG20" s="187"/>
      <c r="AH20" s="187"/>
      <c r="AI20" s="187"/>
      <c r="AJ20" s="187"/>
      <c r="AK20" s="187"/>
      <c r="AL20" s="187"/>
      <c r="AM20" s="187"/>
      <c r="AN20" s="187"/>
      <c r="AO20" s="187"/>
      <c r="AP20" s="187"/>
      <c r="AQ20" s="246"/>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6"/>
      <c r="BO20" s="246"/>
      <c r="BP20" s="246"/>
      <c r="BQ20" s="246"/>
      <c r="BR20" s="246"/>
      <c r="BS20" s="246"/>
      <c r="BT20" s="246"/>
      <c r="BU20" s="246"/>
      <c r="BV20" s="246"/>
      <c r="BW20" s="246"/>
      <c r="BX20" s="246"/>
      <c r="BY20" s="246"/>
      <c r="BZ20" s="246"/>
      <c r="CA20" s="246"/>
      <c r="CB20" s="246"/>
      <c r="CC20" s="246"/>
      <c r="CD20" s="246"/>
      <c r="CE20" s="246"/>
      <c r="CF20" s="246"/>
      <c r="CG20" s="246"/>
      <c r="CH20" s="246"/>
      <c r="CI20" s="246"/>
      <c r="CJ20" s="246"/>
      <c r="CK20" s="246"/>
      <c r="CL20" s="246"/>
    </row>
    <row r="21">
      <c r="A21" s="244" t="str">
        <f t="shared" si="2"/>
        <v>TC_04.7</v>
      </c>
      <c r="B21" s="214" t="s">
        <v>67</v>
      </c>
      <c r="C21" s="236" t="s">
        <v>648</v>
      </c>
      <c r="D21" s="381"/>
      <c r="E21" s="321" t="s">
        <v>769</v>
      </c>
      <c r="F21" s="235" t="s">
        <v>699</v>
      </c>
      <c r="G21" s="211" t="s">
        <v>56</v>
      </c>
      <c r="H21" s="211" t="s">
        <v>135</v>
      </c>
      <c r="I21" s="221"/>
      <c r="J21" s="255" t="s">
        <v>770</v>
      </c>
      <c r="K21" s="220"/>
      <c r="L21" s="244"/>
      <c r="M21" s="244"/>
      <c r="N21" s="245"/>
      <c r="O21" s="220"/>
      <c r="P21" s="244"/>
      <c r="Q21" s="244"/>
      <c r="R21" s="245"/>
      <c r="S21" s="43"/>
      <c r="T21" s="244"/>
      <c r="U21" s="244"/>
      <c r="V21" s="245"/>
      <c r="W21" s="246"/>
      <c r="X21" s="246"/>
      <c r="Y21" s="246"/>
      <c r="Z21" s="246"/>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6"/>
      <c r="BK21" s="246"/>
      <c r="BL21" s="246"/>
      <c r="BM21" s="246"/>
      <c r="BN21" s="246"/>
      <c r="BO21" s="246"/>
      <c r="BP21" s="246"/>
      <c r="BQ21" s="246"/>
      <c r="BR21" s="246"/>
      <c r="BS21" s="246"/>
      <c r="BT21" s="246"/>
      <c r="BU21" s="246"/>
      <c r="BV21" s="246"/>
      <c r="BW21" s="246"/>
      <c r="BX21" s="246"/>
      <c r="BY21" s="246"/>
      <c r="BZ21" s="246"/>
      <c r="CA21" s="246"/>
      <c r="CB21" s="246"/>
      <c r="CC21" s="246"/>
      <c r="CD21" s="246"/>
      <c r="CE21" s="246"/>
      <c r="CF21" s="246"/>
      <c r="CG21" s="246"/>
      <c r="CH21" s="246"/>
      <c r="CI21" s="246"/>
      <c r="CJ21" s="246"/>
      <c r="CK21" s="246"/>
      <c r="CL21" s="246"/>
    </row>
    <row r="22">
      <c r="A22" s="363" t="s">
        <v>565</v>
      </c>
      <c r="B22" s="144"/>
      <c r="C22" s="144"/>
      <c r="D22" s="144"/>
      <c r="E22" s="144"/>
      <c r="F22" s="167"/>
      <c r="G22" s="43"/>
      <c r="H22" s="244"/>
      <c r="I22" s="244"/>
      <c r="J22" s="245"/>
      <c r="K22" s="220"/>
      <c r="L22" s="244"/>
      <c r="M22" s="244"/>
      <c r="N22" s="245"/>
      <c r="O22" s="220"/>
      <c r="P22" s="244"/>
      <c r="Q22" s="244"/>
      <c r="R22" s="245"/>
      <c r="S22" s="43"/>
      <c r="T22" s="244"/>
      <c r="U22" s="244"/>
      <c r="V22" s="245"/>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6"/>
      <c r="BO22" s="246"/>
      <c r="BP22" s="246"/>
      <c r="BQ22" s="246"/>
      <c r="BR22" s="246"/>
      <c r="BS22" s="246"/>
      <c r="BT22" s="246"/>
      <c r="BU22" s="246"/>
      <c r="BV22" s="246"/>
      <c r="BW22" s="246"/>
      <c r="BX22" s="246"/>
      <c r="BY22" s="246"/>
      <c r="BZ22" s="246"/>
      <c r="CA22" s="246"/>
      <c r="CB22" s="246"/>
      <c r="CC22" s="246"/>
      <c r="CD22" s="246"/>
      <c r="CE22" s="246"/>
      <c r="CF22" s="246"/>
      <c r="CG22" s="246"/>
      <c r="CH22" s="246"/>
      <c r="CI22" s="246"/>
      <c r="CJ22" s="246"/>
      <c r="CK22" s="246"/>
      <c r="CL22" s="246"/>
    </row>
    <row r="23" outlineLevel="1">
      <c r="A23" s="244" t="str">
        <f t="shared" ref="A23:A55" si="3">IF(E23="","",$C$3&amp;"."&amp;COUNTA($E$9:E23)&amp;"")</f>
        <v>TC_04.8</v>
      </c>
      <c r="B23" s="214" t="s">
        <v>65</v>
      </c>
      <c r="C23" s="238" t="s">
        <v>771</v>
      </c>
      <c r="D23" s="238" t="s">
        <v>772</v>
      </c>
      <c r="E23" s="217" t="s">
        <v>773</v>
      </c>
      <c r="F23" s="217" t="s">
        <v>774</v>
      </c>
      <c r="G23" s="43" t="s">
        <v>60</v>
      </c>
      <c r="H23" s="211" t="s">
        <v>135</v>
      </c>
      <c r="I23" s="213"/>
      <c r="J23" s="217" t="s">
        <v>775</v>
      </c>
      <c r="K23" s="220"/>
      <c r="L23" s="213"/>
      <c r="M23" s="213"/>
      <c r="N23" s="221"/>
      <c r="O23" s="220"/>
      <c r="P23" s="213"/>
      <c r="Q23" s="213"/>
      <c r="R23" s="221"/>
      <c r="S23" s="43"/>
      <c r="T23" s="213"/>
      <c r="U23" s="213"/>
      <c r="V23" s="221"/>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row>
    <row r="24" outlineLevel="1">
      <c r="A24" s="244" t="str">
        <f t="shared" si="3"/>
        <v>TC_04.9</v>
      </c>
      <c r="B24" s="214" t="s">
        <v>65</v>
      </c>
      <c r="C24" s="217" t="s">
        <v>776</v>
      </c>
      <c r="D24" s="217" t="s">
        <v>777</v>
      </c>
      <c r="E24" s="238" t="s">
        <v>778</v>
      </c>
      <c r="F24" s="217" t="s">
        <v>779</v>
      </c>
      <c r="G24" s="43" t="s">
        <v>60</v>
      </c>
      <c r="H24" s="211" t="s">
        <v>135</v>
      </c>
      <c r="I24" s="213"/>
      <c r="J24" s="217" t="s">
        <v>775</v>
      </c>
      <c r="K24" s="220"/>
      <c r="L24" s="213"/>
      <c r="M24" s="213"/>
      <c r="N24" s="221"/>
      <c r="O24" s="220"/>
      <c r="P24" s="213"/>
      <c r="Q24" s="213"/>
      <c r="R24" s="221"/>
      <c r="S24" s="43"/>
      <c r="T24" s="213"/>
      <c r="U24" s="213"/>
      <c r="V24" s="221"/>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row>
    <row r="25" outlineLevel="1">
      <c r="A25" s="244" t="str">
        <f t="shared" si="3"/>
        <v>TC_04.10</v>
      </c>
      <c r="B25" s="214" t="s">
        <v>65</v>
      </c>
      <c r="C25" s="217" t="s">
        <v>780</v>
      </c>
      <c r="D25" s="217" t="s">
        <v>777</v>
      </c>
      <c r="E25" s="238" t="s">
        <v>781</v>
      </c>
      <c r="F25" s="238" t="s">
        <v>782</v>
      </c>
      <c r="G25" s="43" t="s">
        <v>60</v>
      </c>
      <c r="H25" s="211" t="s">
        <v>135</v>
      </c>
      <c r="I25" s="213"/>
      <c r="J25" s="217" t="s">
        <v>775</v>
      </c>
      <c r="K25" s="220"/>
      <c r="L25" s="213"/>
      <c r="M25" s="213"/>
      <c r="N25" s="221"/>
      <c r="O25" s="220"/>
      <c r="P25" s="213"/>
      <c r="Q25" s="213"/>
      <c r="R25" s="221"/>
      <c r="S25" s="43"/>
      <c r="T25" s="213"/>
      <c r="U25" s="213"/>
      <c r="V25" s="221"/>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row>
    <row r="26" outlineLevel="1">
      <c r="A26" s="244" t="str">
        <f t="shared" si="3"/>
        <v>TC_04.11</v>
      </c>
      <c r="B26" s="214" t="s">
        <v>65</v>
      </c>
      <c r="C26" s="238" t="s">
        <v>783</v>
      </c>
      <c r="D26" s="238" t="s">
        <v>784</v>
      </c>
      <c r="E26" s="217" t="s">
        <v>785</v>
      </c>
      <c r="F26" s="217" t="s">
        <v>786</v>
      </c>
      <c r="G26" s="43" t="s">
        <v>60</v>
      </c>
      <c r="H26" s="211" t="s">
        <v>135</v>
      </c>
      <c r="I26" s="213"/>
      <c r="J26" s="217" t="s">
        <v>775</v>
      </c>
      <c r="K26" s="220"/>
      <c r="L26" s="213"/>
      <c r="M26" s="213"/>
      <c r="N26" s="221"/>
      <c r="O26" s="220"/>
      <c r="P26" s="213"/>
      <c r="Q26" s="213"/>
      <c r="R26" s="221"/>
      <c r="S26" s="43"/>
      <c r="T26" s="213"/>
      <c r="U26" s="213"/>
      <c r="V26" s="221"/>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row>
    <row r="27" outlineLevel="1">
      <c r="A27" s="244" t="str">
        <f t="shared" si="3"/>
        <v>TC_04.12</v>
      </c>
      <c r="B27" s="214" t="s">
        <v>65</v>
      </c>
      <c r="C27" s="217" t="s">
        <v>787</v>
      </c>
      <c r="D27" s="217" t="s">
        <v>788</v>
      </c>
      <c r="E27" s="238" t="s">
        <v>789</v>
      </c>
      <c r="F27" s="238" t="s">
        <v>790</v>
      </c>
      <c r="G27" s="43" t="s">
        <v>60</v>
      </c>
      <c r="H27" s="211" t="s">
        <v>135</v>
      </c>
      <c r="I27" s="213"/>
      <c r="J27" s="217" t="s">
        <v>775</v>
      </c>
      <c r="K27" s="220"/>
      <c r="L27" s="213"/>
      <c r="M27" s="213"/>
      <c r="N27" s="221"/>
      <c r="O27" s="220"/>
      <c r="P27" s="213"/>
      <c r="Q27" s="213"/>
      <c r="R27" s="221"/>
      <c r="S27" s="43"/>
      <c r="T27" s="213"/>
      <c r="U27" s="213"/>
      <c r="V27" s="221"/>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row>
    <row r="28" outlineLevel="1">
      <c r="A28" s="244" t="str">
        <f t="shared" si="3"/>
        <v>TC_04.13</v>
      </c>
      <c r="B28" s="214" t="s">
        <v>65</v>
      </c>
      <c r="C28" s="217" t="s">
        <v>791</v>
      </c>
      <c r="D28" s="217" t="s">
        <v>792</v>
      </c>
      <c r="E28" s="238" t="s">
        <v>793</v>
      </c>
      <c r="F28" s="238" t="s">
        <v>794</v>
      </c>
      <c r="G28" s="43" t="s">
        <v>60</v>
      </c>
      <c r="H28" s="211" t="s">
        <v>135</v>
      </c>
      <c r="I28" s="213"/>
      <c r="J28" s="217" t="s">
        <v>775</v>
      </c>
      <c r="K28" s="220"/>
      <c r="L28" s="213"/>
      <c r="M28" s="213"/>
      <c r="N28" s="221"/>
      <c r="O28" s="220"/>
      <c r="P28" s="213"/>
      <c r="Q28" s="213"/>
      <c r="R28" s="221"/>
      <c r="S28" s="43"/>
      <c r="T28" s="213"/>
      <c r="U28" s="213"/>
      <c r="V28" s="221"/>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row>
    <row r="29" outlineLevel="1">
      <c r="A29" s="244" t="str">
        <f t="shared" si="3"/>
        <v>TC_04.14</v>
      </c>
      <c r="B29" s="214" t="s">
        <v>65</v>
      </c>
      <c r="C29" s="238" t="s">
        <v>795</v>
      </c>
      <c r="D29" s="238" t="s">
        <v>796</v>
      </c>
      <c r="E29" s="217" t="s">
        <v>797</v>
      </c>
      <c r="F29" s="238" t="s">
        <v>798</v>
      </c>
      <c r="G29" s="43" t="s">
        <v>60</v>
      </c>
      <c r="H29" s="211" t="s">
        <v>135</v>
      </c>
      <c r="I29" s="213"/>
      <c r="J29" s="217" t="s">
        <v>775</v>
      </c>
      <c r="K29" s="220"/>
      <c r="L29" s="213"/>
      <c r="M29" s="213"/>
      <c r="N29" s="221"/>
      <c r="O29" s="220"/>
      <c r="P29" s="213"/>
      <c r="Q29" s="213"/>
      <c r="R29" s="221"/>
      <c r="S29" s="43"/>
      <c r="T29" s="213"/>
      <c r="U29" s="213"/>
      <c r="V29" s="221"/>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row>
    <row r="30" outlineLevel="1">
      <c r="A30" s="244" t="str">
        <f t="shared" si="3"/>
        <v>TC_04.15</v>
      </c>
      <c r="B30" s="214" t="s">
        <v>65</v>
      </c>
      <c r="C30" s="238" t="s">
        <v>799</v>
      </c>
      <c r="D30" s="238" t="s">
        <v>800</v>
      </c>
      <c r="E30" s="217" t="s">
        <v>801</v>
      </c>
      <c r="F30" s="217" t="s">
        <v>802</v>
      </c>
      <c r="G30" s="43" t="s">
        <v>60</v>
      </c>
      <c r="H30" s="211" t="s">
        <v>135</v>
      </c>
      <c r="I30" s="213"/>
      <c r="J30" s="217" t="s">
        <v>775</v>
      </c>
      <c r="K30" s="220"/>
      <c r="L30" s="213"/>
      <c r="M30" s="213"/>
      <c r="N30" s="221"/>
      <c r="O30" s="220"/>
      <c r="P30" s="213"/>
      <c r="Q30" s="213"/>
      <c r="R30" s="221"/>
      <c r="S30" s="43"/>
      <c r="T30" s="213"/>
      <c r="U30" s="213"/>
      <c r="V30" s="221"/>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row>
    <row r="31" outlineLevel="1">
      <c r="A31" s="244" t="str">
        <f t="shared" si="3"/>
        <v>TC_04.16</v>
      </c>
      <c r="B31" s="214" t="s">
        <v>65</v>
      </c>
      <c r="C31" s="217" t="s">
        <v>803</v>
      </c>
      <c r="D31" s="238" t="s">
        <v>804</v>
      </c>
      <c r="E31" s="238" t="s">
        <v>805</v>
      </c>
      <c r="F31" s="238" t="s">
        <v>806</v>
      </c>
      <c r="G31" s="43" t="s">
        <v>60</v>
      </c>
      <c r="H31" s="211" t="s">
        <v>135</v>
      </c>
      <c r="I31" s="213"/>
      <c r="J31" s="217" t="s">
        <v>775</v>
      </c>
      <c r="K31" s="220"/>
      <c r="L31" s="213"/>
      <c r="M31" s="213"/>
      <c r="N31" s="221"/>
      <c r="O31" s="220"/>
      <c r="P31" s="213"/>
      <c r="Q31" s="213"/>
      <c r="R31" s="221"/>
      <c r="S31" s="43"/>
      <c r="T31" s="213"/>
      <c r="U31" s="213"/>
      <c r="V31" s="221"/>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row>
    <row r="32" outlineLevel="1">
      <c r="A32" s="244" t="str">
        <f t="shared" si="3"/>
        <v>TC_04.17</v>
      </c>
      <c r="B32" s="214" t="s">
        <v>65</v>
      </c>
      <c r="C32" s="217" t="s">
        <v>807</v>
      </c>
      <c r="D32" s="238" t="s">
        <v>808</v>
      </c>
      <c r="E32" s="238" t="s">
        <v>809</v>
      </c>
      <c r="F32" s="238" t="s">
        <v>810</v>
      </c>
      <c r="G32" s="43" t="s">
        <v>60</v>
      </c>
      <c r="H32" s="211" t="s">
        <v>135</v>
      </c>
      <c r="I32" s="213"/>
      <c r="J32" s="217" t="s">
        <v>775</v>
      </c>
      <c r="K32" s="220"/>
      <c r="L32" s="213"/>
      <c r="M32" s="213"/>
      <c r="N32" s="221"/>
      <c r="O32" s="220"/>
      <c r="P32" s="213"/>
      <c r="Q32" s="213"/>
      <c r="R32" s="221"/>
      <c r="S32" s="43"/>
      <c r="T32" s="213"/>
      <c r="U32" s="213"/>
      <c r="V32" s="221"/>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row>
    <row r="33" outlineLevel="1">
      <c r="A33" s="244" t="str">
        <f t="shared" si="3"/>
        <v>TC_04.18</v>
      </c>
      <c r="B33" s="214" t="s">
        <v>65</v>
      </c>
      <c r="C33" s="217" t="s">
        <v>811</v>
      </c>
      <c r="D33" s="238" t="s">
        <v>812</v>
      </c>
      <c r="E33" s="238" t="s">
        <v>813</v>
      </c>
      <c r="F33" s="238" t="s">
        <v>814</v>
      </c>
      <c r="G33" s="43" t="s">
        <v>60</v>
      </c>
      <c r="H33" s="211" t="s">
        <v>135</v>
      </c>
      <c r="I33" s="213"/>
      <c r="J33" s="217" t="s">
        <v>775</v>
      </c>
      <c r="K33" s="220"/>
      <c r="L33" s="213"/>
      <c r="M33" s="213"/>
      <c r="N33" s="221"/>
      <c r="O33" s="220"/>
      <c r="P33" s="213"/>
      <c r="Q33" s="213"/>
      <c r="R33" s="221"/>
      <c r="S33" s="43"/>
      <c r="T33" s="213"/>
      <c r="U33" s="213"/>
      <c r="V33" s="221"/>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row>
    <row r="34" outlineLevel="1">
      <c r="A34" s="244" t="str">
        <f t="shared" si="3"/>
        <v>TC_04.19</v>
      </c>
      <c r="B34" s="214" t="s">
        <v>65</v>
      </c>
      <c r="C34" s="217" t="s">
        <v>815</v>
      </c>
      <c r="D34" s="238" t="s">
        <v>812</v>
      </c>
      <c r="E34" s="238" t="s">
        <v>816</v>
      </c>
      <c r="F34" s="238" t="s">
        <v>817</v>
      </c>
      <c r="G34" s="43" t="s">
        <v>60</v>
      </c>
      <c r="H34" s="211" t="s">
        <v>135</v>
      </c>
      <c r="I34" s="213"/>
      <c r="J34" s="217" t="s">
        <v>775</v>
      </c>
      <c r="K34" s="220"/>
      <c r="L34" s="213"/>
      <c r="M34" s="213"/>
      <c r="N34" s="221"/>
      <c r="O34" s="220"/>
      <c r="P34" s="213"/>
      <c r="Q34" s="213"/>
      <c r="R34" s="221"/>
      <c r="S34" s="43"/>
      <c r="T34" s="213"/>
      <c r="U34" s="213"/>
      <c r="V34" s="221"/>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row>
    <row r="35" outlineLevel="1">
      <c r="A35" s="244" t="str">
        <f t="shared" si="3"/>
        <v>TC_04.20</v>
      </c>
      <c r="B35" s="214" t="s">
        <v>65</v>
      </c>
      <c r="C35" s="238" t="s">
        <v>818</v>
      </c>
      <c r="D35" s="238" t="s">
        <v>819</v>
      </c>
      <c r="E35" s="238" t="s">
        <v>820</v>
      </c>
      <c r="F35" s="238" t="s">
        <v>821</v>
      </c>
      <c r="G35" s="43" t="s">
        <v>60</v>
      </c>
      <c r="H35" s="211" t="s">
        <v>135</v>
      </c>
      <c r="I35" s="213"/>
      <c r="J35" s="217" t="s">
        <v>775</v>
      </c>
      <c r="K35" s="220"/>
      <c r="L35" s="213"/>
      <c r="M35" s="213"/>
      <c r="N35" s="221"/>
      <c r="O35" s="220"/>
      <c r="P35" s="213"/>
      <c r="Q35" s="213"/>
      <c r="R35" s="221"/>
      <c r="S35" s="43"/>
      <c r="T35" s="213"/>
      <c r="U35" s="213"/>
      <c r="V35" s="221"/>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row>
    <row r="36" outlineLevel="1">
      <c r="A36" s="244" t="str">
        <f t="shared" si="3"/>
        <v>TC_04.21</v>
      </c>
      <c r="B36" s="214" t="s">
        <v>65</v>
      </c>
      <c r="C36" s="238" t="s">
        <v>822</v>
      </c>
      <c r="D36" s="238" t="s">
        <v>812</v>
      </c>
      <c r="E36" s="238" t="s">
        <v>823</v>
      </c>
      <c r="F36" s="238" t="s">
        <v>824</v>
      </c>
      <c r="G36" s="43" t="s">
        <v>60</v>
      </c>
      <c r="H36" s="211" t="s">
        <v>135</v>
      </c>
      <c r="I36" s="213"/>
      <c r="J36" s="217" t="s">
        <v>775</v>
      </c>
      <c r="K36" s="220"/>
      <c r="L36" s="213"/>
      <c r="M36" s="213"/>
      <c r="N36" s="221"/>
      <c r="O36" s="220"/>
      <c r="P36" s="213"/>
      <c r="Q36" s="213"/>
      <c r="R36" s="221"/>
      <c r="S36" s="43"/>
      <c r="T36" s="213"/>
      <c r="U36" s="213"/>
      <c r="V36" s="221"/>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row>
    <row r="37" outlineLevel="1">
      <c r="A37" s="244" t="str">
        <f t="shared" si="3"/>
        <v>TC_04.22</v>
      </c>
      <c r="B37" s="214" t="s">
        <v>65</v>
      </c>
      <c r="C37" s="238" t="s">
        <v>825</v>
      </c>
      <c r="D37" s="238" t="s">
        <v>826</v>
      </c>
      <c r="E37" s="238" t="s">
        <v>827</v>
      </c>
      <c r="F37" s="238" t="s">
        <v>828</v>
      </c>
      <c r="G37" s="43" t="s">
        <v>60</v>
      </c>
      <c r="H37" s="211" t="s">
        <v>135</v>
      </c>
      <c r="I37" s="213"/>
      <c r="J37" s="217" t="s">
        <v>775</v>
      </c>
      <c r="K37" s="220"/>
      <c r="L37" s="213"/>
      <c r="M37" s="213"/>
      <c r="N37" s="221"/>
      <c r="O37" s="220"/>
      <c r="P37" s="213"/>
      <c r="Q37" s="213"/>
      <c r="R37" s="221"/>
      <c r="S37" s="43"/>
      <c r="T37" s="213"/>
      <c r="U37" s="213"/>
      <c r="V37" s="221"/>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row>
    <row r="38" outlineLevel="1">
      <c r="A38" s="244" t="str">
        <f t="shared" si="3"/>
        <v>TC_04.23</v>
      </c>
      <c r="B38" s="214" t="s">
        <v>65</v>
      </c>
      <c r="C38" s="238" t="s">
        <v>829</v>
      </c>
      <c r="D38" s="238" t="s">
        <v>830</v>
      </c>
      <c r="E38" s="238" t="s">
        <v>831</v>
      </c>
      <c r="F38" s="238" t="s">
        <v>832</v>
      </c>
      <c r="G38" s="43" t="s">
        <v>60</v>
      </c>
      <c r="H38" s="211" t="s">
        <v>135</v>
      </c>
      <c r="I38" s="213"/>
      <c r="J38" s="217" t="s">
        <v>775</v>
      </c>
      <c r="K38" s="220"/>
      <c r="L38" s="213"/>
      <c r="M38" s="213"/>
      <c r="N38" s="221"/>
      <c r="O38" s="220"/>
      <c r="P38" s="213"/>
      <c r="Q38" s="213"/>
      <c r="R38" s="221"/>
      <c r="S38" s="43"/>
      <c r="T38" s="213"/>
      <c r="U38" s="213"/>
      <c r="V38" s="221"/>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row>
    <row r="39" outlineLevel="1">
      <c r="A39" s="244" t="str">
        <f t="shared" si="3"/>
        <v>TC_04.24</v>
      </c>
      <c r="B39" s="214" t="s">
        <v>65</v>
      </c>
      <c r="C39" s="238" t="s">
        <v>833</v>
      </c>
      <c r="D39" s="217" t="s">
        <v>834</v>
      </c>
      <c r="E39" s="217" t="s">
        <v>835</v>
      </c>
      <c r="F39" s="217" t="s">
        <v>836</v>
      </c>
      <c r="G39" s="43" t="s">
        <v>60</v>
      </c>
      <c r="H39" s="211" t="s">
        <v>135</v>
      </c>
      <c r="I39" s="213"/>
      <c r="J39" s="217" t="s">
        <v>775</v>
      </c>
      <c r="K39" s="220"/>
      <c r="L39" s="213"/>
      <c r="M39" s="213"/>
      <c r="N39" s="221"/>
      <c r="O39" s="220"/>
      <c r="P39" s="213"/>
      <c r="Q39" s="213"/>
      <c r="R39" s="221"/>
      <c r="S39" s="43"/>
      <c r="T39" s="213"/>
      <c r="U39" s="213"/>
      <c r="V39" s="221"/>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row>
    <row r="40" outlineLevel="1">
      <c r="A40" s="244" t="str">
        <f t="shared" si="3"/>
        <v>TC_04.25</v>
      </c>
      <c r="B40" s="214" t="s">
        <v>65</v>
      </c>
      <c r="C40" s="238" t="s">
        <v>837</v>
      </c>
      <c r="D40" s="217" t="s">
        <v>838</v>
      </c>
      <c r="E40" s="217" t="s">
        <v>839</v>
      </c>
      <c r="F40" s="217" t="s">
        <v>840</v>
      </c>
      <c r="G40" s="43" t="s">
        <v>60</v>
      </c>
      <c r="H40" s="211" t="s">
        <v>135</v>
      </c>
      <c r="I40" s="213"/>
      <c r="J40" s="217" t="s">
        <v>775</v>
      </c>
      <c r="K40" s="220"/>
      <c r="L40" s="213"/>
      <c r="M40" s="213"/>
      <c r="N40" s="221"/>
      <c r="O40" s="220"/>
      <c r="P40" s="213"/>
      <c r="Q40" s="213"/>
      <c r="R40" s="221"/>
      <c r="S40" s="43"/>
      <c r="T40" s="213"/>
      <c r="U40" s="213"/>
      <c r="V40" s="221"/>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row>
    <row r="41" outlineLevel="1">
      <c r="A41" s="244" t="str">
        <f t="shared" si="3"/>
        <v>TC_04.26</v>
      </c>
      <c r="B41" s="214" t="s">
        <v>65</v>
      </c>
      <c r="C41" s="217" t="s">
        <v>841</v>
      </c>
      <c r="D41" s="217" t="s">
        <v>838</v>
      </c>
      <c r="E41" s="217" t="s">
        <v>842</v>
      </c>
      <c r="F41" s="217" t="s">
        <v>843</v>
      </c>
      <c r="G41" s="43" t="s">
        <v>60</v>
      </c>
      <c r="H41" s="211" t="s">
        <v>135</v>
      </c>
      <c r="I41" s="213"/>
      <c r="J41" s="217" t="s">
        <v>775</v>
      </c>
      <c r="K41" s="220"/>
      <c r="L41" s="213"/>
      <c r="M41" s="213"/>
      <c r="N41" s="221"/>
      <c r="O41" s="220"/>
      <c r="P41" s="213"/>
      <c r="Q41" s="213"/>
      <c r="R41" s="221"/>
      <c r="S41" s="43"/>
      <c r="T41" s="213"/>
      <c r="U41" s="213"/>
      <c r="V41" s="221"/>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row>
    <row r="42" outlineLevel="1">
      <c r="A42" s="244" t="str">
        <f t="shared" si="3"/>
        <v>TC_04.27</v>
      </c>
      <c r="B42" s="214" t="s">
        <v>65</v>
      </c>
      <c r="C42" s="217" t="s">
        <v>844</v>
      </c>
      <c r="D42" s="238" t="s">
        <v>845</v>
      </c>
      <c r="E42" s="238" t="s">
        <v>846</v>
      </c>
      <c r="F42" s="238" t="s">
        <v>847</v>
      </c>
      <c r="G42" s="43" t="s">
        <v>60</v>
      </c>
      <c r="H42" s="211" t="s">
        <v>135</v>
      </c>
      <c r="I42" s="213"/>
      <c r="J42" s="217" t="s">
        <v>775</v>
      </c>
      <c r="K42" s="220"/>
      <c r="L42" s="213"/>
      <c r="M42" s="213"/>
      <c r="N42" s="221"/>
      <c r="O42" s="220"/>
      <c r="P42" s="213"/>
      <c r="Q42" s="213"/>
      <c r="R42" s="221"/>
      <c r="S42" s="43"/>
      <c r="T42" s="213"/>
      <c r="U42" s="213"/>
      <c r="V42" s="221"/>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row>
    <row r="43" outlineLevel="1">
      <c r="A43" s="244" t="str">
        <f t="shared" si="3"/>
        <v>TC_04.28</v>
      </c>
      <c r="B43" s="214" t="s">
        <v>65</v>
      </c>
      <c r="C43" s="217" t="s">
        <v>848</v>
      </c>
      <c r="D43" s="238" t="s">
        <v>849</v>
      </c>
      <c r="E43" s="217" t="s">
        <v>850</v>
      </c>
      <c r="F43" s="238" t="s">
        <v>851</v>
      </c>
      <c r="G43" s="43" t="s">
        <v>60</v>
      </c>
      <c r="H43" s="211" t="s">
        <v>135</v>
      </c>
      <c r="I43" s="213"/>
      <c r="J43" s="217" t="s">
        <v>775</v>
      </c>
      <c r="K43" s="220"/>
      <c r="L43" s="213"/>
      <c r="M43" s="213"/>
      <c r="N43" s="221"/>
      <c r="O43" s="220"/>
      <c r="P43" s="213"/>
      <c r="Q43" s="213"/>
      <c r="R43" s="221"/>
      <c r="S43" s="43"/>
      <c r="T43" s="213"/>
      <c r="U43" s="213"/>
      <c r="V43" s="221"/>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row>
    <row r="44" outlineLevel="1">
      <c r="A44" s="244" t="str">
        <f t="shared" si="3"/>
        <v>TC_04.29</v>
      </c>
      <c r="B44" s="214" t="s">
        <v>65</v>
      </c>
      <c r="C44" s="217" t="s">
        <v>852</v>
      </c>
      <c r="D44" s="238" t="s">
        <v>853</v>
      </c>
      <c r="E44" s="238" t="s">
        <v>854</v>
      </c>
      <c r="F44" s="238" t="s">
        <v>855</v>
      </c>
      <c r="G44" s="43" t="s">
        <v>60</v>
      </c>
      <c r="H44" s="211" t="s">
        <v>135</v>
      </c>
      <c r="I44" s="213"/>
      <c r="J44" s="217" t="s">
        <v>775</v>
      </c>
      <c r="K44" s="220"/>
      <c r="L44" s="213"/>
      <c r="M44" s="213"/>
      <c r="N44" s="221"/>
      <c r="O44" s="220"/>
      <c r="P44" s="213"/>
      <c r="Q44" s="213"/>
      <c r="R44" s="221"/>
      <c r="S44" s="43"/>
      <c r="T44" s="213"/>
      <c r="U44" s="213"/>
      <c r="V44" s="221"/>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row>
    <row r="45" outlineLevel="1">
      <c r="A45" s="244" t="str">
        <f t="shared" si="3"/>
        <v>TC_04.30</v>
      </c>
      <c r="B45" s="214" t="s">
        <v>65</v>
      </c>
      <c r="C45" s="217" t="s">
        <v>856</v>
      </c>
      <c r="D45" s="238" t="s">
        <v>857</v>
      </c>
      <c r="E45" s="217" t="s">
        <v>858</v>
      </c>
      <c r="F45" s="238" t="s">
        <v>859</v>
      </c>
      <c r="G45" s="43" t="s">
        <v>60</v>
      </c>
      <c r="H45" s="211" t="s">
        <v>135</v>
      </c>
      <c r="I45" s="213"/>
      <c r="J45" s="217" t="s">
        <v>775</v>
      </c>
      <c r="K45" s="220"/>
      <c r="L45" s="213"/>
      <c r="M45" s="213"/>
      <c r="N45" s="221"/>
      <c r="O45" s="220"/>
      <c r="P45" s="213"/>
      <c r="Q45" s="213"/>
      <c r="R45" s="221"/>
      <c r="S45" s="43"/>
      <c r="T45" s="213"/>
      <c r="U45" s="213"/>
      <c r="V45" s="221"/>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row>
    <row r="46" outlineLevel="1">
      <c r="A46" s="244" t="str">
        <f t="shared" si="3"/>
        <v>TC_04.31</v>
      </c>
      <c r="B46" s="214" t="s">
        <v>65</v>
      </c>
      <c r="C46" s="217" t="s">
        <v>860</v>
      </c>
      <c r="D46" s="238" t="s">
        <v>861</v>
      </c>
      <c r="E46" s="217" t="s">
        <v>862</v>
      </c>
      <c r="F46" s="238" t="s">
        <v>863</v>
      </c>
      <c r="G46" s="43" t="s">
        <v>60</v>
      </c>
      <c r="H46" s="211" t="s">
        <v>135</v>
      </c>
      <c r="I46" s="213"/>
      <c r="J46" s="217" t="s">
        <v>775</v>
      </c>
      <c r="K46" s="220"/>
      <c r="L46" s="213"/>
      <c r="M46" s="213"/>
      <c r="N46" s="221"/>
      <c r="O46" s="220"/>
      <c r="P46" s="213"/>
      <c r="Q46" s="213"/>
      <c r="R46" s="221"/>
      <c r="S46" s="43"/>
      <c r="T46" s="213"/>
      <c r="U46" s="213"/>
      <c r="V46" s="221"/>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row>
    <row r="47" outlineLevel="1">
      <c r="A47" s="244" t="str">
        <f t="shared" si="3"/>
        <v>TC_04.32</v>
      </c>
      <c r="B47" s="214" t="s">
        <v>65</v>
      </c>
      <c r="C47" s="238" t="s">
        <v>864</v>
      </c>
      <c r="D47" s="238" t="s">
        <v>865</v>
      </c>
      <c r="E47" s="217" t="s">
        <v>866</v>
      </c>
      <c r="F47" s="238" t="s">
        <v>867</v>
      </c>
      <c r="G47" s="43" t="s">
        <v>60</v>
      </c>
      <c r="H47" s="211" t="s">
        <v>135</v>
      </c>
      <c r="I47" s="213"/>
      <c r="J47" s="217" t="s">
        <v>775</v>
      </c>
      <c r="K47" s="220"/>
      <c r="L47" s="213"/>
      <c r="M47" s="213"/>
      <c r="N47" s="221"/>
      <c r="O47" s="220"/>
      <c r="P47" s="213"/>
      <c r="Q47" s="213"/>
      <c r="R47" s="221"/>
      <c r="S47" s="43"/>
      <c r="T47" s="213"/>
      <c r="U47" s="213"/>
      <c r="V47" s="221"/>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row>
    <row r="48" outlineLevel="1">
      <c r="A48" s="244" t="str">
        <f t="shared" si="3"/>
        <v>TC_04.33</v>
      </c>
      <c r="B48" s="214" t="s">
        <v>65</v>
      </c>
      <c r="C48" s="238" t="s">
        <v>651</v>
      </c>
      <c r="D48" s="383" t="s">
        <v>652</v>
      </c>
      <c r="E48" s="321" t="s">
        <v>700</v>
      </c>
      <c r="F48" s="384" t="s">
        <v>868</v>
      </c>
      <c r="G48" s="43" t="s">
        <v>60</v>
      </c>
      <c r="H48" s="211" t="s">
        <v>135</v>
      </c>
      <c r="I48" s="213"/>
      <c r="J48" s="217" t="s">
        <v>869</v>
      </c>
      <c r="K48" s="220"/>
      <c r="L48" s="213"/>
      <c r="M48" s="213"/>
      <c r="N48" s="221"/>
      <c r="O48" s="220"/>
      <c r="P48" s="213"/>
      <c r="Q48" s="213"/>
      <c r="R48" s="221"/>
      <c r="S48" s="43"/>
      <c r="T48" s="213"/>
      <c r="U48" s="213"/>
      <c r="V48" s="221"/>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row>
    <row r="49" outlineLevel="1">
      <c r="A49" s="244" t="str">
        <f t="shared" si="3"/>
        <v>TC_04.34</v>
      </c>
      <c r="B49" s="214" t="s">
        <v>65</v>
      </c>
      <c r="C49" s="217" t="s">
        <v>656</v>
      </c>
      <c r="D49" s="321" t="s">
        <v>657</v>
      </c>
      <c r="E49" s="321" t="s">
        <v>870</v>
      </c>
      <c r="F49" s="217" t="s">
        <v>871</v>
      </c>
      <c r="G49" s="43" t="s">
        <v>56</v>
      </c>
      <c r="H49" s="211" t="s">
        <v>135</v>
      </c>
      <c r="I49" s="213"/>
      <c r="J49" s="221"/>
      <c r="K49" s="220"/>
      <c r="L49" s="213"/>
      <c r="M49" s="213"/>
      <c r="N49" s="221"/>
      <c r="O49" s="220"/>
      <c r="P49" s="213"/>
      <c r="Q49" s="213"/>
      <c r="R49" s="221"/>
      <c r="S49" s="43"/>
      <c r="T49" s="213"/>
      <c r="U49" s="213"/>
      <c r="V49" s="221"/>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row>
    <row r="50" outlineLevel="1">
      <c r="A50" s="244" t="str">
        <f t="shared" si="3"/>
        <v>TC_04.35</v>
      </c>
      <c r="B50" s="214" t="s">
        <v>65</v>
      </c>
      <c r="C50" s="238" t="s">
        <v>872</v>
      </c>
      <c r="D50" s="238" t="s">
        <v>873</v>
      </c>
      <c r="E50" s="238" t="s">
        <v>874</v>
      </c>
      <c r="F50" s="238" t="s">
        <v>875</v>
      </c>
      <c r="G50" s="43" t="s">
        <v>56</v>
      </c>
      <c r="H50" s="211" t="s">
        <v>135</v>
      </c>
      <c r="I50" s="213"/>
      <c r="J50" s="221"/>
      <c r="K50" s="220"/>
      <c r="L50" s="213"/>
      <c r="M50" s="213"/>
      <c r="N50" s="221"/>
      <c r="O50" s="220"/>
      <c r="P50" s="213"/>
      <c r="Q50" s="213"/>
      <c r="R50" s="221"/>
      <c r="S50" s="43"/>
      <c r="T50" s="213"/>
      <c r="U50" s="213"/>
      <c r="V50" s="221"/>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row>
    <row r="51" outlineLevel="1">
      <c r="A51" s="244" t="str">
        <f t="shared" si="3"/>
        <v>TC_04.36</v>
      </c>
      <c r="B51" s="214" t="s">
        <v>65</v>
      </c>
      <c r="C51" s="217" t="s">
        <v>876</v>
      </c>
      <c r="D51" s="238" t="s">
        <v>877</v>
      </c>
      <c r="E51" s="238" t="s">
        <v>878</v>
      </c>
      <c r="F51" s="238" t="s">
        <v>879</v>
      </c>
      <c r="G51" s="43" t="s">
        <v>56</v>
      </c>
      <c r="H51" s="211" t="s">
        <v>135</v>
      </c>
      <c r="I51" s="213"/>
      <c r="J51" s="221"/>
      <c r="K51" s="220"/>
      <c r="L51" s="213"/>
      <c r="M51" s="213"/>
      <c r="N51" s="221"/>
      <c r="O51" s="220"/>
      <c r="P51" s="213"/>
      <c r="Q51" s="213"/>
      <c r="R51" s="221"/>
      <c r="S51" s="43"/>
      <c r="T51" s="213"/>
      <c r="U51" s="213"/>
      <c r="V51" s="221"/>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row>
    <row r="52" outlineLevel="1">
      <c r="A52" s="244" t="str">
        <f t="shared" si="3"/>
        <v>TC_04.37</v>
      </c>
      <c r="B52" s="214" t="s">
        <v>65</v>
      </c>
      <c r="C52" s="217" t="s">
        <v>880</v>
      </c>
      <c r="D52" s="238" t="s">
        <v>881</v>
      </c>
      <c r="E52" s="238" t="s">
        <v>882</v>
      </c>
      <c r="F52" s="217" t="s">
        <v>883</v>
      </c>
      <c r="G52" s="43" t="s">
        <v>56</v>
      </c>
      <c r="H52" s="211" t="s">
        <v>135</v>
      </c>
      <c r="I52" s="213"/>
      <c r="J52" s="217"/>
      <c r="K52" s="220"/>
      <c r="L52" s="211" t="s">
        <v>884</v>
      </c>
      <c r="M52" s="213"/>
      <c r="N52" s="221"/>
      <c r="O52" s="220"/>
      <c r="P52" s="213"/>
      <c r="Q52" s="213"/>
      <c r="R52" s="221"/>
      <c r="S52" s="43"/>
      <c r="T52" s="213"/>
      <c r="U52" s="213"/>
      <c r="V52" s="221"/>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row>
    <row r="53" outlineLevel="1">
      <c r="A53" s="244" t="str">
        <f t="shared" si="3"/>
        <v>TC_04.38</v>
      </c>
      <c r="B53" s="214" t="s">
        <v>65</v>
      </c>
      <c r="C53" s="217" t="s">
        <v>885</v>
      </c>
      <c r="D53" s="217" t="s">
        <v>886</v>
      </c>
      <c r="E53" s="217" t="s">
        <v>887</v>
      </c>
      <c r="F53" s="238" t="s">
        <v>888</v>
      </c>
      <c r="G53" s="43" t="s">
        <v>60</v>
      </c>
      <c r="H53" s="211" t="s">
        <v>135</v>
      </c>
      <c r="I53" s="213"/>
      <c r="J53" s="217" t="s">
        <v>889</v>
      </c>
      <c r="K53" s="220"/>
      <c r="L53" s="213"/>
      <c r="M53" s="213"/>
      <c r="N53" s="221"/>
      <c r="O53" s="220"/>
      <c r="P53" s="213"/>
      <c r="Q53" s="213"/>
      <c r="R53" s="221"/>
      <c r="S53" s="43"/>
      <c r="T53" s="213"/>
      <c r="U53" s="213"/>
      <c r="V53" s="221"/>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row>
    <row r="54" outlineLevel="1">
      <c r="A54" s="244" t="str">
        <f t="shared" si="3"/>
        <v>TC_04.39</v>
      </c>
      <c r="B54" s="214" t="s">
        <v>65</v>
      </c>
      <c r="C54" s="217" t="s">
        <v>890</v>
      </c>
      <c r="D54" s="238" t="s">
        <v>891</v>
      </c>
      <c r="E54" s="238" t="s">
        <v>892</v>
      </c>
      <c r="F54" s="238" t="s">
        <v>893</v>
      </c>
      <c r="G54" s="43" t="s">
        <v>56</v>
      </c>
      <c r="H54" s="211" t="s">
        <v>135</v>
      </c>
      <c r="I54" s="213"/>
      <c r="J54" s="217"/>
      <c r="K54" s="220"/>
      <c r="L54" s="213"/>
      <c r="M54" s="213"/>
      <c r="N54" s="221"/>
      <c r="O54" s="220"/>
      <c r="P54" s="213"/>
      <c r="Q54" s="213"/>
      <c r="R54" s="221"/>
      <c r="S54" s="43"/>
      <c r="T54" s="213"/>
      <c r="U54" s="213"/>
      <c r="V54" s="221"/>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row>
    <row r="55" outlineLevel="1">
      <c r="A55" s="244" t="str">
        <f t="shared" si="3"/>
        <v>TC_04.40</v>
      </c>
      <c r="B55" s="214" t="s">
        <v>65</v>
      </c>
      <c r="C55" s="238" t="s">
        <v>894</v>
      </c>
      <c r="D55" s="238" t="s">
        <v>895</v>
      </c>
      <c r="E55" s="238" t="s">
        <v>896</v>
      </c>
      <c r="F55" s="238" t="s">
        <v>897</v>
      </c>
      <c r="G55" s="43" t="s">
        <v>56</v>
      </c>
      <c r="H55" s="211" t="s">
        <v>135</v>
      </c>
      <c r="I55" s="213"/>
      <c r="J55" s="217" t="s">
        <v>898</v>
      </c>
      <c r="K55" s="220"/>
      <c r="L55" s="213"/>
      <c r="M55" s="213"/>
      <c r="N55" s="221"/>
      <c r="O55" s="220"/>
      <c r="P55" s="213"/>
      <c r="Q55" s="213"/>
      <c r="R55" s="221"/>
      <c r="S55" s="43"/>
      <c r="T55" s="213"/>
      <c r="U55" s="213"/>
      <c r="V55" s="221"/>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row>
    <row r="56">
      <c r="A56" s="213"/>
      <c r="B56" s="228"/>
      <c r="C56" s="217"/>
      <c r="D56" s="217"/>
      <c r="E56" s="217"/>
      <c r="F56" s="217"/>
      <c r="G56" s="394"/>
      <c r="H56" s="395"/>
      <c r="I56" s="221"/>
      <c r="J56" s="221"/>
      <c r="K56" s="396"/>
      <c r="L56" s="396"/>
      <c r="M56" s="396"/>
      <c r="N56" s="396"/>
      <c r="O56" s="396"/>
      <c r="P56" s="396"/>
      <c r="Q56" s="396"/>
      <c r="R56" s="396"/>
      <c r="S56" s="393"/>
      <c r="T56" s="396"/>
      <c r="U56" s="396"/>
      <c r="V56" s="396"/>
      <c r="W56" s="396"/>
      <c r="X56" s="396"/>
      <c r="Y56" s="396"/>
      <c r="Z56" s="396"/>
      <c r="AA56" s="396"/>
      <c r="AB56" s="396"/>
      <c r="AC56" s="396"/>
      <c r="AD56" s="396"/>
      <c r="AE56" s="396"/>
      <c r="AF56" s="396"/>
      <c r="AG56" s="396"/>
      <c r="AH56" s="396"/>
      <c r="AI56" s="396"/>
      <c r="AJ56" s="396"/>
      <c r="AK56" s="396"/>
      <c r="AL56" s="396"/>
      <c r="AM56" s="396"/>
      <c r="AN56" s="396"/>
      <c r="AO56" s="396"/>
      <c r="AP56" s="396"/>
      <c r="AQ56" s="396"/>
      <c r="AR56" s="396"/>
      <c r="AS56" s="396"/>
      <c r="AT56" s="396"/>
      <c r="AU56" s="396"/>
      <c r="AV56" s="396"/>
      <c r="AW56" s="396"/>
      <c r="AX56" s="396"/>
      <c r="AY56" s="396"/>
      <c r="AZ56" s="396"/>
      <c r="BA56" s="396"/>
      <c r="BB56" s="396"/>
      <c r="BC56" s="396"/>
      <c r="BD56" s="396"/>
      <c r="BE56" s="396"/>
      <c r="BF56" s="396"/>
      <c r="BG56" s="396"/>
      <c r="BH56" s="396"/>
      <c r="BI56" s="396"/>
      <c r="BJ56" s="396"/>
      <c r="BK56" s="396"/>
      <c r="BL56" s="396"/>
      <c r="BM56" s="396"/>
      <c r="BN56" s="396"/>
      <c r="BO56" s="396"/>
      <c r="BP56" s="396"/>
      <c r="BQ56" s="396"/>
      <c r="BR56" s="396"/>
      <c r="BS56" s="396"/>
      <c r="BT56" s="396"/>
      <c r="BU56" s="396"/>
      <c r="BV56" s="396"/>
      <c r="BW56" s="396"/>
      <c r="BX56" s="396"/>
      <c r="BY56" s="396"/>
      <c r="BZ56" s="396"/>
      <c r="CA56" s="396"/>
      <c r="CB56" s="396"/>
      <c r="CC56" s="396"/>
      <c r="CD56" s="396"/>
      <c r="CE56" s="396"/>
      <c r="CF56" s="396"/>
      <c r="CG56" s="396"/>
      <c r="CH56" s="396"/>
      <c r="CI56" s="396"/>
      <c r="CJ56" s="396"/>
      <c r="CK56" s="396"/>
      <c r="CL56" s="396"/>
    </row>
    <row r="57">
      <c r="A57" s="213"/>
      <c r="B57" s="228"/>
      <c r="C57" s="217"/>
      <c r="D57" s="217"/>
      <c r="E57" s="217"/>
      <c r="F57" s="217"/>
      <c r="G57" s="394"/>
      <c r="H57" s="395"/>
      <c r="I57" s="221"/>
      <c r="J57" s="221"/>
      <c r="K57" s="396"/>
      <c r="L57" s="396"/>
      <c r="M57" s="396"/>
      <c r="N57" s="396"/>
      <c r="O57" s="396"/>
      <c r="P57" s="396"/>
      <c r="Q57" s="396"/>
      <c r="R57" s="396"/>
      <c r="S57" s="393"/>
      <c r="T57" s="396"/>
      <c r="U57" s="396"/>
      <c r="V57" s="396"/>
      <c r="W57" s="396"/>
      <c r="X57" s="396"/>
      <c r="Y57" s="396"/>
      <c r="Z57" s="396"/>
      <c r="AA57" s="396"/>
      <c r="AB57" s="396"/>
      <c r="AC57" s="396"/>
      <c r="AD57" s="396"/>
      <c r="AE57" s="396"/>
      <c r="AF57" s="396"/>
      <c r="AG57" s="396"/>
      <c r="AH57" s="396"/>
      <c r="AI57" s="396"/>
      <c r="AJ57" s="396"/>
      <c r="AK57" s="396"/>
      <c r="AL57" s="396"/>
      <c r="AM57" s="396"/>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6"/>
      <c r="BK57" s="396"/>
      <c r="BL57" s="396"/>
      <c r="BM57" s="396"/>
      <c r="BN57" s="396"/>
      <c r="BO57" s="396"/>
      <c r="BP57" s="396"/>
      <c r="BQ57" s="396"/>
      <c r="BR57" s="396"/>
      <c r="BS57" s="396"/>
      <c r="BT57" s="396"/>
      <c r="BU57" s="396"/>
      <c r="BV57" s="396"/>
      <c r="BW57" s="396"/>
      <c r="BX57" s="396"/>
      <c r="BY57" s="396"/>
      <c r="BZ57" s="396"/>
      <c r="CA57" s="396"/>
      <c r="CB57" s="396"/>
      <c r="CC57" s="396"/>
      <c r="CD57" s="396"/>
      <c r="CE57" s="396"/>
      <c r="CF57" s="396"/>
      <c r="CG57" s="396"/>
      <c r="CH57" s="396"/>
      <c r="CI57" s="396"/>
      <c r="CJ57" s="396"/>
      <c r="CK57" s="396"/>
      <c r="CL57" s="396"/>
    </row>
    <row r="58">
      <c r="A58" s="213"/>
      <c r="B58" s="228"/>
      <c r="C58" s="217"/>
      <c r="D58" s="217"/>
      <c r="E58" s="217"/>
      <c r="F58" s="217"/>
      <c r="G58" s="394"/>
      <c r="H58" s="395"/>
      <c r="I58" s="221"/>
      <c r="J58" s="221"/>
      <c r="K58" s="396"/>
      <c r="L58" s="396"/>
      <c r="M58" s="396"/>
      <c r="N58" s="396"/>
      <c r="O58" s="396"/>
      <c r="P58" s="396"/>
      <c r="Q58" s="396"/>
      <c r="R58" s="396"/>
      <c r="S58" s="393"/>
      <c r="T58" s="396"/>
      <c r="U58" s="396"/>
      <c r="V58" s="396"/>
      <c r="W58" s="396"/>
      <c r="X58" s="396"/>
      <c r="Y58" s="396"/>
      <c r="Z58" s="396"/>
      <c r="AA58" s="396"/>
      <c r="AB58" s="396"/>
      <c r="AC58" s="396"/>
      <c r="AD58" s="396"/>
      <c r="AE58" s="396"/>
      <c r="AF58" s="396"/>
      <c r="AG58" s="396"/>
      <c r="AH58" s="396"/>
      <c r="AI58" s="396"/>
      <c r="AJ58" s="396"/>
      <c r="AK58" s="396"/>
      <c r="AL58" s="396"/>
      <c r="AM58" s="396"/>
      <c r="AN58" s="396"/>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6"/>
      <c r="BK58" s="396"/>
      <c r="BL58" s="396"/>
      <c r="BM58" s="396"/>
      <c r="BN58" s="396"/>
      <c r="BO58" s="396"/>
      <c r="BP58" s="396"/>
      <c r="BQ58" s="396"/>
      <c r="BR58" s="396"/>
      <c r="BS58" s="396"/>
      <c r="BT58" s="396"/>
      <c r="BU58" s="396"/>
      <c r="BV58" s="396"/>
      <c r="BW58" s="396"/>
      <c r="BX58" s="396"/>
      <c r="BY58" s="396"/>
      <c r="BZ58" s="396"/>
      <c r="CA58" s="396"/>
      <c r="CB58" s="396"/>
      <c r="CC58" s="396"/>
      <c r="CD58" s="396"/>
      <c r="CE58" s="396"/>
      <c r="CF58" s="396"/>
      <c r="CG58" s="396"/>
      <c r="CH58" s="396"/>
      <c r="CI58" s="396"/>
      <c r="CJ58" s="396"/>
      <c r="CK58" s="396"/>
      <c r="CL58" s="396"/>
    </row>
    <row r="59">
      <c r="A59" s="213"/>
      <c r="B59" s="228"/>
      <c r="C59" s="217"/>
      <c r="D59" s="217"/>
      <c r="E59" s="217"/>
      <c r="F59" s="217"/>
      <c r="G59" s="394"/>
      <c r="H59" s="395"/>
      <c r="I59" s="221"/>
      <c r="J59" s="221"/>
      <c r="K59" s="396"/>
      <c r="L59" s="396"/>
      <c r="M59" s="396"/>
      <c r="N59" s="396"/>
      <c r="O59" s="396"/>
      <c r="P59" s="396"/>
      <c r="Q59" s="396"/>
      <c r="R59" s="396"/>
      <c r="S59" s="393"/>
      <c r="T59" s="396"/>
      <c r="U59" s="396"/>
      <c r="V59" s="396"/>
      <c r="W59" s="396"/>
      <c r="X59" s="396"/>
      <c r="Y59" s="396"/>
      <c r="Z59" s="396"/>
      <c r="AA59" s="396"/>
      <c r="AB59" s="396"/>
      <c r="AC59" s="396"/>
      <c r="AD59" s="396"/>
      <c r="AE59" s="396"/>
      <c r="AF59" s="396"/>
      <c r="AG59" s="396"/>
      <c r="AH59" s="396"/>
      <c r="AI59" s="396"/>
      <c r="AJ59" s="396"/>
      <c r="AK59" s="396"/>
      <c r="AL59" s="396"/>
      <c r="AM59" s="396"/>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6"/>
      <c r="BK59" s="396"/>
      <c r="BL59" s="396"/>
      <c r="BM59" s="396"/>
      <c r="BN59" s="396"/>
      <c r="BO59" s="396"/>
      <c r="BP59" s="396"/>
      <c r="BQ59" s="396"/>
      <c r="BR59" s="396"/>
      <c r="BS59" s="396"/>
      <c r="BT59" s="396"/>
      <c r="BU59" s="396"/>
      <c r="BV59" s="396"/>
      <c r="BW59" s="396"/>
      <c r="BX59" s="396"/>
      <c r="BY59" s="396"/>
      <c r="BZ59" s="396"/>
      <c r="CA59" s="396"/>
      <c r="CB59" s="396"/>
      <c r="CC59" s="396"/>
      <c r="CD59" s="396"/>
      <c r="CE59" s="396"/>
      <c r="CF59" s="396"/>
      <c r="CG59" s="396"/>
      <c r="CH59" s="396"/>
      <c r="CI59" s="396"/>
      <c r="CJ59" s="396"/>
      <c r="CK59" s="396"/>
      <c r="CL59" s="396"/>
    </row>
    <row r="60">
      <c r="A60" s="213"/>
      <c r="B60" s="228"/>
      <c r="C60" s="217"/>
      <c r="D60" s="217"/>
      <c r="E60" s="217"/>
      <c r="F60" s="217"/>
      <c r="G60" s="394"/>
      <c r="H60" s="395"/>
      <c r="I60" s="221"/>
      <c r="J60" s="221"/>
      <c r="K60" s="396"/>
      <c r="L60" s="396"/>
      <c r="M60" s="396"/>
      <c r="N60" s="396"/>
      <c r="O60" s="396"/>
      <c r="P60" s="396"/>
      <c r="Q60" s="396"/>
      <c r="R60" s="396"/>
      <c r="S60" s="393"/>
      <c r="T60" s="396"/>
      <c r="U60" s="396"/>
      <c r="V60" s="396"/>
      <c r="W60" s="396"/>
      <c r="X60" s="396"/>
      <c r="Y60" s="396"/>
      <c r="Z60" s="396"/>
      <c r="AA60" s="396"/>
      <c r="AB60" s="396"/>
      <c r="AC60" s="396"/>
      <c r="AD60" s="396"/>
      <c r="AE60" s="396"/>
      <c r="AF60" s="396"/>
      <c r="AG60" s="396"/>
      <c r="AH60" s="396"/>
      <c r="AI60" s="396"/>
      <c r="AJ60" s="396"/>
      <c r="AK60" s="396"/>
      <c r="AL60" s="396"/>
      <c r="AM60" s="396"/>
      <c r="AN60" s="396"/>
      <c r="AO60" s="396"/>
      <c r="AP60" s="396"/>
      <c r="AQ60" s="396"/>
      <c r="AR60" s="396"/>
      <c r="AS60" s="396"/>
      <c r="AT60" s="396"/>
      <c r="AU60" s="396"/>
      <c r="AV60" s="396"/>
      <c r="AW60" s="396"/>
      <c r="AX60" s="396"/>
      <c r="AY60" s="396"/>
      <c r="AZ60" s="396"/>
      <c r="BA60" s="396"/>
      <c r="BB60" s="396"/>
      <c r="BC60" s="396"/>
      <c r="BD60" s="396"/>
      <c r="BE60" s="396"/>
      <c r="BF60" s="396"/>
      <c r="BG60" s="396"/>
      <c r="BH60" s="396"/>
      <c r="BI60" s="396"/>
      <c r="BJ60" s="396"/>
      <c r="BK60" s="396"/>
      <c r="BL60" s="396"/>
      <c r="BM60" s="396"/>
      <c r="BN60" s="396"/>
      <c r="BO60" s="396"/>
      <c r="BP60" s="396"/>
      <c r="BQ60" s="396"/>
      <c r="BR60" s="396"/>
      <c r="BS60" s="396"/>
      <c r="BT60" s="396"/>
      <c r="BU60" s="396"/>
      <c r="BV60" s="396"/>
      <c r="BW60" s="396"/>
      <c r="BX60" s="396"/>
      <c r="BY60" s="396"/>
      <c r="BZ60" s="396"/>
      <c r="CA60" s="396"/>
      <c r="CB60" s="396"/>
      <c r="CC60" s="396"/>
      <c r="CD60" s="396"/>
      <c r="CE60" s="396"/>
      <c r="CF60" s="396"/>
      <c r="CG60" s="396"/>
      <c r="CH60" s="396"/>
      <c r="CI60" s="396"/>
      <c r="CJ60" s="396"/>
      <c r="CK60" s="396"/>
      <c r="CL60" s="396"/>
    </row>
    <row r="61">
      <c r="A61" s="213"/>
      <c r="B61" s="228"/>
      <c r="C61" s="217"/>
      <c r="D61" s="217"/>
      <c r="E61" s="217"/>
      <c r="F61" s="217"/>
      <c r="G61" s="394"/>
      <c r="H61" s="395"/>
      <c r="I61" s="221"/>
      <c r="J61" s="221"/>
      <c r="K61" s="396"/>
      <c r="L61" s="396"/>
      <c r="M61" s="396"/>
      <c r="N61" s="396"/>
      <c r="O61" s="396"/>
      <c r="P61" s="396"/>
      <c r="Q61" s="396"/>
      <c r="R61" s="396"/>
      <c r="S61" s="393"/>
      <c r="T61" s="396"/>
      <c r="U61" s="396"/>
      <c r="V61" s="396"/>
      <c r="W61" s="396"/>
      <c r="X61" s="396"/>
      <c r="Y61" s="396"/>
      <c r="Z61" s="396"/>
      <c r="AA61" s="396"/>
      <c r="AB61" s="396"/>
      <c r="AC61" s="396"/>
      <c r="AD61" s="396"/>
      <c r="AE61" s="396"/>
      <c r="AF61" s="396"/>
      <c r="AG61" s="396"/>
      <c r="AH61" s="396"/>
      <c r="AI61" s="396"/>
      <c r="AJ61" s="396"/>
      <c r="AK61" s="396"/>
      <c r="AL61" s="396"/>
      <c r="AM61" s="396"/>
      <c r="AN61" s="396"/>
      <c r="AO61" s="396"/>
      <c r="AP61" s="396"/>
      <c r="AQ61" s="396"/>
      <c r="AR61" s="396"/>
      <c r="AS61" s="396"/>
      <c r="AT61" s="396"/>
      <c r="AU61" s="396"/>
      <c r="AV61" s="396"/>
      <c r="AW61" s="396"/>
      <c r="AX61" s="396"/>
      <c r="AY61" s="396"/>
      <c r="AZ61" s="396"/>
      <c r="BA61" s="396"/>
      <c r="BB61" s="396"/>
      <c r="BC61" s="396"/>
      <c r="BD61" s="396"/>
      <c r="BE61" s="396"/>
      <c r="BF61" s="396"/>
      <c r="BG61" s="396"/>
      <c r="BH61" s="396"/>
      <c r="BI61" s="396"/>
      <c r="BJ61" s="396"/>
      <c r="BK61" s="396"/>
      <c r="BL61" s="396"/>
      <c r="BM61" s="396"/>
      <c r="BN61" s="396"/>
      <c r="BO61" s="396"/>
      <c r="BP61" s="396"/>
      <c r="BQ61" s="396"/>
      <c r="BR61" s="396"/>
      <c r="BS61" s="396"/>
      <c r="BT61" s="396"/>
      <c r="BU61" s="396"/>
      <c r="BV61" s="396"/>
      <c r="BW61" s="396"/>
      <c r="BX61" s="396"/>
      <c r="BY61" s="396"/>
      <c r="BZ61" s="396"/>
      <c r="CA61" s="396"/>
      <c r="CB61" s="396"/>
      <c r="CC61" s="396"/>
      <c r="CD61" s="396"/>
      <c r="CE61" s="396"/>
      <c r="CF61" s="396"/>
      <c r="CG61" s="396"/>
      <c r="CH61" s="396"/>
      <c r="CI61" s="396"/>
      <c r="CJ61" s="396"/>
      <c r="CK61" s="396"/>
      <c r="CL61" s="396"/>
    </row>
    <row r="62">
      <c r="A62" s="213"/>
      <c r="B62" s="228"/>
      <c r="C62" s="217"/>
      <c r="D62" s="217"/>
      <c r="E62" s="217"/>
      <c r="F62" s="217"/>
      <c r="G62" s="394"/>
      <c r="H62" s="395"/>
      <c r="I62" s="221"/>
      <c r="J62" s="221"/>
      <c r="K62" s="396"/>
      <c r="L62" s="396"/>
      <c r="M62" s="396"/>
      <c r="N62" s="396"/>
      <c r="O62" s="396"/>
      <c r="P62" s="396"/>
      <c r="Q62" s="396"/>
      <c r="R62" s="396"/>
      <c r="S62" s="393"/>
      <c r="T62" s="396"/>
      <c r="U62" s="396"/>
      <c r="V62" s="396"/>
      <c r="W62" s="396"/>
      <c r="X62" s="396"/>
      <c r="Y62" s="396"/>
      <c r="Z62" s="396"/>
      <c r="AA62" s="396"/>
      <c r="AB62" s="396"/>
      <c r="AC62" s="396"/>
      <c r="AD62" s="396"/>
      <c r="AE62" s="396"/>
      <c r="AF62" s="396"/>
      <c r="AG62" s="396"/>
      <c r="AH62" s="396"/>
      <c r="AI62" s="396"/>
      <c r="AJ62" s="396"/>
      <c r="AK62" s="396"/>
      <c r="AL62" s="396"/>
      <c r="AM62" s="396"/>
      <c r="AN62" s="396"/>
      <c r="AO62" s="396"/>
      <c r="AP62" s="396"/>
      <c r="AQ62" s="396"/>
      <c r="AR62" s="396"/>
      <c r="AS62" s="396"/>
      <c r="AT62" s="396"/>
      <c r="AU62" s="396"/>
      <c r="AV62" s="396"/>
      <c r="AW62" s="396"/>
      <c r="AX62" s="396"/>
      <c r="AY62" s="396"/>
      <c r="AZ62" s="396"/>
      <c r="BA62" s="396"/>
      <c r="BB62" s="396"/>
      <c r="BC62" s="396"/>
      <c r="BD62" s="396"/>
      <c r="BE62" s="396"/>
      <c r="BF62" s="396"/>
      <c r="BG62" s="396"/>
      <c r="BH62" s="396"/>
      <c r="BI62" s="396"/>
      <c r="BJ62" s="396"/>
      <c r="BK62" s="396"/>
      <c r="BL62" s="396"/>
      <c r="BM62" s="396"/>
      <c r="BN62" s="396"/>
      <c r="BO62" s="396"/>
      <c r="BP62" s="396"/>
      <c r="BQ62" s="396"/>
      <c r="BR62" s="396"/>
      <c r="BS62" s="396"/>
      <c r="BT62" s="396"/>
      <c r="BU62" s="396"/>
      <c r="BV62" s="396"/>
      <c r="BW62" s="396"/>
      <c r="BX62" s="396"/>
      <c r="BY62" s="396"/>
      <c r="BZ62" s="396"/>
      <c r="CA62" s="396"/>
      <c r="CB62" s="396"/>
      <c r="CC62" s="396"/>
      <c r="CD62" s="396"/>
      <c r="CE62" s="396"/>
      <c r="CF62" s="396"/>
      <c r="CG62" s="396"/>
      <c r="CH62" s="396"/>
      <c r="CI62" s="396"/>
      <c r="CJ62" s="396"/>
      <c r="CK62" s="396"/>
      <c r="CL62" s="396"/>
    </row>
  </sheetData>
  <autoFilter ref="$G$1:$J$62"/>
  <mergeCells count="22">
    <mergeCell ref="C7:C8"/>
    <mergeCell ref="D7:D8"/>
    <mergeCell ref="F7:F8"/>
    <mergeCell ref="G7:J7"/>
    <mergeCell ref="K7:N7"/>
    <mergeCell ref="O7:R7"/>
    <mergeCell ref="S7:V7"/>
    <mergeCell ref="E7:E8"/>
    <mergeCell ref="A9:F9"/>
    <mergeCell ref="A13:F13"/>
    <mergeCell ref="B14:F14"/>
    <mergeCell ref="B16:F16"/>
    <mergeCell ref="B18:F18"/>
    <mergeCell ref="B20:F20"/>
    <mergeCell ref="A22:F22"/>
    <mergeCell ref="B2:E2"/>
    <mergeCell ref="A3:B3"/>
    <mergeCell ref="C3:D3"/>
    <mergeCell ref="A4:B4"/>
    <mergeCell ref="C4:D4"/>
    <mergeCell ref="A7:A8"/>
    <mergeCell ref="B7:B8"/>
  </mergeCells>
  <conditionalFormatting sqref="G9:G62 K9:K62 O9:O62 S9:S62 W11:W62 AA11:AA62 AE11:AE62 AI11:AI62 AM11:AM62 AQ11:AQ62 AU11:AU62 AY11:AY62">
    <cfRule type="cellIs" dxfId="0" priority="1" operator="equal">
      <formula>"Block"</formula>
    </cfRule>
  </conditionalFormatting>
  <conditionalFormatting sqref="G9:G62 K9:K62 O9:O62 S9:S62 W11:W62 AA11:AA62 AE11:AE62 AI11:AI62 AM11:AM62 AQ11:AQ62 AU11:AU62 AY11:AY62">
    <cfRule type="cellIs" dxfId="1" priority="2" operator="equal">
      <formula>"Fail"</formula>
    </cfRule>
  </conditionalFormatting>
  <conditionalFormatting sqref="G9:G62 K9:K62 O9:O62 S9:S62 W11:W62 AA11:AA62 AE11:AE62 AI11:AI62 AM11:AM62 AQ11:AQ62 AU11:AU62 AY11:AY62">
    <cfRule type="cellIs" dxfId="2" priority="3" operator="equal">
      <formula>"Pass"</formula>
    </cfRule>
  </conditionalFormatting>
  <conditionalFormatting sqref="G9:G62 K9:K62 O9:O62 S9:S62 W11:W62 AA11:AA62 AE11:AE62 AI11:AI62 AM11:AM62 AQ11:AQ62 AU11:AU62 AY11:AY62">
    <cfRule type="cellIs" dxfId="3" priority="4" operator="equal">
      <formula>"N/A"</formula>
    </cfRule>
  </conditionalFormatting>
  <conditionalFormatting sqref="G9:G62 K9:K62 O9:O62 S9:S62">
    <cfRule type="cellIs" dxfId="4" priority="5" operator="equal">
      <formula>"Block"</formula>
    </cfRule>
  </conditionalFormatting>
  <conditionalFormatting sqref="G9:G62 K9:K62 O9:O62 S9:S62">
    <cfRule type="cellIs" dxfId="5" priority="6" operator="equal">
      <formula>"Fail"</formula>
    </cfRule>
  </conditionalFormatting>
  <conditionalFormatting sqref="G9:G62 K9:K62 O9:O62 S9:S62">
    <cfRule type="cellIs" dxfId="6" priority="7" operator="equal">
      <formula>"Pass"</formula>
    </cfRule>
  </conditionalFormatting>
  <conditionalFormatting sqref="G9:G62 K9:K62 O9:O62 S9:S62">
    <cfRule type="cellIs" dxfId="7" priority="8" operator="equal">
      <formula>"N/A"</formula>
    </cfRule>
  </conditionalFormatting>
  <conditionalFormatting sqref="G56:G62">
    <cfRule type="cellIs" dxfId="4" priority="9" operator="equal">
      <formula>"Block"</formula>
    </cfRule>
  </conditionalFormatting>
  <conditionalFormatting sqref="G56:G62">
    <cfRule type="cellIs" dxfId="5" priority="10" operator="equal">
      <formula>"Fail"</formula>
    </cfRule>
  </conditionalFormatting>
  <conditionalFormatting sqref="G56:G62">
    <cfRule type="cellIs" dxfId="6" priority="11" operator="equal">
      <formula>"Pass"</formula>
    </cfRule>
  </conditionalFormatting>
  <conditionalFormatting sqref="G56:G62">
    <cfRule type="cellIs" dxfId="7" priority="12" operator="equal">
      <formula>"N/A"</formula>
    </cfRule>
  </conditionalFormatting>
  <conditionalFormatting sqref="G9:G62 K9:K62 O9:O62 S9:S62">
    <cfRule type="cellIs" dxfId="0" priority="13" operator="equal">
      <formula>"Block"</formula>
    </cfRule>
  </conditionalFormatting>
  <conditionalFormatting sqref="G9:G62 K9:K62 O9:O62 S9:S62">
    <cfRule type="cellIs" dxfId="1" priority="14" operator="equal">
      <formula>"Fail"</formula>
    </cfRule>
  </conditionalFormatting>
  <conditionalFormatting sqref="G9:G62 K9:K62 O9:O62 S9:S62">
    <cfRule type="cellIs" dxfId="2" priority="15" operator="equal">
      <formula>"Pass"</formula>
    </cfRule>
  </conditionalFormatting>
  <conditionalFormatting sqref="G9:G62 K9:K62 O9:O62 S9:S62">
    <cfRule type="cellIs" dxfId="3" priority="16" operator="equal">
      <formula>"N/A"</formula>
    </cfRule>
  </conditionalFormatting>
  <dataValidations>
    <dataValidation type="list" allowBlank="1" showErrorMessage="1" sqref="W17 AA17 AE17 AI17 AM17 AQ17 AU17 AY17 W20 AA20 AE20 AI20 AM20 G9:G62 K9:K62 O9:O62 S9:S62">
      <formula1>"Pass,Fail,Block,N/A"</formula1>
    </dataValidation>
    <dataValidation type="list" allowBlank="1" showErrorMessage="1" sqref="B10:B12 B15 B17 B19 B21 B23:B62">
      <formula1>"High,Medium,Low"</formula1>
    </dataValidation>
  </dataValidations>
  <hyperlinks>
    <hyperlink display="Block hiển thị thông tin gồm:&#10;Title Sản phẩm dịch vụ đã chọn (Số lượng)&#10;- Icon Gói dịch vụ &#10;- Tên gói dịch vụ &#10;- Chu kỳ gói dịch vụ &#10;- Giá tiền&#10;Ref: sheet Thông tin chung" location="'Thông tin chung'!A1" ref="F15"/>
    <hyperlink display="Hiển thị các trường thông tin gồm:&#10;- Số điện thoại&#10;- Email&#10;- icon collapse (mặc định)&#10;Ref: sheet Thông tin chung" location="'Thông tin chung'!A1" ref="F19"/>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pageSetUpPr/>
  </sheetPr>
  <sheetViews>
    <sheetView showGridLines="0" workbookViewId="0"/>
  </sheetViews>
  <sheetFormatPr customHeight="1" defaultColWidth="12.63" defaultRowHeight="15.0" outlineLevelRow="1"/>
  <cols>
    <col customWidth="1" min="1" max="1" width="11.38"/>
    <col customWidth="1" min="2" max="2" width="13.38"/>
    <col customWidth="1" min="3" max="3" width="35.5"/>
    <col customWidth="1" min="4" max="4" width="17.63"/>
    <col customWidth="1" min="5" max="5" width="40.38"/>
    <col customWidth="1" min="6" max="6" width="53.38"/>
    <col customWidth="1" min="7" max="7" width="8.38"/>
    <col customWidth="1" min="8" max="8" width="9.5"/>
    <col customWidth="1" min="9" max="9" width="10.13"/>
    <col customWidth="1" min="10" max="10" width="12.25"/>
    <col customWidth="1" min="11" max="11" width="13.5"/>
    <col customWidth="1" min="12" max="12" width="14.88"/>
    <col customWidth="1" min="13" max="13" width="8.38"/>
    <col customWidth="1" min="14" max="14" width="9.5"/>
    <col customWidth="1" min="15" max="15" width="10.13"/>
    <col customWidth="1" min="16" max="16" width="12.25"/>
    <col customWidth="1" min="17" max="17" width="13.5"/>
    <col customWidth="1" min="18" max="18" width="14.88"/>
    <col customWidth="1" min="19" max="24" width="8.38"/>
  </cols>
  <sheetData>
    <row r="1" hidden="1" outlineLevel="1">
      <c r="A1" s="349"/>
      <c r="B1" s="173"/>
      <c r="C1" s="175"/>
      <c r="D1" s="175"/>
      <c r="E1" s="176"/>
      <c r="F1" s="177"/>
      <c r="G1" s="350"/>
      <c r="H1" s="350"/>
      <c r="I1" s="350"/>
      <c r="J1" s="351"/>
      <c r="K1" s="178"/>
      <c r="L1" s="179"/>
      <c r="M1" s="350"/>
      <c r="N1" s="350"/>
      <c r="O1" s="350"/>
      <c r="P1" s="351"/>
      <c r="Q1" s="178"/>
      <c r="R1" s="179"/>
      <c r="S1" s="351"/>
      <c r="T1" s="353"/>
      <c r="U1" s="352"/>
      <c r="V1" s="351"/>
      <c r="W1" s="351"/>
      <c r="X1" s="353"/>
    </row>
    <row r="2" hidden="1" outlineLevel="1">
      <c r="A2" s="180"/>
      <c r="B2" s="354"/>
      <c r="C2" s="182"/>
      <c r="D2" s="182"/>
      <c r="E2" s="182"/>
      <c r="F2" s="183"/>
      <c r="G2" s="350"/>
      <c r="H2" s="350"/>
      <c r="I2" s="350"/>
      <c r="J2" s="351"/>
      <c r="K2" s="178"/>
      <c r="L2" s="179"/>
      <c r="M2" s="350"/>
      <c r="N2" s="350"/>
      <c r="O2" s="350"/>
      <c r="P2" s="351"/>
      <c r="Q2" s="178"/>
      <c r="R2" s="179"/>
      <c r="S2" s="351"/>
      <c r="T2" s="353"/>
      <c r="U2" s="352"/>
      <c r="V2" s="351"/>
      <c r="W2" s="351"/>
      <c r="X2" s="353"/>
    </row>
    <row r="3" hidden="1" outlineLevel="1">
      <c r="A3" s="355" t="s">
        <v>114</v>
      </c>
      <c r="B3" s="118"/>
      <c r="C3" s="400" t="s">
        <v>110</v>
      </c>
      <c r="D3" s="118"/>
      <c r="E3" s="186"/>
      <c r="F3" s="187"/>
      <c r="G3" s="350"/>
      <c r="H3" s="350"/>
      <c r="I3" s="350"/>
      <c r="J3" s="351"/>
      <c r="K3" s="178"/>
      <c r="L3" s="186"/>
      <c r="M3" s="350"/>
      <c r="N3" s="350"/>
      <c r="O3" s="350"/>
      <c r="P3" s="351"/>
      <c r="Q3" s="178"/>
      <c r="R3" s="186"/>
      <c r="S3" s="351"/>
      <c r="T3" s="356"/>
      <c r="U3" s="352"/>
      <c r="V3" s="351"/>
      <c r="W3" s="351"/>
      <c r="X3" s="356"/>
    </row>
    <row r="4" hidden="1" outlineLevel="1">
      <c r="A4" s="355" t="s">
        <v>115</v>
      </c>
      <c r="B4" s="118"/>
      <c r="C4" s="188" t="s">
        <v>899</v>
      </c>
      <c r="D4" s="118"/>
      <c r="E4" s="186"/>
      <c r="F4" s="187"/>
      <c r="G4" s="350"/>
      <c r="H4" s="350"/>
      <c r="I4" s="350"/>
      <c r="J4" s="351"/>
      <c r="K4" s="178"/>
      <c r="L4" s="186"/>
      <c r="M4" s="350"/>
      <c r="N4" s="350"/>
      <c r="O4" s="350"/>
      <c r="P4" s="351"/>
      <c r="Q4" s="178"/>
      <c r="R4" s="186"/>
      <c r="S4" s="351"/>
      <c r="T4" s="356"/>
      <c r="U4" s="352"/>
      <c r="V4" s="351"/>
      <c r="W4" s="351"/>
      <c r="X4" s="356"/>
    </row>
    <row r="5" hidden="1" outlineLevel="1">
      <c r="A5" s="190"/>
      <c r="B5" s="190"/>
      <c r="C5" s="190"/>
      <c r="D5" s="190"/>
      <c r="E5" s="191"/>
      <c r="F5" s="192"/>
      <c r="G5" s="350"/>
      <c r="H5" s="350"/>
      <c r="I5" s="350"/>
      <c r="J5" s="351"/>
      <c r="K5" s="178"/>
      <c r="L5" s="179"/>
      <c r="M5" s="350"/>
      <c r="N5" s="350"/>
      <c r="O5" s="350"/>
      <c r="P5" s="351"/>
      <c r="Q5" s="178"/>
      <c r="R5" s="179"/>
      <c r="S5" s="351"/>
      <c r="T5" s="353"/>
      <c r="U5" s="352"/>
      <c r="V5" s="351"/>
      <c r="W5" s="351"/>
      <c r="X5" s="353"/>
    </row>
    <row r="6" hidden="1" outlineLevel="1">
      <c r="A6" s="194"/>
      <c r="B6" s="194"/>
      <c r="C6" s="194"/>
      <c r="D6" s="194"/>
      <c r="E6" s="195"/>
      <c r="F6" s="192"/>
      <c r="G6" s="350"/>
      <c r="H6" s="350"/>
      <c r="I6" s="350"/>
      <c r="J6" s="351"/>
      <c r="K6" s="178"/>
      <c r="L6" s="179"/>
      <c r="M6" s="350"/>
      <c r="N6" s="350"/>
      <c r="O6" s="350"/>
      <c r="P6" s="351"/>
      <c r="Q6" s="178"/>
      <c r="R6" s="179"/>
      <c r="S6" s="351"/>
      <c r="T6" s="353"/>
      <c r="U6" s="352"/>
      <c r="V6" s="351"/>
      <c r="W6" s="351"/>
      <c r="X6" s="353"/>
    </row>
    <row r="7">
      <c r="A7" s="142" t="s">
        <v>116</v>
      </c>
      <c r="B7" s="142" t="s">
        <v>117</v>
      </c>
      <c r="C7" s="142" t="s">
        <v>118</v>
      </c>
      <c r="D7" s="142" t="s">
        <v>119</v>
      </c>
      <c r="E7" s="142" t="s">
        <v>120</v>
      </c>
      <c r="F7" s="197" t="s">
        <v>121</v>
      </c>
      <c r="G7" s="198" t="str">
        <f>Summary!G8</f>
        <v>Round 1 (09/04/2026 - 15/04/2026)</v>
      </c>
      <c r="H7" s="199"/>
      <c r="I7" s="199"/>
      <c r="J7" s="199"/>
      <c r="K7" s="199"/>
      <c r="L7" s="200"/>
      <c r="M7" s="198" t="str">
        <f>Summary!L8</f>
        <v>Round 2 (dd/mm/yyyy - dd/mm/yyyy)</v>
      </c>
      <c r="N7" s="199"/>
      <c r="O7" s="199"/>
      <c r="P7" s="199"/>
      <c r="Q7" s="199"/>
      <c r="R7" s="200"/>
      <c r="S7" s="407"/>
      <c r="T7" s="408"/>
      <c r="U7" s="201" t="str">
        <f>Summary!V8</f>
        <v>Round 4 (dd/mm/yyyy - dd/mm/yyyy)</v>
      </c>
      <c r="V7" s="144"/>
      <c r="W7" s="144"/>
      <c r="X7" s="167"/>
    </row>
    <row r="8">
      <c r="A8" s="56"/>
      <c r="B8" s="56"/>
      <c r="C8" s="56"/>
      <c r="D8" s="56"/>
      <c r="E8" s="56"/>
      <c r="F8" s="56"/>
      <c r="G8" s="201" t="s">
        <v>122</v>
      </c>
      <c r="H8" s="144"/>
      <c r="I8" s="167"/>
      <c r="J8" s="203" t="s">
        <v>123</v>
      </c>
      <c r="K8" s="203" t="s">
        <v>124</v>
      </c>
      <c r="L8" s="203" t="s">
        <v>125</v>
      </c>
      <c r="M8" s="201" t="s">
        <v>122</v>
      </c>
      <c r="N8" s="144"/>
      <c r="O8" s="167"/>
      <c r="P8" s="203" t="s">
        <v>123</v>
      </c>
      <c r="Q8" s="203" t="s">
        <v>124</v>
      </c>
      <c r="R8" s="203" t="s">
        <v>125</v>
      </c>
      <c r="S8" s="203" t="s">
        <v>124</v>
      </c>
      <c r="T8" s="203" t="s">
        <v>125</v>
      </c>
      <c r="U8" s="203" t="s">
        <v>122</v>
      </c>
      <c r="V8" s="203" t="s">
        <v>123</v>
      </c>
      <c r="W8" s="203" t="s">
        <v>124</v>
      </c>
      <c r="X8" s="203" t="s">
        <v>125</v>
      </c>
    </row>
    <row r="9">
      <c r="A9" s="205" t="s">
        <v>126</v>
      </c>
      <c r="B9" s="144"/>
      <c r="C9" s="144"/>
      <c r="D9" s="144"/>
      <c r="E9" s="144"/>
      <c r="F9" s="167"/>
      <c r="G9" s="206" t="s">
        <v>127</v>
      </c>
      <c r="H9" s="206" t="s">
        <v>26</v>
      </c>
      <c r="I9" s="206" t="s">
        <v>128</v>
      </c>
      <c r="J9" s="244"/>
      <c r="K9" s="244"/>
      <c r="L9" s="245"/>
      <c r="M9" s="206" t="s">
        <v>127</v>
      </c>
      <c r="N9" s="206" t="s">
        <v>26</v>
      </c>
      <c r="O9" s="206" t="s">
        <v>128</v>
      </c>
      <c r="P9" s="244"/>
      <c r="Q9" s="244"/>
      <c r="R9" s="245"/>
      <c r="S9" s="244"/>
      <c r="T9" s="245"/>
      <c r="U9" s="43"/>
      <c r="V9" s="244"/>
      <c r="W9" s="244"/>
      <c r="X9" s="245"/>
    </row>
    <row r="10">
      <c r="A10" s="409" t="s">
        <v>900</v>
      </c>
      <c r="B10" s="144"/>
      <c r="C10" s="144"/>
      <c r="D10" s="144"/>
      <c r="E10" s="144"/>
      <c r="F10" s="167"/>
      <c r="G10" s="43"/>
      <c r="H10" s="43"/>
      <c r="I10" s="43"/>
      <c r="J10" s="244"/>
      <c r="K10" s="244"/>
      <c r="L10" s="245"/>
      <c r="M10" s="43"/>
      <c r="N10" s="43"/>
      <c r="O10" s="43"/>
      <c r="P10" s="244"/>
      <c r="Q10" s="244"/>
      <c r="R10" s="245"/>
      <c r="S10" s="244"/>
      <c r="T10" s="245"/>
      <c r="U10" s="43"/>
      <c r="V10" s="244"/>
      <c r="W10" s="244"/>
      <c r="X10" s="245"/>
    </row>
    <row r="11" outlineLevel="1">
      <c r="A11" s="213" t="str">
        <f t="shared" ref="A11:A14" si="1">IF(E11="","",$C$3&amp;"."&amp;COUNTA($E$11:E11)&amp;"")</f>
        <v>TC_05.1</v>
      </c>
      <c r="B11" s="220" t="s">
        <v>65</v>
      </c>
      <c r="C11" s="410" t="s">
        <v>901</v>
      </c>
      <c r="D11" s="410" t="s">
        <v>902</v>
      </c>
      <c r="E11" s="411" t="s">
        <v>903</v>
      </c>
      <c r="F11" s="412" t="s">
        <v>904</v>
      </c>
      <c r="G11" s="44" t="s">
        <v>56</v>
      </c>
      <c r="H11" s="44" t="s">
        <v>56</v>
      </c>
      <c r="I11" s="44" t="s">
        <v>56</v>
      </c>
      <c r="J11" s="44" t="s">
        <v>462</v>
      </c>
      <c r="K11" s="217" t="s">
        <v>884</v>
      </c>
      <c r="L11" s="262"/>
      <c r="M11" s="44"/>
      <c r="N11" s="44"/>
      <c r="O11" s="44"/>
      <c r="P11" s="44"/>
      <c r="Q11" s="217" t="s">
        <v>884</v>
      </c>
      <c r="R11" s="262"/>
      <c r="S11" s="396"/>
      <c r="T11" s="396"/>
      <c r="U11" s="393"/>
      <c r="V11" s="396"/>
      <c r="W11" s="396"/>
      <c r="X11" s="396"/>
    </row>
    <row r="12" outlineLevel="1">
      <c r="A12" s="213" t="str">
        <f t="shared" si="1"/>
        <v>TC_05.2</v>
      </c>
      <c r="B12" s="220" t="s">
        <v>65</v>
      </c>
      <c r="C12" s="412" t="s">
        <v>905</v>
      </c>
      <c r="D12" s="410" t="s">
        <v>906</v>
      </c>
      <c r="E12" s="412" t="s">
        <v>907</v>
      </c>
      <c r="F12" s="412" t="s">
        <v>908</v>
      </c>
      <c r="G12" s="44" t="s">
        <v>56</v>
      </c>
      <c r="H12" s="44" t="s">
        <v>56</v>
      </c>
      <c r="I12" s="44" t="s">
        <v>56</v>
      </c>
      <c r="J12" s="44" t="s">
        <v>462</v>
      </c>
      <c r="K12" s="221"/>
      <c r="L12" s="262"/>
      <c r="M12" s="44"/>
      <c r="N12" s="44"/>
      <c r="O12" s="44"/>
      <c r="P12" s="44"/>
      <c r="Q12" s="221"/>
      <c r="R12" s="262"/>
      <c r="S12" s="396"/>
      <c r="T12" s="396"/>
      <c r="U12" s="393"/>
      <c r="V12" s="396"/>
      <c r="W12" s="396"/>
      <c r="X12" s="396"/>
    </row>
    <row r="13" outlineLevel="1">
      <c r="A13" s="213" t="str">
        <f t="shared" si="1"/>
        <v>TC_05.3</v>
      </c>
      <c r="B13" s="220" t="s">
        <v>65</v>
      </c>
      <c r="C13" s="412" t="s">
        <v>909</v>
      </c>
      <c r="D13" s="410" t="s">
        <v>906</v>
      </c>
      <c r="E13" s="412" t="s">
        <v>910</v>
      </c>
      <c r="F13" s="412" t="s">
        <v>911</v>
      </c>
      <c r="G13" s="44" t="s">
        <v>56</v>
      </c>
      <c r="H13" s="44" t="s">
        <v>56</v>
      </c>
      <c r="I13" s="44" t="s">
        <v>56</v>
      </c>
      <c r="J13" s="44" t="s">
        <v>462</v>
      </c>
      <c r="K13" s="221"/>
      <c r="L13" s="262"/>
      <c r="M13" s="44"/>
      <c r="N13" s="44"/>
      <c r="O13" s="44"/>
      <c r="P13" s="44"/>
      <c r="Q13" s="221"/>
      <c r="R13" s="262"/>
      <c r="S13" s="396"/>
      <c r="T13" s="396"/>
      <c r="U13" s="393"/>
      <c r="V13" s="396"/>
      <c r="W13" s="396"/>
      <c r="X13" s="396"/>
    </row>
    <row r="14" outlineLevel="1">
      <c r="A14" s="213" t="str">
        <f t="shared" si="1"/>
        <v>TC_05.4</v>
      </c>
      <c r="B14" s="220" t="s">
        <v>67</v>
      </c>
      <c r="C14" s="410" t="s">
        <v>912</v>
      </c>
      <c r="D14" s="410" t="s">
        <v>906</v>
      </c>
      <c r="E14" s="410" t="s">
        <v>913</v>
      </c>
      <c r="F14" s="411" t="s">
        <v>914</v>
      </c>
      <c r="G14" s="44" t="s">
        <v>56</v>
      </c>
      <c r="H14" s="44" t="s">
        <v>56</v>
      </c>
      <c r="I14" s="44" t="s">
        <v>56</v>
      </c>
      <c r="J14" s="44" t="s">
        <v>462</v>
      </c>
      <c r="K14" s="217"/>
      <c r="L14" s="262"/>
      <c r="M14" s="44"/>
      <c r="N14" s="44"/>
      <c r="O14" s="44"/>
      <c r="P14" s="44"/>
      <c r="Q14" s="217"/>
      <c r="R14" s="262"/>
      <c r="S14" s="396"/>
      <c r="T14" s="396"/>
      <c r="U14" s="393"/>
      <c r="V14" s="396"/>
      <c r="W14" s="396"/>
      <c r="X14" s="396"/>
    </row>
    <row r="15">
      <c r="A15" s="413" t="s">
        <v>915</v>
      </c>
      <c r="B15" s="144"/>
      <c r="C15" s="144"/>
      <c r="D15" s="144"/>
      <c r="E15" s="144"/>
      <c r="F15" s="167"/>
      <c r="G15" s="44"/>
      <c r="H15" s="44"/>
      <c r="I15" s="44"/>
      <c r="J15" s="44"/>
      <c r="K15" s="217"/>
      <c r="L15" s="262"/>
      <c r="M15" s="44"/>
      <c r="N15" s="44"/>
      <c r="O15" s="44"/>
      <c r="P15" s="44"/>
      <c r="Q15" s="217"/>
      <c r="R15" s="262"/>
      <c r="S15" s="396"/>
      <c r="T15" s="396"/>
      <c r="U15" s="393"/>
      <c r="V15" s="396"/>
      <c r="W15" s="396"/>
      <c r="X15" s="396"/>
    </row>
    <row r="16" outlineLevel="1">
      <c r="A16" s="213" t="str">
        <f t="shared" ref="A16:A18" si="2">IF(E16="","",$C$3&amp;"."&amp;COUNTA($E$11:E16)&amp;"")</f>
        <v>TC_05.5</v>
      </c>
      <c r="B16" s="370" t="s">
        <v>65</v>
      </c>
      <c r="C16" s="414" t="s">
        <v>916</v>
      </c>
      <c r="D16" s="414" t="s">
        <v>902</v>
      </c>
      <c r="E16" s="414" t="s">
        <v>917</v>
      </c>
      <c r="F16" s="415" t="s">
        <v>918</v>
      </c>
      <c r="G16" s="44" t="s">
        <v>56</v>
      </c>
      <c r="H16" s="44" t="s">
        <v>56</v>
      </c>
      <c r="I16" s="44" t="s">
        <v>56</v>
      </c>
      <c r="J16" s="44" t="s">
        <v>462</v>
      </c>
      <c r="K16" s="217"/>
      <c r="L16" s="262"/>
      <c r="M16" s="44"/>
      <c r="N16" s="44"/>
      <c r="O16" s="44"/>
      <c r="P16" s="44"/>
      <c r="Q16" s="217"/>
      <c r="R16" s="262"/>
      <c r="S16" s="396"/>
      <c r="T16" s="396"/>
      <c r="U16" s="393"/>
      <c r="V16" s="396"/>
      <c r="W16" s="396"/>
      <c r="X16" s="396"/>
    </row>
    <row r="17" outlineLevel="1">
      <c r="A17" s="213" t="str">
        <f t="shared" si="2"/>
        <v>TC_05.6</v>
      </c>
      <c r="B17" s="370" t="s">
        <v>67</v>
      </c>
      <c r="C17" s="414" t="s">
        <v>919</v>
      </c>
      <c r="D17" s="414" t="s">
        <v>902</v>
      </c>
      <c r="E17" s="414" t="s">
        <v>920</v>
      </c>
      <c r="F17" s="415" t="s">
        <v>921</v>
      </c>
      <c r="G17" s="44" t="s">
        <v>56</v>
      </c>
      <c r="H17" s="44" t="s">
        <v>56</v>
      </c>
      <c r="I17" s="44" t="s">
        <v>56</v>
      </c>
      <c r="J17" s="44" t="s">
        <v>462</v>
      </c>
      <c r="K17" s="221"/>
      <c r="L17" s="262"/>
      <c r="M17" s="44"/>
      <c r="N17" s="44"/>
      <c r="O17" s="44"/>
      <c r="P17" s="44"/>
      <c r="Q17" s="221"/>
      <c r="R17" s="262"/>
      <c r="S17" s="396"/>
      <c r="T17" s="396"/>
      <c r="U17" s="393"/>
      <c r="V17" s="396"/>
      <c r="W17" s="396"/>
      <c r="X17" s="396"/>
    </row>
    <row r="18" outlineLevel="1">
      <c r="A18" s="213" t="str">
        <f t="shared" si="2"/>
        <v>TC_05.7</v>
      </c>
      <c r="B18" s="370" t="s">
        <v>69</v>
      </c>
      <c r="C18" s="414" t="s">
        <v>922</v>
      </c>
      <c r="D18" s="414" t="s">
        <v>902</v>
      </c>
      <c r="E18" s="414" t="s">
        <v>923</v>
      </c>
      <c r="F18" s="416" t="s">
        <v>924</v>
      </c>
      <c r="G18" s="44" t="s">
        <v>56</v>
      </c>
      <c r="H18" s="44" t="s">
        <v>56</v>
      </c>
      <c r="I18" s="44" t="s">
        <v>56</v>
      </c>
      <c r="J18" s="44" t="s">
        <v>462</v>
      </c>
      <c r="K18" s="244"/>
      <c r="L18" s="262"/>
      <c r="M18" s="43"/>
      <c r="N18" s="43"/>
      <c r="O18" s="43"/>
      <c r="P18" s="244"/>
      <c r="Q18" s="244"/>
      <c r="R18" s="262"/>
      <c r="S18" s="244"/>
      <c r="T18" s="245"/>
      <c r="U18" s="43"/>
      <c r="V18" s="244"/>
      <c r="W18" s="244"/>
      <c r="X18" s="245"/>
    </row>
    <row r="19">
      <c r="A19" s="413" t="s">
        <v>925</v>
      </c>
      <c r="B19" s="144"/>
      <c r="C19" s="144"/>
      <c r="D19" s="144"/>
      <c r="E19" s="144"/>
      <c r="F19" s="167"/>
      <c r="G19" s="44"/>
      <c r="H19" s="44"/>
      <c r="I19" s="44"/>
      <c r="J19" s="44"/>
      <c r="K19" s="221"/>
      <c r="L19" s="262"/>
      <c r="M19" s="44"/>
      <c r="N19" s="44"/>
      <c r="O19" s="44"/>
      <c r="P19" s="44"/>
      <c r="Q19" s="221"/>
      <c r="R19" s="262"/>
      <c r="S19" s="244"/>
      <c r="T19" s="245"/>
      <c r="U19" s="43"/>
      <c r="V19" s="244"/>
      <c r="W19" s="244"/>
      <c r="X19" s="245"/>
    </row>
    <row r="20" outlineLevel="1">
      <c r="A20" s="213" t="str">
        <f t="shared" ref="A20:A29" si="3">IF(E20="","",$C$3&amp;"."&amp;COUNTA($E$11:E20)&amp;"")</f>
        <v>TC_05.8</v>
      </c>
      <c r="B20" s="220" t="s">
        <v>65</v>
      </c>
      <c r="C20" s="412" t="s">
        <v>926</v>
      </c>
      <c r="D20" s="412" t="s">
        <v>927</v>
      </c>
      <c r="E20" s="410" t="s">
        <v>928</v>
      </c>
      <c r="F20" s="412" t="s">
        <v>929</v>
      </c>
      <c r="G20" s="44" t="s">
        <v>56</v>
      </c>
      <c r="H20" s="43" t="s">
        <v>56</v>
      </c>
      <c r="I20" s="44" t="s">
        <v>56</v>
      </c>
      <c r="J20" s="44" t="s">
        <v>462</v>
      </c>
      <c r="K20" s="244"/>
      <c r="L20" s="262" t="s">
        <v>930</v>
      </c>
      <c r="M20" s="43"/>
      <c r="N20" s="43"/>
      <c r="O20" s="43"/>
      <c r="P20" s="244"/>
      <c r="Q20" s="244"/>
      <c r="R20" s="262"/>
      <c r="S20" s="244"/>
      <c r="T20" s="245"/>
      <c r="U20" s="43"/>
      <c r="V20" s="244"/>
      <c r="W20" s="244"/>
      <c r="X20" s="245"/>
    </row>
    <row r="21" outlineLevel="1">
      <c r="A21" s="213" t="str">
        <f t="shared" si="3"/>
        <v>TC_05.9</v>
      </c>
      <c r="B21" s="220" t="s">
        <v>65</v>
      </c>
      <c r="C21" s="410" t="s">
        <v>931</v>
      </c>
      <c r="D21" s="410" t="s">
        <v>932</v>
      </c>
      <c r="E21" s="410" t="s">
        <v>933</v>
      </c>
      <c r="F21" s="411" t="s">
        <v>934</v>
      </c>
      <c r="G21" s="44" t="s">
        <v>56</v>
      </c>
      <c r="H21" s="44" t="s">
        <v>56</v>
      </c>
      <c r="I21" s="44" t="s">
        <v>56</v>
      </c>
      <c r="J21" s="44" t="s">
        <v>462</v>
      </c>
      <c r="K21" s="221"/>
      <c r="L21" s="262" t="s">
        <v>930</v>
      </c>
      <c r="M21" s="44"/>
      <c r="N21" s="44"/>
      <c r="O21" s="44"/>
      <c r="P21" s="44"/>
      <c r="Q21" s="221"/>
      <c r="R21" s="262"/>
      <c r="S21" s="248"/>
      <c r="T21" s="249"/>
      <c r="U21" s="250"/>
      <c r="V21" s="247"/>
      <c r="W21" s="248"/>
      <c r="X21" s="249"/>
    </row>
    <row r="22" outlineLevel="1">
      <c r="A22" s="213" t="str">
        <f t="shared" si="3"/>
        <v>TC_05.10</v>
      </c>
      <c r="B22" s="220" t="s">
        <v>65</v>
      </c>
      <c r="C22" s="410" t="s">
        <v>935</v>
      </c>
      <c r="D22" s="410" t="s">
        <v>936</v>
      </c>
      <c r="E22" s="410" t="s">
        <v>937</v>
      </c>
      <c r="F22" s="411" t="s">
        <v>938</v>
      </c>
      <c r="G22" s="44" t="s">
        <v>56</v>
      </c>
      <c r="H22" s="44" t="s">
        <v>56</v>
      </c>
      <c r="I22" s="44" t="s">
        <v>56</v>
      </c>
      <c r="J22" s="44" t="s">
        <v>462</v>
      </c>
      <c r="K22" s="221"/>
      <c r="L22" s="262"/>
      <c r="M22" s="44"/>
      <c r="N22" s="44"/>
      <c r="O22" s="44"/>
      <c r="P22" s="44"/>
      <c r="Q22" s="221"/>
      <c r="R22" s="262"/>
      <c r="S22" s="248"/>
      <c r="T22" s="249"/>
      <c r="U22" s="250"/>
      <c r="V22" s="247"/>
      <c r="W22" s="248"/>
      <c r="X22" s="249"/>
    </row>
    <row r="23" outlineLevel="1">
      <c r="A23" s="213" t="str">
        <f t="shared" si="3"/>
        <v>TC_05.11</v>
      </c>
      <c r="B23" s="220" t="s">
        <v>65</v>
      </c>
      <c r="C23" s="412" t="s">
        <v>939</v>
      </c>
      <c r="D23" s="412" t="s">
        <v>940</v>
      </c>
      <c r="E23" s="412" t="s">
        <v>941</v>
      </c>
      <c r="F23" s="412" t="s">
        <v>942</v>
      </c>
      <c r="G23" s="44" t="s">
        <v>56</v>
      </c>
      <c r="H23" s="44" t="s">
        <v>56</v>
      </c>
      <c r="I23" s="44" t="s">
        <v>56</v>
      </c>
      <c r="J23" s="44" t="s">
        <v>462</v>
      </c>
      <c r="K23" s="221"/>
      <c r="L23" s="262"/>
      <c r="M23" s="44"/>
      <c r="N23" s="44"/>
      <c r="O23" s="44"/>
      <c r="P23" s="44"/>
      <c r="Q23" s="221"/>
      <c r="R23" s="262"/>
      <c r="S23" s="247"/>
      <c r="T23" s="245"/>
      <c r="U23" s="43"/>
      <c r="V23" s="247"/>
      <c r="W23" s="247"/>
      <c r="X23" s="255"/>
    </row>
    <row r="24" outlineLevel="1">
      <c r="A24" s="213" t="str">
        <f t="shared" si="3"/>
        <v>TC_05.12</v>
      </c>
      <c r="B24" s="220" t="s">
        <v>65</v>
      </c>
      <c r="C24" s="410" t="s">
        <v>943</v>
      </c>
      <c r="D24" s="410" t="s">
        <v>944</v>
      </c>
      <c r="E24" s="410" t="s">
        <v>945</v>
      </c>
      <c r="F24" s="411" t="s">
        <v>946</v>
      </c>
      <c r="G24" s="44" t="s">
        <v>56</v>
      </c>
      <c r="H24" s="44" t="s">
        <v>56</v>
      </c>
      <c r="I24" s="44" t="s">
        <v>56</v>
      </c>
      <c r="J24" s="44" t="s">
        <v>462</v>
      </c>
      <c r="K24" s="221"/>
      <c r="L24" s="262"/>
      <c r="M24" s="44"/>
      <c r="N24" s="44"/>
      <c r="O24" s="44"/>
      <c r="P24" s="44"/>
      <c r="Q24" s="221"/>
      <c r="R24" s="262"/>
      <c r="S24" s="247"/>
      <c r="T24" s="245"/>
      <c r="U24" s="43"/>
      <c r="V24" s="247"/>
      <c r="W24" s="247"/>
      <c r="X24" s="255"/>
    </row>
    <row r="25" outlineLevel="1">
      <c r="A25" s="213" t="str">
        <f t="shared" si="3"/>
        <v>TC_05.13</v>
      </c>
      <c r="B25" s="220" t="s">
        <v>65</v>
      </c>
      <c r="C25" s="410" t="s">
        <v>947</v>
      </c>
      <c r="D25" s="410" t="s">
        <v>944</v>
      </c>
      <c r="E25" s="410" t="s">
        <v>948</v>
      </c>
      <c r="F25" s="411" t="s">
        <v>949</v>
      </c>
      <c r="G25" s="44" t="s">
        <v>56</v>
      </c>
      <c r="H25" s="44" t="s">
        <v>56</v>
      </c>
      <c r="I25" s="44" t="s">
        <v>56</v>
      </c>
      <c r="J25" s="44" t="s">
        <v>462</v>
      </c>
      <c r="K25" s="221"/>
      <c r="L25" s="262"/>
      <c r="M25" s="44"/>
      <c r="N25" s="44"/>
      <c r="O25" s="44"/>
      <c r="P25" s="44"/>
      <c r="Q25" s="221"/>
      <c r="R25" s="262"/>
      <c r="S25" s="244"/>
      <c r="T25" s="245"/>
      <c r="U25" s="43"/>
      <c r="V25" s="247"/>
      <c r="W25" s="244"/>
      <c r="X25" s="245"/>
    </row>
    <row r="26" outlineLevel="1">
      <c r="A26" s="213" t="str">
        <f t="shared" si="3"/>
        <v>TC_05.14</v>
      </c>
      <c r="B26" s="220" t="s">
        <v>67</v>
      </c>
      <c r="C26" s="410" t="s">
        <v>950</v>
      </c>
      <c r="D26" s="410" t="s">
        <v>951</v>
      </c>
      <c r="E26" s="410" t="s">
        <v>952</v>
      </c>
      <c r="F26" s="412" t="s">
        <v>953</v>
      </c>
      <c r="G26" s="44" t="s">
        <v>56</v>
      </c>
      <c r="H26" s="44" t="s">
        <v>56</v>
      </c>
      <c r="I26" s="44" t="s">
        <v>56</v>
      </c>
      <c r="J26" s="44" t="s">
        <v>462</v>
      </c>
      <c r="K26" s="221"/>
      <c r="L26" s="262"/>
      <c r="M26" s="44"/>
      <c r="N26" s="44"/>
      <c r="O26" s="44"/>
      <c r="P26" s="44"/>
      <c r="Q26" s="221"/>
      <c r="R26" s="262"/>
      <c r="S26" s="257"/>
      <c r="T26" s="245"/>
      <c r="U26" s="43"/>
      <c r="V26" s="247"/>
      <c r="W26" s="257"/>
      <c r="X26" s="255"/>
    </row>
    <row r="27" outlineLevel="1">
      <c r="A27" s="213" t="str">
        <f t="shared" si="3"/>
        <v>TC_05.15</v>
      </c>
      <c r="B27" s="220" t="s">
        <v>65</v>
      </c>
      <c r="C27" s="410" t="s">
        <v>954</v>
      </c>
      <c r="D27" s="410" t="s">
        <v>955</v>
      </c>
      <c r="E27" s="410" t="s">
        <v>956</v>
      </c>
      <c r="F27" s="411" t="s">
        <v>957</v>
      </c>
      <c r="G27" s="44" t="s">
        <v>60</v>
      </c>
      <c r="H27" s="44" t="s">
        <v>60</v>
      </c>
      <c r="I27" s="44" t="s">
        <v>60</v>
      </c>
      <c r="J27" s="44" t="s">
        <v>462</v>
      </c>
      <c r="K27" s="221"/>
      <c r="L27" s="262" t="s">
        <v>958</v>
      </c>
      <c r="M27" s="44"/>
      <c r="N27" s="44"/>
      <c r="O27" s="44"/>
      <c r="P27" s="44"/>
      <c r="Q27" s="221"/>
      <c r="R27" s="262"/>
      <c r="S27" s="259"/>
      <c r="T27" s="249"/>
      <c r="U27" s="250"/>
      <c r="V27" s="247"/>
      <c r="W27" s="248"/>
      <c r="X27" s="249"/>
    </row>
    <row r="28" outlineLevel="1">
      <c r="A28" s="213" t="str">
        <f t="shared" si="3"/>
        <v>TC_05.16</v>
      </c>
      <c r="B28" s="220" t="s">
        <v>65</v>
      </c>
      <c r="C28" s="410" t="s">
        <v>959</v>
      </c>
      <c r="D28" s="410" t="s">
        <v>960</v>
      </c>
      <c r="E28" s="410" t="s">
        <v>961</v>
      </c>
      <c r="F28" s="411" t="s">
        <v>962</v>
      </c>
      <c r="G28" s="44" t="s">
        <v>60</v>
      </c>
      <c r="H28" s="44" t="s">
        <v>60</v>
      </c>
      <c r="I28" s="44" t="s">
        <v>60</v>
      </c>
      <c r="J28" s="44" t="s">
        <v>462</v>
      </c>
      <c r="K28" s="221"/>
      <c r="L28" s="262" t="s">
        <v>958</v>
      </c>
      <c r="M28" s="44"/>
      <c r="N28" s="44"/>
      <c r="O28" s="44"/>
      <c r="P28" s="44"/>
      <c r="Q28" s="221"/>
      <c r="R28" s="262"/>
      <c r="S28" s="244"/>
      <c r="T28" s="245"/>
      <c r="U28" s="43"/>
      <c r="V28" s="247"/>
      <c r="W28" s="244"/>
      <c r="X28" s="245"/>
    </row>
    <row r="29" outlineLevel="1">
      <c r="A29" s="213" t="str">
        <f t="shared" si="3"/>
        <v>TC_05.17</v>
      </c>
      <c r="B29" s="220" t="s">
        <v>67</v>
      </c>
      <c r="C29" s="410" t="s">
        <v>963</v>
      </c>
      <c r="D29" s="410" t="s">
        <v>964</v>
      </c>
      <c r="E29" s="410" t="s">
        <v>965</v>
      </c>
      <c r="F29" s="411" t="s">
        <v>966</v>
      </c>
      <c r="G29" s="44" t="s">
        <v>56</v>
      </c>
      <c r="H29" s="44" t="s">
        <v>56</v>
      </c>
      <c r="I29" s="44" t="s">
        <v>56</v>
      </c>
      <c r="J29" s="44" t="s">
        <v>462</v>
      </c>
      <c r="K29" s="221"/>
      <c r="L29" s="262"/>
      <c r="M29" s="44"/>
      <c r="N29" s="44"/>
      <c r="O29" s="44"/>
      <c r="P29" s="44"/>
      <c r="Q29" s="221"/>
      <c r="R29" s="262"/>
      <c r="S29" s="244"/>
      <c r="T29" s="245"/>
      <c r="U29" s="43"/>
      <c r="V29" s="247"/>
      <c r="W29" s="244"/>
      <c r="X29" s="245"/>
    </row>
    <row r="30">
      <c r="A30" s="413" t="s">
        <v>967</v>
      </c>
      <c r="B30" s="144"/>
      <c r="C30" s="144"/>
      <c r="D30" s="144"/>
      <c r="E30" s="144"/>
      <c r="F30" s="167"/>
      <c r="G30" s="44"/>
      <c r="H30" s="44"/>
      <c r="I30" s="44"/>
      <c r="J30" s="44"/>
      <c r="K30" s="221"/>
      <c r="L30" s="262"/>
      <c r="M30" s="44"/>
      <c r="N30" s="44"/>
      <c r="O30" s="44"/>
      <c r="P30" s="44"/>
      <c r="Q30" s="221"/>
      <c r="R30" s="262"/>
      <c r="S30" s="244"/>
      <c r="T30" s="245"/>
      <c r="U30" s="43"/>
      <c r="V30" s="247"/>
      <c r="W30" s="244"/>
      <c r="X30" s="245"/>
    </row>
    <row r="31" outlineLevel="1">
      <c r="A31" s="213" t="str">
        <f t="shared" ref="A31:A33" si="4">IF(E31="","",$C$3&amp;"."&amp;COUNTA($E$11:E31)&amp;"")</f>
        <v>TC_05.18</v>
      </c>
      <c r="B31" s="220" t="s">
        <v>65</v>
      </c>
      <c r="C31" s="410" t="s">
        <v>968</v>
      </c>
      <c r="D31" s="410" t="s">
        <v>902</v>
      </c>
      <c r="E31" s="410" t="s">
        <v>969</v>
      </c>
      <c r="F31" s="411" t="s">
        <v>970</v>
      </c>
      <c r="G31" s="44" t="s">
        <v>56</v>
      </c>
      <c r="H31" s="44" t="s">
        <v>56</v>
      </c>
      <c r="I31" s="44" t="s">
        <v>56</v>
      </c>
      <c r="J31" s="44" t="s">
        <v>462</v>
      </c>
      <c r="K31" s="221"/>
      <c r="L31" s="262"/>
      <c r="M31" s="44"/>
      <c r="N31" s="44"/>
      <c r="O31" s="44"/>
      <c r="P31" s="44"/>
      <c r="Q31" s="221"/>
      <c r="R31" s="262"/>
      <c r="S31" s="244"/>
      <c r="T31" s="245"/>
      <c r="U31" s="43"/>
      <c r="V31" s="247"/>
      <c r="W31" s="244"/>
      <c r="X31" s="245"/>
    </row>
    <row r="32" outlineLevel="1">
      <c r="A32" s="213" t="str">
        <f t="shared" si="4"/>
        <v>TC_05.19</v>
      </c>
      <c r="B32" s="220" t="s">
        <v>65</v>
      </c>
      <c r="C32" s="410" t="s">
        <v>971</v>
      </c>
      <c r="D32" s="410" t="s">
        <v>972</v>
      </c>
      <c r="E32" s="410" t="s">
        <v>973</v>
      </c>
      <c r="F32" s="411" t="s">
        <v>974</v>
      </c>
      <c r="G32" s="44" t="s">
        <v>56</v>
      </c>
      <c r="H32" s="44" t="s">
        <v>56</v>
      </c>
      <c r="I32" s="44" t="s">
        <v>56</v>
      </c>
      <c r="J32" s="44" t="s">
        <v>462</v>
      </c>
      <c r="K32" s="262"/>
      <c r="L32" s="262"/>
      <c r="M32" s="44"/>
      <c r="N32" s="44"/>
      <c r="O32" s="44"/>
      <c r="P32" s="44"/>
      <c r="Q32" s="262"/>
      <c r="R32" s="262"/>
      <c r="S32" s="259"/>
      <c r="T32" s="245"/>
      <c r="U32" s="43"/>
      <c r="V32" s="247"/>
      <c r="W32" s="244"/>
      <c r="X32" s="245"/>
    </row>
    <row r="33" outlineLevel="1">
      <c r="A33" s="213" t="str">
        <f t="shared" si="4"/>
        <v>TC_05.20</v>
      </c>
      <c r="B33" s="220" t="s">
        <v>65</v>
      </c>
      <c r="C33" s="410" t="s">
        <v>975</v>
      </c>
      <c r="D33" s="410" t="s">
        <v>976</v>
      </c>
      <c r="E33" s="410" t="s">
        <v>977</v>
      </c>
      <c r="F33" s="412" t="s">
        <v>978</v>
      </c>
      <c r="G33" s="44" t="s">
        <v>56</v>
      </c>
      <c r="H33" s="44" t="s">
        <v>56</v>
      </c>
      <c r="I33" s="44" t="s">
        <v>56</v>
      </c>
      <c r="J33" s="44" t="s">
        <v>462</v>
      </c>
      <c r="K33" s="221"/>
      <c r="L33" s="262"/>
      <c r="M33" s="44"/>
      <c r="N33" s="44"/>
      <c r="O33" s="44"/>
      <c r="P33" s="44"/>
      <c r="Q33" s="221"/>
      <c r="R33" s="262"/>
      <c r="S33" s="244"/>
      <c r="T33" s="245"/>
      <c r="U33" s="43"/>
      <c r="V33" s="247"/>
      <c r="W33" s="244"/>
      <c r="X33" s="245"/>
    </row>
    <row r="34">
      <c r="A34" s="413" t="s">
        <v>979</v>
      </c>
      <c r="B34" s="144"/>
      <c r="C34" s="144"/>
      <c r="D34" s="144"/>
      <c r="E34" s="144"/>
      <c r="F34" s="167"/>
      <c r="G34" s="44"/>
      <c r="H34" s="44"/>
      <c r="I34" s="44"/>
      <c r="J34" s="44"/>
      <c r="K34" s="221"/>
      <c r="L34" s="262"/>
      <c r="M34" s="44"/>
      <c r="N34" s="44"/>
      <c r="O34" s="44"/>
      <c r="P34" s="44"/>
      <c r="Q34" s="221"/>
      <c r="R34" s="262"/>
      <c r="S34" s="244"/>
      <c r="T34" s="245"/>
      <c r="U34" s="43"/>
      <c r="V34" s="247"/>
      <c r="W34" s="244"/>
      <c r="X34" s="245"/>
    </row>
    <row r="35" outlineLevel="1">
      <c r="A35" s="213" t="str">
        <f t="shared" ref="A35:A38" si="5">IF(E35="","",$C$3&amp;"."&amp;COUNTA($E$11:E35)&amp;"")</f>
        <v>TC_05.21</v>
      </c>
      <c r="B35" s="220" t="s">
        <v>65</v>
      </c>
      <c r="C35" s="410" t="s">
        <v>980</v>
      </c>
      <c r="D35" s="412" t="s">
        <v>981</v>
      </c>
      <c r="E35" s="410" t="s">
        <v>982</v>
      </c>
      <c r="F35" s="411" t="s">
        <v>983</v>
      </c>
      <c r="G35" s="44" t="s">
        <v>56</v>
      </c>
      <c r="H35" s="44" t="s">
        <v>56</v>
      </c>
      <c r="I35" s="44" t="s">
        <v>56</v>
      </c>
      <c r="J35" s="44" t="s">
        <v>462</v>
      </c>
      <c r="K35" s="221"/>
      <c r="L35" s="262"/>
      <c r="M35" s="44"/>
      <c r="N35" s="44"/>
      <c r="O35" s="44"/>
      <c r="P35" s="44"/>
      <c r="Q35" s="221"/>
      <c r="R35" s="262"/>
      <c r="S35" s="244"/>
      <c r="T35" s="245"/>
      <c r="U35" s="43"/>
      <c r="V35" s="247"/>
      <c r="W35" s="244"/>
      <c r="X35" s="245"/>
    </row>
    <row r="36" outlineLevel="1">
      <c r="A36" s="213" t="str">
        <f t="shared" si="5"/>
        <v>TC_05.22</v>
      </c>
      <c r="B36" s="220" t="s">
        <v>65</v>
      </c>
      <c r="C36" s="410" t="s">
        <v>984</v>
      </c>
      <c r="D36" s="412" t="s">
        <v>985</v>
      </c>
      <c r="E36" s="410" t="s">
        <v>982</v>
      </c>
      <c r="F36" s="411" t="s">
        <v>986</v>
      </c>
      <c r="G36" s="44" t="s">
        <v>56</v>
      </c>
      <c r="H36" s="44" t="s">
        <v>56</v>
      </c>
      <c r="I36" s="44" t="s">
        <v>56</v>
      </c>
      <c r="J36" s="44" t="s">
        <v>462</v>
      </c>
      <c r="K36" s="244"/>
      <c r="L36" s="262"/>
      <c r="M36" s="43"/>
      <c r="N36" s="43"/>
      <c r="O36" s="43"/>
      <c r="P36" s="244"/>
      <c r="Q36" s="244"/>
      <c r="R36" s="262"/>
      <c r="S36" s="244"/>
      <c r="T36" s="245"/>
      <c r="U36" s="43"/>
      <c r="V36" s="244"/>
      <c r="W36" s="244"/>
      <c r="X36" s="245"/>
    </row>
    <row r="37" outlineLevel="1">
      <c r="A37" s="213" t="str">
        <f t="shared" si="5"/>
        <v>TC_05.23</v>
      </c>
      <c r="B37" s="220" t="s">
        <v>65</v>
      </c>
      <c r="C37" s="412" t="s">
        <v>987</v>
      </c>
      <c r="D37" s="412" t="s">
        <v>988</v>
      </c>
      <c r="E37" s="410" t="s">
        <v>989</v>
      </c>
      <c r="F37" s="412" t="s">
        <v>990</v>
      </c>
      <c r="G37" s="44" t="s">
        <v>56</v>
      </c>
      <c r="H37" s="44" t="s">
        <v>56</v>
      </c>
      <c r="I37" s="44" t="s">
        <v>56</v>
      </c>
      <c r="J37" s="44" t="s">
        <v>462</v>
      </c>
      <c r="K37" s="221"/>
      <c r="L37" s="262"/>
      <c r="M37" s="44"/>
      <c r="N37" s="44"/>
      <c r="O37" s="44"/>
      <c r="P37" s="44"/>
      <c r="Q37" s="221"/>
      <c r="R37" s="262"/>
      <c r="S37" s="247"/>
      <c r="T37" s="245"/>
      <c r="U37" s="43"/>
      <c r="V37" s="247"/>
      <c r="W37" s="244"/>
      <c r="X37" s="245"/>
    </row>
    <row r="38" outlineLevel="1">
      <c r="A38" s="213" t="str">
        <f t="shared" si="5"/>
        <v>TC_05.24</v>
      </c>
      <c r="B38" s="220" t="s">
        <v>67</v>
      </c>
      <c r="C38" s="410" t="s">
        <v>991</v>
      </c>
      <c r="D38" s="410" t="s">
        <v>902</v>
      </c>
      <c r="E38" s="410" t="s">
        <v>992</v>
      </c>
      <c r="F38" s="411" t="s">
        <v>993</v>
      </c>
      <c r="G38" s="44" t="s">
        <v>56</v>
      </c>
      <c r="H38" s="44" t="s">
        <v>56</v>
      </c>
      <c r="I38" s="44" t="s">
        <v>56</v>
      </c>
      <c r="J38" s="44" t="s">
        <v>462</v>
      </c>
      <c r="K38" s="221"/>
      <c r="L38" s="262"/>
      <c r="M38" s="44"/>
      <c r="N38" s="44"/>
      <c r="O38" s="44"/>
      <c r="P38" s="44"/>
      <c r="Q38" s="221"/>
      <c r="R38" s="262"/>
      <c r="S38" s="279"/>
      <c r="T38" s="280"/>
      <c r="U38" s="277"/>
      <c r="V38" s="279"/>
      <c r="W38" s="279"/>
      <c r="X38" s="280"/>
    </row>
    <row r="39">
      <c r="A39" s="413" t="s">
        <v>994</v>
      </c>
      <c r="B39" s="144"/>
      <c r="C39" s="144"/>
      <c r="D39" s="144"/>
      <c r="E39" s="144"/>
      <c r="F39" s="167"/>
      <c r="G39" s="43"/>
      <c r="H39" s="43"/>
      <c r="I39" s="43"/>
      <c r="J39" s="44"/>
      <c r="K39" s="247"/>
      <c r="L39" s="262"/>
      <c r="M39" s="43"/>
      <c r="N39" s="43"/>
      <c r="O39" s="43"/>
      <c r="P39" s="44"/>
      <c r="Q39" s="247"/>
      <c r="R39" s="262"/>
      <c r="S39" s="247"/>
      <c r="T39" s="245"/>
      <c r="U39" s="43"/>
      <c r="V39" s="247"/>
      <c r="W39" s="244"/>
      <c r="X39" s="245"/>
    </row>
    <row r="40" outlineLevel="1">
      <c r="A40" s="213" t="str">
        <f t="shared" ref="A40:A41" si="6">IF(E40="","",$C$3&amp;"."&amp;COUNTA($E$11:E40)&amp;"")</f>
        <v>TC_05.25</v>
      </c>
      <c r="B40" s="417" t="s">
        <v>67</v>
      </c>
      <c r="C40" s="412" t="s">
        <v>995</v>
      </c>
      <c r="D40" s="410" t="s">
        <v>902</v>
      </c>
      <c r="E40" s="412" t="s">
        <v>996</v>
      </c>
      <c r="F40" s="411" t="s">
        <v>997</v>
      </c>
      <c r="G40" s="43" t="s">
        <v>56</v>
      </c>
      <c r="H40" s="43" t="s">
        <v>56</v>
      </c>
      <c r="I40" s="43" t="s">
        <v>56</v>
      </c>
      <c r="J40" s="44" t="s">
        <v>462</v>
      </c>
      <c r="K40" s="247"/>
      <c r="L40" s="262"/>
      <c r="M40" s="43"/>
      <c r="N40" s="43"/>
      <c r="O40" s="43"/>
      <c r="P40" s="44"/>
      <c r="Q40" s="247"/>
      <c r="R40" s="262"/>
      <c r="S40" s="247"/>
      <c r="T40" s="245"/>
      <c r="U40" s="43"/>
      <c r="V40" s="247"/>
      <c r="W40" s="244"/>
      <c r="X40" s="245"/>
    </row>
    <row r="41" outlineLevel="1">
      <c r="A41" s="213" t="str">
        <f t="shared" si="6"/>
        <v>TC_05.26</v>
      </c>
      <c r="B41" s="418" t="s">
        <v>69</v>
      </c>
      <c r="C41" s="412" t="s">
        <v>998</v>
      </c>
      <c r="D41" s="412" t="s">
        <v>999</v>
      </c>
      <c r="E41" s="412" t="s">
        <v>1000</v>
      </c>
      <c r="F41" s="412" t="s">
        <v>1001</v>
      </c>
      <c r="G41" s="43" t="s">
        <v>56</v>
      </c>
      <c r="H41" s="43" t="s">
        <v>56</v>
      </c>
      <c r="I41" s="43" t="s">
        <v>56</v>
      </c>
      <c r="J41" s="44" t="s">
        <v>462</v>
      </c>
      <c r="K41" s="247"/>
      <c r="L41" s="262"/>
      <c r="M41" s="43"/>
      <c r="N41" s="43"/>
      <c r="O41" s="43"/>
      <c r="P41" s="44"/>
      <c r="Q41" s="247"/>
      <c r="R41" s="262"/>
      <c r="S41" s="247"/>
      <c r="T41" s="245"/>
      <c r="U41" s="43"/>
      <c r="V41" s="247"/>
      <c r="W41" s="244"/>
      <c r="X41" s="245"/>
    </row>
    <row r="42" collapsed="1">
      <c r="A42" s="413" t="s">
        <v>1002</v>
      </c>
      <c r="B42" s="144"/>
      <c r="C42" s="144"/>
      <c r="D42" s="144"/>
      <c r="E42" s="144"/>
      <c r="F42" s="167"/>
      <c r="G42" s="43"/>
      <c r="H42" s="43"/>
      <c r="I42" s="43"/>
      <c r="J42" s="44"/>
      <c r="K42" s="257"/>
      <c r="L42" s="262"/>
      <c r="M42" s="43"/>
      <c r="N42" s="43"/>
      <c r="O42" s="43"/>
      <c r="P42" s="44"/>
      <c r="Q42" s="257"/>
      <c r="R42" s="262"/>
      <c r="S42" s="247"/>
      <c r="T42" s="245"/>
      <c r="U42" s="43"/>
      <c r="V42" s="247"/>
      <c r="W42" s="244"/>
      <c r="X42" s="245"/>
    </row>
    <row r="43" hidden="1" outlineLevel="1">
      <c r="A43" s="213"/>
      <c r="B43" s="220" t="s">
        <v>67</v>
      </c>
      <c r="C43" s="410" t="s">
        <v>1003</v>
      </c>
      <c r="D43" s="410" t="s">
        <v>902</v>
      </c>
      <c r="E43" s="410" t="s">
        <v>1004</v>
      </c>
      <c r="F43" s="411" t="s">
        <v>1005</v>
      </c>
      <c r="G43" s="43"/>
      <c r="H43" s="43"/>
      <c r="I43" s="43"/>
      <c r="J43" s="44"/>
      <c r="K43" s="247"/>
      <c r="L43" s="262"/>
      <c r="M43" s="43"/>
      <c r="N43" s="43"/>
      <c r="O43" s="43"/>
      <c r="P43" s="44"/>
      <c r="Q43" s="247"/>
      <c r="R43" s="262"/>
      <c r="S43" s="247"/>
      <c r="T43" s="245"/>
      <c r="U43" s="43"/>
      <c r="V43" s="247"/>
      <c r="W43" s="244"/>
      <c r="X43" s="245"/>
    </row>
    <row r="44" hidden="1" outlineLevel="1">
      <c r="A44" s="213"/>
      <c r="B44" s="220" t="s">
        <v>69</v>
      </c>
      <c r="C44" s="412" t="s">
        <v>1006</v>
      </c>
      <c r="D44" s="412" t="s">
        <v>1007</v>
      </c>
      <c r="E44" s="412" t="s">
        <v>1008</v>
      </c>
      <c r="F44" s="412" t="s">
        <v>1001</v>
      </c>
      <c r="G44" s="43"/>
      <c r="H44" s="43"/>
      <c r="I44" s="43"/>
      <c r="J44" s="44"/>
      <c r="K44" s="247"/>
      <c r="L44" s="262"/>
      <c r="M44" s="43"/>
      <c r="N44" s="43"/>
      <c r="O44" s="43"/>
      <c r="P44" s="44"/>
      <c r="Q44" s="247"/>
      <c r="R44" s="262"/>
      <c r="S44" s="247"/>
      <c r="T44" s="245"/>
      <c r="U44" s="43"/>
      <c r="V44" s="247"/>
      <c r="W44" s="244"/>
      <c r="X44" s="245"/>
    </row>
    <row r="45" collapsed="1">
      <c r="A45" s="413" t="s">
        <v>1009</v>
      </c>
      <c r="B45" s="144"/>
      <c r="C45" s="144"/>
      <c r="D45" s="144"/>
      <c r="E45" s="144"/>
      <c r="F45" s="167"/>
      <c r="G45" s="43"/>
      <c r="H45" s="43"/>
      <c r="I45" s="43"/>
      <c r="J45" s="44"/>
      <c r="K45" s="247"/>
      <c r="L45" s="262"/>
      <c r="M45" s="43"/>
      <c r="N45" s="43"/>
      <c r="O45" s="43"/>
      <c r="P45" s="44"/>
      <c r="Q45" s="247"/>
      <c r="R45" s="262"/>
      <c r="S45" s="247"/>
      <c r="T45" s="245"/>
      <c r="U45" s="43"/>
      <c r="V45" s="247"/>
      <c r="W45" s="244"/>
      <c r="X45" s="245"/>
    </row>
    <row r="46" hidden="1" outlineLevel="1">
      <c r="A46" s="213"/>
      <c r="B46" s="220" t="s">
        <v>65</v>
      </c>
      <c r="C46" s="410" t="s">
        <v>1010</v>
      </c>
      <c r="D46" s="410" t="s">
        <v>902</v>
      </c>
      <c r="E46" s="410" t="s">
        <v>1011</v>
      </c>
      <c r="F46" s="411" t="s">
        <v>1012</v>
      </c>
      <c r="G46" s="43"/>
      <c r="H46" s="43"/>
      <c r="I46" s="43"/>
      <c r="J46" s="44"/>
      <c r="K46" s="247"/>
      <c r="L46" s="262"/>
      <c r="M46" s="43"/>
      <c r="N46" s="43"/>
      <c r="O46" s="43"/>
      <c r="P46" s="44"/>
      <c r="Q46" s="247"/>
      <c r="R46" s="262"/>
      <c r="S46" s="247"/>
      <c r="T46" s="245"/>
      <c r="U46" s="43"/>
      <c r="V46" s="247"/>
      <c r="W46" s="244"/>
      <c r="X46" s="245"/>
    </row>
    <row r="47" hidden="1" outlineLevel="1">
      <c r="A47" s="213"/>
      <c r="B47" s="220" t="s">
        <v>65</v>
      </c>
      <c r="C47" s="410" t="s">
        <v>1013</v>
      </c>
      <c r="D47" s="410" t="s">
        <v>1014</v>
      </c>
      <c r="E47" s="410" t="s">
        <v>1015</v>
      </c>
      <c r="F47" s="411" t="s">
        <v>1016</v>
      </c>
      <c r="G47" s="43"/>
      <c r="H47" s="43"/>
      <c r="I47" s="43"/>
      <c r="J47" s="44"/>
      <c r="K47" s="247"/>
      <c r="L47" s="262"/>
      <c r="M47" s="43"/>
      <c r="N47" s="43"/>
      <c r="O47" s="43"/>
      <c r="P47" s="44"/>
      <c r="Q47" s="247"/>
      <c r="R47" s="262"/>
      <c r="S47" s="247"/>
      <c r="T47" s="245"/>
      <c r="U47" s="43"/>
      <c r="V47" s="247"/>
      <c r="W47" s="244"/>
      <c r="X47" s="245"/>
    </row>
    <row r="48" hidden="1" outlineLevel="1">
      <c r="A48" s="213"/>
      <c r="B48" s="220" t="s">
        <v>65</v>
      </c>
      <c r="C48" s="412" t="s">
        <v>1017</v>
      </c>
      <c r="D48" s="412" t="s">
        <v>1018</v>
      </c>
      <c r="E48" s="412" t="s">
        <v>1019</v>
      </c>
      <c r="F48" s="412" t="s">
        <v>1020</v>
      </c>
      <c r="G48" s="43"/>
      <c r="H48" s="43"/>
      <c r="I48" s="43"/>
      <c r="J48" s="44"/>
      <c r="K48" s="247"/>
      <c r="L48" s="262"/>
      <c r="M48" s="43"/>
      <c r="N48" s="43"/>
      <c r="O48" s="43"/>
      <c r="P48" s="44"/>
      <c r="Q48" s="247"/>
      <c r="R48" s="262"/>
      <c r="S48" s="247"/>
      <c r="T48" s="245"/>
      <c r="U48" s="43"/>
      <c r="V48" s="247"/>
      <c r="W48" s="244"/>
      <c r="X48" s="245"/>
    </row>
    <row r="49" hidden="1" outlineLevel="1">
      <c r="A49" s="213"/>
      <c r="B49" s="220" t="s">
        <v>69</v>
      </c>
      <c r="C49" s="410" t="s">
        <v>1021</v>
      </c>
      <c r="D49" s="410" t="s">
        <v>1022</v>
      </c>
      <c r="E49" s="410" t="s">
        <v>1023</v>
      </c>
      <c r="F49" s="412" t="s">
        <v>1001</v>
      </c>
      <c r="G49" s="44"/>
      <c r="H49" s="44"/>
      <c r="I49" s="44"/>
      <c r="J49" s="44"/>
      <c r="K49" s="221"/>
      <c r="L49" s="262"/>
      <c r="M49" s="44"/>
      <c r="N49" s="44"/>
      <c r="O49" s="44"/>
      <c r="P49" s="44"/>
      <c r="Q49" s="221"/>
      <c r="R49" s="262"/>
      <c r="S49" s="278"/>
      <c r="T49" s="280"/>
      <c r="U49" s="277"/>
      <c r="V49" s="278"/>
      <c r="W49" s="279"/>
      <c r="X49" s="280"/>
    </row>
    <row r="50">
      <c r="A50" s="413" t="s">
        <v>1024</v>
      </c>
      <c r="B50" s="144"/>
      <c r="C50" s="144"/>
      <c r="D50" s="144"/>
      <c r="E50" s="144"/>
      <c r="F50" s="167"/>
      <c r="G50" s="43"/>
      <c r="H50" s="43"/>
      <c r="I50" s="43"/>
      <c r="J50" s="44"/>
      <c r="K50" s="247"/>
      <c r="L50" s="262"/>
      <c r="M50" s="43"/>
      <c r="N50" s="43"/>
      <c r="O50" s="43"/>
      <c r="P50" s="44"/>
      <c r="Q50" s="247"/>
      <c r="R50" s="262"/>
      <c r="S50" s="278"/>
      <c r="T50" s="280"/>
      <c r="U50" s="277"/>
      <c r="V50" s="278"/>
      <c r="W50" s="279"/>
      <c r="X50" s="280"/>
    </row>
    <row r="51" outlineLevel="1">
      <c r="A51" s="213" t="str">
        <f t="shared" ref="A51:A53" si="7">IF(E51="","",$C$3&amp;"."&amp;COUNTA($E$11:E51)&amp;"")</f>
        <v>TC_05.33</v>
      </c>
      <c r="B51" s="220" t="s">
        <v>65</v>
      </c>
      <c r="C51" s="410" t="s">
        <v>1025</v>
      </c>
      <c r="D51" s="410" t="s">
        <v>902</v>
      </c>
      <c r="E51" s="410" t="s">
        <v>1026</v>
      </c>
      <c r="F51" s="411" t="s">
        <v>1027</v>
      </c>
      <c r="G51" s="43" t="s">
        <v>56</v>
      </c>
      <c r="H51" s="43" t="s">
        <v>56</v>
      </c>
      <c r="I51" s="43" t="s">
        <v>56</v>
      </c>
      <c r="J51" s="44" t="s">
        <v>462</v>
      </c>
      <c r="K51" s="284"/>
      <c r="L51" s="262"/>
      <c r="M51" s="250"/>
      <c r="N51" s="250"/>
      <c r="O51" s="250"/>
      <c r="P51" s="247"/>
      <c r="Q51" s="284"/>
      <c r="R51" s="262"/>
      <c r="S51" s="285"/>
      <c r="T51" s="286"/>
      <c r="U51" s="287"/>
      <c r="V51" s="278"/>
      <c r="W51" s="285"/>
      <c r="X51" s="286"/>
    </row>
    <row r="52" outlineLevel="1">
      <c r="A52" s="213" t="str">
        <f t="shared" si="7"/>
        <v>TC_05.34</v>
      </c>
      <c r="B52" s="220" t="s">
        <v>65</v>
      </c>
      <c r="C52" s="410" t="s">
        <v>1028</v>
      </c>
      <c r="D52" s="410" t="s">
        <v>976</v>
      </c>
      <c r="E52" s="410" t="s">
        <v>1029</v>
      </c>
      <c r="F52" s="411" t="s">
        <v>1030</v>
      </c>
      <c r="G52" s="43" t="s">
        <v>56</v>
      </c>
      <c r="H52" s="43" t="s">
        <v>56</v>
      </c>
      <c r="I52" s="43" t="s">
        <v>56</v>
      </c>
      <c r="J52" s="44" t="s">
        <v>462</v>
      </c>
      <c r="K52" s="221"/>
      <c r="L52" s="262"/>
      <c r="M52" s="44"/>
      <c r="N52" s="44"/>
      <c r="O52" s="44"/>
      <c r="P52" s="44"/>
      <c r="Q52" s="221"/>
      <c r="R52" s="262"/>
      <c r="S52" s="285"/>
      <c r="T52" s="286"/>
      <c r="U52" s="287"/>
      <c r="V52" s="278"/>
      <c r="W52" s="285"/>
      <c r="X52" s="286"/>
    </row>
    <row r="53" outlineLevel="1">
      <c r="A53" s="213" t="str">
        <f t="shared" si="7"/>
        <v>TC_05.35</v>
      </c>
      <c r="B53" s="220" t="s">
        <v>67</v>
      </c>
      <c r="C53" s="410" t="s">
        <v>1031</v>
      </c>
      <c r="D53" s="410" t="s">
        <v>902</v>
      </c>
      <c r="E53" s="410" t="s">
        <v>1032</v>
      </c>
      <c r="F53" s="411" t="s">
        <v>1033</v>
      </c>
      <c r="G53" s="43" t="s">
        <v>56</v>
      </c>
      <c r="H53" s="43" t="s">
        <v>56</v>
      </c>
      <c r="I53" s="43" t="s">
        <v>56</v>
      </c>
      <c r="J53" s="44" t="s">
        <v>462</v>
      </c>
      <c r="K53" s="221"/>
      <c r="L53" s="262"/>
      <c r="M53" s="44"/>
      <c r="N53" s="44"/>
      <c r="O53" s="44"/>
      <c r="P53" s="44"/>
      <c r="Q53" s="221"/>
      <c r="R53" s="262"/>
      <c r="S53" s="285"/>
      <c r="T53" s="286"/>
      <c r="U53" s="287"/>
      <c r="V53" s="278"/>
      <c r="W53" s="285"/>
      <c r="X53" s="286"/>
    </row>
    <row r="54">
      <c r="A54" s="413" t="s">
        <v>1034</v>
      </c>
      <c r="B54" s="144"/>
      <c r="C54" s="144"/>
      <c r="D54" s="144"/>
      <c r="E54" s="144"/>
      <c r="F54" s="167"/>
      <c r="G54" s="44"/>
      <c r="H54" s="44"/>
      <c r="I54" s="44"/>
      <c r="J54" s="44"/>
      <c r="K54" s="221"/>
      <c r="L54" s="262"/>
      <c r="M54" s="44"/>
      <c r="N54" s="44"/>
      <c r="O54" s="44"/>
      <c r="P54" s="44"/>
      <c r="Q54" s="221"/>
      <c r="R54" s="262"/>
      <c r="S54" s="285"/>
      <c r="T54" s="286"/>
      <c r="U54" s="287"/>
      <c r="V54" s="278"/>
      <c r="W54" s="285"/>
      <c r="X54" s="286"/>
    </row>
    <row r="55" outlineLevel="1">
      <c r="A55" s="213" t="str">
        <f t="shared" ref="A55:A58" si="8">IF(E55="","",$C$3&amp;"."&amp;COUNTA($E$11:E55)&amp;"")</f>
        <v>TC_05.36</v>
      </c>
      <c r="B55" s="220" t="s">
        <v>65</v>
      </c>
      <c r="C55" s="410" t="s">
        <v>1035</v>
      </c>
      <c r="D55" s="410" t="s">
        <v>902</v>
      </c>
      <c r="E55" s="410" t="s">
        <v>1036</v>
      </c>
      <c r="F55" s="411" t="s">
        <v>1037</v>
      </c>
      <c r="G55" s="43" t="s">
        <v>56</v>
      </c>
      <c r="H55" s="43" t="s">
        <v>56</v>
      </c>
      <c r="I55" s="43" t="s">
        <v>56</v>
      </c>
      <c r="J55" s="44" t="s">
        <v>462</v>
      </c>
      <c r="K55" s="221"/>
      <c r="L55" s="262"/>
      <c r="M55" s="44"/>
      <c r="N55" s="44"/>
      <c r="O55" s="44"/>
      <c r="P55" s="44"/>
      <c r="Q55" s="221"/>
      <c r="R55" s="262"/>
      <c r="S55" s="278"/>
      <c r="T55" s="280"/>
      <c r="U55" s="277"/>
      <c r="V55" s="278"/>
      <c r="W55" s="279"/>
      <c r="X55" s="280"/>
    </row>
    <row r="56" outlineLevel="1">
      <c r="A56" s="213" t="str">
        <f t="shared" si="8"/>
        <v>TC_05.37</v>
      </c>
      <c r="B56" s="220" t="s">
        <v>65</v>
      </c>
      <c r="C56" s="410" t="s">
        <v>1038</v>
      </c>
      <c r="D56" s="410" t="s">
        <v>902</v>
      </c>
      <c r="E56" s="410" t="s">
        <v>1039</v>
      </c>
      <c r="F56" s="411" t="s">
        <v>1040</v>
      </c>
      <c r="G56" s="43" t="s">
        <v>56</v>
      </c>
      <c r="H56" s="43" t="s">
        <v>56</v>
      </c>
      <c r="I56" s="43" t="s">
        <v>56</v>
      </c>
      <c r="J56" s="44" t="s">
        <v>462</v>
      </c>
      <c r="K56" s="221"/>
      <c r="L56" s="262"/>
      <c r="M56" s="44"/>
      <c r="N56" s="44"/>
      <c r="O56" s="44"/>
      <c r="P56" s="44"/>
      <c r="Q56" s="221"/>
      <c r="R56" s="262"/>
      <c r="S56" s="278"/>
      <c r="T56" s="280"/>
      <c r="U56" s="277"/>
      <c r="V56" s="278"/>
      <c r="W56" s="279"/>
      <c r="X56" s="280"/>
    </row>
    <row r="57" outlineLevel="1">
      <c r="A57" s="213" t="str">
        <f t="shared" si="8"/>
        <v>TC_05.38</v>
      </c>
      <c r="B57" s="220" t="s">
        <v>65</v>
      </c>
      <c r="C57" s="410" t="s">
        <v>1041</v>
      </c>
      <c r="D57" s="410" t="s">
        <v>902</v>
      </c>
      <c r="E57" s="410" t="s">
        <v>1042</v>
      </c>
      <c r="F57" s="411" t="s">
        <v>1043</v>
      </c>
      <c r="G57" s="43" t="s">
        <v>56</v>
      </c>
      <c r="H57" s="43" t="s">
        <v>56</v>
      </c>
      <c r="I57" s="43" t="s">
        <v>56</v>
      </c>
      <c r="J57" s="44" t="s">
        <v>462</v>
      </c>
      <c r="K57" s="217"/>
      <c r="L57" s="262"/>
      <c r="M57" s="44"/>
      <c r="N57" s="44"/>
      <c r="O57" s="44"/>
      <c r="P57" s="44"/>
      <c r="Q57" s="217"/>
      <c r="R57" s="262"/>
      <c r="S57" s="285"/>
      <c r="T57" s="286"/>
      <c r="U57" s="287"/>
      <c r="V57" s="278"/>
      <c r="W57" s="285"/>
      <c r="X57" s="286"/>
    </row>
    <row r="58" outlineLevel="1">
      <c r="A58" s="213" t="str">
        <f t="shared" si="8"/>
        <v>TC_05.39</v>
      </c>
      <c r="B58" s="220" t="s">
        <v>67</v>
      </c>
      <c r="C58" s="410" t="s">
        <v>1044</v>
      </c>
      <c r="D58" s="410" t="s">
        <v>902</v>
      </c>
      <c r="E58" s="410" t="s">
        <v>1045</v>
      </c>
      <c r="F58" s="411" t="s">
        <v>1046</v>
      </c>
      <c r="G58" s="44" t="s">
        <v>56</v>
      </c>
      <c r="H58" s="44" t="s">
        <v>56</v>
      </c>
      <c r="I58" s="44" t="s">
        <v>56</v>
      </c>
      <c r="J58" s="44" t="s">
        <v>462</v>
      </c>
      <c r="K58" s="221"/>
      <c r="L58" s="262" t="s">
        <v>1047</v>
      </c>
      <c r="M58" s="44"/>
      <c r="N58" s="44"/>
      <c r="O58" s="44"/>
      <c r="P58" s="44"/>
      <c r="Q58" s="221"/>
      <c r="R58" s="262"/>
      <c r="S58" s="285"/>
      <c r="T58" s="286"/>
      <c r="U58" s="287"/>
      <c r="V58" s="278"/>
      <c r="W58" s="285"/>
      <c r="X58" s="286"/>
    </row>
    <row r="59" collapsed="1">
      <c r="A59" s="413" t="s">
        <v>1048</v>
      </c>
      <c r="B59" s="144"/>
      <c r="C59" s="144"/>
      <c r="D59" s="144"/>
      <c r="E59" s="144"/>
      <c r="F59" s="167"/>
      <c r="G59" s="44"/>
      <c r="H59" s="44"/>
      <c r="I59" s="44"/>
      <c r="J59" s="44"/>
      <c r="K59" s="221"/>
      <c r="L59" s="262"/>
      <c r="M59" s="44"/>
      <c r="N59" s="44"/>
      <c r="O59" s="44"/>
      <c r="P59" s="44"/>
      <c r="Q59" s="221"/>
      <c r="R59" s="262"/>
      <c r="S59" s="285"/>
      <c r="T59" s="286"/>
      <c r="U59" s="287"/>
      <c r="V59" s="278"/>
      <c r="W59" s="285"/>
      <c r="X59" s="286"/>
    </row>
    <row r="60" hidden="1" outlineLevel="1">
      <c r="A60" s="213"/>
      <c r="B60" s="220" t="s">
        <v>67</v>
      </c>
      <c r="C60" s="410" t="s">
        <v>1049</v>
      </c>
      <c r="D60" s="410" t="s">
        <v>1050</v>
      </c>
      <c r="E60" s="410" t="s">
        <v>1051</v>
      </c>
      <c r="F60" s="411" t="s">
        <v>1052</v>
      </c>
      <c r="G60" s="44"/>
      <c r="H60" s="44"/>
      <c r="I60" s="44"/>
      <c r="J60" s="44"/>
      <c r="K60" s="221"/>
      <c r="L60" s="262"/>
      <c r="M60" s="44"/>
      <c r="N60" s="44"/>
      <c r="O60" s="44"/>
      <c r="P60" s="44"/>
      <c r="Q60" s="221"/>
      <c r="R60" s="262"/>
      <c r="S60" s="279"/>
      <c r="T60" s="280"/>
      <c r="U60" s="298"/>
      <c r="V60" s="279"/>
      <c r="W60" s="279"/>
      <c r="X60" s="280"/>
    </row>
    <row r="61" hidden="1" outlineLevel="1">
      <c r="A61" s="213"/>
      <c r="B61" s="220" t="s">
        <v>67</v>
      </c>
      <c r="C61" s="410" t="s">
        <v>1053</v>
      </c>
      <c r="D61" s="410" t="s">
        <v>1054</v>
      </c>
      <c r="E61" s="410" t="s">
        <v>1055</v>
      </c>
      <c r="F61" s="411" t="s">
        <v>1056</v>
      </c>
      <c r="G61" s="44"/>
      <c r="H61" s="44"/>
      <c r="I61" s="44"/>
      <c r="J61" s="44"/>
      <c r="K61" s="221"/>
      <c r="L61" s="262"/>
      <c r="M61" s="44"/>
      <c r="N61" s="44"/>
      <c r="O61" s="44"/>
      <c r="P61" s="44"/>
      <c r="Q61" s="221"/>
      <c r="R61" s="262"/>
      <c r="S61" s="279"/>
      <c r="T61" s="280"/>
      <c r="U61" s="298"/>
      <c r="V61" s="279"/>
      <c r="W61" s="279"/>
      <c r="X61" s="280"/>
    </row>
    <row r="62" hidden="1" outlineLevel="1">
      <c r="A62" s="213"/>
      <c r="B62" s="220" t="s">
        <v>69</v>
      </c>
      <c r="C62" s="410" t="s">
        <v>1057</v>
      </c>
      <c r="D62" s="410" t="s">
        <v>1058</v>
      </c>
      <c r="E62" s="410" t="s">
        <v>1051</v>
      </c>
      <c r="F62" s="411" t="s">
        <v>1059</v>
      </c>
      <c r="G62" s="44"/>
      <c r="H62" s="44"/>
      <c r="I62" s="44"/>
      <c r="J62" s="44"/>
      <c r="K62" s="217"/>
      <c r="L62" s="262"/>
      <c r="M62" s="44"/>
      <c r="N62" s="44"/>
      <c r="O62" s="44"/>
      <c r="P62" s="44"/>
      <c r="Q62" s="217"/>
      <c r="R62" s="262"/>
      <c r="S62" s="279"/>
      <c r="T62" s="280"/>
      <c r="U62" s="298"/>
      <c r="V62" s="279"/>
      <c r="W62" s="279"/>
      <c r="X62" s="280"/>
    </row>
    <row r="63" hidden="1" outlineLevel="1">
      <c r="A63" s="213"/>
      <c r="B63" s="220" t="s">
        <v>69</v>
      </c>
      <c r="C63" s="410" t="s">
        <v>1060</v>
      </c>
      <c r="D63" s="410" t="s">
        <v>1061</v>
      </c>
      <c r="E63" s="410" t="s">
        <v>1062</v>
      </c>
      <c r="F63" s="412" t="s">
        <v>1001</v>
      </c>
      <c r="G63" s="44"/>
      <c r="H63" s="44"/>
      <c r="I63" s="44"/>
      <c r="J63" s="44"/>
      <c r="K63" s="221"/>
      <c r="L63" s="262"/>
      <c r="M63" s="44"/>
      <c r="N63" s="44"/>
      <c r="O63" s="44"/>
      <c r="P63" s="44"/>
      <c r="Q63" s="221"/>
      <c r="R63" s="262"/>
      <c r="S63" s="279"/>
      <c r="T63" s="280"/>
      <c r="U63" s="298"/>
      <c r="V63" s="279"/>
      <c r="W63" s="279"/>
      <c r="X63" s="280"/>
    </row>
    <row r="64">
      <c r="A64" s="413" t="s">
        <v>1063</v>
      </c>
      <c r="B64" s="144"/>
      <c r="C64" s="144"/>
      <c r="D64" s="144"/>
      <c r="E64" s="144"/>
      <c r="F64" s="167"/>
      <c r="G64" s="44"/>
      <c r="H64" s="44"/>
      <c r="I64" s="44"/>
      <c r="J64" s="44"/>
      <c r="K64" s="221"/>
      <c r="L64" s="262"/>
      <c r="M64" s="44"/>
      <c r="N64" s="44"/>
      <c r="O64" s="44"/>
      <c r="P64" s="44"/>
      <c r="Q64" s="221"/>
      <c r="R64" s="262"/>
      <c r="S64" s="279"/>
      <c r="T64" s="280"/>
      <c r="U64" s="298"/>
      <c r="V64" s="279"/>
      <c r="W64" s="279"/>
      <c r="X64" s="280"/>
    </row>
    <row r="65" outlineLevel="1">
      <c r="A65" s="213" t="str">
        <f t="shared" ref="A65:A72" si="9">IF(E65="","",$C$3&amp;"."&amp;COUNTA($E$11:E65)&amp;"")</f>
        <v>TC_05.44</v>
      </c>
      <c r="B65" s="213" t="s">
        <v>65</v>
      </c>
      <c r="C65" s="410" t="s">
        <v>1064</v>
      </c>
      <c r="D65" s="410" t="s">
        <v>1065</v>
      </c>
      <c r="E65" s="410" t="s">
        <v>1066</v>
      </c>
      <c r="F65" s="411" t="s">
        <v>1067</v>
      </c>
      <c r="G65" s="43" t="s">
        <v>56</v>
      </c>
      <c r="H65" s="43" t="s">
        <v>56</v>
      </c>
      <c r="I65" s="43" t="s">
        <v>56</v>
      </c>
      <c r="J65" s="44" t="s">
        <v>462</v>
      </c>
      <c r="K65" s="221"/>
      <c r="L65" s="262"/>
      <c r="M65" s="44"/>
      <c r="N65" s="44"/>
      <c r="O65" s="44"/>
      <c r="P65" s="44"/>
      <c r="Q65" s="221"/>
      <c r="R65" s="262"/>
      <c r="S65" s="279"/>
      <c r="T65" s="280"/>
      <c r="U65" s="298"/>
      <c r="V65" s="279"/>
      <c r="W65" s="279"/>
      <c r="X65" s="280"/>
    </row>
    <row r="66" outlineLevel="1">
      <c r="A66" s="213" t="str">
        <f t="shared" si="9"/>
        <v>TC_05.45</v>
      </c>
      <c r="B66" s="213" t="s">
        <v>65</v>
      </c>
      <c r="C66" s="410" t="s">
        <v>1068</v>
      </c>
      <c r="D66" s="410" t="s">
        <v>1069</v>
      </c>
      <c r="E66" s="410" t="s">
        <v>1070</v>
      </c>
      <c r="F66" s="411" t="s">
        <v>1071</v>
      </c>
      <c r="G66" s="43" t="s">
        <v>56</v>
      </c>
      <c r="H66" s="43" t="s">
        <v>56</v>
      </c>
      <c r="I66" s="43" t="s">
        <v>56</v>
      </c>
      <c r="J66" s="44" t="s">
        <v>462</v>
      </c>
      <c r="K66" s="221"/>
      <c r="L66" s="262"/>
      <c r="M66" s="44"/>
      <c r="N66" s="44"/>
      <c r="O66" s="44"/>
      <c r="P66" s="44"/>
      <c r="Q66" s="221"/>
      <c r="R66" s="262"/>
      <c r="S66" s="279"/>
      <c r="T66" s="280"/>
      <c r="U66" s="298"/>
      <c r="V66" s="279"/>
      <c r="W66" s="279"/>
      <c r="X66" s="280"/>
    </row>
    <row r="67" outlineLevel="1">
      <c r="A67" s="213" t="str">
        <f t="shared" si="9"/>
        <v>TC_05.46</v>
      </c>
      <c r="B67" s="213" t="s">
        <v>65</v>
      </c>
      <c r="C67" s="410" t="s">
        <v>1072</v>
      </c>
      <c r="D67" s="410" t="s">
        <v>1073</v>
      </c>
      <c r="E67" s="410" t="s">
        <v>1074</v>
      </c>
      <c r="F67" s="411" t="s">
        <v>1075</v>
      </c>
      <c r="G67" s="44" t="s">
        <v>56</v>
      </c>
      <c r="H67" s="44" t="s">
        <v>56</v>
      </c>
      <c r="I67" s="44" t="s">
        <v>56</v>
      </c>
      <c r="J67" s="44" t="s">
        <v>462</v>
      </c>
      <c r="K67" s="419" t="s">
        <v>1076</v>
      </c>
      <c r="L67" s="262" t="s">
        <v>1077</v>
      </c>
      <c r="M67" s="394"/>
      <c r="N67" s="394"/>
      <c r="O67" s="394"/>
      <c r="P67" s="395"/>
      <c r="Q67" s="420"/>
      <c r="R67" s="262"/>
      <c r="S67" s="421"/>
      <c r="T67" s="421"/>
      <c r="U67" s="422"/>
      <c r="V67" s="421"/>
      <c r="W67" s="421"/>
      <c r="X67" s="421"/>
    </row>
    <row r="68" outlineLevel="1">
      <c r="A68" s="213" t="str">
        <f t="shared" si="9"/>
        <v>TC_05.47</v>
      </c>
      <c r="B68" s="213" t="s">
        <v>67</v>
      </c>
      <c r="C68" s="410" t="s">
        <v>1078</v>
      </c>
      <c r="D68" s="410" t="s">
        <v>1079</v>
      </c>
      <c r="E68" s="410" t="s">
        <v>1080</v>
      </c>
      <c r="F68" s="412" t="s">
        <v>1001</v>
      </c>
      <c r="G68" s="43" t="s">
        <v>56</v>
      </c>
      <c r="H68" s="43" t="s">
        <v>56</v>
      </c>
      <c r="I68" s="43" t="s">
        <v>56</v>
      </c>
      <c r="J68" s="44" t="s">
        <v>462</v>
      </c>
      <c r="K68" s="420"/>
      <c r="L68" s="262"/>
      <c r="M68" s="397"/>
      <c r="N68" s="397"/>
      <c r="O68" s="397"/>
      <c r="P68" s="44"/>
      <c r="Q68" s="420"/>
      <c r="R68" s="262"/>
      <c r="S68" s="421"/>
      <c r="T68" s="421"/>
      <c r="U68" s="422"/>
      <c r="V68" s="421"/>
      <c r="W68" s="421"/>
      <c r="X68" s="421"/>
    </row>
    <row r="69" outlineLevel="1">
      <c r="A69" s="213" t="str">
        <f t="shared" si="9"/>
        <v>TC_05.48</v>
      </c>
      <c r="B69" s="213" t="s">
        <v>67</v>
      </c>
      <c r="C69" s="410" t="s">
        <v>1081</v>
      </c>
      <c r="D69" s="410" t="s">
        <v>1082</v>
      </c>
      <c r="E69" s="410" t="s">
        <v>1083</v>
      </c>
      <c r="F69" s="411" t="s">
        <v>1084</v>
      </c>
      <c r="G69" s="397" t="s">
        <v>56</v>
      </c>
      <c r="H69" s="397" t="s">
        <v>56</v>
      </c>
      <c r="I69" s="43" t="s">
        <v>56</v>
      </c>
      <c r="J69" s="44" t="s">
        <v>462</v>
      </c>
      <c r="K69" s="420"/>
      <c r="L69" s="262"/>
      <c r="M69" s="397"/>
      <c r="N69" s="397"/>
      <c r="O69" s="397"/>
      <c r="P69" s="44"/>
      <c r="Q69" s="420"/>
      <c r="R69" s="262"/>
      <c r="S69" s="421"/>
      <c r="T69" s="421"/>
      <c r="U69" s="422"/>
      <c r="V69" s="421"/>
      <c r="W69" s="421"/>
      <c r="X69" s="421"/>
    </row>
    <row r="70" outlineLevel="1">
      <c r="A70" s="213" t="str">
        <f t="shared" si="9"/>
        <v>TC_05.49</v>
      </c>
      <c r="B70" s="213" t="s">
        <v>69</v>
      </c>
      <c r="C70" s="410" t="s">
        <v>1085</v>
      </c>
      <c r="D70" s="412" t="s">
        <v>1086</v>
      </c>
      <c r="E70" s="412" t="s">
        <v>1087</v>
      </c>
      <c r="F70" s="411" t="s">
        <v>1088</v>
      </c>
      <c r="G70" s="397" t="s">
        <v>56</v>
      </c>
      <c r="H70" s="397" t="s">
        <v>56</v>
      </c>
      <c r="I70" s="397" t="s">
        <v>56</v>
      </c>
      <c r="J70" s="44" t="s">
        <v>462</v>
      </c>
      <c r="K70" s="399"/>
      <c r="L70" s="262"/>
      <c r="M70" s="397"/>
      <c r="N70" s="397"/>
      <c r="O70" s="397"/>
      <c r="P70" s="44"/>
      <c r="Q70" s="399"/>
      <c r="R70" s="262"/>
      <c r="S70" s="421"/>
      <c r="T70" s="421"/>
      <c r="U70" s="422"/>
      <c r="V70" s="421"/>
      <c r="W70" s="421"/>
      <c r="X70" s="421"/>
    </row>
    <row r="71" outlineLevel="1">
      <c r="A71" s="213" t="str">
        <f t="shared" si="9"/>
        <v>TC_05.50</v>
      </c>
      <c r="B71" s="213" t="s">
        <v>69</v>
      </c>
      <c r="C71" s="412" t="s">
        <v>1089</v>
      </c>
      <c r="D71" s="412" t="s">
        <v>1086</v>
      </c>
      <c r="E71" s="412" t="s">
        <v>1090</v>
      </c>
      <c r="F71" s="412" t="s">
        <v>1091</v>
      </c>
      <c r="G71" s="397" t="s">
        <v>56</v>
      </c>
      <c r="H71" s="397" t="s">
        <v>56</v>
      </c>
      <c r="I71" s="397" t="s">
        <v>56</v>
      </c>
      <c r="J71" s="44" t="s">
        <v>462</v>
      </c>
      <c r="K71" s="423" t="s">
        <v>1092</v>
      </c>
      <c r="L71" s="262" t="s">
        <v>1093</v>
      </c>
      <c r="M71" s="397"/>
      <c r="N71" s="397"/>
      <c r="O71" s="397"/>
      <c r="P71" s="44"/>
      <c r="Q71" s="399"/>
      <c r="R71" s="262"/>
      <c r="S71" s="421"/>
      <c r="T71" s="421"/>
      <c r="U71" s="422"/>
      <c r="V71" s="421"/>
      <c r="W71" s="421"/>
      <c r="X71" s="421"/>
    </row>
    <row r="72" outlineLevel="1">
      <c r="A72" s="213" t="str">
        <f t="shared" si="9"/>
        <v>TC_05.51</v>
      </c>
      <c r="B72" s="213" t="s">
        <v>69</v>
      </c>
      <c r="C72" s="412" t="s">
        <v>1094</v>
      </c>
      <c r="D72" s="412" t="s">
        <v>1086</v>
      </c>
      <c r="E72" s="412" t="s">
        <v>1095</v>
      </c>
      <c r="F72" s="412" t="s">
        <v>1096</v>
      </c>
      <c r="G72" s="397" t="s">
        <v>56</v>
      </c>
      <c r="H72" s="397" t="s">
        <v>56</v>
      </c>
      <c r="I72" s="397" t="s">
        <v>56</v>
      </c>
      <c r="J72" s="44" t="s">
        <v>462</v>
      </c>
      <c r="K72" s="399"/>
      <c r="L72" s="262"/>
      <c r="M72" s="397"/>
      <c r="N72" s="397"/>
      <c r="O72" s="397"/>
      <c r="P72" s="44"/>
      <c r="Q72" s="399"/>
      <c r="R72" s="262"/>
      <c r="S72" s="421"/>
      <c r="T72" s="421"/>
      <c r="U72" s="422"/>
      <c r="V72" s="421"/>
      <c r="W72" s="421"/>
      <c r="X72" s="421"/>
    </row>
    <row r="73">
      <c r="A73" s="413" t="s">
        <v>1097</v>
      </c>
      <c r="B73" s="144"/>
      <c r="C73" s="144"/>
      <c r="D73" s="144"/>
      <c r="E73" s="144"/>
      <c r="F73" s="167"/>
      <c r="G73" s="397"/>
      <c r="H73" s="397"/>
      <c r="I73" s="397"/>
      <c r="J73" s="44"/>
      <c r="K73" s="420"/>
      <c r="L73" s="262"/>
      <c r="M73" s="397"/>
      <c r="N73" s="397"/>
      <c r="O73" s="397"/>
      <c r="P73" s="44"/>
      <c r="Q73" s="420"/>
      <c r="R73" s="262"/>
      <c r="S73" s="421"/>
      <c r="T73" s="421"/>
      <c r="U73" s="422"/>
      <c r="V73" s="421"/>
      <c r="W73" s="421"/>
      <c r="X73" s="421"/>
    </row>
    <row r="74" outlineLevel="1">
      <c r="A74" s="213" t="str">
        <f t="shared" ref="A74:A79" si="10">IF(E74="","",$C$3&amp;"."&amp;COUNTA($E$11:E74)&amp;"")</f>
        <v>TC_05.52</v>
      </c>
      <c r="B74" s="220" t="s">
        <v>65</v>
      </c>
      <c r="C74" s="410" t="s">
        <v>1098</v>
      </c>
      <c r="D74" s="410" t="s">
        <v>1099</v>
      </c>
      <c r="E74" s="410" t="s">
        <v>1100</v>
      </c>
      <c r="F74" s="411" t="s">
        <v>1101</v>
      </c>
      <c r="G74" s="397" t="s">
        <v>56</v>
      </c>
      <c r="H74" s="397" t="s">
        <v>56</v>
      </c>
      <c r="I74" s="397" t="s">
        <v>56</v>
      </c>
      <c r="J74" s="44" t="s">
        <v>462</v>
      </c>
      <c r="K74" s="420"/>
      <c r="L74" s="262"/>
      <c r="M74" s="397"/>
      <c r="N74" s="397"/>
      <c r="O74" s="397"/>
      <c r="P74" s="44"/>
      <c r="Q74" s="420"/>
      <c r="R74" s="262"/>
      <c r="S74" s="421"/>
      <c r="T74" s="421"/>
      <c r="U74" s="422"/>
      <c r="V74" s="421"/>
      <c r="W74" s="421"/>
      <c r="X74" s="421"/>
    </row>
    <row r="75" outlineLevel="1">
      <c r="A75" s="213" t="str">
        <f t="shared" si="10"/>
        <v>TC_05.53</v>
      </c>
      <c r="B75" s="220" t="s">
        <v>65</v>
      </c>
      <c r="C75" s="410" t="s">
        <v>1102</v>
      </c>
      <c r="D75" s="410" t="s">
        <v>1103</v>
      </c>
      <c r="E75" s="410" t="s">
        <v>1104</v>
      </c>
      <c r="F75" s="411" t="s">
        <v>1105</v>
      </c>
      <c r="G75" s="397" t="s">
        <v>56</v>
      </c>
      <c r="H75" s="397" t="s">
        <v>56</v>
      </c>
      <c r="I75" s="397" t="s">
        <v>56</v>
      </c>
      <c r="J75" s="44" t="s">
        <v>462</v>
      </c>
      <c r="K75" s="221"/>
      <c r="L75" s="262"/>
      <c r="M75" s="394"/>
      <c r="N75" s="394"/>
      <c r="O75" s="394"/>
      <c r="P75" s="395"/>
      <c r="Q75" s="221"/>
      <c r="R75" s="262"/>
      <c r="S75" s="396"/>
      <c r="T75" s="396"/>
      <c r="U75" s="393"/>
      <c r="V75" s="396"/>
      <c r="W75" s="396"/>
      <c r="X75" s="396"/>
    </row>
    <row r="76" outlineLevel="1">
      <c r="A76" s="213" t="str">
        <f t="shared" si="10"/>
        <v>TC_05.54</v>
      </c>
      <c r="B76" s="220" t="s">
        <v>65</v>
      </c>
      <c r="C76" s="410" t="s">
        <v>1106</v>
      </c>
      <c r="D76" s="410" t="s">
        <v>1107</v>
      </c>
      <c r="E76" s="410" t="s">
        <v>1108</v>
      </c>
      <c r="F76" s="411" t="s">
        <v>1109</v>
      </c>
      <c r="G76" s="397" t="s">
        <v>56</v>
      </c>
      <c r="H76" s="397" t="s">
        <v>56</v>
      </c>
      <c r="I76" s="397" t="s">
        <v>56</v>
      </c>
      <c r="J76" s="44" t="s">
        <v>462</v>
      </c>
      <c r="K76" s="221"/>
      <c r="L76" s="262"/>
      <c r="M76" s="397"/>
      <c r="N76" s="397"/>
      <c r="O76" s="397"/>
      <c r="P76" s="44"/>
      <c r="Q76" s="221"/>
      <c r="R76" s="262"/>
      <c r="S76" s="396"/>
      <c r="T76" s="396"/>
      <c r="U76" s="393"/>
      <c r="V76" s="396"/>
      <c r="W76" s="396"/>
      <c r="X76" s="396"/>
    </row>
    <row r="77" outlineLevel="1">
      <c r="A77" s="213" t="str">
        <f t="shared" si="10"/>
        <v>TC_05.55</v>
      </c>
      <c r="B77" s="220" t="s">
        <v>67</v>
      </c>
      <c r="C77" s="410" t="s">
        <v>1110</v>
      </c>
      <c r="D77" s="412" t="s">
        <v>1111</v>
      </c>
      <c r="E77" s="410" t="s">
        <v>1112</v>
      </c>
      <c r="F77" s="412" t="s">
        <v>1113</v>
      </c>
      <c r="G77" s="397" t="s">
        <v>56</v>
      </c>
      <c r="H77" s="397" t="s">
        <v>56</v>
      </c>
      <c r="I77" s="397" t="s">
        <v>56</v>
      </c>
      <c r="J77" s="44" t="s">
        <v>462</v>
      </c>
      <c r="K77" s="221"/>
      <c r="L77" s="262"/>
      <c r="M77" s="397"/>
      <c r="N77" s="397"/>
      <c r="O77" s="397"/>
      <c r="P77" s="44"/>
      <c r="Q77" s="221"/>
      <c r="R77" s="262"/>
      <c r="S77" s="396"/>
      <c r="T77" s="396"/>
      <c r="U77" s="393"/>
      <c r="V77" s="396"/>
      <c r="W77" s="396"/>
      <c r="X77" s="396"/>
    </row>
    <row r="78" outlineLevel="1">
      <c r="A78" s="213" t="str">
        <f t="shared" si="10"/>
        <v>TC_05.56</v>
      </c>
      <c r="B78" s="220" t="s">
        <v>67</v>
      </c>
      <c r="C78" s="410" t="s">
        <v>1114</v>
      </c>
      <c r="D78" s="410" t="s">
        <v>1115</v>
      </c>
      <c r="E78" s="410" t="s">
        <v>1116</v>
      </c>
      <c r="F78" s="411" t="s">
        <v>1117</v>
      </c>
      <c r="G78" s="397" t="s">
        <v>56</v>
      </c>
      <c r="H78" s="397" t="s">
        <v>56</v>
      </c>
      <c r="I78" s="397" t="s">
        <v>56</v>
      </c>
      <c r="J78" s="44" t="s">
        <v>462</v>
      </c>
      <c r="K78" s="213"/>
      <c r="L78" s="262"/>
      <c r="M78" s="43"/>
      <c r="N78" s="43"/>
      <c r="O78" s="43"/>
      <c r="P78" s="211"/>
      <c r="Q78" s="213"/>
      <c r="R78" s="262"/>
      <c r="S78" s="396"/>
      <c r="T78" s="396"/>
      <c r="U78" s="393"/>
      <c r="V78" s="396"/>
      <c r="W78" s="396"/>
      <c r="X78" s="396"/>
    </row>
    <row r="79" outlineLevel="1">
      <c r="A79" s="213" t="str">
        <f t="shared" si="10"/>
        <v>TC_05.57</v>
      </c>
      <c r="B79" s="220" t="s">
        <v>69</v>
      </c>
      <c r="C79" s="410" t="s">
        <v>1118</v>
      </c>
      <c r="D79" s="410" t="s">
        <v>1119</v>
      </c>
      <c r="E79" s="410" t="s">
        <v>1120</v>
      </c>
      <c r="F79" s="412" t="s">
        <v>1001</v>
      </c>
      <c r="G79" s="397" t="s">
        <v>56</v>
      </c>
      <c r="H79" s="397" t="s">
        <v>56</v>
      </c>
      <c r="I79" s="397" t="s">
        <v>56</v>
      </c>
      <c r="J79" s="44" t="s">
        <v>462</v>
      </c>
      <c r="K79" s="221"/>
      <c r="L79" s="262"/>
      <c r="M79" s="397"/>
      <c r="N79" s="397"/>
      <c r="O79" s="397"/>
      <c r="P79" s="44"/>
      <c r="Q79" s="221"/>
      <c r="R79" s="262"/>
      <c r="S79" s="396"/>
      <c r="T79" s="396"/>
      <c r="U79" s="393"/>
      <c r="V79" s="396"/>
      <c r="W79" s="396"/>
      <c r="X79" s="396"/>
    </row>
    <row r="80">
      <c r="A80" s="413" t="s">
        <v>1121</v>
      </c>
      <c r="B80" s="144"/>
      <c r="C80" s="144"/>
      <c r="D80" s="144"/>
      <c r="E80" s="144"/>
      <c r="F80" s="167"/>
      <c r="G80" s="397"/>
      <c r="H80" s="397"/>
      <c r="I80" s="397"/>
      <c r="J80" s="44"/>
      <c r="K80" s="221"/>
      <c r="L80" s="262"/>
      <c r="M80" s="397"/>
      <c r="N80" s="397"/>
      <c r="O80" s="397"/>
      <c r="P80" s="44"/>
      <c r="Q80" s="221"/>
      <c r="R80" s="262"/>
      <c r="S80" s="396"/>
      <c r="T80" s="396"/>
      <c r="U80" s="393"/>
      <c r="V80" s="396"/>
      <c r="W80" s="396"/>
      <c r="X80" s="396"/>
    </row>
    <row r="81" outlineLevel="1">
      <c r="A81" s="213" t="str">
        <f t="shared" ref="A81:A83" si="11">IF(E81="","",$C$3&amp;"."&amp;COUNTA($E$11:E81)&amp;"")</f>
        <v>TC_05.58</v>
      </c>
      <c r="B81" s="220" t="s">
        <v>65</v>
      </c>
      <c r="C81" s="410" t="s">
        <v>1122</v>
      </c>
      <c r="D81" s="410" t="s">
        <v>1123</v>
      </c>
      <c r="E81" s="410" t="s">
        <v>1124</v>
      </c>
      <c r="F81" s="411" t="s">
        <v>1125</v>
      </c>
      <c r="G81" s="397" t="s">
        <v>56</v>
      </c>
      <c r="H81" s="397" t="s">
        <v>56</v>
      </c>
      <c r="I81" s="397" t="s">
        <v>56</v>
      </c>
      <c r="J81" s="44" t="s">
        <v>462</v>
      </c>
      <c r="K81" s="221"/>
      <c r="L81" s="262"/>
      <c r="M81" s="397"/>
      <c r="N81" s="397"/>
      <c r="O81" s="397"/>
      <c r="P81" s="44"/>
      <c r="Q81" s="221"/>
      <c r="R81" s="262"/>
      <c r="S81" s="396"/>
      <c r="T81" s="396"/>
      <c r="U81" s="393"/>
      <c r="V81" s="396"/>
      <c r="W81" s="396"/>
      <c r="X81" s="396"/>
    </row>
    <row r="82" outlineLevel="1">
      <c r="A82" s="213" t="str">
        <f t="shared" si="11"/>
        <v>TC_05.59</v>
      </c>
      <c r="B82" s="220" t="s">
        <v>65</v>
      </c>
      <c r="C82" s="410" t="s">
        <v>1126</v>
      </c>
      <c r="D82" s="410" t="s">
        <v>1127</v>
      </c>
      <c r="E82" s="410" t="s">
        <v>1128</v>
      </c>
      <c r="F82" s="411" t="s">
        <v>1129</v>
      </c>
      <c r="G82" s="397" t="s">
        <v>56</v>
      </c>
      <c r="H82" s="397" t="s">
        <v>56</v>
      </c>
      <c r="I82" s="397" t="s">
        <v>56</v>
      </c>
      <c r="J82" s="44" t="s">
        <v>462</v>
      </c>
      <c r="K82" s="221"/>
      <c r="L82" s="262"/>
      <c r="M82" s="397"/>
      <c r="N82" s="397"/>
      <c r="O82" s="397"/>
      <c r="P82" s="44"/>
      <c r="Q82" s="221"/>
      <c r="R82" s="262"/>
      <c r="S82" s="396"/>
      <c r="T82" s="396"/>
      <c r="U82" s="393"/>
      <c r="V82" s="396"/>
      <c r="W82" s="396"/>
      <c r="X82" s="396"/>
    </row>
    <row r="83" outlineLevel="1">
      <c r="A83" s="213" t="str">
        <f t="shared" si="11"/>
        <v>TC_05.60</v>
      </c>
      <c r="B83" s="220" t="s">
        <v>67</v>
      </c>
      <c r="C83" s="410" t="s">
        <v>1130</v>
      </c>
      <c r="D83" s="410" t="s">
        <v>1131</v>
      </c>
      <c r="E83" s="410" t="s">
        <v>1132</v>
      </c>
      <c r="F83" s="411" t="s">
        <v>1133</v>
      </c>
      <c r="G83" s="397" t="s">
        <v>56</v>
      </c>
      <c r="H83" s="397" t="s">
        <v>56</v>
      </c>
      <c r="I83" s="397" t="s">
        <v>56</v>
      </c>
      <c r="J83" s="44" t="s">
        <v>462</v>
      </c>
      <c r="K83" s="221"/>
      <c r="L83" s="262"/>
      <c r="M83" s="397"/>
      <c r="N83" s="397"/>
      <c r="O83" s="397"/>
      <c r="P83" s="44"/>
      <c r="Q83" s="221"/>
      <c r="R83" s="262"/>
      <c r="S83" s="396"/>
      <c r="T83" s="396"/>
      <c r="U83" s="393"/>
      <c r="V83" s="396"/>
      <c r="W83" s="396"/>
      <c r="X83" s="396"/>
    </row>
    <row r="84">
      <c r="A84" s="213"/>
      <c r="B84" s="213"/>
      <c r="C84" s="241"/>
      <c r="D84" s="396"/>
      <c r="E84" s="221"/>
      <c r="F84" s="262"/>
      <c r="G84" s="397"/>
      <c r="H84" s="397"/>
      <c r="I84" s="397"/>
      <c r="J84" s="44"/>
      <c r="K84" s="262"/>
      <c r="L84" s="399"/>
      <c r="M84" s="397"/>
      <c r="N84" s="397"/>
      <c r="O84" s="397"/>
      <c r="P84" s="44"/>
      <c r="Q84" s="262"/>
      <c r="R84" s="399"/>
      <c r="S84" s="396"/>
      <c r="T84" s="396"/>
      <c r="U84" s="393"/>
      <c r="V84" s="396"/>
      <c r="W84" s="396"/>
      <c r="X84" s="396"/>
    </row>
  </sheetData>
  <autoFilter ref="$G$1:$L$84"/>
  <mergeCells count="31">
    <mergeCell ref="C7:C8"/>
    <mergeCell ref="D7:D8"/>
    <mergeCell ref="F7:F8"/>
    <mergeCell ref="G7:L7"/>
    <mergeCell ref="M7:R7"/>
    <mergeCell ref="U7:X7"/>
    <mergeCell ref="G8:I8"/>
    <mergeCell ref="M8:O8"/>
    <mergeCell ref="B2:E2"/>
    <mergeCell ref="A3:B3"/>
    <mergeCell ref="C3:D3"/>
    <mergeCell ref="A4:B4"/>
    <mergeCell ref="C4:D4"/>
    <mergeCell ref="A7:A8"/>
    <mergeCell ref="B7:B8"/>
    <mergeCell ref="E7:E8"/>
    <mergeCell ref="A9:F9"/>
    <mergeCell ref="A10:F10"/>
    <mergeCell ref="A15:F15"/>
    <mergeCell ref="A19:F19"/>
    <mergeCell ref="A30:F30"/>
    <mergeCell ref="A34:F34"/>
    <mergeCell ref="A73:F73"/>
    <mergeCell ref="A80:F80"/>
    <mergeCell ref="A39:F39"/>
    <mergeCell ref="A42:F42"/>
    <mergeCell ref="A45:F45"/>
    <mergeCell ref="A50:F50"/>
    <mergeCell ref="A54:F54"/>
    <mergeCell ref="A59:F59"/>
    <mergeCell ref="A64:F64"/>
  </mergeCells>
  <conditionalFormatting sqref="G9:I84 M9:O84 Q9:Q84 U9:U84">
    <cfRule type="cellIs" dxfId="0" priority="1" operator="equal">
      <formula>"Block"</formula>
    </cfRule>
  </conditionalFormatting>
  <conditionalFormatting sqref="G9:I84 M9:O84 Q9:Q84 U9:U84">
    <cfRule type="cellIs" dxfId="1" priority="2" operator="equal">
      <formula>"Fail"</formula>
    </cfRule>
  </conditionalFormatting>
  <conditionalFormatting sqref="G9:I84 M9:O84 Q9:Q84 U9:U84">
    <cfRule type="cellIs" dxfId="2" priority="3" operator="equal">
      <formula>"Pass"</formula>
    </cfRule>
  </conditionalFormatting>
  <conditionalFormatting sqref="G9:I84 M9:O84 Q9:Q84 U9:U84">
    <cfRule type="cellIs" dxfId="3" priority="4" operator="equal">
      <formula>"N/A"</formula>
    </cfRule>
  </conditionalFormatting>
  <conditionalFormatting sqref="G9:I84 M9:O84 Q9:Q84 U9:U84">
    <cfRule type="cellIs" dxfId="4" priority="5" operator="equal">
      <formula>"Block"</formula>
    </cfRule>
  </conditionalFormatting>
  <conditionalFormatting sqref="G9:I84 M9:O84 Q9:Q84 U9:U84">
    <cfRule type="cellIs" dxfId="5" priority="6" operator="equal">
      <formula>"Fail"</formula>
    </cfRule>
  </conditionalFormatting>
  <conditionalFormatting sqref="G9:I84 M9:O84 Q9:Q84 U9:U84">
    <cfRule type="cellIs" dxfId="6" priority="7" operator="equal">
      <formula>"Pass"</formula>
    </cfRule>
  </conditionalFormatting>
  <conditionalFormatting sqref="G9:I84 M9:O84 Q9:Q84 U9:U84">
    <cfRule type="cellIs" dxfId="7" priority="8" operator="equal">
      <formula>"N/A"</formula>
    </cfRule>
  </conditionalFormatting>
  <conditionalFormatting sqref="G9:I84 M9:O84 Q9:Q84 U9:U84">
    <cfRule type="cellIs" dxfId="0" priority="9" operator="equal">
      <formula>"Block"</formula>
    </cfRule>
  </conditionalFormatting>
  <conditionalFormatting sqref="G9:I84 M9:O84 Q9:Q84 U9:U84">
    <cfRule type="cellIs" dxfId="1" priority="10" operator="equal">
      <formula>"Fail"</formula>
    </cfRule>
  </conditionalFormatting>
  <conditionalFormatting sqref="G9:I84 M9:O84 Q9:Q84 U9:U84">
    <cfRule type="cellIs" dxfId="2" priority="11" operator="equal">
      <formula>"Pass"</formula>
    </cfRule>
  </conditionalFormatting>
  <conditionalFormatting sqref="G9:I84 M9:O84 Q9:Q84 U9:U84">
    <cfRule type="cellIs" dxfId="3" priority="12" operator="equal">
      <formula>"N/A"</formula>
    </cfRule>
  </conditionalFormatting>
  <dataValidations>
    <dataValidation type="list" allowBlank="1" showErrorMessage="1" sqref="G10:I84 M10:O84 U9:U84">
      <formula1>"Pass,Fail,Block,N/A"</formula1>
    </dataValidation>
    <dataValidation type="list" allowBlank="1" showErrorMessage="1" sqref="B11:B14 B16:B18 B20:B29 B31:B33 B35:B38 B40:B41 B43:B44 B46:B49 B51:B53 B55:B58 B60:B63 B65:B72 B74:B79 B81:B84">
      <formula1>"High,Medium,Low"</formula1>
    </dataValidation>
  </dataValidations>
  <hyperlinks>
    <hyperlink r:id="rId1" ref="K67"/>
    <hyperlink r:id="rId2" ref="K71"/>
  </hyperlinks>
  <printOptions/>
  <pageMargins bottom="0.75" footer="0.0" header="0.0" left="0.7" right="0.7" top="0.75"/>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showGridLines="0" workbookViewId="0"/>
  </sheetViews>
  <sheetFormatPr customHeight="1" defaultColWidth="12.63" defaultRowHeight="15.0" outlineLevelRow="1"/>
  <cols>
    <col customWidth="1" min="1" max="1" width="11.38"/>
    <col customWidth="1" min="2" max="2" width="10.88"/>
    <col customWidth="1" min="3" max="3" width="35.5"/>
    <col customWidth="1" min="4" max="4" width="17.63"/>
    <col customWidth="1" min="5" max="5" width="40.38"/>
    <col customWidth="1" min="6" max="6" width="53.38"/>
    <col customWidth="1" min="7" max="7" width="8.38"/>
    <col customWidth="1" min="8" max="8" width="12.25"/>
    <col customWidth="1" min="9" max="9" width="13.5"/>
    <col customWidth="1" min="10" max="10" width="14.88"/>
    <col customWidth="1" min="11" max="90" width="8.38"/>
  </cols>
  <sheetData>
    <row r="1" hidden="1" outlineLevel="1">
      <c r="A1" s="349"/>
      <c r="B1" s="173"/>
      <c r="C1" s="175"/>
      <c r="D1" s="175"/>
      <c r="E1" s="176"/>
      <c r="F1" s="177"/>
      <c r="G1" s="350"/>
      <c r="H1" s="351"/>
      <c r="I1" s="178"/>
      <c r="J1" s="179"/>
      <c r="K1" s="352"/>
      <c r="L1" s="351"/>
      <c r="M1" s="351"/>
      <c r="N1" s="353"/>
      <c r="O1" s="352"/>
      <c r="P1" s="351"/>
      <c r="Q1" s="351"/>
      <c r="R1" s="353"/>
      <c r="S1" s="352"/>
      <c r="T1" s="351"/>
      <c r="U1" s="351"/>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3"/>
      <c r="CH1" s="353"/>
      <c r="CI1" s="353"/>
      <c r="CJ1" s="353"/>
      <c r="CK1" s="353"/>
      <c r="CL1" s="353"/>
    </row>
    <row r="2" hidden="1" outlineLevel="1">
      <c r="A2" s="180"/>
      <c r="B2" s="354"/>
      <c r="C2" s="182"/>
      <c r="D2" s="182"/>
      <c r="E2" s="182"/>
      <c r="F2" s="183"/>
      <c r="G2" s="350"/>
      <c r="H2" s="351"/>
      <c r="I2" s="178"/>
      <c r="J2" s="179"/>
      <c r="K2" s="352"/>
      <c r="L2" s="351"/>
      <c r="M2" s="351"/>
      <c r="N2" s="353"/>
      <c r="O2" s="352"/>
      <c r="P2" s="351"/>
      <c r="Q2" s="351"/>
      <c r="R2" s="353"/>
      <c r="S2" s="352"/>
      <c r="T2" s="351"/>
      <c r="U2" s="351"/>
      <c r="V2" s="353"/>
      <c r="W2" s="353"/>
      <c r="X2" s="353"/>
      <c r="Y2" s="353"/>
      <c r="Z2" s="353"/>
      <c r="AA2" s="353"/>
      <c r="AB2" s="353"/>
      <c r="AC2" s="353"/>
      <c r="AD2" s="353"/>
      <c r="AE2" s="353"/>
      <c r="AF2" s="353"/>
      <c r="AG2" s="353"/>
      <c r="AH2" s="353"/>
      <c r="AI2" s="353"/>
      <c r="AJ2" s="353"/>
      <c r="AK2" s="353"/>
      <c r="AL2" s="353"/>
      <c r="AM2" s="353"/>
      <c r="AN2" s="353"/>
      <c r="AO2" s="353"/>
      <c r="AP2" s="353"/>
      <c r="AQ2" s="353"/>
      <c r="AR2" s="353"/>
      <c r="AS2" s="353"/>
      <c r="AT2" s="353"/>
      <c r="AU2" s="353"/>
      <c r="AV2" s="353"/>
      <c r="AW2" s="353"/>
      <c r="AX2" s="353"/>
      <c r="AY2" s="353"/>
      <c r="AZ2" s="353"/>
      <c r="BA2" s="353"/>
      <c r="BB2" s="353"/>
      <c r="BC2" s="353"/>
      <c r="BD2" s="353"/>
      <c r="BE2" s="353"/>
      <c r="BF2" s="353"/>
      <c r="BG2" s="353"/>
      <c r="BH2" s="353"/>
      <c r="BI2" s="353"/>
      <c r="BJ2" s="353"/>
      <c r="BK2" s="353"/>
      <c r="BL2" s="353"/>
      <c r="BM2" s="353"/>
      <c r="BN2" s="353"/>
      <c r="BO2" s="353"/>
      <c r="BP2" s="353"/>
      <c r="BQ2" s="353"/>
      <c r="BR2" s="353"/>
      <c r="BS2" s="353"/>
      <c r="BT2" s="353"/>
      <c r="BU2" s="353"/>
      <c r="BV2" s="353"/>
      <c r="BW2" s="353"/>
      <c r="BX2" s="353"/>
      <c r="BY2" s="353"/>
      <c r="BZ2" s="353"/>
      <c r="CA2" s="353"/>
      <c r="CB2" s="353"/>
      <c r="CC2" s="353"/>
      <c r="CD2" s="353"/>
      <c r="CE2" s="353"/>
      <c r="CF2" s="353"/>
      <c r="CG2" s="353"/>
      <c r="CH2" s="353"/>
      <c r="CI2" s="353"/>
      <c r="CJ2" s="353"/>
      <c r="CK2" s="353"/>
      <c r="CL2" s="353"/>
    </row>
    <row r="3" hidden="1" outlineLevel="1">
      <c r="A3" s="355" t="s">
        <v>114</v>
      </c>
      <c r="B3" s="118"/>
      <c r="C3" s="400" t="s">
        <v>111</v>
      </c>
      <c r="D3" s="118"/>
      <c r="E3" s="186"/>
      <c r="F3" s="187"/>
      <c r="G3" s="350"/>
      <c r="H3" s="351"/>
      <c r="I3" s="178"/>
      <c r="J3" s="186"/>
      <c r="K3" s="352"/>
      <c r="L3" s="351"/>
      <c r="M3" s="351"/>
      <c r="N3" s="356"/>
      <c r="O3" s="352"/>
      <c r="P3" s="351"/>
      <c r="Q3" s="351"/>
      <c r="R3" s="356"/>
      <c r="S3" s="352"/>
      <c r="T3" s="351"/>
      <c r="U3" s="351"/>
      <c r="V3" s="356"/>
      <c r="W3" s="356"/>
      <c r="X3" s="356"/>
      <c r="Y3" s="356"/>
      <c r="Z3" s="356"/>
      <c r="AA3" s="356"/>
      <c r="AB3" s="356"/>
      <c r="AC3" s="356"/>
      <c r="AD3" s="356"/>
      <c r="AE3" s="356"/>
      <c r="AF3" s="356"/>
      <c r="AG3" s="356"/>
      <c r="AH3" s="356"/>
      <c r="AI3" s="356"/>
      <c r="AJ3" s="356"/>
      <c r="AK3" s="356"/>
      <c r="AL3" s="356"/>
      <c r="AM3" s="356"/>
      <c r="AN3" s="356"/>
      <c r="AO3" s="356"/>
      <c r="AP3" s="356"/>
      <c r="AQ3" s="356"/>
      <c r="AR3" s="356"/>
      <c r="AS3" s="356"/>
      <c r="AT3" s="356"/>
      <c r="AU3" s="356"/>
      <c r="AV3" s="356"/>
      <c r="AW3" s="356"/>
      <c r="AX3" s="356"/>
      <c r="AY3" s="356"/>
      <c r="AZ3" s="356"/>
      <c r="BA3" s="356"/>
      <c r="BB3" s="356"/>
      <c r="BC3" s="356"/>
      <c r="BD3" s="356"/>
      <c r="BE3" s="356"/>
      <c r="BF3" s="356"/>
      <c r="BG3" s="356"/>
      <c r="BH3" s="356"/>
      <c r="BI3" s="356"/>
      <c r="BJ3" s="356"/>
      <c r="BK3" s="356"/>
      <c r="BL3" s="356"/>
      <c r="BM3" s="356"/>
      <c r="BN3" s="356"/>
      <c r="BO3" s="356"/>
      <c r="BP3" s="356"/>
      <c r="BQ3" s="356"/>
      <c r="BR3" s="356"/>
      <c r="BS3" s="356"/>
      <c r="BT3" s="356"/>
      <c r="BU3" s="356"/>
      <c r="BV3" s="356"/>
      <c r="BW3" s="356"/>
      <c r="BX3" s="356"/>
      <c r="BY3" s="356"/>
      <c r="BZ3" s="356"/>
      <c r="CA3" s="356"/>
      <c r="CB3" s="356"/>
      <c r="CC3" s="356"/>
      <c r="CD3" s="356"/>
      <c r="CE3" s="356"/>
      <c r="CF3" s="356"/>
      <c r="CG3" s="356"/>
      <c r="CH3" s="356"/>
      <c r="CI3" s="356"/>
      <c r="CJ3" s="356"/>
      <c r="CK3" s="356"/>
      <c r="CL3" s="356"/>
    </row>
    <row r="4" hidden="1" outlineLevel="1">
      <c r="A4" s="355" t="s">
        <v>115</v>
      </c>
      <c r="B4" s="118"/>
      <c r="C4" s="188" t="s">
        <v>32</v>
      </c>
      <c r="D4" s="118"/>
      <c r="E4" s="186"/>
      <c r="F4" s="187"/>
      <c r="G4" s="350"/>
      <c r="H4" s="351"/>
      <c r="I4" s="178"/>
      <c r="J4" s="186"/>
      <c r="K4" s="352"/>
      <c r="L4" s="351"/>
      <c r="M4" s="351"/>
      <c r="N4" s="356"/>
      <c r="O4" s="352"/>
      <c r="P4" s="351"/>
      <c r="Q4" s="351"/>
      <c r="R4" s="356"/>
      <c r="S4" s="352"/>
      <c r="T4" s="351"/>
      <c r="U4" s="351"/>
      <c r="V4" s="356"/>
      <c r="W4" s="356"/>
      <c r="X4" s="356"/>
      <c r="Y4" s="356"/>
      <c r="Z4" s="356"/>
      <c r="AA4" s="356"/>
      <c r="AB4" s="356"/>
      <c r="AC4" s="356"/>
      <c r="AD4" s="356"/>
      <c r="AE4" s="356"/>
      <c r="AF4" s="356"/>
      <c r="AG4" s="356"/>
      <c r="AH4" s="356"/>
      <c r="AI4" s="356"/>
      <c r="AJ4" s="356"/>
      <c r="AK4" s="356"/>
      <c r="AL4" s="356"/>
      <c r="AM4" s="356"/>
      <c r="AN4" s="356"/>
      <c r="AO4" s="356"/>
      <c r="AP4" s="356"/>
      <c r="AQ4" s="356"/>
      <c r="AR4" s="356"/>
      <c r="AS4" s="356"/>
      <c r="AT4" s="356"/>
      <c r="AU4" s="356"/>
      <c r="AV4" s="356"/>
      <c r="AW4" s="356"/>
      <c r="AX4" s="356"/>
      <c r="AY4" s="356"/>
      <c r="AZ4" s="356"/>
      <c r="BA4" s="356"/>
      <c r="BB4" s="356"/>
      <c r="BC4" s="356"/>
      <c r="BD4" s="356"/>
      <c r="BE4" s="356"/>
      <c r="BF4" s="356"/>
      <c r="BG4" s="356"/>
      <c r="BH4" s="356"/>
      <c r="BI4" s="356"/>
      <c r="BJ4" s="356"/>
      <c r="BK4" s="356"/>
      <c r="BL4" s="356"/>
      <c r="BM4" s="356"/>
      <c r="BN4" s="356"/>
      <c r="BO4" s="356"/>
      <c r="BP4" s="356"/>
      <c r="BQ4" s="356"/>
      <c r="BR4" s="356"/>
      <c r="BS4" s="356"/>
      <c r="BT4" s="356"/>
      <c r="BU4" s="356"/>
      <c r="BV4" s="356"/>
      <c r="BW4" s="356"/>
      <c r="BX4" s="356"/>
      <c r="BY4" s="356"/>
      <c r="BZ4" s="356"/>
      <c r="CA4" s="356"/>
      <c r="CB4" s="356"/>
      <c r="CC4" s="356"/>
      <c r="CD4" s="356"/>
      <c r="CE4" s="356"/>
      <c r="CF4" s="356"/>
      <c r="CG4" s="356"/>
      <c r="CH4" s="356"/>
      <c r="CI4" s="356"/>
      <c r="CJ4" s="356"/>
      <c r="CK4" s="356"/>
      <c r="CL4" s="356"/>
    </row>
    <row r="5" hidden="1" outlineLevel="1">
      <c r="A5" s="190"/>
      <c r="B5" s="190"/>
      <c r="C5" s="190"/>
      <c r="D5" s="190"/>
      <c r="E5" s="191"/>
      <c r="F5" s="192"/>
      <c r="G5" s="350"/>
      <c r="H5" s="351"/>
      <c r="I5" s="178"/>
      <c r="J5" s="179"/>
      <c r="K5" s="352"/>
      <c r="L5" s="351"/>
      <c r="M5" s="351"/>
      <c r="N5" s="353"/>
      <c r="O5" s="352"/>
      <c r="P5" s="351"/>
      <c r="Q5" s="351"/>
      <c r="R5" s="353"/>
      <c r="S5" s="352"/>
      <c r="T5" s="351"/>
      <c r="U5" s="351"/>
      <c r="V5" s="353"/>
      <c r="W5" s="353"/>
      <c r="X5" s="353"/>
      <c r="Y5" s="353"/>
      <c r="Z5" s="353"/>
      <c r="AA5" s="353"/>
      <c r="AB5" s="353"/>
      <c r="AC5" s="353"/>
      <c r="AD5" s="353"/>
      <c r="AE5" s="353"/>
      <c r="AF5" s="353"/>
      <c r="AG5" s="353"/>
      <c r="AH5" s="353"/>
      <c r="AI5" s="353"/>
      <c r="AJ5" s="353"/>
      <c r="AK5" s="353"/>
      <c r="AL5" s="353"/>
      <c r="AM5" s="353"/>
      <c r="AN5" s="353"/>
      <c r="AO5" s="353"/>
      <c r="AP5" s="353"/>
      <c r="AQ5" s="353"/>
      <c r="AR5" s="353"/>
      <c r="AS5" s="353"/>
      <c r="AT5" s="353"/>
      <c r="AU5" s="353"/>
      <c r="AV5" s="353"/>
      <c r="AW5" s="353"/>
      <c r="AX5" s="353"/>
      <c r="AY5" s="353"/>
      <c r="AZ5" s="353"/>
      <c r="BA5" s="353"/>
      <c r="BB5" s="353"/>
      <c r="BC5" s="353"/>
      <c r="BD5" s="353"/>
      <c r="BE5" s="353"/>
      <c r="BF5" s="353"/>
      <c r="BG5" s="353"/>
      <c r="BH5" s="353"/>
      <c r="BI5" s="353"/>
      <c r="BJ5" s="353"/>
      <c r="BK5" s="353"/>
      <c r="BL5" s="353"/>
      <c r="BM5" s="353"/>
      <c r="BN5" s="353"/>
      <c r="BO5" s="353"/>
      <c r="BP5" s="353"/>
      <c r="BQ5" s="353"/>
      <c r="BR5" s="353"/>
      <c r="BS5" s="353"/>
      <c r="BT5" s="353"/>
      <c r="BU5" s="353"/>
      <c r="BV5" s="353"/>
      <c r="BW5" s="353"/>
      <c r="BX5" s="353"/>
      <c r="BY5" s="353"/>
      <c r="BZ5" s="353"/>
      <c r="CA5" s="353"/>
      <c r="CB5" s="353"/>
      <c r="CC5" s="353"/>
      <c r="CD5" s="353"/>
      <c r="CE5" s="353"/>
      <c r="CF5" s="353"/>
      <c r="CG5" s="353"/>
      <c r="CH5" s="353"/>
      <c r="CI5" s="353"/>
      <c r="CJ5" s="353"/>
      <c r="CK5" s="353"/>
      <c r="CL5" s="353"/>
    </row>
    <row r="6" hidden="1" outlineLevel="1">
      <c r="A6" s="194"/>
      <c r="B6" s="194"/>
      <c r="C6" s="194"/>
      <c r="D6" s="194"/>
      <c r="E6" s="195"/>
      <c r="F6" s="192"/>
      <c r="G6" s="350"/>
      <c r="H6" s="351"/>
      <c r="I6" s="178"/>
      <c r="J6" s="179"/>
      <c r="K6" s="352"/>
      <c r="L6" s="351"/>
      <c r="M6" s="351"/>
      <c r="N6" s="353"/>
      <c r="O6" s="352"/>
      <c r="P6" s="351"/>
      <c r="Q6" s="351"/>
      <c r="R6" s="353"/>
      <c r="S6" s="352"/>
      <c r="T6" s="351"/>
      <c r="U6" s="351"/>
      <c r="V6" s="353"/>
      <c r="W6" s="353"/>
      <c r="X6" s="353"/>
      <c r="Y6" s="353"/>
      <c r="Z6" s="353"/>
      <c r="AA6" s="353"/>
      <c r="AB6" s="353"/>
      <c r="AC6" s="353"/>
      <c r="AD6" s="353"/>
      <c r="AE6" s="353"/>
      <c r="AF6" s="353"/>
      <c r="AG6" s="353"/>
      <c r="AH6" s="353"/>
      <c r="AI6" s="353"/>
      <c r="AJ6" s="353"/>
      <c r="AK6" s="353"/>
      <c r="AL6" s="353"/>
      <c r="AM6" s="353"/>
      <c r="AN6" s="353"/>
      <c r="AO6" s="353"/>
      <c r="AP6" s="353"/>
      <c r="AQ6" s="353"/>
      <c r="AR6" s="353"/>
      <c r="AS6" s="353"/>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353"/>
      <c r="CE6" s="353"/>
      <c r="CF6" s="353"/>
      <c r="CG6" s="353"/>
      <c r="CH6" s="353"/>
      <c r="CI6" s="353"/>
      <c r="CJ6" s="353"/>
      <c r="CK6" s="353"/>
      <c r="CL6" s="353"/>
    </row>
    <row r="7">
      <c r="A7" s="142" t="s">
        <v>116</v>
      </c>
      <c r="B7" s="142" t="s">
        <v>117</v>
      </c>
      <c r="C7" s="142" t="s">
        <v>118</v>
      </c>
      <c r="D7" s="142" t="s">
        <v>119</v>
      </c>
      <c r="E7" s="142" t="s">
        <v>120</v>
      </c>
      <c r="F7" s="197" t="s">
        <v>121</v>
      </c>
      <c r="G7" s="198" t="str">
        <f>Summary!G8</f>
        <v>Round 1 (09/04/2026 - 15/04/2026)</v>
      </c>
      <c r="H7" s="199"/>
      <c r="I7" s="199"/>
      <c r="J7" s="200"/>
      <c r="K7" s="198" t="str">
        <f>Summary!L8</f>
        <v>Round 2 (dd/mm/yyyy - dd/mm/yyyy)</v>
      </c>
      <c r="L7" s="199"/>
      <c r="M7" s="199"/>
      <c r="N7" s="200"/>
      <c r="O7" s="201" t="str">
        <f>Summary!Q8</f>
        <v>Round 3(dd/mm/yyyy - dd/mm/yyyy)</v>
      </c>
      <c r="P7" s="144"/>
      <c r="Q7" s="144"/>
      <c r="R7" s="167"/>
      <c r="S7" s="201" t="str">
        <f>Summary!V8</f>
        <v>Round 4 (dd/mm/yyyy - dd/mm/yyyy)</v>
      </c>
      <c r="T7" s="144"/>
      <c r="U7" s="144"/>
      <c r="V7" s="167"/>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2"/>
      <c r="BE7" s="202"/>
      <c r="BF7" s="202"/>
      <c r="BG7" s="202"/>
      <c r="BH7" s="202"/>
      <c r="BI7" s="202"/>
      <c r="BJ7" s="202"/>
      <c r="BK7" s="202"/>
      <c r="BL7" s="202"/>
      <c r="BM7" s="202"/>
      <c r="BN7" s="202"/>
      <c r="BO7" s="202"/>
      <c r="BP7" s="202"/>
      <c r="BQ7" s="202"/>
      <c r="BR7" s="202"/>
      <c r="BS7" s="202"/>
      <c r="BT7" s="202"/>
      <c r="BU7" s="202"/>
      <c r="BV7" s="202"/>
      <c r="BW7" s="202"/>
      <c r="BX7" s="202"/>
      <c r="BY7" s="202"/>
      <c r="BZ7" s="202"/>
      <c r="CA7" s="202"/>
      <c r="CB7" s="202"/>
      <c r="CC7" s="202"/>
      <c r="CD7" s="202"/>
      <c r="CE7" s="202"/>
      <c r="CF7" s="202"/>
      <c r="CG7" s="202"/>
      <c r="CH7" s="202"/>
      <c r="CI7" s="202"/>
      <c r="CJ7" s="202"/>
      <c r="CK7" s="202"/>
      <c r="CL7" s="202"/>
    </row>
    <row r="8">
      <c r="A8" s="56"/>
      <c r="B8" s="56"/>
      <c r="C8" s="56"/>
      <c r="D8" s="56"/>
      <c r="E8" s="56"/>
      <c r="F8" s="56"/>
      <c r="G8" s="203" t="s">
        <v>122</v>
      </c>
      <c r="H8" s="203" t="s">
        <v>123</v>
      </c>
      <c r="I8" s="203" t="s">
        <v>124</v>
      </c>
      <c r="J8" s="203" t="s">
        <v>125</v>
      </c>
      <c r="K8" s="203" t="s">
        <v>122</v>
      </c>
      <c r="L8" s="203" t="s">
        <v>123</v>
      </c>
      <c r="M8" s="203" t="s">
        <v>124</v>
      </c>
      <c r="N8" s="203" t="s">
        <v>125</v>
      </c>
      <c r="O8" s="203" t="s">
        <v>122</v>
      </c>
      <c r="P8" s="203" t="s">
        <v>123</v>
      </c>
      <c r="Q8" s="203" t="s">
        <v>124</v>
      </c>
      <c r="R8" s="203" t="s">
        <v>125</v>
      </c>
      <c r="S8" s="203" t="s">
        <v>122</v>
      </c>
      <c r="T8" s="203" t="s">
        <v>123</v>
      </c>
      <c r="U8" s="203" t="s">
        <v>124</v>
      </c>
      <c r="V8" s="203" t="s">
        <v>125</v>
      </c>
      <c r="W8" s="202"/>
      <c r="X8" s="202"/>
      <c r="Y8" s="202"/>
      <c r="Z8" s="202"/>
      <c r="AA8" s="202"/>
      <c r="AB8" s="202"/>
      <c r="AC8" s="202"/>
      <c r="AD8" s="202"/>
      <c r="AE8" s="202"/>
      <c r="AF8" s="202"/>
      <c r="AG8" s="202"/>
      <c r="AH8" s="202"/>
      <c r="AI8" s="202"/>
      <c r="AJ8" s="202"/>
      <c r="AK8" s="202"/>
      <c r="AL8" s="202"/>
      <c r="AM8" s="202"/>
      <c r="AN8" s="202"/>
      <c r="AO8" s="202"/>
      <c r="AP8" s="202"/>
      <c r="AQ8" s="202"/>
      <c r="AR8" s="202"/>
      <c r="AS8" s="202"/>
      <c r="AT8" s="202"/>
      <c r="AU8" s="202"/>
      <c r="AV8" s="202"/>
      <c r="AW8" s="202"/>
      <c r="AX8" s="202"/>
      <c r="AY8" s="202"/>
      <c r="AZ8" s="202"/>
      <c r="BA8" s="202"/>
      <c r="BB8" s="202"/>
      <c r="BC8" s="202"/>
      <c r="BD8" s="202"/>
      <c r="BE8" s="202"/>
      <c r="BF8" s="202"/>
      <c r="BG8" s="202"/>
      <c r="BH8" s="202"/>
      <c r="BI8" s="202"/>
      <c r="BJ8" s="202"/>
      <c r="BK8" s="202"/>
      <c r="BL8" s="202"/>
      <c r="BM8" s="202"/>
      <c r="BN8" s="202"/>
      <c r="BO8" s="202"/>
      <c r="BP8" s="202"/>
      <c r="BQ8" s="202"/>
      <c r="BR8" s="202"/>
      <c r="BS8" s="202"/>
      <c r="BT8" s="202"/>
      <c r="BU8" s="202"/>
      <c r="BV8" s="202"/>
      <c r="BW8" s="202"/>
      <c r="BX8" s="202"/>
      <c r="BY8" s="202"/>
      <c r="BZ8" s="202"/>
      <c r="CA8" s="202"/>
      <c r="CB8" s="202"/>
      <c r="CC8" s="202"/>
      <c r="CD8" s="202"/>
      <c r="CE8" s="202"/>
      <c r="CF8" s="202"/>
      <c r="CG8" s="202"/>
      <c r="CH8" s="202"/>
      <c r="CI8" s="202"/>
      <c r="CJ8" s="202"/>
      <c r="CK8" s="202"/>
      <c r="CL8" s="202"/>
    </row>
    <row r="9">
      <c r="A9" s="424" t="s">
        <v>1134</v>
      </c>
      <c r="B9" s="144"/>
      <c r="C9" s="144"/>
      <c r="D9" s="144"/>
      <c r="E9" s="144"/>
      <c r="F9" s="167"/>
      <c r="G9" s="214"/>
      <c r="H9" s="213"/>
      <c r="I9" s="221"/>
      <c r="J9" s="221"/>
      <c r="K9" s="221"/>
      <c r="L9" s="221"/>
      <c r="M9" s="221"/>
      <c r="N9" s="221"/>
      <c r="O9" s="221"/>
      <c r="P9" s="221"/>
      <c r="Q9" s="221"/>
      <c r="R9" s="221"/>
      <c r="S9" s="238"/>
      <c r="T9" s="221"/>
      <c r="U9" s="221"/>
      <c r="V9" s="221"/>
      <c r="W9" s="221"/>
      <c r="X9" s="221"/>
      <c r="Y9" s="221"/>
      <c r="Z9" s="221"/>
      <c r="AA9" s="360"/>
      <c r="AB9" s="360"/>
      <c r="AC9" s="360"/>
      <c r="AD9" s="360"/>
      <c r="AE9" s="360"/>
      <c r="AF9" s="360"/>
      <c r="AG9" s="360"/>
      <c r="AH9" s="360"/>
      <c r="AI9" s="360"/>
      <c r="AJ9" s="360"/>
      <c r="AK9" s="360"/>
      <c r="AL9" s="360"/>
      <c r="AM9" s="360"/>
      <c r="AN9" s="360"/>
      <c r="AO9" s="360"/>
      <c r="AP9" s="360"/>
      <c r="AQ9" s="246"/>
      <c r="AR9" s="246"/>
      <c r="AS9" s="246"/>
      <c r="AT9" s="246"/>
      <c r="AU9" s="246"/>
      <c r="AV9" s="246"/>
      <c r="AW9" s="246"/>
      <c r="AX9" s="246"/>
      <c r="AY9" s="246"/>
      <c r="AZ9" s="246"/>
      <c r="BA9" s="246"/>
      <c r="BB9" s="246"/>
      <c r="BC9" s="246"/>
      <c r="BD9" s="246"/>
      <c r="BE9" s="246"/>
      <c r="BF9" s="246"/>
      <c r="BG9" s="246"/>
      <c r="BH9" s="246"/>
      <c r="BI9" s="246"/>
      <c r="BJ9" s="246"/>
      <c r="BK9" s="246"/>
      <c r="BL9" s="246"/>
      <c r="BM9" s="246"/>
      <c r="BN9" s="246"/>
      <c r="BO9" s="246"/>
      <c r="BP9" s="246"/>
      <c r="BQ9" s="246"/>
      <c r="BR9" s="246"/>
      <c r="BS9" s="246"/>
      <c r="BT9" s="246"/>
      <c r="BU9" s="246"/>
      <c r="BV9" s="246"/>
      <c r="BW9" s="246"/>
      <c r="BX9" s="246"/>
      <c r="BY9" s="246"/>
      <c r="BZ9" s="246"/>
      <c r="CA9" s="246"/>
      <c r="CB9" s="246"/>
      <c r="CC9" s="246"/>
      <c r="CD9" s="246"/>
      <c r="CE9" s="246"/>
      <c r="CF9" s="246"/>
      <c r="CG9" s="246"/>
      <c r="CH9" s="246"/>
      <c r="CI9" s="246"/>
      <c r="CJ9" s="246"/>
      <c r="CK9" s="246"/>
      <c r="CL9" s="246"/>
    </row>
    <row r="10" outlineLevel="1">
      <c r="A10" s="213" t="str">
        <f t="shared" ref="A10:A11" si="1">IF(E10="","",$C$3&amp;"."&amp;COUNTA($E$9:E10)&amp;"")</f>
        <v>TC_06.1</v>
      </c>
      <c r="B10" s="214" t="s">
        <v>67</v>
      </c>
      <c r="C10" s="238" t="s">
        <v>1135</v>
      </c>
      <c r="D10" s="238" t="s">
        <v>1136</v>
      </c>
      <c r="E10" s="238" t="s">
        <v>1137</v>
      </c>
      <c r="F10" s="217" t="s">
        <v>1138</v>
      </c>
      <c r="G10" s="211" t="s">
        <v>56</v>
      </c>
      <c r="H10" s="211" t="s">
        <v>135</v>
      </c>
      <c r="I10" s="221"/>
      <c r="J10" s="221"/>
      <c r="K10" s="221"/>
      <c r="L10" s="221"/>
      <c r="M10" s="221"/>
      <c r="N10" s="221"/>
      <c r="O10" s="221"/>
      <c r="P10" s="221"/>
      <c r="Q10" s="221"/>
      <c r="R10" s="221"/>
      <c r="S10" s="238"/>
      <c r="T10" s="221"/>
      <c r="U10" s="221"/>
      <c r="V10" s="221"/>
      <c r="W10" s="221"/>
      <c r="X10" s="221"/>
      <c r="Y10" s="221"/>
      <c r="Z10" s="221"/>
      <c r="AA10" s="360"/>
      <c r="AB10" s="360"/>
      <c r="AC10" s="360"/>
      <c r="AD10" s="360"/>
      <c r="AE10" s="360"/>
      <c r="AF10" s="360"/>
      <c r="AG10" s="360"/>
      <c r="AH10" s="360"/>
      <c r="AI10" s="360"/>
      <c r="AJ10" s="360"/>
      <c r="AK10" s="360"/>
      <c r="AL10" s="360"/>
      <c r="AM10" s="360"/>
      <c r="AN10" s="360"/>
      <c r="AO10" s="360"/>
      <c r="AP10" s="360"/>
      <c r="AQ10" s="246"/>
      <c r="AR10" s="246"/>
      <c r="AS10" s="246"/>
      <c r="AT10" s="246"/>
      <c r="AU10" s="246"/>
      <c r="AV10" s="246"/>
      <c r="AW10" s="246"/>
      <c r="AX10" s="246"/>
      <c r="AY10" s="246"/>
      <c r="AZ10" s="246"/>
      <c r="BA10" s="246"/>
      <c r="BB10" s="246"/>
      <c r="BC10" s="246"/>
      <c r="BD10" s="246"/>
      <c r="BE10" s="246"/>
      <c r="BF10" s="246"/>
      <c r="BG10" s="246"/>
      <c r="BH10" s="246"/>
      <c r="BI10" s="246"/>
      <c r="BJ10" s="246"/>
      <c r="BK10" s="246"/>
      <c r="BL10" s="246"/>
      <c r="BM10" s="246"/>
      <c r="BN10" s="246"/>
      <c r="BO10" s="246"/>
      <c r="BP10" s="246"/>
      <c r="BQ10" s="246"/>
      <c r="BR10" s="246"/>
      <c r="BS10" s="246"/>
      <c r="BT10" s="246"/>
      <c r="BU10" s="246"/>
      <c r="BV10" s="246"/>
      <c r="BW10" s="246"/>
      <c r="BX10" s="246"/>
      <c r="BY10" s="246"/>
      <c r="BZ10" s="246"/>
      <c r="CA10" s="246"/>
      <c r="CB10" s="246"/>
      <c r="CC10" s="246"/>
      <c r="CD10" s="246"/>
      <c r="CE10" s="246"/>
      <c r="CF10" s="246"/>
      <c r="CG10" s="246"/>
      <c r="CH10" s="246"/>
      <c r="CI10" s="246"/>
      <c r="CJ10" s="246"/>
      <c r="CK10" s="246"/>
      <c r="CL10" s="246"/>
    </row>
    <row r="11" outlineLevel="1">
      <c r="A11" s="213" t="str">
        <f t="shared" si="1"/>
        <v>TC_06.2</v>
      </c>
      <c r="B11" s="211" t="s">
        <v>65</v>
      </c>
      <c r="C11" s="238" t="s">
        <v>1139</v>
      </c>
      <c r="D11" s="425" t="s">
        <v>1140</v>
      </c>
      <c r="E11" s="238" t="s">
        <v>1141</v>
      </c>
      <c r="F11" s="238" t="s">
        <v>1142</v>
      </c>
      <c r="G11" s="211" t="s">
        <v>56</v>
      </c>
      <c r="H11" s="211" t="s">
        <v>135</v>
      </c>
      <c r="I11" s="221"/>
      <c r="J11" s="221"/>
      <c r="K11" s="221"/>
      <c r="L11" s="221"/>
      <c r="M11" s="221"/>
      <c r="N11" s="221"/>
      <c r="O11" s="221"/>
      <c r="P11" s="221"/>
      <c r="Q11" s="221"/>
      <c r="R11" s="221"/>
      <c r="S11" s="238"/>
      <c r="T11" s="221"/>
      <c r="U11" s="221"/>
      <c r="V11" s="221"/>
      <c r="W11" s="221"/>
      <c r="X11" s="221"/>
      <c r="Y11" s="221"/>
      <c r="Z11" s="221"/>
      <c r="AA11" s="360"/>
      <c r="AB11" s="360"/>
      <c r="AC11" s="360"/>
      <c r="AD11" s="360"/>
      <c r="AE11" s="360"/>
      <c r="AF11" s="360"/>
      <c r="AG11" s="360"/>
      <c r="AH11" s="360"/>
      <c r="AI11" s="360"/>
      <c r="AJ11" s="360"/>
      <c r="AK11" s="360"/>
      <c r="AL11" s="360"/>
      <c r="AM11" s="360"/>
      <c r="AN11" s="360"/>
      <c r="AO11" s="360"/>
      <c r="AP11" s="360"/>
      <c r="AQ11" s="246"/>
      <c r="AR11" s="246"/>
      <c r="AS11" s="246"/>
      <c r="AT11" s="246"/>
      <c r="AU11" s="246"/>
      <c r="AV11" s="246"/>
      <c r="AW11" s="246"/>
      <c r="AX11" s="246"/>
      <c r="AY11" s="246"/>
      <c r="AZ11" s="246"/>
      <c r="BA11" s="246"/>
      <c r="BB11" s="246"/>
      <c r="BC11" s="246"/>
      <c r="BD11" s="246"/>
      <c r="BE11" s="246"/>
      <c r="BF11" s="246"/>
      <c r="BG11" s="246"/>
      <c r="BH11" s="246"/>
      <c r="BI11" s="246"/>
      <c r="BJ11" s="246"/>
      <c r="BK11" s="246"/>
      <c r="BL11" s="246"/>
      <c r="BM11" s="246"/>
      <c r="BN11" s="246"/>
      <c r="BO11" s="246"/>
      <c r="BP11" s="246"/>
      <c r="BQ11" s="246"/>
      <c r="BR11" s="246"/>
      <c r="BS11" s="246"/>
      <c r="BT11" s="246"/>
      <c r="BU11" s="246"/>
      <c r="BV11" s="246"/>
      <c r="BW11" s="246"/>
      <c r="BX11" s="246"/>
      <c r="BY11" s="246"/>
      <c r="BZ11" s="246"/>
      <c r="CA11" s="246"/>
      <c r="CB11" s="246"/>
      <c r="CC11" s="246"/>
      <c r="CD11" s="246"/>
      <c r="CE11" s="246"/>
      <c r="CF11" s="246"/>
      <c r="CG11" s="246"/>
      <c r="CH11" s="246"/>
      <c r="CI11" s="246"/>
      <c r="CJ11" s="246"/>
      <c r="CK11" s="246"/>
      <c r="CL11" s="246"/>
    </row>
    <row r="12">
      <c r="A12" s="424" t="s">
        <v>1143</v>
      </c>
      <c r="B12" s="144"/>
      <c r="C12" s="144"/>
      <c r="D12" s="144"/>
      <c r="E12" s="144"/>
      <c r="F12" s="167"/>
      <c r="G12" s="214"/>
      <c r="H12" s="213"/>
      <c r="I12" s="221"/>
      <c r="J12" s="221"/>
      <c r="K12" s="221"/>
      <c r="L12" s="221"/>
      <c r="M12" s="221"/>
      <c r="N12" s="221"/>
      <c r="O12" s="221"/>
      <c r="P12" s="221"/>
      <c r="Q12" s="221"/>
      <c r="R12" s="221"/>
      <c r="S12" s="238"/>
      <c r="T12" s="221"/>
      <c r="U12" s="221"/>
      <c r="V12" s="221"/>
      <c r="W12" s="221"/>
      <c r="X12" s="221"/>
      <c r="Y12" s="221"/>
      <c r="Z12" s="221"/>
      <c r="AA12" s="360"/>
      <c r="AB12" s="360"/>
      <c r="AC12" s="360"/>
      <c r="AD12" s="360"/>
      <c r="AE12" s="360"/>
      <c r="AF12" s="360"/>
      <c r="AG12" s="360"/>
      <c r="AH12" s="360"/>
      <c r="AI12" s="360"/>
      <c r="AJ12" s="360"/>
      <c r="AK12" s="360"/>
      <c r="AL12" s="360"/>
      <c r="AM12" s="360"/>
      <c r="AN12" s="360"/>
      <c r="AO12" s="360"/>
      <c r="AP12" s="360"/>
      <c r="AQ12" s="246"/>
      <c r="AR12" s="246"/>
      <c r="AS12" s="246"/>
      <c r="AT12" s="246"/>
      <c r="AU12" s="246"/>
      <c r="AV12" s="246"/>
      <c r="AW12" s="246"/>
      <c r="AX12" s="246"/>
      <c r="AY12" s="246"/>
      <c r="AZ12" s="246"/>
      <c r="BA12" s="246"/>
      <c r="BB12" s="246"/>
      <c r="BC12" s="246"/>
      <c r="BD12" s="246"/>
      <c r="BE12" s="246"/>
      <c r="BF12" s="246"/>
      <c r="BG12" s="246"/>
      <c r="BH12" s="246"/>
      <c r="BI12" s="246"/>
      <c r="BJ12" s="246"/>
      <c r="BK12" s="246"/>
      <c r="BL12" s="246"/>
      <c r="BM12" s="246"/>
      <c r="BN12" s="246"/>
      <c r="BO12" s="246"/>
      <c r="BP12" s="246"/>
      <c r="BQ12" s="246"/>
      <c r="BR12" s="246"/>
      <c r="BS12" s="246"/>
      <c r="BT12" s="246"/>
      <c r="BU12" s="246"/>
      <c r="BV12" s="246"/>
      <c r="BW12" s="246"/>
      <c r="BX12" s="246"/>
      <c r="BY12" s="246"/>
      <c r="BZ12" s="246"/>
      <c r="CA12" s="246"/>
      <c r="CB12" s="246"/>
      <c r="CC12" s="246"/>
      <c r="CD12" s="246"/>
      <c r="CE12" s="246"/>
      <c r="CF12" s="246"/>
      <c r="CG12" s="246"/>
      <c r="CH12" s="246"/>
      <c r="CI12" s="246"/>
      <c r="CJ12" s="246"/>
      <c r="CK12" s="246"/>
      <c r="CL12" s="246"/>
    </row>
    <row r="13" outlineLevel="1">
      <c r="A13" s="213" t="str">
        <f t="shared" ref="A13:A18" si="2">IF(E13="","",$C$3&amp;"."&amp;COUNTA($E$9:E13)&amp;"")</f>
        <v>TC_06.3</v>
      </c>
      <c r="B13" s="214" t="s">
        <v>67</v>
      </c>
      <c r="C13" s="238" t="s">
        <v>1144</v>
      </c>
      <c r="D13" s="238" t="s">
        <v>1145</v>
      </c>
      <c r="E13" s="238" t="s">
        <v>1146</v>
      </c>
      <c r="F13" s="238" t="s">
        <v>1147</v>
      </c>
      <c r="G13" s="211" t="s">
        <v>56</v>
      </c>
      <c r="H13" s="211" t="s">
        <v>135</v>
      </c>
      <c r="I13" s="221"/>
      <c r="J13" s="221"/>
      <c r="K13" s="221"/>
      <c r="L13" s="221"/>
      <c r="M13" s="221"/>
      <c r="N13" s="221"/>
      <c r="O13" s="221"/>
      <c r="P13" s="221"/>
      <c r="Q13" s="221"/>
      <c r="R13" s="221"/>
      <c r="S13" s="238"/>
      <c r="T13" s="221"/>
      <c r="U13" s="221"/>
      <c r="V13" s="221"/>
      <c r="W13" s="221"/>
      <c r="X13" s="221"/>
      <c r="Y13" s="221"/>
      <c r="Z13" s="221"/>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row>
    <row r="14" outlineLevel="1">
      <c r="A14" s="213" t="str">
        <f t="shared" si="2"/>
        <v>TC_06.4</v>
      </c>
      <c r="B14" s="214" t="s">
        <v>67</v>
      </c>
      <c r="C14" s="238" t="s">
        <v>1148</v>
      </c>
      <c r="D14" s="238" t="s">
        <v>1145</v>
      </c>
      <c r="E14" s="217" t="s">
        <v>1149</v>
      </c>
      <c r="F14" s="238" t="s">
        <v>1150</v>
      </c>
      <c r="G14" s="211" t="s">
        <v>56</v>
      </c>
      <c r="H14" s="211" t="s">
        <v>135</v>
      </c>
      <c r="I14" s="221"/>
      <c r="J14" s="217" t="s">
        <v>1151</v>
      </c>
      <c r="K14" s="221"/>
      <c r="L14" s="221"/>
      <c r="M14" s="221"/>
      <c r="N14" s="221"/>
      <c r="O14" s="221"/>
      <c r="P14" s="221"/>
      <c r="Q14" s="221"/>
      <c r="R14" s="221"/>
      <c r="S14" s="238"/>
      <c r="T14" s="221"/>
      <c r="U14" s="221"/>
      <c r="V14" s="221"/>
      <c r="W14" s="221"/>
      <c r="X14" s="221"/>
      <c r="Y14" s="221"/>
      <c r="Z14" s="221"/>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row>
    <row r="15" outlineLevel="1">
      <c r="A15" s="213" t="str">
        <f t="shared" si="2"/>
        <v>TC_06.5</v>
      </c>
      <c r="B15" s="214" t="s">
        <v>65</v>
      </c>
      <c r="C15" s="238" t="s">
        <v>1152</v>
      </c>
      <c r="D15" s="238" t="s">
        <v>1153</v>
      </c>
      <c r="E15" s="217" t="s">
        <v>1154</v>
      </c>
      <c r="F15" s="238" t="s">
        <v>1155</v>
      </c>
      <c r="G15" s="211" t="s">
        <v>56</v>
      </c>
      <c r="H15" s="211" t="s">
        <v>135</v>
      </c>
      <c r="I15" s="221"/>
      <c r="J15" s="217" t="s">
        <v>1156</v>
      </c>
      <c r="K15" s="221"/>
      <c r="L15" s="221"/>
      <c r="M15" s="221"/>
      <c r="N15" s="221"/>
      <c r="O15" s="221"/>
      <c r="P15" s="221"/>
      <c r="Q15" s="221"/>
      <c r="R15" s="221"/>
      <c r="S15" s="238"/>
      <c r="T15" s="221"/>
      <c r="U15" s="221"/>
      <c r="V15" s="221"/>
      <c r="W15" s="221"/>
      <c r="X15" s="221"/>
      <c r="Y15" s="221"/>
      <c r="Z15" s="221"/>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row>
    <row r="16" outlineLevel="1">
      <c r="A16" s="213" t="str">
        <f t="shared" si="2"/>
        <v>TC_06.6</v>
      </c>
      <c r="B16" s="214" t="s">
        <v>67</v>
      </c>
      <c r="C16" s="238" t="s">
        <v>1157</v>
      </c>
      <c r="D16" s="238" t="s">
        <v>1158</v>
      </c>
      <c r="E16" s="217" t="s">
        <v>1159</v>
      </c>
      <c r="F16" s="238" t="s">
        <v>1160</v>
      </c>
      <c r="G16" s="211" t="s">
        <v>60</v>
      </c>
      <c r="H16" s="211" t="s">
        <v>135</v>
      </c>
      <c r="I16" s="221"/>
      <c r="J16" s="217" t="s">
        <v>1156</v>
      </c>
      <c r="K16" s="221"/>
      <c r="L16" s="221"/>
      <c r="M16" s="221"/>
      <c r="N16" s="221"/>
      <c r="O16" s="221"/>
      <c r="P16" s="221"/>
      <c r="Q16" s="221"/>
      <c r="R16" s="221"/>
      <c r="S16" s="238"/>
      <c r="T16" s="221"/>
      <c r="U16" s="221"/>
      <c r="V16" s="221"/>
      <c r="W16" s="221"/>
      <c r="X16" s="221"/>
      <c r="Y16" s="221"/>
      <c r="Z16" s="221"/>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6"/>
      <c r="CB16" s="246"/>
      <c r="CC16" s="246"/>
      <c r="CD16" s="246"/>
      <c r="CE16" s="246"/>
      <c r="CF16" s="246"/>
      <c r="CG16" s="246"/>
      <c r="CH16" s="246"/>
      <c r="CI16" s="246"/>
      <c r="CJ16" s="246"/>
      <c r="CK16" s="246"/>
      <c r="CL16" s="246"/>
    </row>
    <row r="17" outlineLevel="1">
      <c r="A17" s="213" t="str">
        <f t="shared" si="2"/>
        <v>TC_06.7</v>
      </c>
      <c r="B17" s="214" t="s">
        <v>67</v>
      </c>
      <c r="C17" s="238" t="s">
        <v>1161</v>
      </c>
      <c r="D17" s="238" t="s">
        <v>1162</v>
      </c>
      <c r="E17" s="217" t="s">
        <v>1163</v>
      </c>
      <c r="F17" s="238" t="s">
        <v>1164</v>
      </c>
      <c r="G17" s="211" t="s">
        <v>56</v>
      </c>
      <c r="H17" s="211" t="s">
        <v>135</v>
      </c>
      <c r="I17" s="221"/>
      <c r="J17" s="221"/>
      <c r="K17" s="221"/>
      <c r="L17" s="221"/>
      <c r="M17" s="221"/>
      <c r="N17" s="221"/>
      <c r="O17" s="221"/>
      <c r="P17" s="221"/>
      <c r="Q17" s="221"/>
      <c r="R17" s="221"/>
      <c r="S17" s="238"/>
      <c r="T17" s="221"/>
      <c r="U17" s="221"/>
      <c r="V17" s="221"/>
      <c r="W17" s="221"/>
      <c r="X17" s="221"/>
      <c r="Y17" s="221"/>
      <c r="Z17" s="221"/>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H17" s="246"/>
      <c r="BI17" s="246"/>
      <c r="BJ17" s="246"/>
      <c r="BK17" s="246"/>
      <c r="BL17" s="246"/>
      <c r="BM17" s="246"/>
      <c r="BN17" s="246"/>
      <c r="BO17" s="246"/>
      <c r="BP17" s="246"/>
      <c r="BQ17" s="246"/>
      <c r="BR17" s="246"/>
      <c r="BS17" s="246"/>
      <c r="BT17" s="246"/>
      <c r="BU17" s="246"/>
      <c r="BV17" s="246"/>
      <c r="BW17" s="246"/>
      <c r="BX17" s="246"/>
      <c r="BY17" s="246"/>
      <c r="BZ17" s="246"/>
      <c r="CA17" s="246"/>
      <c r="CB17" s="246"/>
      <c r="CC17" s="246"/>
      <c r="CD17" s="246"/>
      <c r="CE17" s="246"/>
      <c r="CF17" s="246"/>
      <c r="CG17" s="246"/>
      <c r="CH17" s="246"/>
      <c r="CI17" s="246"/>
      <c r="CJ17" s="246"/>
      <c r="CK17" s="246"/>
      <c r="CL17" s="246"/>
    </row>
    <row r="18" outlineLevel="1">
      <c r="A18" s="213" t="str">
        <f t="shared" si="2"/>
        <v>TC_06.8</v>
      </c>
      <c r="B18" s="214" t="s">
        <v>69</v>
      </c>
      <c r="C18" s="238" t="s">
        <v>1165</v>
      </c>
      <c r="D18" s="238" t="s">
        <v>1166</v>
      </c>
      <c r="E18" s="217" t="s">
        <v>1167</v>
      </c>
      <c r="F18" s="238" t="s">
        <v>1168</v>
      </c>
      <c r="G18" s="211" t="s">
        <v>56</v>
      </c>
      <c r="H18" s="211" t="s">
        <v>135</v>
      </c>
      <c r="I18" s="221"/>
      <c r="J18" s="221"/>
      <c r="K18" s="221"/>
      <c r="L18" s="221"/>
      <c r="M18" s="221"/>
      <c r="N18" s="221"/>
      <c r="O18" s="221"/>
      <c r="P18" s="221"/>
      <c r="Q18" s="221"/>
      <c r="R18" s="221"/>
      <c r="S18" s="238"/>
      <c r="T18" s="221"/>
      <c r="U18" s="221"/>
      <c r="V18" s="221"/>
      <c r="W18" s="221"/>
      <c r="X18" s="221"/>
      <c r="Y18" s="221"/>
      <c r="Z18" s="221"/>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6"/>
      <c r="BK18" s="246"/>
      <c r="BL18" s="246"/>
      <c r="BM18" s="246"/>
      <c r="BN18" s="246"/>
      <c r="BO18" s="246"/>
      <c r="BP18" s="246"/>
      <c r="BQ18" s="246"/>
      <c r="BR18" s="246"/>
      <c r="BS18" s="246"/>
      <c r="BT18" s="246"/>
      <c r="BU18" s="246"/>
      <c r="BV18" s="246"/>
      <c r="BW18" s="246"/>
      <c r="BX18" s="246"/>
      <c r="BY18" s="246"/>
      <c r="BZ18" s="246"/>
      <c r="CA18" s="246"/>
      <c r="CB18" s="246"/>
      <c r="CC18" s="246"/>
      <c r="CD18" s="246"/>
      <c r="CE18" s="246"/>
      <c r="CF18" s="246"/>
      <c r="CG18" s="246"/>
      <c r="CH18" s="246"/>
      <c r="CI18" s="246"/>
      <c r="CJ18" s="246"/>
      <c r="CK18" s="246"/>
      <c r="CL18" s="246"/>
    </row>
    <row r="19">
      <c r="A19" s="424" t="s">
        <v>915</v>
      </c>
      <c r="B19" s="144"/>
      <c r="C19" s="144"/>
      <c r="D19" s="144"/>
      <c r="E19" s="144"/>
      <c r="F19" s="167"/>
      <c r="G19" s="214"/>
      <c r="H19" s="213"/>
      <c r="I19" s="221"/>
      <c r="J19" s="221"/>
      <c r="K19" s="221"/>
      <c r="L19" s="221"/>
      <c r="M19" s="221"/>
      <c r="N19" s="221"/>
      <c r="O19" s="221"/>
      <c r="P19" s="221"/>
      <c r="Q19" s="221"/>
      <c r="R19" s="221"/>
      <c r="S19" s="238"/>
      <c r="T19" s="221"/>
      <c r="U19" s="221"/>
      <c r="V19" s="221"/>
      <c r="W19" s="221"/>
      <c r="X19" s="221"/>
      <c r="Y19" s="221"/>
      <c r="Z19" s="221"/>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6"/>
      <c r="BK19" s="246"/>
      <c r="BL19" s="246"/>
      <c r="BM19" s="246"/>
      <c r="BN19" s="246"/>
      <c r="BO19" s="246"/>
      <c r="BP19" s="246"/>
      <c r="BQ19" s="246"/>
      <c r="BR19" s="246"/>
      <c r="BS19" s="246"/>
      <c r="BT19" s="246"/>
      <c r="BU19" s="246"/>
      <c r="BV19" s="246"/>
      <c r="BW19" s="246"/>
      <c r="BX19" s="246"/>
      <c r="BY19" s="246"/>
      <c r="BZ19" s="246"/>
      <c r="CA19" s="246"/>
      <c r="CB19" s="246"/>
      <c r="CC19" s="246"/>
      <c r="CD19" s="246"/>
      <c r="CE19" s="246"/>
      <c r="CF19" s="246"/>
      <c r="CG19" s="246"/>
      <c r="CH19" s="246"/>
      <c r="CI19" s="246"/>
      <c r="CJ19" s="246"/>
      <c r="CK19" s="246"/>
      <c r="CL19" s="246"/>
    </row>
    <row r="20" outlineLevel="1">
      <c r="A20" s="213" t="str">
        <f t="shared" ref="A20:A23" si="3">IF(E20="","",$C$3&amp;"."&amp;COUNTA($E$9:E20)&amp;"")</f>
        <v>TC_06.9</v>
      </c>
      <c r="B20" s="213" t="s">
        <v>67</v>
      </c>
      <c r="C20" s="238" t="s">
        <v>1169</v>
      </c>
      <c r="D20" s="221" t="s">
        <v>1170</v>
      </c>
      <c r="E20" s="217" t="s">
        <v>1171</v>
      </c>
      <c r="F20" s="238" t="s">
        <v>1172</v>
      </c>
      <c r="G20" s="211" t="s">
        <v>56</v>
      </c>
      <c r="H20" s="211" t="s">
        <v>135</v>
      </c>
      <c r="I20" s="221"/>
      <c r="J20" s="221"/>
      <c r="K20" s="238"/>
      <c r="L20" s="238"/>
      <c r="M20" s="221"/>
      <c r="N20" s="221"/>
      <c r="O20" s="238"/>
      <c r="P20" s="238"/>
      <c r="Q20" s="221"/>
      <c r="R20" s="221"/>
      <c r="S20" s="238"/>
      <c r="T20" s="238"/>
      <c r="U20" s="221"/>
      <c r="V20" s="221"/>
      <c r="W20" s="238"/>
      <c r="X20" s="238"/>
      <c r="Y20" s="221"/>
      <c r="Z20" s="221"/>
      <c r="AA20" s="250"/>
      <c r="AB20" s="247"/>
      <c r="AC20" s="248"/>
      <c r="AD20" s="249"/>
      <c r="AE20" s="43"/>
      <c r="AF20" s="247"/>
      <c r="AG20" s="369"/>
      <c r="AH20" s="255"/>
      <c r="AI20" s="43"/>
      <c r="AJ20" s="247"/>
      <c r="AK20" s="244"/>
      <c r="AL20" s="255"/>
      <c r="AM20" s="43"/>
      <c r="AN20" s="247"/>
      <c r="AO20" s="244"/>
      <c r="AP20" s="255"/>
      <c r="AQ20" s="370"/>
      <c r="AR20" s="248"/>
      <c r="AS20" s="248"/>
      <c r="AT20" s="249"/>
      <c r="AU20" s="370"/>
      <c r="AV20" s="248"/>
      <c r="AW20" s="248"/>
      <c r="AX20" s="249"/>
      <c r="AY20" s="370"/>
      <c r="AZ20" s="248"/>
      <c r="BA20" s="248"/>
      <c r="BB20" s="371"/>
      <c r="BC20" s="372"/>
      <c r="BD20" s="372"/>
      <c r="BE20" s="372"/>
      <c r="BF20" s="372"/>
      <c r="BG20" s="372"/>
      <c r="BH20" s="372"/>
      <c r="BI20" s="372"/>
      <c r="BJ20" s="372"/>
      <c r="BK20" s="372"/>
      <c r="BL20" s="372"/>
      <c r="BM20" s="372"/>
      <c r="BN20" s="372"/>
      <c r="BO20" s="372"/>
      <c r="BP20" s="372"/>
      <c r="BQ20" s="372"/>
      <c r="BR20" s="372"/>
      <c r="BS20" s="372"/>
      <c r="BT20" s="372"/>
      <c r="BU20" s="372"/>
      <c r="BV20" s="372"/>
      <c r="BW20" s="372"/>
      <c r="BX20" s="372"/>
      <c r="BY20" s="372"/>
      <c r="BZ20" s="372"/>
      <c r="CA20" s="372"/>
      <c r="CB20" s="372"/>
      <c r="CC20" s="372"/>
      <c r="CD20" s="372"/>
      <c r="CE20" s="372"/>
      <c r="CF20" s="372"/>
      <c r="CG20" s="372"/>
      <c r="CH20" s="372"/>
      <c r="CI20" s="372"/>
      <c r="CJ20" s="372"/>
      <c r="CK20" s="372"/>
      <c r="CL20" s="372"/>
    </row>
    <row r="21" outlineLevel="1">
      <c r="A21" s="213" t="str">
        <f t="shared" si="3"/>
        <v>TC_06.10</v>
      </c>
      <c r="B21" s="214" t="s">
        <v>65</v>
      </c>
      <c r="C21" s="238" t="s">
        <v>1173</v>
      </c>
      <c r="D21" s="238" t="s">
        <v>1174</v>
      </c>
      <c r="E21" s="217" t="s">
        <v>1175</v>
      </c>
      <c r="F21" s="238" t="s">
        <v>1176</v>
      </c>
      <c r="G21" s="211" t="s">
        <v>56</v>
      </c>
      <c r="H21" s="211" t="s">
        <v>135</v>
      </c>
      <c r="I21" s="221"/>
      <c r="J21" s="221"/>
      <c r="K21" s="221"/>
      <c r="L21" s="221"/>
      <c r="M21" s="221"/>
      <c r="N21" s="221"/>
      <c r="O21" s="221"/>
      <c r="P21" s="221"/>
      <c r="Q21" s="221"/>
      <c r="R21" s="221"/>
      <c r="S21" s="238"/>
      <c r="T21" s="221"/>
      <c r="U21" s="221"/>
      <c r="V21" s="221"/>
      <c r="W21" s="221"/>
      <c r="X21" s="221"/>
      <c r="Y21" s="221"/>
      <c r="Z21" s="221"/>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6"/>
      <c r="BK21" s="246"/>
      <c r="BL21" s="246"/>
      <c r="BM21" s="246"/>
      <c r="BN21" s="246"/>
      <c r="BO21" s="246"/>
      <c r="BP21" s="246"/>
      <c r="BQ21" s="246"/>
      <c r="BR21" s="246"/>
      <c r="BS21" s="246"/>
      <c r="BT21" s="246"/>
      <c r="BU21" s="246"/>
      <c r="BV21" s="246"/>
      <c r="BW21" s="246"/>
      <c r="BX21" s="246"/>
      <c r="BY21" s="246"/>
      <c r="BZ21" s="246"/>
      <c r="CA21" s="246"/>
      <c r="CB21" s="246"/>
      <c r="CC21" s="246"/>
      <c r="CD21" s="246"/>
      <c r="CE21" s="246"/>
      <c r="CF21" s="246"/>
      <c r="CG21" s="246"/>
      <c r="CH21" s="246"/>
      <c r="CI21" s="246"/>
      <c r="CJ21" s="246"/>
      <c r="CK21" s="246"/>
      <c r="CL21" s="246"/>
    </row>
    <row r="22" outlineLevel="1">
      <c r="A22" s="213" t="str">
        <f t="shared" si="3"/>
        <v>TC_06.11</v>
      </c>
      <c r="B22" s="214" t="s">
        <v>67</v>
      </c>
      <c r="C22" s="238" t="s">
        <v>1177</v>
      </c>
      <c r="D22" s="221" t="s">
        <v>1178</v>
      </c>
      <c r="E22" s="217" t="s">
        <v>1179</v>
      </c>
      <c r="F22" s="238" t="s">
        <v>1180</v>
      </c>
      <c r="G22" s="211" t="s">
        <v>56</v>
      </c>
      <c r="H22" s="211" t="s">
        <v>135</v>
      </c>
      <c r="I22" s="221"/>
      <c r="J22" s="221"/>
      <c r="K22" s="221"/>
      <c r="L22" s="221"/>
      <c r="M22" s="221"/>
      <c r="N22" s="221"/>
      <c r="O22" s="221"/>
      <c r="P22" s="221"/>
      <c r="Q22" s="221"/>
      <c r="R22" s="221"/>
      <c r="S22" s="238"/>
      <c r="T22" s="221"/>
      <c r="U22" s="221"/>
      <c r="V22" s="221"/>
      <c r="W22" s="221"/>
      <c r="X22" s="221"/>
      <c r="Y22" s="221"/>
      <c r="Z22" s="221"/>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6"/>
      <c r="BO22" s="246"/>
      <c r="BP22" s="246"/>
      <c r="BQ22" s="246"/>
      <c r="BR22" s="246"/>
      <c r="BS22" s="246"/>
      <c r="BT22" s="246"/>
      <c r="BU22" s="246"/>
      <c r="BV22" s="246"/>
      <c r="BW22" s="246"/>
      <c r="BX22" s="246"/>
      <c r="BY22" s="246"/>
      <c r="BZ22" s="246"/>
      <c r="CA22" s="246"/>
      <c r="CB22" s="246"/>
      <c r="CC22" s="246"/>
      <c r="CD22" s="246"/>
      <c r="CE22" s="246"/>
      <c r="CF22" s="246"/>
      <c r="CG22" s="246"/>
      <c r="CH22" s="246"/>
      <c r="CI22" s="246"/>
      <c r="CJ22" s="246"/>
      <c r="CK22" s="246"/>
      <c r="CL22" s="246"/>
    </row>
    <row r="23" outlineLevel="1">
      <c r="A23" s="213" t="str">
        <f t="shared" si="3"/>
        <v>TC_06.12</v>
      </c>
      <c r="B23" s="214" t="s">
        <v>69</v>
      </c>
      <c r="C23" s="238" t="s">
        <v>1181</v>
      </c>
      <c r="D23" s="217" t="s">
        <v>1170</v>
      </c>
      <c r="E23" s="238" t="s">
        <v>1182</v>
      </c>
      <c r="F23" s="238" t="s">
        <v>1183</v>
      </c>
      <c r="G23" s="211" t="s">
        <v>56</v>
      </c>
      <c r="H23" s="211" t="s">
        <v>135</v>
      </c>
      <c r="I23" s="221"/>
      <c r="J23" s="221"/>
      <c r="K23" s="221"/>
      <c r="L23" s="221"/>
      <c r="M23" s="221"/>
      <c r="N23" s="221"/>
      <c r="O23" s="221"/>
      <c r="P23" s="221"/>
      <c r="Q23" s="221"/>
      <c r="R23" s="221"/>
      <c r="S23" s="238"/>
      <c r="T23" s="221"/>
      <c r="U23" s="221"/>
      <c r="V23" s="221"/>
      <c r="W23" s="221"/>
      <c r="X23" s="221"/>
      <c r="Y23" s="221"/>
      <c r="Z23" s="221"/>
      <c r="AA23" s="187"/>
      <c r="AB23" s="187"/>
      <c r="AC23" s="187"/>
      <c r="AD23" s="187"/>
      <c r="AE23" s="187"/>
      <c r="AF23" s="187"/>
      <c r="AG23" s="187"/>
      <c r="AH23" s="187"/>
      <c r="AI23" s="187"/>
      <c r="AJ23" s="187"/>
      <c r="AK23" s="187"/>
      <c r="AL23" s="187"/>
      <c r="AM23" s="187"/>
      <c r="AN23" s="187"/>
      <c r="AO23" s="187"/>
      <c r="AP23" s="187"/>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6"/>
      <c r="BO23" s="246"/>
      <c r="BP23" s="246"/>
      <c r="BQ23" s="246"/>
      <c r="BR23" s="246"/>
      <c r="BS23" s="246"/>
      <c r="BT23" s="246"/>
      <c r="BU23" s="246"/>
      <c r="BV23" s="246"/>
      <c r="BW23" s="246"/>
      <c r="BX23" s="246"/>
      <c r="BY23" s="246"/>
      <c r="BZ23" s="246"/>
      <c r="CA23" s="246"/>
      <c r="CB23" s="246"/>
      <c r="CC23" s="246"/>
      <c r="CD23" s="246"/>
      <c r="CE23" s="246"/>
      <c r="CF23" s="246"/>
      <c r="CG23" s="246"/>
      <c r="CH23" s="246"/>
      <c r="CI23" s="246"/>
      <c r="CJ23" s="246"/>
      <c r="CK23" s="246"/>
      <c r="CL23" s="246"/>
    </row>
    <row r="24">
      <c r="A24" s="424" t="s">
        <v>1184</v>
      </c>
      <c r="B24" s="144"/>
      <c r="C24" s="144"/>
      <c r="D24" s="144"/>
      <c r="E24" s="144"/>
      <c r="F24" s="167"/>
      <c r="G24" s="214"/>
      <c r="H24" s="214"/>
      <c r="I24" s="221"/>
      <c r="J24" s="221"/>
      <c r="K24" s="221"/>
      <c r="L24" s="221"/>
      <c r="M24" s="221"/>
      <c r="N24" s="221"/>
      <c r="O24" s="221"/>
      <c r="P24" s="221"/>
      <c r="Q24" s="221"/>
      <c r="R24" s="221"/>
      <c r="S24" s="238"/>
      <c r="T24" s="221"/>
      <c r="U24" s="221"/>
      <c r="V24" s="221"/>
      <c r="W24" s="221"/>
      <c r="X24" s="221"/>
      <c r="Y24" s="221"/>
      <c r="Z24" s="221"/>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6"/>
      <c r="BK24" s="246"/>
      <c r="BL24" s="246"/>
      <c r="BM24" s="246"/>
      <c r="BN24" s="246"/>
      <c r="BO24" s="246"/>
      <c r="BP24" s="246"/>
      <c r="BQ24" s="246"/>
      <c r="BR24" s="246"/>
      <c r="BS24" s="246"/>
      <c r="BT24" s="246"/>
      <c r="BU24" s="246"/>
      <c r="BV24" s="246"/>
      <c r="BW24" s="246"/>
      <c r="BX24" s="246"/>
      <c r="BY24" s="246"/>
      <c r="BZ24" s="246"/>
      <c r="CA24" s="246"/>
      <c r="CB24" s="246"/>
      <c r="CC24" s="246"/>
      <c r="CD24" s="246"/>
      <c r="CE24" s="246"/>
      <c r="CF24" s="246"/>
      <c r="CG24" s="246"/>
      <c r="CH24" s="246"/>
      <c r="CI24" s="246"/>
      <c r="CJ24" s="246"/>
      <c r="CK24" s="246"/>
      <c r="CL24" s="246"/>
    </row>
    <row r="25" outlineLevel="1">
      <c r="A25" s="213" t="str">
        <f t="shared" ref="A25:A31" si="4">IF(E25="","",$C$3&amp;"."&amp;COUNTA($E$9:E25)&amp;"")</f>
        <v>TC_06.13</v>
      </c>
      <c r="B25" s="214" t="s">
        <v>65</v>
      </c>
      <c r="C25" s="238" t="s">
        <v>1185</v>
      </c>
      <c r="D25" s="238" t="s">
        <v>1186</v>
      </c>
      <c r="E25" s="217" t="s">
        <v>1187</v>
      </c>
      <c r="F25" s="238" t="s">
        <v>1188</v>
      </c>
      <c r="G25" s="211" t="s">
        <v>56</v>
      </c>
      <c r="H25" s="211" t="s">
        <v>135</v>
      </c>
      <c r="I25" s="221"/>
      <c r="J25" s="221"/>
      <c r="K25" s="221"/>
      <c r="L25" s="221"/>
      <c r="M25" s="221"/>
      <c r="N25" s="221"/>
      <c r="O25" s="221"/>
      <c r="P25" s="221"/>
      <c r="Q25" s="221"/>
      <c r="R25" s="221"/>
      <c r="S25" s="238"/>
      <c r="T25" s="221"/>
      <c r="U25" s="221"/>
      <c r="V25" s="221"/>
      <c r="W25" s="221"/>
      <c r="X25" s="221"/>
      <c r="Y25" s="221"/>
      <c r="Z25" s="221"/>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6"/>
      <c r="BK25" s="246"/>
      <c r="BL25" s="246"/>
      <c r="BM25" s="246"/>
      <c r="BN25" s="246"/>
      <c r="BO25" s="246"/>
      <c r="BP25" s="246"/>
      <c r="BQ25" s="246"/>
      <c r="BR25" s="246"/>
      <c r="BS25" s="246"/>
      <c r="BT25" s="246"/>
      <c r="BU25" s="246"/>
      <c r="BV25" s="246"/>
      <c r="BW25" s="246"/>
      <c r="BX25" s="246"/>
      <c r="BY25" s="246"/>
      <c r="BZ25" s="246"/>
      <c r="CA25" s="246"/>
      <c r="CB25" s="246"/>
      <c r="CC25" s="246"/>
      <c r="CD25" s="246"/>
      <c r="CE25" s="246"/>
      <c r="CF25" s="246"/>
      <c r="CG25" s="246"/>
      <c r="CH25" s="246"/>
      <c r="CI25" s="246"/>
      <c r="CJ25" s="246"/>
      <c r="CK25" s="246"/>
      <c r="CL25" s="246"/>
    </row>
    <row r="26" outlineLevel="1">
      <c r="A26" s="213" t="str">
        <f t="shared" si="4"/>
        <v>TC_06.14</v>
      </c>
      <c r="B26" s="214" t="s">
        <v>65</v>
      </c>
      <c r="C26" s="238" t="s">
        <v>1189</v>
      </c>
      <c r="D26" s="238" t="s">
        <v>1190</v>
      </c>
      <c r="E26" s="217" t="s">
        <v>1191</v>
      </c>
      <c r="F26" s="238" t="s">
        <v>1192</v>
      </c>
      <c r="G26" s="211" t="s">
        <v>56</v>
      </c>
      <c r="H26" s="211" t="s">
        <v>135</v>
      </c>
      <c r="I26" s="221"/>
      <c r="J26" s="221"/>
      <c r="K26" s="221"/>
      <c r="L26" s="221"/>
      <c r="M26" s="221"/>
      <c r="N26" s="221"/>
      <c r="O26" s="221"/>
      <c r="P26" s="221"/>
      <c r="Q26" s="221"/>
      <c r="R26" s="221"/>
      <c r="S26" s="238"/>
      <c r="T26" s="221"/>
      <c r="U26" s="221"/>
      <c r="V26" s="221"/>
      <c r="W26" s="221"/>
      <c r="X26" s="221"/>
      <c r="Y26" s="221"/>
      <c r="Z26" s="221"/>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row>
    <row r="27" outlineLevel="1">
      <c r="A27" s="213" t="str">
        <f t="shared" si="4"/>
        <v>TC_06.15</v>
      </c>
      <c r="B27" s="214" t="s">
        <v>65</v>
      </c>
      <c r="C27" s="238" t="s">
        <v>1193</v>
      </c>
      <c r="D27" s="238" t="s">
        <v>1194</v>
      </c>
      <c r="E27" s="238" t="s">
        <v>1195</v>
      </c>
      <c r="F27" s="238" t="s">
        <v>1196</v>
      </c>
      <c r="G27" s="211" t="s">
        <v>56</v>
      </c>
      <c r="H27" s="211" t="s">
        <v>135</v>
      </c>
      <c r="I27" s="221"/>
      <c r="J27" s="221"/>
      <c r="K27" s="221"/>
      <c r="L27" s="221"/>
      <c r="M27" s="221"/>
      <c r="N27" s="221"/>
      <c r="O27" s="221"/>
      <c r="P27" s="221"/>
      <c r="Q27" s="221"/>
      <c r="R27" s="221"/>
      <c r="S27" s="238"/>
      <c r="T27" s="221"/>
      <c r="U27" s="221"/>
      <c r="V27" s="221"/>
      <c r="W27" s="221"/>
      <c r="X27" s="221"/>
      <c r="Y27" s="221"/>
      <c r="Z27" s="221"/>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row>
    <row r="28" outlineLevel="1">
      <c r="A28" s="213" t="str">
        <f t="shared" si="4"/>
        <v>TC_06.16</v>
      </c>
      <c r="B28" s="214" t="s">
        <v>67</v>
      </c>
      <c r="C28" s="238" t="s">
        <v>1197</v>
      </c>
      <c r="D28" s="238" t="s">
        <v>1198</v>
      </c>
      <c r="E28" s="217" t="s">
        <v>1199</v>
      </c>
      <c r="F28" s="238" t="s">
        <v>1200</v>
      </c>
      <c r="G28" s="211" t="s">
        <v>56</v>
      </c>
      <c r="H28" s="211" t="s">
        <v>135</v>
      </c>
      <c r="I28" s="221"/>
      <c r="J28" s="221"/>
      <c r="K28" s="221"/>
      <c r="L28" s="221"/>
      <c r="M28" s="221"/>
      <c r="N28" s="221"/>
      <c r="O28" s="221"/>
      <c r="P28" s="221"/>
      <c r="Q28" s="221"/>
      <c r="R28" s="221"/>
      <c r="S28" s="238"/>
      <c r="T28" s="221"/>
      <c r="U28" s="221"/>
      <c r="V28" s="221"/>
      <c r="W28" s="221"/>
      <c r="X28" s="221"/>
      <c r="Y28" s="221"/>
      <c r="Z28" s="221"/>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row>
    <row r="29" outlineLevel="1">
      <c r="A29" s="213" t="str">
        <f t="shared" si="4"/>
        <v>TC_06.17</v>
      </c>
      <c r="B29" s="214" t="s">
        <v>67</v>
      </c>
      <c r="C29" s="217" t="s">
        <v>1201</v>
      </c>
      <c r="D29" s="217" t="s">
        <v>1202</v>
      </c>
      <c r="E29" s="217" t="s">
        <v>1203</v>
      </c>
      <c r="F29" s="217" t="s">
        <v>1204</v>
      </c>
      <c r="G29" s="211" t="s">
        <v>56</v>
      </c>
      <c r="H29" s="211" t="s">
        <v>135</v>
      </c>
      <c r="I29" s="221"/>
      <c r="J29" s="221"/>
      <c r="K29" s="221"/>
      <c r="L29" s="221"/>
      <c r="M29" s="221"/>
      <c r="N29" s="221"/>
      <c r="O29" s="221"/>
      <c r="P29" s="221"/>
      <c r="Q29" s="221"/>
      <c r="R29" s="221"/>
      <c r="S29" s="238"/>
      <c r="T29" s="221"/>
      <c r="U29" s="221"/>
      <c r="V29" s="221"/>
      <c r="W29" s="221"/>
      <c r="X29" s="221"/>
      <c r="Y29" s="221"/>
      <c r="Z29" s="221"/>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row>
    <row r="30" outlineLevel="1">
      <c r="A30" s="213" t="str">
        <f t="shared" si="4"/>
        <v>TC_06.18</v>
      </c>
      <c r="B30" s="214" t="s">
        <v>67</v>
      </c>
      <c r="C30" s="238" t="s">
        <v>1205</v>
      </c>
      <c r="D30" s="238" t="s">
        <v>1206</v>
      </c>
      <c r="E30" s="238" t="s">
        <v>1207</v>
      </c>
      <c r="F30" s="238" t="s">
        <v>1208</v>
      </c>
      <c r="G30" s="211" t="s">
        <v>56</v>
      </c>
      <c r="H30" s="211" t="s">
        <v>135</v>
      </c>
      <c r="I30" s="221"/>
      <c r="J30" s="221"/>
      <c r="K30" s="221"/>
      <c r="L30" s="221"/>
      <c r="M30" s="221"/>
      <c r="N30" s="221"/>
      <c r="O30" s="221"/>
      <c r="P30" s="221"/>
      <c r="Q30" s="221"/>
      <c r="R30" s="221"/>
      <c r="S30" s="238"/>
      <c r="T30" s="221"/>
      <c r="U30" s="221"/>
      <c r="V30" s="221"/>
      <c r="W30" s="221"/>
      <c r="X30" s="221"/>
      <c r="Y30" s="221"/>
      <c r="Z30" s="221"/>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row>
    <row r="31" outlineLevel="1">
      <c r="A31" s="213" t="str">
        <f t="shared" si="4"/>
        <v>TC_06.19</v>
      </c>
      <c r="B31" s="214" t="s">
        <v>69</v>
      </c>
      <c r="C31" s="238" t="s">
        <v>1209</v>
      </c>
      <c r="D31" s="217" t="s">
        <v>1210</v>
      </c>
      <c r="E31" s="238" t="s">
        <v>1211</v>
      </c>
      <c r="F31" s="238" t="s">
        <v>1212</v>
      </c>
      <c r="G31" s="211" t="s">
        <v>56</v>
      </c>
      <c r="H31" s="211" t="s">
        <v>135</v>
      </c>
      <c r="I31" s="221"/>
      <c r="J31" s="221"/>
      <c r="K31" s="221"/>
      <c r="L31" s="221"/>
      <c r="M31" s="221"/>
      <c r="N31" s="221"/>
      <c r="O31" s="221"/>
      <c r="P31" s="221"/>
      <c r="Q31" s="221"/>
      <c r="R31" s="221"/>
      <c r="S31" s="238"/>
      <c r="T31" s="221"/>
      <c r="U31" s="221"/>
      <c r="V31" s="221"/>
      <c r="W31" s="221"/>
      <c r="X31" s="221"/>
      <c r="Y31" s="221"/>
      <c r="Z31" s="221"/>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row>
    <row r="32">
      <c r="A32" s="424" t="s">
        <v>1213</v>
      </c>
      <c r="B32" s="144"/>
      <c r="C32" s="144"/>
      <c r="D32" s="144"/>
      <c r="E32" s="144"/>
      <c r="F32" s="167"/>
      <c r="G32" s="214"/>
      <c r="H32" s="213"/>
      <c r="I32" s="221"/>
      <c r="J32" s="221"/>
      <c r="K32" s="221"/>
      <c r="L32" s="221"/>
      <c r="M32" s="221"/>
      <c r="N32" s="221"/>
      <c r="O32" s="221"/>
      <c r="P32" s="221"/>
      <c r="Q32" s="221"/>
      <c r="R32" s="221"/>
      <c r="S32" s="238"/>
      <c r="T32" s="221"/>
      <c r="U32" s="221"/>
      <c r="V32" s="221"/>
      <c r="W32" s="221"/>
      <c r="X32" s="221"/>
      <c r="Y32" s="221"/>
      <c r="Z32" s="221"/>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row>
    <row r="33" outlineLevel="1">
      <c r="A33" s="213" t="str">
        <f t="shared" ref="A33:A41" si="5">IF(E33="","",$C$3&amp;"."&amp;COUNTA($E$9:E33)&amp;"")</f>
        <v>TC_06.20</v>
      </c>
      <c r="B33" s="214" t="s">
        <v>67</v>
      </c>
      <c r="C33" s="221" t="s">
        <v>1214</v>
      </c>
      <c r="D33" s="221" t="s">
        <v>1215</v>
      </c>
      <c r="E33" s="217" t="s">
        <v>1216</v>
      </c>
      <c r="F33" s="217" t="s">
        <v>1217</v>
      </c>
      <c r="G33" s="211" t="s">
        <v>56</v>
      </c>
      <c r="H33" s="211" t="s">
        <v>135</v>
      </c>
      <c r="I33" s="221"/>
      <c r="J33" s="221"/>
      <c r="K33" s="221"/>
      <c r="L33" s="221"/>
      <c r="M33" s="221"/>
      <c r="N33" s="221"/>
      <c r="O33" s="221"/>
      <c r="P33" s="221"/>
      <c r="Q33" s="221"/>
      <c r="R33" s="221"/>
      <c r="S33" s="238"/>
      <c r="T33" s="221"/>
      <c r="U33" s="221"/>
      <c r="V33" s="221"/>
      <c r="W33" s="221"/>
      <c r="X33" s="221"/>
      <c r="Y33" s="221"/>
      <c r="Z33" s="221"/>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row>
    <row r="34" outlineLevel="1">
      <c r="A34" s="213" t="str">
        <f t="shared" si="5"/>
        <v>TC_06.21</v>
      </c>
      <c r="B34" s="214" t="s">
        <v>65</v>
      </c>
      <c r="C34" s="238" t="s">
        <v>1218</v>
      </c>
      <c r="D34" s="238" t="s">
        <v>1215</v>
      </c>
      <c r="E34" s="217" t="s">
        <v>1219</v>
      </c>
      <c r="F34" s="238" t="s">
        <v>1220</v>
      </c>
      <c r="G34" s="211" t="s">
        <v>56</v>
      </c>
      <c r="H34" s="211" t="s">
        <v>135</v>
      </c>
      <c r="I34" s="221"/>
      <c r="J34" s="221"/>
      <c r="K34" s="221"/>
      <c r="L34" s="221"/>
      <c r="M34" s="221"/>
      <c r="N34" s="221"/>
      <c r="O34" s="221"/>
      <c r="P34" s="221"/>
      <c r="Q34" s="221"/>
      <c r="R34" s="221"/>
      <c r="S34" s="238"/>
      <c r="T34" s="221"/>
      <c r="U34" s="221"/>
      <c r="V34" s="221"/>
      <c r="W34" s="221"/>
      <c r="X34" s="221"/>
      <c r="Y34" s="221"/>
      <c r="Z34" s="221"/>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row>
    <row r="35" outlineLevel="1">
      <c r="A35" s="213" t="str">
        <f t="shared" si="5"/>
        <v>TC_06.22</v>
      </c>
      <c r="B35" s="214" t="s">
        <v>65</v>
      </c>
      <c r="C35" s="238" t="s">
        <v>1221</v>
      </c>
      <c r="D35" s="238" t="s">
        <v>1222</v>
      </c>
      <c r="E35" s="217" t="s">
        <v>1223</v>
      </c>
      <c r="F35" s="238" t="s">
        <v>1224</v>
      </c>
      <c r="G35" s="211" t="s">
        <v>56</v>
      </c>
      <c r="H35" s="211" t="s">
        <v>135</v>
      </c>
      <c r="I35" s="221"/>
      <c r="J35" s="221"/>
      <c r="K35" s="221"/>
      <c r="L35" s="221"/>
      <c r="M35" s="221"/>
      <c r="N35" s="221"/>
      <c r="O35" s="221"/>
      <c r="P35" s="221"/>
      <c r="Q35" s="221"/>
      <c r="R35" s="221"/>
      <c r="S35" s="238"/>
      <c r="T35" s="221"/>
      <c r="U35" s="221"/>
      <c r="V35" s="221"/>
      <c r="W35" s="221"/>
      <c r="X35" s="221"/>
      <c r="Y35" s="221"/>
      <c r="Z35" s="221"/>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row>
    <row r="36" outlineLevel="1">
      <c r="A36" s="213" t="str">
        <f t="shared" si="5"/>
        <v>TC_06.23</v>
      </c>
      <c r="B36" s="214" t="s">
        <v>65</v>
      </c>
      <c r="C36" s="238" t="s">
        <v>1225</v>
      </c>
      <c r="D36" s="238" t="s">
        <v>1226</v>
      </c>
      <c r="E36" s="217" t="s">
        <v>1227</v>
      </c>
      <c r="F36" s="238" t="s">
        <v>1228</v>
      </c>
      <c r="G36" s="211" t="s">
        <v>56</v>
      </c>
      <c r="H36" s="211" t="s">
        <v>135</v>
      </c>
      <c r="I36" s="221"/>
      <c r="J36" s="221"/>
      <c r="K36" s="221"/>
      <c r="L36" s="221"/>
      <c r="M36" s="221"/>
      <c r="N36" s="221"/>
      <c r="O36" s="221"/>
      <c r="P36" s="221"/>
      <c r="Q36" s="221"/>
      <c r="R36" s="221"/>
      <c r="S36" s="238"/>
      <c r="T36" s="221"/>
      <c r="U36" s="221"/>
      <c r="V36" s="221"/>
      <c r="W36" s="221"/>
      <c r="X36" s="221"/>
      <c r="Y36" s="221"/>
      <c r="Z36" s="221"/>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row>
    <row r="37" outlineLevel="1">
      <c r="A37" s="213" t="str">
        <f t="shared" si="5"/>
        <v>TC_06.24</v>
      </c>
      <c r="B37" s="214" t="s">
        <v>65</v>
      </c>
      <c r="C37" s="238" t="s">
        <v>1229</v>
      </c>
      <c r="D37" s="238" t="s">
        <v>1230</v>
      </c>
      <c r="E37" s="217" t="s">
        <v>1231</v>
      </c>
      <c r="F37" s="238" t="s">
        <v>1232</v>
      </c>
      <c r="G37" s="211" t="s">
        <v>56</v>
      </c>
      <c r="H37" s="211" t="s">
        <v>135</v>
      </c>
      <c r="I37" s="221"/>
      <c r="J37" s="221"/>
      <c r="K37" s="221"/>
      <c r="L37" s="221"/>
      <c r="M37" s="221"/>
      <c r="N37" s="221"/>
      <c r="O37" s="221"/>
      <c r="P37" s="221"/>
      <c r="Q37" s="221"/>
      <c r="R37" s="221"/>
      <c r="S37" s="238"/>
      <c r="T37" s="221"/>
      <c r="U37" s="221"/>
      <c r="V37" s="221"/>
      <c r="W37" s="221"/>
      <c r="X37" s="221"/>
      <c r="Y37" s="221"/>
      <c r="Z37" s="221"/>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row>
    <row r="38" outlineLevel="1">
      <c r="A38" s="213" t="str">
        <f t="shared" si="5"/>
        <v>TC_06.25</v>
      </c>
      <c r="B38" s="214" t="s">
        <v>67</v>
      </c>
      <c r="C38" s="238" t="s">
        <v>1233</v>
      </c>
      <c r="D38" s="238" t="s">
        <v>1234</v>
      </c>
      <c r="E38" s="217" t="s">
        <v>1235</v>
      </c>
      <c r="F38" s="238" t="s">
        <v>1236</v>
      </c>
      <c r="G38" s="211" t="s">
        <v>56</v>
      </c>
      <c r="H38" s="211" t="s">
        <v>135</v>
      </c>
      <c r="I38" s="221"/>
      <c r="J38" s="221"/>
      <c r="K38" s="221"/>
      <c r="L38" s="221"/>
      <c r="M38" s="221"/>
      <c r="N38" s="221"/>
      <c r="O38" s="221"/>
      <c r="P38" s="221"/>
      <c r="Q38" s="221"/>
      <c r="R38" s="221"/>
      <c r="S38" s="238"/>
      <c r="T38" s="221"/>
      <c r="U38" s="221"/>
      <c r="V38" s="221"/>
      <c r="W38" s="221"/>
      <c r="X38" s="221"/>
      <c r="Y38" s="221"/>
      <c r="Z38" s="221"/>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row>
    <row r="39" outlineLevel="1">
      <c r="A39" s="213" t="str">
        <f t="shared" si="5"/>
        <v>TC_06.26</v>
      </c>
      <c r="B39" s="214" t="s">
        <v>67</v>
      </c>
      <c r="C39" s="238" t="s">
        <v>1237</v>
      </c>
      <c r="D39" s="238" t="s">
        <v>1238</v>
      </c>
      <c r="E39" s="217" t="s">
        <v>1239</v>
      </c>
      <c r="F39" s="238" t="s">
        <v>1240</v>
      </c>
      <c r="G39" s="211" t="s">
        <v>56</v>
      </c>
      <c r="H39" s="211" t="s">
        <v>135</v>
      </c>
      <c r="I39" s="221"/>
      <c r="J39" s="221"/>
      <c r="K39" s="221"/>
      <c r="L39" s="221"/>
      <c r="M39" s="221"/>
      <c r="N39" s="221"/>
      <c r="O39" s="221"/>
      <c r="P39" s="221"/>
      <c r="Q39" s="221"/>
      <c r="R39" s="221"/>
      <c r="S39" s="238"/>
      <c r="T39" s="221"/>
      <c r="U39" s="221"/>
      <c r="V39" s="221"/>
      <c r="W39" s="221"/>
      <c r="X39" s="221"/>
      <c r="Y39" s="221"/>
      <c r="Z39" s="221"/>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row>
    <row r="40" outlineLevel="1">
      <c r="A40" s="213" t="str">
        <f t="shared" si="5"/>
        <v>TC_06.27</v>
      </c>
      <c r="B40" s="214" t="s">
        <v>67</v>
      </c>
      <c r="C40" s="238" t="s">
        <v>1241</v>
      </c>
      <c r="D40" s="238" t="s">
        <v>1242</v>
      </c>
      <c r="E40" s="217" t="s">
        <v>1243</v>
      </c>
      <c r="F40" s="238" t="s">
        <v>1244</v>
      </c>
      <c r="G40" s="211" t="s">
        <v>56</v>
      </c>
      <c r="H40" s="211" t="s">
        <v>135</v>
      </c>
      <c r="I40" s="221"/>
      <c r="J40" s="221"/>
      <c r="K40" s="221"/>
      <c r="L40" s="221"/>
      <c r="M40" s="221"/>
      <c r="N40" s="221"/>
      <c r="O40" s="221"/>
      <c r="P40" s="221"/>
      <c r="Q40" s="221"/>
      <c r="R40" s="221"/>
      <c r="S40" s="238"/>
      <c r="T40" s="221"/>
      <c r="U40" s="221"/>
      <c r="V40" s="221"/>
      <c r="W40" s="221"/>
      <c r="X40" s="221"/>
      <c r="Y40" s="221"/>
      <c r="Z40" s="221"/>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row>
    <row r="41" outlineLevel="1">
      <c r="A41" s="213" t="str">
        <f t="shared" si="5"/>
        <v>TC_06.28</v>
      </c>
      <c r="B41" s="214" t="s">
        <v>69</v>
      </c>
      <c r="C41" s="238" t="s">
        <v>1245</v>
      </c>
      <c r="D41" s="238" t="s">
        <v>1246</v>
      </c>
      <c r="E41" s="217" t="s">
        <v>1247</v>
      </c>
      <c r="F41" s="238" t="s">
        <v>1248</v>
      </c>
      <c r="G41" s="211" t="s">
        <v>56</v>
      </c>
      <c r="H41" s="211" t="s">
        <v>135</v>
      </c>
      <c r="I41" s="221"/>
      <c r="J41" s="221"/>
      <c r="K41" s="221"/>
      <c r="L41" s="221"/>
      <c r="M41" s="221"/>
      <c r="N41" s="221"/>
      <c r="O41" s="221"/>
      <c r="P41" s="221"/>
      <c r="Q41" s="221"/>
      <c r="R41" s="221"/>
      <c r="S41" s="238"/>
      <c r="T41" s="221"/>
      <c r="U41" s="221"/>
      <c r="V41" s="221"/>
      <c r="W41" s="221"/>
      <c r="X41" s="221"/>
      <c r="Y41" s="221"/>
      <c r="Z41" s="221"/>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row>
    <row r="42">
      <c r="A42" s="424" t="s">
        <v>1249</v>
      </c>
      <c r="B42" s="144"/>
      <c r="C42" s="144"/>
      <c r="D42" s="144"/>
      <c r="E42" s="144"/>
      <c r="F42" s="167"/>
      <c r="G42" s="214"/>
      <c r="H42" s="213"/>
      <c r="I42" s="221"/>
      <c r="J42" s="221"/>
      <c r="K42" s="221"/>
      <c r="L42" s="221"/>
      <c r="M42" s="221"/>
      <c r="N42" s="221"/>
      <c r="O42" s="221"/>
      <c r="P42" s="221"/>
      <c r="Q42" s="221"/>
      <c r="R42" s="221"/>
      <c r="S42" s="238"/>
      <c r="T42" s="221"/>
      <c r="U42" s="221"/>
      <c r="V42" s="221"/>
      <c r="W42" s="221"/>
      <c r="X42" s="221"/>
      <c r="Y42" s="221"/>
      <c r="Z42" s="221"/>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row>
    <row r="43" outlineLevel="1">
      <c r="A43" s="213" t="str">
        <f t="shared" ref="A43:A60" si="6">IF(E43="","",$C$3&amp;"."&amp;COUNTA($E$9:E43)&amp;"")</f>
        <v>TC_06.29</v>
      </c>
      <c r="B43" s="214" t="s">
        <v>67</v>
      </c>
      <c r="C43" s="217" t="s">
        <v>1250</v>
      </c>
      <c r="D43" s="221" t="s">
        <v>1251</v>
      </c>
      <c r="E43" s="217" t="s">
        <v>1252</v>
      </c>
      <c r="F43" s="217" t="s">
        <v>1253</v>
      </c>
      <c r="G43" s="211" t="s">
        <v>62</v>
      </c>
      <c r="H43" s="211" t="s">
        <v>135</v>
      </c>
      <c r="I43" s="303" t="s">
        <v>1254</v>
      </c>
      <c r="J43" s="217" t="s">
        <v>660</v>
      </c>
      <c r="K43" s="221"/>
      <c r="L43" s="221"/>
      <c r="M43" s="221"/>
      <c r="N43" s="221"/>
      <c r="O43" s="221"/>
      <c r="P43" s="221"/>
      <c r="Q43" s="221"/>
      <c r="R43" s="221"/>
      <c r="S43" s="238"/>
      <c r="T43" s="221"/>
      <c r="U43" s="221"/>
      <c r="V43" s="221"/>
      <c r="W43" s="221"/>
      <c r="X43" s="221"/>
      <c r="Y43" s="221"/>
      <c r="Z43" s="221"/>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row>
    <row r="44" outlineLevel="1">
      <c r="A44" s="213" t="str">
        <f t="shared" si="6"/>
        <v>TC_06.30</v>
      </c>
      <c r="B44" s="211" t="s">
        <v>65</v>
      </c>
      <c r="C44" s="217" t="s">
        <v>1255</v>
      </c>
      <c r="D44" s="217" t="s">
        <v>1256</v>
      </c>
      <c r="E44" s="217" t="s">
        <v>1257</v>
      </c>
      <c r="F44" s="217" t="s">
        <v>1258</v>
      </c>
      <c r="G44" s="211" t="s">
        <v>56</v>
      </c>
      <c r="H44" s="211" t="s">
        <v>135</v>
      </c>
      <c r="I44" s="221"/>
      <c r="J44" s="221"/>
      <c r="K44" s="221"/>
      <c r="L44" s="221"/>
      <c r="M44" s="221"/>
      <c r="N44" s="221"/>
      <c r="O44" s="221"/>
      <c r="P44" s="221"/>
      <c r="Q44" s="221"/>
      <c r="R44" s="221"/>
      <c r="S44" s="238"/>
      <c r="T44" s="221"/>
      <c r="U44" s="221"/>
      <c r="V44" s="221"/>
      <c r="W44" s="221"/>
      <c r="X44" s="221"/>
      <c r="Y44" s="221"/>
      <c r="Z44" s="221"/>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row>
    <row r="45" outlineLevel="1">
      <c r="A45" s="213" t="str">
        <f t="shared" si="6"/>
        <v>TC_06.31</v>
      </c>
      <c r="B45" s="214" t="s">
        <v>65</v>
      </c>
      <c r="C45" s="217" t="s">
        <v>1259</v>
      </c>
      <c r="D45" s="238" t="s">
        <v>1260</v>
      </c>
      <c r="E45" s="217" t="s">
        <v>1261</v>
      </c>
      <c r="F45" s="217" t="s">
        <v>1262</v>
      </c>
      <c r="G45" s="211" t="s">
        <v>56</v>
      </c>
      <c r="H45" s="211" t="s">
        <v>135</v>
      </c>
      <c r="I45" s="221"/>
      <c r="J45" s="221"/>
      <c r="K45" s="221"/>
      <c r="L45" s="221"/>
      <c r="M45" s="221"/>
      <c r="N45" s="221"/>
      <c r="O45" s="221"/>
      <c r="P45" s="221"/>
      <c r="Q45" s="221"/>
      <c r="R45" s="221"/>
      <c r="S45" s="238"/>
      <c r="T45" s="221"/>
      <c r="U45" s="221"/>
      <c r="V45" s="221"/>
      <c r="W45" s="221"/>
      <c r="X45" s="221"/>
      <c r="Y45" s="221"/>
      <c r="Z45" s="221"/>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row>
    <row r="46" outlineLevel="1">
      <c r="A46" s="213" t="str">
        <f t="shared" si="6"/>
        <v>TC_06.32</v>
      </c>
      <c r="B46" s="214" t="s">
        <v>65</v>
      </c>
      <c r="C46" s="238" t="s">
        <v>1263</v>
      </c>
      <c r="D46" s="238" t="s">
        <v>1264</v>
      </c>
      <c r="E46" s="217" t="s">
        <v>1265</v>
      </c>
      <c r="F46" s="217" t="s">
        <v>1266</v>
      </c>
      <c r="G46" s="211" t="s">
        <v>56</v>
      </c>
      <c r="H46" s="211" t="s">
        <v>135</v>
      </c>
      <c r="I46" s="221"/>
      <c r="J46" s="221"/>
      <c r="K46" s="221"/>
      <c r="L46" s="221"/>
      <c r="M46" s="221"/>
      <c r="N46" s="221"/>
      <c r="O46" s="221"/>
      <c r="P46" s="221"/>
      <c r="Q46" s="221"/>
      <c r="R46" s="221"/>
      <c r="S46" s="238"/>
      <c r="T46" s="221"/>
      <c r="U46" s="221"/>
      <c r="V46" s="221"/>
      <c r="W46" s="221"/>
      <c r="X46" s="221"/>
      <c r="Y46" s="221"/>
      <c r="Z46" s="221"/>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row>
    <row r="47" outlineLevel="1">
      <c r="A47" s="213" t="str">
        <f t="shared" si="6"/>
        <v>TC_06.33</v>
      </c>
      <c r="B47" s="214" t="s">
        <v>65</v>
      </c>
      <c r="C47" s="217" t="s">
        <v>1267</v>
      </c>
      <c r="D47" s="238" t="s">
        <v>1264</v>
      </c>
      <c r="E47" s="217" t="s">
        <v>1268</v>
      </c>
      <c r="F47" s="217" t="s">
        <v>1269</v>
      </c>
      <c r="G47" s="211" t="s">
        <v>56</v>
      </c>
      <c r="H47" s="211" t="s">
        <v>135</v>
      </c>
      <c r="I47" s="221"/>
      <c r="J47" s="221"/>
      <c r="K47" s="221"/>
      <c r="L47" s="221"/>
      <c r="M47" s="221"/>
      <c r="N47" s="221"/>
      <c r="O47" s="221"/>
      <c r="P47" s="221"/>
      <c r="Q47" s="221"/>
      <c r="R47" s="221"/>
      <c r="S47" s="238"/>
      <c r="T47" s="221"/>
      <c r="U47" s="221"/>
      <c r="V47" s="221"/>
      <c r="W47" s="221"/>
      <c r="X47" s="221"/>
      <c r="Y47" s="221"/>
      <c r="Z47" s="221"/>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row>
    <row r="48" outlineLevel="1">
      <c r="A48" s="213" t="str">
        <f t="shared" si="6"/>
        <v>TC_06.34</v>
      </c>
      <c r="B48" s="214" t="s">
        <v>65</v>
      </c>
      <c r="C48" s="238" t="s">
        <v>1270</v>
      </c>
      <c r="D48" s="238" t="s">
        <v>1271</v>
      </c>
      <c r="E48" s="217" t="s">
        <v>1272</v>
      </c>
      <c r="F48" s="217" t="s">
        <v>1273</v>
      </c>
      <c r="G48" s="211" t="s">
        <v>56</v>
      </c>
      <c r="H48" s="211" t="s">
        <v>135</v>
      </c>
      <c r="I48" s="221"/>
      <c r="J48" s="221"/>
      <c r="K48" s="221"/>
      <c r="L48" s="221"/>
      <c r="M48" s="221"/>
      <c r="N48" s="221"/>
      <c r="O48" s="221"/>
      <c r="P48" s="221"/>
      <c r="Q48" s="221"/>
      <c r="R48" s="221"/>
      <c r="S48" s="238"/>
      <c r="T48" s="221"/>
      <c r="U48" s="221"/>
      <c r="V48" s="221"/>
      <c r="W48" s="221"/>
      <c r="X48" s="221"/>
      <c r="Y48" s="221"/>
      <c r="Z48" s="221"/>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row>
    <row r="49" outlineLevel="1">
      <c r="A49" s="213" t="str">
        <f t="shared" si="6"/>
        <v>TC_06.35</v>
      </c>
      <c r="B49" s="214" t="s">
        <v>65</v>
      </c>
      <c r="C49" s="217" t="s">
        <v>1274</v>
      </c>
      <c r="D49" s="217" t="s">
        <v>1275</v>
      </c>
      <c r="E49" s="217" t="s">
        <v>1276</v>
      </c>
      <c r="F49" s="217" t="s">
        <v>1277</v>
      </c>
      <c r="G49" s="211" t="s">
        <v>56</v>
      </c>
      <c r="H49" s="211" t="s">
        <v>135</v>
      </c>
      <c r="I49" s="221"/>
      <c r="J49" s="221"/>
      <c r="K49" s="221"/>
      <c r="L49" s="221"/>
      <c r="M49" s="221"/>
      <c r="N49" s="221"/>
      <c r="O49" s="221"/>
      <c r="P49" s="221"/>
      <c r="Q49" s="221"/>
      <c r="R49" s="221"/>
      <c r="S49" s="238"/>
      <c r="T49" s="221"/>
      <c r="U49" s="221"/>
      <c r="V49" s="221"/>
      <c r="W49" s="221"/>
      <c r="X49" s="221"/>
      <c r="Y49" s="221"/>
      <c r="Z49" s="221"/>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row>
    <row r="50" outlineLevel="1">
      <c r="A50" s="213" t="str">
        <f t="shared" si="6"/>
        <v>TC_06.36</v>
      </c>
      <c r="B50" s="214" t="s">
        <v>65</v>
      </c>
      <c r="C50" s="217" t="s">
        <v>1278</v>
      </c>
      <c r="D50" s="217" t="s">
        <v>1279</v>
      </c>
      <c r="E50" s="217" t="s">
        <v>1280</v>
      </c>
      <c r="F50" s="217" t="s">
        <v>1281</v>
      </c>
      <c r="G50" s="211" t="s">
        <v>56</v>
      </c>
      <c r="H50" s="211" t="s">
        <v>135</v>
      </c>
      <c r="I50" s="221"/>
      <c r="J50" s="221"/>
      <c r="K50" s="221"/>
      <c r="L50" s="221"/>
      <c r="M50" s="221"/>
      <c r="N50" s="221"/>
      <c r="O50" s="221"/>
      <c r="P50" s="221"/>
      <c r="Q50" s="221"/>
      <c r="R50" s="221"/>
      <c r="S50" s="238"/>
      <c r="T50" s="221"/>
      <c r="U50" s="221"/>
      <c r="V50" s="221"/>
      <c r="W50" s="221"/>
      <c r="X50" s="221"/>
      <c r="Y50" s="221"/>
      <c r="Z50" s="221"/>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row>
    <row r="51" outlineLevel="1">
      <c r="A51" s="213" t="str">
        <f t="shared" si="6"/>
        <v>TC_06.37</v>
      </c>
      <c r="B51" s="214" t="s">
        <v>65</v>
      </c>
      <c r="C51" s="217" t="s">
        <v>1282</v>
      </c>
      <c r="D51" s="238" t="s">
        <v>1283</v>
      </c>
      <c r="E51" s="217" t="s">
        <v>1284</v>
      </c>
      <c r="F51" s="217" t="s">
        <v>1285</v>
      </c>
      <c r="G51" s="211" t="s">
        <v>56</v>
      </c>
      <c r="H51" s="211" t="s">
        <v>135</v>
      </c>
      <c r="I51" s="221"/>
      <c r="J51" s="221"/>
      <c r="K51" s="221"/>
      <c r="L51" s="221"/>
      <c r="M51" s="221"/>
      <c r="N51" s="221"/>
      <c r="O51" s="221"/>
      <c r="P51" s="221"/>
      <c r="Q51" s="221"/>
      <c r="R51" s="221"/>
      <c r="S51" s="238"/>
      <c r="T51" s="221"/>
      <c r="U51" s="221"/>
      <c r="V51" s="221"/>
      <c r="W51" s="221"/>
      <c r="X51" s="221"/>
      <c r="Y51" s="221"/>
      <c r="Z51" s="221"/>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row>
    <row r="52" outlineLevel="1">
      <c r="A52" s="213" t="str">
        <f t="shared" si="6"/>
        <v>TC_06.38</v>
      </c>
      <c r="B52" s="214" t="s">
        <v>65</v>
      </c>
      <c r="C52" s="217" t="s">
        <v>1286</v>
      </c>
      <c r="D52" s="238" t="s">
        <v>1287</v>
      </c>
      <c r="E52" s="217" t="s">
        <v>1288</v>
      </c>
      <c r="F52" s="217" t="s">
        <v>1289</v>
      </c>
      <c r="G52" s="211" t="s">
        <v>56</v>
      </c>
      <c r="H52" s="211" t="s">
        <v>135</v>
      </c>
      <c r="I52" s="221"/>
      <c r="J52" s="221"/>
      <c r="K52" s="221"/>
      <c r="L52" s="221"/>
      <c r="M52" s="221"/>
      <c r="N52" s="221"/>
      <c r="O52" s="221"/>
      <c r="P52" s="221"/>
      <c r="Q52" s="221"/>
      <c r="R52" s="221"/>
      <c r="S52" s="238"/>
      <c r="T52" s="221"/>
      <c r="U52" s="221"/>
      <c r="V52" s="221"/>
      <c r="W52" s="221"/>
      <c r="X52" s="221"/>
      <c r="Y52" s="221"/>
      <c r="Z52" s="221"/>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row>
    <row r="53" outlineLevel="1">
      <c r="A53" s="213" t="str">
        <f t="shared" si="6"/>
        <v>TC_06.39</v>
      </c>
      <c r="B53" s="214" t="s">
        <v>65</v>
      </c>
      <c r="C53" s="217" t="s">
        <v>1290</v>
      </c>
      <c r="D53" s="217" t="s">
        <v>1291</v>
      </c>
      <c r="E53" s="217" t="s">
        <v>1292</v>
      </c>
      <c r="F53" s="217" t="s">
        <v>1293</v>
      </c>
      <c r="G53" s="211" t="s">
        <v>56</v>
      </c>
      <c r="H53" s="211" t="s">
        <v>135</v>
      </c>
      <c r="I53" s="221"/>
      <c r="J53" s="221"/>
      <c r="K53" s="221"/>
      <c r="L53" s="221"/>
      <c r="M53" s="221"/>
      <c r="N53" s="221"/>
      <c r="O53" s="221"/>
      <c r="P53" s="221"/>
      <c r="Q53" s="221"/>
      <c r="R53" s="221"/>
      <c r="S53" s="238"/>
      <c r="T53" s="221"/>
      <c r="U53" s="221"/>
      <c r="V53" s="221"/>
      <c r="W53" s="221"/>
      <c r="X53" s="221"/>
      <c r="Y53" s="221"/>
      <c r="Z53" s="221"/>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row>
    <row r="54" outlineLevel="1">
      <c r="A54" s="213" t="str">
        <f t="shared" si="6"/>
        <v>TC_06.40</v>
      </c>
      <c r="B54" s="214" t="s">
        <v>65</v>
      </c>
      <c r="C54" s="217" t="s">
        <v>1294</v>
      </c>
      <c r="D54" s="238" t="s">
        <v>1295</v>
      </c>
      <c r="E54" s="217" t="s">
        <v>1296</v>
      </c>
      <c r="F54" s="217" t="s">
        <v>1297</v>
      </c>
      <c r="G54" s="211" t="s">
        <v>56</v>
      </c>
      <c r="H54" s="211" t="s">
        <v>135</v>
      </c>
      <c r="I54" s="221"/>
      <c r="J54" s="221"/>
      <c r="K54" s="221"/>
      <c r="L54" s="221"/>
      <c r="M54" s="221"/>
      <c r="N54" s="221"/>
      <c r="O54" s="221"/>
      <c r="P54" s="221"/>
      <c r="Q54" s="221"/>
      <c r="R54" s="221"/>
      <c r="S54" s="238"/>
      <c r="T54" s="221"/>
      <c r="U54" s="221"/>
      <c r="V54" s="221"/>
      <c r="W54" s="221"/>
      <c r="X54" s="221"/>
      <c r="Y54" s="221"/>
      <c r="Z54" s="221"/>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row>
    <row r="55" outlineLevel="1">
      <c r="A55" s="213" t="str">
        <f t="shared" si="6"/>
        <v>TC_06.41</v>
      </c>
      <c r="B55" s="214" t="s">
        <v>65</v>
      </c>
      <c r="C55" s="238" t="s">
        <v>1298</v>
      </c>
      <c r="D55" s="238" t="s">
        <v>1283</v>
      </c>
      <c r="E55" s="217" t="s">
        <v>1299</v>
      </c>
      <c r="F55" s="238" t="s">
        <v>1300</v>
      </c>
      <c r="G55" s="211" t="s">
        <v>56</v>
      </c>
      <c r="H55" s="211" t="s">
        <v>135</v>
      </c>
      <c r="I55" s="221"/>
      <c r="J55" s="221"/>
      <c r="K55" s="221"/>
      <c r="L55" s="221"/>
      <c r="M55" s="221"/>
      <c r="N55" s="221"/>
      <c r="O55" s="221"/>
      <c r="P55" s="221"/>
      <c r="Q55" s="221"/>
      <c r="R55" s="221"/>
      <c r="S55" s="238"/>
      <c r="T55" s="221"/>
      <c r="U55" s="221"/>
      <c r="V55" s="221"/>
      <c r="W55" s="221"/>
      <c r="X55" s="221"/>
      <c r="Y55" s="221"/>
      <c r="Z55" s="221"/>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row>
    <row r="56" outlineLevel="1">
      <c r="A56" s="213" t="str">
        <f t="shared" si="6"/>
        <v>TC_06.42</v>
      </c>
      <c r="B56" s="214" t="s">
        <v>67</v>
      </c>
      <c r="C56" s="238" t="s">
        <v>1301</v>
      </c>
      <c r="D56" s="238" t="s">
        <v>1302</v>
      </c>
      <c r="E56" s="217" t="s">
        <v>1303</v>
      </c>
      <c r="F56" s="217" t="s">
        <v>1304</v>
      </c>
      <c r="G56" s="211" t="s">
        <v>56</v>
      </c>
      <c r="H56" s="211" t="s">
        <v>135</v>
      </c>
      <c r="I56" s="221"/>
      <c r="J56" s="221"/>
      <c r="K56" s="221"/>
      <c r="L56" s="221"/>
      <c r="M56" s="221"/>
      <c r="N56" s="221"/>
      <c r="O56" s="221"/>
      <c r="P56" s="221"/>
      <c r="Q56" s="221"/>
      <c r="R56" s="221"/>
      <c r="S56" s="238"/>
      <c r="T56" s="221"/>
      <c r="U56" s="221"/>
      <c r="V56" s="221"/>
      <c r="W56" s="221"/>
      <c r="X56" s="221"/>
      <c r="Y56" s="221"/>
      <c r="Z56" s="221"/>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row>
    <row r="57" outlineLevel="1">
      <c r="A57" s="213" t="str">
        <f t="shared" si="6"/>
        <v>TC_06.43</v>
      </c>
      <c r="B57" s="214" t="s">
        <v>67</v>
      </c>
      <c r="C57" s="217" t="s">
        <v>1305</v>
      </c>
      <c r="D57" s="217" t="s">
        <v>1306</v>
      </c>
      <c r="E57" s="217" t="s">
        <v>1307</v>
      </c>
      <c r="F57" s="217" t="s">
        <v>1308</v>
      </c>
      <c r="G57" s="211" t="s">
        <v>56</v>
      </c>
      <c r="H57" s="211" t="s">
        <v>135</v>
      </c>
      <c r="I57" s="221"/>
      <c r="J57" s="221"/>
      <c r="K57" s="221"/>
      <c r="L57" s="221"/>
      <c r="M57" s="221"/>
      <c r="N57" s="221"/>
      <c r="O57" s="221"/>
      <c r="P57" s="221"/>
      <c r="Q57" s="221"/>
      <c r="R57" s="221"/>
      <c r="S57" s="238"/>
      <c r="T57" s="221"/>
      <c r="U57" s="221"/>
      <c r="V57" s="221"/>
      <c r="W57" s="221"/>
      <c r="X57" s="221"/>
      <c r="Y57" s="221"/>
      <c r="Z57" s="221"/>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row>
    <row r="58" outlineLevel="1">
      <c r="A58" s="213" t="str">
        <f t="shared" si="6"/>
        <v>TC_06.44</v>
      </c>
      <c r="B58" s="214" t="s">
        <v>65</v>
      </c>
      <c r="C58" s="238" t="s">
        <v>1309</v>
      </c>
      <c r="D58" s="238" t="s">
        <v>1310</v>
      </c>
      <c r="E58" s="217" t="s">
        <v>1311</v>
      </c>
      <c r="F58" s="217" t="s">
        <v>1312</v>
      </c>
      <c r="G58" s="211" t="s">
        <v>56</v>
      </c>
      <c r="H58" s="211" t="s">
        <v>135</v>
      </c>
      <c r="I58" s="221"/>
      <c r="J58" s="221"/>
      <c r="K58" s="221"/>
      <c r="L58" s="221"/>
      <c r="M58" s="221"/>
      <c r="N58" s="221"/>
      <c r="O58" s="221"/>
      <c r="P58" s="221"/>
      <c r="Q58" s="221"/>
      <c r="R58" s="221"/>
      <c r="S58" s="238"/>
      <c r="T58" s="221"/>
      <c r="U58" s="221"/>
      <c r="V58" s="221"/>
      <c r="W58" s="221"/>
      <c r="X58" s="221"/>
      <c r="Y58" s="221"/>
      <c r="Z58" s="221"/>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row>
    <row r="59" outlineLevel="1">
      <c r="A59" s="213" t="str">
        <f t="shared" si="6"/>
        <v>TC_06.45</v>
      </c>
      <c r="B59" s="214" t="s">
        <v>67</v>
      </c>
      <c r="C59" s="217" t="s">
        <v>1313</v>
      </c>
      <c r="D59" s="217" t="s">
        <v>1314</v>
      </c>
      <c r="E59" s="217" t="s">
        <v>1315</v>
      </c>
      <c r="F59" s="217" t="s">
        <v>1316</v>
      </c>
      <c r="G59" s="211" t="s">
        <v>56</v>
      </c>
      <c r="H59" s="211" t="s">
        <v>135</v>
      </c>
      <c r="I59" s="221"/>
      <c r="J59" s="221"/>
      <c r="K59" s="221"/>
      <c r="L59" s="221"/>
      <c r="M59" s="221"/>
      <c r="N59" s="221"/>
      <c r="O59" s="221"/>
      <c r="P59" s="221"/>
      <c r="Q59" s="221"/>
      <c r="R59" s="221"/>
      <c r="S59" s="238"/>
      <c r="T59" s="221"/>
      <c r="U59" s="221"/>
      <c r="V59" s="221"/>
      <c r="W59" s="221"/>
      <c r="X59" s="221"/>
      <c r="Y59" s="221"/>
      <c r="Z59" s="221"/>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row>
    <row r="60" outlineLevel="1">
      <c r="A60" s="213" t="str">
        <f t="shared" si="6"/>
        <v>TC_06.46</v>
      </c>
      <c r="B60" s="214" t="s">
        <v>67</v>
      </c>
      <c r="C60" s="238" t="s">
        <v>1317</v>
      </c>
      <c r="D60" s="238" t="s">
        <v>1318</v>
      </c>
      <c r="E60" s="217" t="s">
        <v>1319</v>
      </c>
      <c r="F60" s="238" t="s">
        <v>1320</v>
      </c>
      <c r="G60" s="211" t="s">
        <v>56</v>
      </c>
      <c r="H60" s="211" t="s">
        <v>135</v>
      </c>
      <c r="I60" s="221"/>
      <c r="J60" s="221"/>
      <c r="K60" s="221"/>
      <c r="L60" s="221"/>
      <c r="M60" s="221"/>
      <c r="N60" s="221"/>
      <c r="O60" s="221"/>
      <c r="P60" s="221"/>
      <c r="Q60" s="221"/>
      <c r="R60" s="221"/>
      <c r="S60" s="238"/>
      <c r="T60" s="221"/>
      <c r="U60" s="221"/>
      <c r="V60" s="221"/>
      <c r="W60" s="221"/>
      <c r="X60" s="221"/>
      <c r="Y60" s="221"/>
      <c r="Z60" s="221"/>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row>
    <row r="61">
      <c r="A61" s="424" t="s">
        <v>1321</v>
      </c>
      <c r="B61" s="144"/>
      <c r="C61" s="144"/>
      <c r="D61" s="144"/>
      <c r="E61" s="144"/>
      <c r="F61" s="167"/>
      <c r="G61" s="214"/>
      <c r="H61" s="213"/>
      <c r="I61" s="221"/>
      <c r="J61" s="221"/>
      <c r="K61" s="221"/>
      <c r="L61" s="221"/>
      <c r="M61" s="221"/>
      <c r="N61" s="221"/>
      <c r="O61" s="221"/>
      <c r="P61" s="221"/>
      <c r="Q61" s="221"/>
      <c r="R61" s="221"/>
      <c r="S61" s="238"/>
      <c r="T61" s="221"/>
      <c r="U61" s="221"/>
      <c r="V61" s="221"/>
      <c r="W61" s="221"/>
      <c r="X61" s="221"/>
      <c r="Y61" s="221"/>
      <c r="Z61" s="221"/>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row>
    <row r="62" outlineLevel="1">
      <c r="A62" s="213" t="str">
        <f t="shared" ref="A62:A79" si="7">IF(E62="","",$C$3&amp;"."&amp;COUNTA($E$9:E62)&amp;"")</f>
        <v>TC_06.47</v>
      </c>
      <c r="B62" s="214" t="s">
        <v>67</v>
      </c>
      <c r="C62" s="217" t="s">
        <v>1322</v>
      </c>
      <c r="D62" s="217" t="s">
        <v>1323</v>
      </c>
      <c r="E62" s="217" t="s">
        <v>1324</v>
      </c>
      <c r="F62" s="217" t="s">
        <v>1325</v>
      </c>
      <c r="G62" s="211" t="s">
        <v>56</v>
      </c>
      <c r="H62" s="211" t="s">
        <v>135</v>
      </c>
      <c r="I62" s="221"/>
      <c r="J62" s="221"/>
      <c r="K62" s="221"/>
      <c r="L62" s="221"/>
      <c r="M62" s="221"/>
      <c r="N62" s="221"/>
      <c r="O62" s="221"/>
      <c r="P62" s="221"/>
      <c r="Q62" s="221"/>
      <c r="R62" s="221"/>
      <c r="S62" s="238"/>
      <c r="T62" s="221"/>
      <c r="U62" s="221"/>
      <c r="V62" s="221"/>
      <c r="W62" s="221"/>
      <c r="X62" s="221"/>
      <c r="Y62" s="221"/>
      <c r="Z62" s="221"/>
      <c r="AA62" s="222"/>
      <c r="AB62" s="222"/>
      <c r="AC62" s="222"/>
      <c r="AD62" s="222"/>
      <c r="AE62" s="222"/>
      <c r="AF62" s="222"/>
      <c r="AG62" s="222"/>
      <c r="AH62" s="222"/>
      <c r="AI62" s="222"/>
      <c r="AJ62" s="222"/>
      <c r="AK62" s="222"/>
      <c r="AL62" s="222"/>
      <c r="AM62" s="222"/>
      <c r="AN62" s="222"/>
      <c r="AO62" s="222"/>
      <c r="AP62" s="222"/>
      <c r="AQ62" s="222"/>
      <c r="AR62" s="222"/>
      <c r="AS62" s="222"/>
      <c r="AT62" s="222"/>
      <c r="AU62" s="222"/>
      <c r="AV62" s="222"/>
      <c r="AW62" s="222"/>
      <c r="AX62" s="222"/>
      <c r="AY62" s="222"/>
      <c r="AZ62" s="222"/>
      <c r="BA62" s="222"/>
      <c r="BB62" s="222"/>
      <c r="BC62" s="222"/>
      <c r="BD62" s="222"/>
      <c r="BE62" s="222"/>
      <c r="BF62" s="222"/>
      <c r="BG62" s="222"/>
      <c r="BH62" s="222"/>
      <c r="BI62" s="222"/>
      <c r="BJ62" s="222"/>
      <c r="BK62" s="222"/>
      <c r="BL62" s="222"/>
      <c r="BM62" s="222"/>
      <c r="BN62" s="222"/>
      <c r="BO62" s="222"/>
      <c r="BP62" s="222"/>
      <c r="BQ62" s="222"/>
      <c r="BR62" s="222"/>
      <c r="BS62" s="222"/>
      <c r="BT62" s="222"/>
      <c r="BU62" s="222"/>
      <c r="BV62" s="222"/>
      <c r="BW62" s="222"/>
      <c r="BX62" s="222"/>
      <c r="BY62" s="222"/>
      <c r="BZ62" s="222"/>
      <c r="CA62" s="222"/>
      <c r="CB62" s="222"/>
      <c r="CC62" s="222"/>
      <c r="CD62" s="222"/>
      <c r="CE62" s="222"/>
      <c r="CF62" s="222"/>
      <c r="CG62" s="222"/>
      <c r="CH62" s="222"/>
      <c r="CI62" s="222"/>
      <c r="CJ62" s="222"/>
      <c r="CK62" s="222"/>
      <c r="CL62" s="222"/>
    </row>
    <row r="63" outlineLevel="1">
      <c r="A63" s="213" t="str">
        <f t="shared" si="7"/>
        <v>TC_06.48</v>
      </c>
      <c r="B63" s="211" t="s">
        <v>65</v>
      </c>
      <c r="C63" s="217" t="s">
        <v>1326</v>
      </c>
      <c r="D63" s="217" t="s">
        <v>1327</v>
      </c>
      <c r="E63" s="217" t="s">
        <v>1328</v>
      </c>
      <c r="F63" s="217" t="s">
        <v>1329</v>
      </c>
      <c r="G63" s="211" t="s">
        <v>56</v>
      </c>
      <c r="H63" s="211" t="s">
        <v>135</v>
      </c>
      <c r="I63" s="221"/>
      <c r="J63" s="221"/>
      <c r="K63" s="221"/>
      <c r="L63" s="221"/>
      <c r="M63" s="221"/>
      <c r="N63" s="221"/>
      <c r="O63" s="221"/>
      <c r="P63" s="221"/>
      <c r="Q63" s="221"/>
      <c r="R63" s="221"/>
      <c r="S63" s="238"/>
      <c r="T63" s="221"/>
      <c r="U63" s="221"/>
      <c r="V63" s="221"/>
      <c r="W63" s="221"/>
      <c r="X63" s="221"/>
      <c r="Y63" s="221"/>
      <c r="Z63" s="221"/>
      <c r="AA63" s="222"/>
      <c r="AB63" s="222"/>
      <c r="AC63" s="222"/>
      <c r="AD63" s="222"/>
      <c r="AE63" s="222"/>
      <c r="AF63" s="222"/>
      <c r="AG63" s="222"/>
      <c r="AH63" s="222"/>
      <c r="AI63" s="222"/>
      <c r="AJ63" s="222"/>
      <c r="AK63" s="222"/>
      <c r="AL63" s="222"/>
      <c r="AM63" s="222"/>
      <c r="AN63" s="222"/>
      <c r="AO63" s="222"/>
      <c r="AP63" s="222"/>
      <c r="AQ63" s="222"/>
      <c r="AR63" s="222"/>
      <c r="AS63" s="222"/>
      <c r="AT63" s="222"/>
      <c r="AU63" s="222"/>
      <c r="AV63" s="222"/>
      <c r="AW63" s="222"/>
      <c r="AX63" s="222"/>
      <c r="AY63" s="222"/>
      <c r="AZ63" s="222"/>
      <c r="BA63" s="222"/>
      <c r="BB63" s="222"/>
      <c r="BC63" s="222"/>
      <c r="BD63" s="222"/>
      <c r="BE63" s="222"/>
      <c r="BF63" s="222"/>
      <c r="BG63" s="222"/>
      <c r="BH63" s="222"/>
      <c r="BI63" s="222"/>
      <c r="BJ63" s="222"/>
      <c r="BK63" s="222"/>
      <c r="BL63" s="222"/>
      <c r="BM63" s="222"/>
      <c r="BN63" s="222"/>
      <c r="BO63" s="222"/>
      <c r="BP63" s="222"/>
      <c r="BQ63" s="222"/>
      <c r="BR63" s="222"/>
      <c r="BS63" s="222"/>
      <c r="BT63" s="222"/>
      <c r="BU63" s="222"/>
      <c r="BV63" s="222"/>
      <c r="BW63" s="222"/>
      <c r="BX63" s="222"/>
      <c r="BY63" s="222"/>
      <c r="BZ63" s="222"/>
      <c r="CA63" s="222"/>
      <c r="CB63" s="222"/>
      <c r="CC63" s="222"/>
      <c r="CD63" s="222"/>
      <c r="CE63" s="222"/>
      <c r="CF63" s="222"/>
      <c r="CG63" s="222"/>
      <c r="CH63" s="222"/>
      <c r="CI63" s="222"/>
      <c r="CJ63" s="222"/>
      <c r="CK63" s="222"/>
      <c r="CL63" s="222"/>
    </row>
    <row r="64" outlineLevel="1">
      <c r="A64" s="213" t="str">
        <f t="shared" si="7"/>
        <v>TC_06.49</v>
      </c>
      <c r="B64" s="214" t="s">
        <v>65</v>
      </c>
      <c r="C64" s="217" t="s">
        <v>1330</v>
      </c>
      <c r="D64" s="217" t="s">
        <v>1331</v>
      </c>
      <c r="E64" s="217" t="s">
        <v>1332</v>
      </c>
      <c r="F64" s="217" t="s">
        <v>1333</v>
      </c>
      <c r="G64" s="211" t="s">
        <v>56</v>
      </c>
      <c r="H64" s="211" t="s">
        <v>135</v>
      </c>
      <c r="I64" s="221"/>
      <c r="J64" s="221"/>
      <c r="K64" s="221"/>
      <c r="L64" s="221"/>
      <c r="M64" s="221"/>
      <c r="N64" s="221"/>
      <c r="O64" s="221"/>
      <c r="P64" s="221"/>
      <c r="Q64" s="221"/>
      <c r="R64" s="221"/>
      <c r="S64" s="238"/>
      <c r="T64" s="221"/>
      <c r="U64" s="221"/>
      <c r="V64" s="221"/>
      <c r="W64" s="221"/>
      <c r="X64" s="221"/>
      <c r="Y64" s="221"/>
      <c r="Z64" s="221"/>
      <c r="AA64" s="222"/>
      <c r="AB64" s="222"/>
      <c r="AC64" s="222"/>
      <c r="AD64" s="222"/>
      <c r="AE64" s="222"/>
      <c r="AF64" s="222"/>
      <c r="AG64" s="222"/>
      <c r="AH64" s="222"/>
      <c r="AI64" s="222"/>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c r="BG64" s="222"/>
      <c r="BH64" s="222"/>
      <c r="BI64" s="222"/>
      <c r="BJ64" s="222"/>
      <c r="BK64" s="222"/>
      <c r="BL64" s="222"/>
      <c r="BM64" s="222"/>
      <c r="BN64" s="222"/>
      <c r="BO64" s="222"/>
      <c r="BP64" s="222"/>
      <c r="BQ64" s="222"/>
      <c r="BR64" s="222"/>
      <c r="BS64" s="222"/>
      <c r="BT64" s="222"/>
      <c r="BU64" s="222"/>
      <c r="BV64" s="222"/>
      <c r="BW64" s="222"/>
      <c r="BX64" s="222"/>
      <c r="BY64" s="222"/>
      <c r="BZ64" s="222"/>
      <c r="CA64" s="222"/>
      <c r="CB64" s="222"/>
      <c r="CC64" s="222"/>
      <c r="CD64" s="222"/>
      <c r="CE64" s="222"/>
      <c r="CF64" s="222"/>
      <c r="CG64" s="222"/>
      <c r="CH64" s="222"/>
      <c r="CI64" s="222"/>
      <c r="CJ64" s="222"/>
      <c r="CK64" s="222"/>
      <c r="CL64" s="222"/>
    </row>
    <row r="65" outlineLevel="1">
      <c r="A65" s="213" t="str">
        <f t="shared" si="7"/>
        <v>TC_06.50</v>
      </c>
      <c r="B65" s="214" t="s">
        <v>65</v>
      </c>
      <c r="C65" s="217" t="s">
        <v>1334</v>
      </c>
      <c r="D65" s="217" t="s">
        <v>1335</v>
      </c>
      <c r="E65" s="217" t="s">
        <v>1336</v>
      </c>
      <c r="F65" s="217" t="s">
        <v>1266</v>
      </c>
      <c r="G65" s="211" t="s">
        <v>56</v>
      </c>
      <c r="H65" s="211" t="s">
        <v>135</v>
      </c>
      <c r="I65" s="221"/>
      <c r="J65" s="221"/>
      <c r="K65" s="221"/>
      <c r="L65" s="221"/>
      <c r="M65" s="221"/>
      <c r="N65" s="221"/>
      <c r="O65" s="221"/>
      <c r="P65" s="221"/>
      <c r="Q65" s="221"/>
      <c r="R65" s="221"/>
      <c r="S65" s="238"/>
      <c r="T65" s="221"/>
      <c r="U65" s="221"/>
      <c r="V65" s="221"/>
      <c r="W65" s="221"/>
      <c r="X65" s="221"/>
      <c r="Y65" s="221"/>
      <c r="Z65" s="221"/>
      <c r="AA65" s="222"/>
      <c r="AB65" s="222"/>
      <c r="AC65" s="222"/>
      <c r="AD65" s="222"/>
      <c r="AE65" s="222"/>
      <c r="AF65" s="222"/>
      <c r="AG65" s="222"/>
      <c r="AH65" s="222"/>
      <c r="AI65" s="222"/>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c r="BF65" s="222"/>
      <c r="BG65" s="222"/>
      <c r="BH65" s="222"/>
      <c r="BI65" s="222"/>
      <c r="BJ65" s="222"/>
      <c r="BK65" s="222"/>
      <c r="BL65" s="222"/>
      <c r="BM65" s="222"/>
      <c r="BN65" s="222"/>
      <c r="BO65" s="222"/>
      <c r="BP65" s="222"/>
      <c r="BQ65" s="222"/>
      <c r="BR65" s="222"/>
      <c r="BS65" s="222"/>
      <c r="BT65" s="222"/>
      <c r="BU65" s="222"/>
      <c r="BV65" s="222"/>
      <c r="BW65" s="222"/>
      <c r="BX65" s="222"/>
      <c r="BY65" s="222"/>
      <c r="BZ65" s="222"/>
      <c r="CA65" s="222"/>
      <c r="CB65" s="222"/>
      <c r="CC65" s="222"/>
      <c r="CD65" s="222"/>
      <c r="CE65" s="222"/>
      <c r="CF65" s="222"/>
      <c r="CG65" s="222"/>
      <c r="CH65" s="222"/>
      <c r="CI65" s="222"/>
      <c r="CJ65" s="222"/>
      <c r="CK65" s="222"/>
      <c r="CL65" s="222"/>
    </row>
    <row r="66" outlineLevel="1">
      <c r="A66" s="213" t="str">
        <f t="shared" si="7"/>
        <v>TC_06.51</v>
      </c>
      <c r="B66" s="214" t="s">
        <v>65</v>
      </c>
      <c r="C66" s="217" t="s">
        <v>1337</v>
      </c>
      <c r="D66" s="217" t="s">
        <v>1335</v>
      </c>
      <c r="E66" s="217" t="s">
        <v>1338</v>
      </c>
      <c r="F66" s="217" t="s">
        <v>1269</v>
      </c>
      <c r="G66" s="211" t="s">
        <v>56</v>
      </c>
      <c r="H66" s="211" t="s">
        <v>135</v>
      </c>
      <c r="I66" s="221"/>
      <c r="J66" s="221"/>
      <c r="K66" s="221"/>
      <c r="L66" s="221"/>
      <c r="M66" s="221"/>
      <c r="N66" s="221"/>
      <c r="O66" s="221"/>
      <c r="P66" s="221"/>
      <c r="Q66" s="221"/>
      <c r="R66" s="221"/>
      <c r="S66" s="238"/>
      <c r="T66" s="221"/>
      <c r="U66" s="221"/>
      <c r="V66" s="221"/>
      <c r="W66" s="221"/>
      <c r="X66" s="221"/>
      <c r="Y66" s="221"/>
      <c r="Z66" s="221"/>
      <c r="AA66" s="222"/>
      <c r="AB66" s="222"/>
      <c r="AC66" s="222"/>
      <c r="AD66" s="222"/>
      <c r="AE66" s="222"/>
      <c r="AF66" s="222"/>
      <c r="AG66" s="222"/>
      <c r="AH66" s="222"/>
      <c r="AI66" s="222"/>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c r="BG66" s="222"/>
      <c r="BH66" s="222"/>
      <c r="BI66" s="222"/>
      <c r="BJ66" s="222"/>
      <c r="BK66" s="222"/>
      <c r="BL66" s="222"/>
      <c r="BM66" s="222"/>
      <c r="BN66" s="222"/>
      <c r="BO66" s="222"/>
      <c r="BP66" s="222"/>
      <c r="BQ66" s="222"/>
      <c r="BR66" s="222"/>
      <c r="BS66" s="222"/>
      <c r="BT66" s="222"/>
      <c r="BU66" s="222"/>
      <c r="BV66" s="222"/>
      <c r="BW66" s="222"/>
      <c r="BX66" s="222"/>
      <c r="BY66" s="222"/>
      <c r="BZ66" s="222"/>
      <c r="CA66" s="222"/>
      <c r="CB66" s="222"/>
      <c r="CC66" s="222"/>
      <c r="CD66" s="222"/>
      <c r="CE66" s="222"/>
      <c r="CF66" s="222"/>
      <c r="CG66" s="222"/>
      <c r="CH66" s="222"/>
      <c r="CI66" s="222"/>
      <c r="CJ66" s="222"/>
      <c r="CK66" s="222"/>
      <c r="CL66" s="222"/>
    </row>
    <row r="67" outlineLevel="1">
      <c r="A67" s="213" t="str">
        <f t="shared" si="7"/>
        <v>TC_06.52</v>
      </c>
      <c r="B67" s="214" t="s">
        <v>65</v>
      </c>
      <c r="C67" s="217" t="s">
        <v>1339</v>
      </c>
      <c r="D67" s="217" t="s">
        <v>1340</v>
      </c>
      <c r="E67" s="217" t="s">
        <v>1341</v>
      </c>
      <c r="F67" s="217" t="s">
        <v>1342</v>
      </c>
      <c r="G67" s="211" t="s">
        <v>56</v>
      </c>
      <c r="H67" s="211" t="s">
        <v>135</v>
      </c>
      <c r="I67" s="221"/>
      <c r="J67" s="221"/>
      <c r="K67" s="221"/>
      <c r="L67" s="221"/>
      <c r="M67" s="221"/>
      <c r="N67" s="221"/>
      <c r="O67" s="221"/>
      <c r="P67" s="221"/>
      <c r="Q67" s="221"/>
      <c r="R67" s="221"/>
      <c r="S67" s="238"/>
      <c r="T67" s="221"/>
      <c r="U67" s="221"/>
      <c r="V67" s="221"/>
      <c r="W67" s="221"/>
      <c r="X67" s="221"/>
      <c r="Y67" s="221"/>
      <c r="Z67" s="221"/>
      <c r="AA67" s="222"/>
      <c r="AB67" s="222"/>
      <c r="AC67" s="222"/>
      <c r="AD67" s="222"/>
      <c r="AE67" s="222"/>
      <c r="AF67" s="222"/>
      <c r="AG67" s="222"/>
      <c r="AH67" s="222"/>
      <c r="AI67" s="222"/>
      <c r="AJ67" s="222"/>
      <c r="AK67" s="222"/>
      <c r="AL67" s="222"/>
      <c r="AM67" s="222"/>
      <c r="AN67" s="222"/>
      <c r="AO67" s="222"/>
      <c r="AP67" s="222"/>
      <c r="AQ67" s="222"/>
      <c r="AR67" s="222"/>
      <c r="AS67" s="222"/>
      <c r="AT67" s="222"/>
      <c r="AU67" s="222"/>
      <c r="AV67" s="222"/>
      <c r="AW67" s="222"/>
      <c r="AX67" s="222"/>
      <c r="AY67" s="222"/>
      <c r="AZ67" s="222"/>
      <c r="BA67" s="222"/>
      <c r="BB67" s="222"/>
      <c r="BC67" s="222"/>
      <c r="BD67" s="222"/>
      <c r="BE67" s="222"/>
      <c r="BF67" s="222"/>
      <c r="BG67" s="222"/>
      <c r="BH67" s="222"/>
      <c r="BI67" s="222"/>
      <c r="BJ67" s="222"/>
      <c r="BK67" s="222"/>
      <c r="BL67" s="222"/>
      <c r="BM67" s="222"/>
      <c r="BN67" s="222"/>
      <c r="BO67" s="222"/>
      <c r="BP67" s="222"/>
      <c r="BQ67" s="222"/>
      <c r="BR67" s="222"/>
      <c r="BS67" s="222"/>
      <c r="BT67" s="222"/>
      <c r="BU67" s="222"/>
      <c r="BV67" s="222"/>
      <c r="BW67" s="222"/>
      <c r="BX67" s="222"/>
      <c r="BY67" s="222"/>
      <c r="BZ67" s="222"/>
      <c r="CA67" s="222"/>
      <c r="CB67" s="222"/>
      <c r="CC67" s="222"/>
      <c r="CD67" s="222"/>
      <c r="CE67" s="222"/>
      <c r="CF67" s="222"/>
      <c r="CG67" s="222"/>
      <c r="CH67" s="222"/>
      <c r="CI67" s="222"/>
      <c r="CJ67" s="222"/>
      <c r="CK67" s="222"/>
      <c r="CL67" s="222"/>
    </row>
    <row r="68" outlineLevel="1">
      <c r="A68" s="213" t="str">
        <f t="shared" si="7"/>
        <v>TC_06.53</v>
      </c>
      <c r="B68" s="214" t="s">
        <v>65</v>
      </c>
      <c r="C68" s="217" t="s">
        <v>1343</v>
      </c>
      <c r="D68" s="217" t="s">
        <v>1344</v>
      </c>
      <c r="E68" s="217" t="s">
        <v>1345</v>
      </c>
      <c r="F68" s="217" t="s">
        <v>1277</v>
      </c>
      <c r="G68" s="211" t="s">
        <v>56</v>
      </c>
      <c r="H68" s="211" t="s">
        <v>135</v>
      </c>
      <c r="I68" s="221"/>
      <c r="J68" s="221"/>
      <c r="K68" s="221"/>
      <c r="L68" s="221"/>
      <c r="M68" s="221"/>
      <c r="N68" s="221"/>
      <c r="O68" s="221"/>
      <c r="P68" s="221"/>
      <c r="Q68" s="221"/>
      <c r="R68" s="221"/>
      <c r="S68" s="238"/>
      <c r="T68" s="221"/>
      <c r="U68" s="221"/>
      <c r="V68" s="221"/>
      <c r="W68" s="221"/>
      <c r="X68" s="221"/>
      <c r="Y68" s="221"/>
      <c r="Z68" s="221"/>
      <c r="AA68" s="222"/>
      <c r="AB68" s="222"/>
      <c r="AC68" s="222"/>
      <c r="AD68" s="222"/>
      <c r="AE68" s="222"/>
      <c r="AF68" s="222"/>
      <c r="AG68" s="222"/>
      <c r="AH68" s="222"/>
      <c r="AI68" s="222"/>
      <c r="AJ68" s="222"/>
      <c r="AK68" s="222"/>
      <c r="AL68" s="222"/>
      <c r="AM68" s="222"/>
      <c r="AN68" s="222"/>
      <c r="AO68" s="222"/>
      <c r="AP68" s="222"/>
      <c r="AQ68" s="222"/>
      <c r="AR68" s="222"/>
      <c r="AS68" s="222"/>
      <c r="AT68" s="222"/>
      <c r="AU68" s="222"/>
      <c r="AV68" s="222"/>
      <c r="AW68" s="222"/>
      <c r="AX68" s="222"/>
      <c r="AY68" s="222"/>
      <c r="AZ68" s="222"/>
      <c r="BA68" s="222"/>
      <c r="BB68" s="222"/>
      <c r="BC68" s="222"/>
      <c r="BD68" s="222"/>
      <c r="BE68" s="222"/>
      <c r="BF68" s="222"/>
      <c r="BG68" s="222"/>
      <c r="BH68" s="222"/>
      <c r="BI68" s="222"/>
      <c r="BJ68" s="222"/>
      <c r="BK68" s="222"/>
      <c r="BL68" s="222"/>
      <c r="BM68" s="222"/>
      <c r="BN68" s="222"/>
      <c r="BO68" s="222"/>
      <c r="BP68" s="222"/>
      <c r="BQ68" s="222"/>
      <c r="BR68" s="222"/>
      <c r="BS68" s="222"/>
      <c r="BT68" s="222"/>
      <c r="BU68" s="222"/>
      <c r="BV68" s="222"/>
      <c r="BW68" s="222"/>
      <c r="BX68" s="222"/>
      <c r="BY68" s="222"/>
      <c r="BZ68" s="222"/>
      <c r="CA68" s="222"/>
      <c r="CB68" s="222"/>
      <c r="CC68" s="222"/>
      <c r="CD68" s="222"/>
      <c r="CE68" s="222"/>
      <c r="CF68" s="222"/>
      <c r="CG68" s="222"/>
      <c r="CH68" s="222"/>
      <c r="CI68" s="222"/>
      <c r="CJ68" s="222"/>
      <c r="CK68" s="222"/>
      <c r="CL68" s="222"/>
    </row>
    <row r="69" outlineLevel="1">
      <c r="A69" s="213" t="str">
        <f t="shared" si="7"/>
        <v>TC_06.54</v>
      </c>
      <c r="B69" s="214" t="s">
        <v>65</v>
      </c>
      <c r="C69" s="217" t="s">
        <v>1346</v>
      </c>
      <c r="D69" s="217" t="s">
        <v>1347</v>
      </c>
      <c r="E69" s="217" t="s">
        <v>1348</v>
      </c>
      <c r="F69" s="217" t="s">
        <v>1281</v>
      </c>
      <c r="G69" s="211" t="s">
        <v>56</v>
      </c>
      <c r="H69" s="211" t="s">
        <v>135</v>
      </c>
      <c r="I69" s="221"/>
      <c r="J69" s="221"/>
      <c r="K69" s="221"/>
      <c r="L69" s="221"/>
      <c r="M69" s="221"/>
      <c r="N69" s="221"/>
      <c r="O69" s="221"/>
      <c r="P69" s="221"/>
      <c r="Q69" s="221"/>
      <c r="R69" s="221"/>
      <c r="S69" s="238"/>
      <c r="T69" s="221"/>
      <c r="U69" s="221"/>
      <c r="V69" s="221"/>
      <c r="W69" s="221"/>
      <c r="X69" s="221"/>
      <c r="Y69" s="221"/>
      <c r="Z69" s="221"/>
      <c r="AA69" s="222"/>
      <c r="AB69" s="222"/>
      <c r="AC69" s="222"/>
      <c r="AD69" s="222"/>
      <c r="AE69" s="222"/>
      <c r="AF69" s="222"/>
      <c r="AG69" s="222"/>
      <c r="AH69" s="222"/>
      <c r="AI69" s="222"/>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c r="BG69" s="222"/>
      <c r="BH69" s="222"/>
      <c r="BI69" s="222"/>
      <c r="BJ69" s="222"/>
      <c r="BK69" s="222"/>
      <c r="BL69" s="222"/>
      <c r="BM69" s="222"/>
      <c r="BN69" s="222"/>
      <c r="BO69" s="222"/>
      <c r="BP69" s="222"/>
      <c r="BQ69" s="222"/>
      <c r="BR69" s="222"/>
      <c r="BS69" s="222"/>
      <c r="BT69" s="222"/>
      <c r="BU69" s="222"/>
      <c r="BV69" s="222"/>
      <c r="BW69" s="222"/>
      <c r="BX69" s="222"/>
      <c r="BY69" s="222"/>
      <c r="BZ69" s="222"/>
      <c r="CA69" s="222"/>
      <c r="CB69" s="222"/>
      <c r="CC69" s="222"/>
      <c r="CD69" s="222"/>
      <c r="CE69" s="222"/>
      <c r="CF69" s="222"/>
      <c r="CG69" s="222"/>
      <c r="CH69" s="222"/>
      <c r="CI69" s="222"/>
      <c r="CJ69" s="222"/>
      <c r="CK69" s="222"/>
      <c r="CL69" s="222"/>
    </row>
    <row r="70" outlineLevel="1">
      <c r="A70" s="213" t="str">
        <f t="shared" si="7"/>
        <v>TC_06.55</v>
      </c>
      <c r="B70" s="214" t="s">
        <v>65</v>
      </c>
      <c r="C70" s="217" t="s">
        <v>1349</v>
      </c>
      <c r="D70" s="217" t="s">
        <v>1350</v>
      </c>
      <c r="E70" s="217" t="s">
        <v>1351</v>
      </c>
      <c r="F70" s="217" t="s">
        <v>1285</v>
      </c>
      <c r="G70" s="211" t="s">
        <v>56</v>
      </c>
      <c r="H70" s="211" t="s">
        <v>135</v>
      </c>
      <c r="I70" s="221"/>
      <c r="J70" s="221"/>
      <c r="K70" s="221"/>
      <c r="L70" s="221"/>
      <c r="M70" s="221"/>
      <c r="N70" s="221"/>
      <c r="O70" s="221"/>
      <c r="P70" s="221"/>
      <c r="Q70" s="221"/>
      <c r="R70" s="221"/>
      <c r="S70" s="238"/>
      <c r="T70" s="221"/>
      <c r="U70" s="221"/>
      <c r="V70" s="221"/>
      <c r="W70" s="221"/>
      <c r="X70" s="221"/>
      <c r="Y70" s="221"/>
      <c r="Z70" s="221"/>
      <c r="AA70" s="222"/>
      <c r="AB70" s="222"/>
      <c r="AC70" s="222"/>
      <c r="AD70" s="222"/>
      <c r="AE70" s="222"/>
      <c r="AF70" s="222"/>
      <c r="AG70" s="222"/>
      <c r="AH70" s="222"/>
      <c r="AI70" s="222"/>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c r="BF70" s="222"/>
      <c r="BG70" s="222"/>
      <c r="BH70" s="222"/>
      <c r="BI70" s="222"/>
      <c r="BJ70" s="222"/>
      <c r="BK70" s="222"/>
      <c r="BL70" s="222"/>
      <c r="BM70" s="222"/>
      <c r="BN70" s="222"/>
      <c r="BO70" s="222"/>
      <c r="BP70" s="222"/>
      <c r="BQ70" s="222"/>
      <c r="BR70" s="222"/>
      <c r="BS70" s="222"/>
      <c r="BT70" s="222"/>
      <c r="BU70" s="222"/>
      <c r="BV70" s="222"/>
      <c r="BW70" s="222"/>
      <c r="BX70" s="222"/>
      <c r="BY70" s="222"/>
      <c r="BZ70" s="222"/>
      <c r="CA70" s="222"/>
      <c r="CB70" s="222"/>
      <c r="CC70" s="222"/>
      <c r="CD70" s="222"/>
      <c r="CE70" s="222"/>
      <c r="CF70" s="222"/>
      <c r="CG70" s="222"/>
      <c r="CH70" s="222"/>
      <c r="CI70" s="222"/>
      <c r="CJ70" s="222"/>
      <c r="CK70" s="222"/>
      <c r="CL70" s="222"/>
    </row>
    <row r="71" outlineLevel="1">
      <c r="A71" s="213" t="str">
        <f t="shared" si="7"/>
        <v>TC_06.56</v>
      </c>
      <c r="B71" s="214" t="s">
        <v>65</v>
      </c>
      <c r="C71" s="217" t="s">
        <v>1352</v>
      </c>
      <c r="D71" s="217" t="s">
        <v>1353</v>
      </c>
      <c r="E71" s="217" t="s">
        <v>1354</v>
      </c>
      <c r="F71" s="217" t="s">
        <v>1355</v>
      </c>
      <c r="G71" s="211" t="s">
        <v>56</v>
      </c>
      <c r="H71" s="211" t="s">
        <v>135</v>
      </c>
      <c r="I71" s="221"/>
      <c r="J71" s="221"/>
      <c r="K71" s="221"/>
      <c r="L71" s="221"/>
      <c r="M71" s="221"/>
      <c r="N71" s="221"/>
      <c r="O71" s="221"/>
      <c r="P71" s="221"/>
      <c r="Q71" s="221"/>
      <c r="R71" s="221"/>
      <c r="S71" s="238"/>
      <c r="T71" s="221"/>
      <c r="U71" s="221"/>
      <c r="V71" s="221"/>
      <c r="W71" s="221"/>
      <c r="X71" s="221"/>
      <c r="Y71" s="221"/>
      <c r="Z71" s="221"/>
      <c r="AA71" s="396"/>
      <c r="AB71" s="396"/>
      <c r="AC71" s="396"/>
      <c r="AD71" s="396"/>
      <c r="AE71" s="396"/>
      <c r="AF71" s="396"/>
      <c r="AG71" s="396"/>
      <c r="AH71" s="396"/>
      <c r="AI71" s="396"/>
      <c r="AJ71" s="396"/>
      <c r="AK71" s="396"/>
      <c r="AL71" s="396"/>
      <c r="AM71" s="396"/>
      <c r="AN71" s="396"/>
      <c r="AO71" s="396"/>
      <c r="AP71" s="396"/>
      <c r="AQ71" s="396"/>
      <c r="AR71" s="396"/>
      <c r="AS71" s="396"/>
      <c r="AT71" s="396"/>
      <c r="AU71" s="396"/>
      <c r="AV71" s="396"/>
      <c r="AW71" s="396"/>
      <c r="AX71" s="396"/>
      <c r="AY71" s="396"/>
      <c r="AZ71" s="396"/>
      <c r="BA71" s="396"/>
      <c r="BB71" s="396"/>
      <c r="BC71" s="396"/>
      <c r="BD71" s="396"/>
      <c r="BE71" s="396"/>
      <c r="BF71" s="396"/>
      <c r="BG71" s="396"/>
      <c r="BH71" s="396"/>
      <c r="BI71" s="396"/>
      <c r="BJ71" s="396"/>
      <c r="BK71" s="396"/>
      <c r="BL71" s="396"/>
      <c r="BM71" s="396"/>
      <c r="BN71" s="396"/>
      <c r="BO71" s="396"/>
      <c r="BP71" s="396"/>
      <c r="BQ71" s="396"/>
      <c r="BR71" s="396"/>
      <c r="BS71" s="396"/>
      <c r="BT71" s="396"/>
      <c r="BU71" s="396"/>
      <c r="BV71" s="396"/>
      <c r="BW71" s="396"/>
      <c r="BX71" s="396"/>
      <c r="BY71" s="396"/>
      <c r="BZ71" s="396"/>
      <c r="CA71" s="396"/>
      <c r="CB71" s="396"/>
      <c r="CC71" s="396"/>
      <c r="CD71" s="396"/>
      <c r="CE71" s="396"/>
      <c r="CF71" s="396"/>
      <c r="CG71" s="396"/>
      <c r="CH71" s="396"/>
      <c r="CI71" s="396"/>
      <c r="CJ71" s="396"/>
      <c r="CK71" s="396"/>
      <c r="CL71" s="396"/>
    </row>
    <row r="72" outlineLevel="1">
      <c r="A72" s="213" t="str">
        <f t="shared" si="7"/>
        <v>TC_06.57</v>
      </c>
      <c r="B72" s="214" t="s">
        <v>65</v>
      </c>
      <c r="C72" s="217" t="s">
        <v>1356</v>
      </c>
      <c r="D72" s="217" t="s">
        <v>1291</v>
      </c>
      <c r="E72" s="217" t="s">
        <v>1357</v>
      </c>
      <c r="F72" s="217" t="s">
        <v>1358</v>
      </c>
      <c r="G72" s="211" t="s">
        <v>56</v>
      </c>
      <c r="H72" s="211" t="s">
        <v>135</v>
      </c>
      <c r="I72" s="221"/>
      <c r="J72" s="221"/>
      <c r="K72" s="221"/>
      <c r="L72" s="221"/>
      <c r="M72" s="221"/>
      <c r="N72" s="221"/>
      <c r="O72" s="221"/>
      <c r="P72" s="221"/>
      <c r="Q72" s="221"/>
      <c r="R72" s="221"/>
      <c r="S72" s="238"/>
      <c r="T72" s="221"/>
      <c r="U72" s="221"/>
      <c r="V72" s="221"/>
      <c r="W72" s="221"/>
      <c r="X72" s="221"/>
      <c r="Y72" s="221"/>
      <c r="Z72" s="221"/>
      <c r="AA72" s="396"/>
      <c r="AB72" s="396"/>
      <c r="AC72" s="396"/>
      <c r="AD72" s="396"/>
      <c r="AE72" s="396"/>
      <c r="AF72" s="396"/>
      <c r="AG72" s="396"/>
      <c r="AH72" s="396"/>
      <c r="AI72" s="396"/>
      <c r="AJ72" s="396"/>
      <c r="AK72" s="396"/>
      <c r="AL72" s="396"/>
      <c r="AM72" s="396"/>
      <c r="AN72" s="396"/>
      <c r="AO72" s="396"/>
      <c r="AP72" s="396"/>
      <c r="AQ72" s="396"/>
      <c r="AR72" s="396"/>
      <c r="AS72" s="396"/>
      <c r="AT72" s="396"/>
      <c r="AU72" s="396"/>
      <c r="AV72" s="396"/>
      <c r="AW72" s="396"/>
      <c r="AX72" s="396"/>
      <c r="AY72" s="396"/>
      <c r="AZ72" s="396"/>
      <c r="BA72" s="396"/>
      <c r="BB72" s="396"/>
      <c r="BC72" s="396"/>
      <c r="BD72" s="396"/>
      <c r="BE72" s="396"/>
      <c r="BF72" s="396"/>
      <c r="BG72" s="396"/>
      <c r="BH72" s="396"/>
      <c r="BI72" s="396"/>
      <c r="BJ72" s="396"/>
      <c r="BK72" s="396"/>
      <c r="BL72" s="396"/>
      <c r="BM72" s="396"/>
      <c r="BN72" s="396"/>
      <c r="BO72" s="396"/>
      <c r="BP72" s="396"/>
      <c r="BQ72" s="396"/>
      <c r="BR72" s="396"/>
      <c r="BS72" s="396"/>
      <c r="BT72" s="396"/>
      <c r="BU72" s="396"/>
      <c r="BV72" s="396"/>
      <c r="BW72" s="396"/>
      <c r="BX72" s="396"/>
      <c r="BY72" s="396"/>
      <c r="BZ72" s="396"/>
      <c r="CA72" s="396"/>
      <c r="CB72" s="396"/>
      <c r="CC72" s="396"/>
      <c r="CD72" s="396"/>
      <c r="CE72" s="396"/>
      <c r="CF72" s="396"/>
      <c r="CG72" s="396"/>
      <c r="CH72" s="396"/>
      <c r="CI72" s="396"/>
      <c r="CJ72" s="396"/>
      <c r="CK72" s="396"/>
      <c r="CL72" s="396"/>
    </row>
    <row r="73" outlineLevel="1">
      <c r="A73" s="213" t="str">
        <f t="shared" si="7"/>
        <v>TC_06.58</v>
      </c>
      <c r="B73" s="214" t="s">
        <v>65</v>
      </c>
      <c r="C73" s="217" t="s">
        <v>1359</v>
      </c>
      <c r="D73" s="217" t="s">
        <v>1360</v>
      </c>
      <c r="E73" s="217" t="s">
        <v>1361</v>
      </c>
      <c r="F73" s="217" t="s">
        <v>1362</v>
      </c>
      <c r="G73" s="211" t="s">
        <v>56</v>
      </c>
      <c r="H73" s="211" t="s">
        <v>135</v>
      </c>
      <c r="I73" s="221"/>
      <c r="J73" s="221"/>
      <c r="K73" s="221"/>
      <c r="L73" s="221"/>
      <c r="M73" s="221"/>
      <c r="N73" s="221"/>
      <c r="O73" s="221"/>
      <c r="P73" s="221"/>
      <c r="Q73" s="221"/>
      <c r="R73" s="221"/>
      <c r="S73" s="238"/>
      <c r="T73" s="221"/>
      <c r="U73" s="221"/>
      <c r="V73" s="221"/>
      <c r="W73" s="221"/>
      <c r="X73" s="221"/>
      <c r="Y73" s="221"/>
      <c r="Z73" s="221"/>
      <c r="AA73" s="396"/>
      <c r="AB73" s="396"/>
      <c r="AC73" s="396"/>
      <c r="AD73" s="396"/>
      <c r="AE73" s="396"/>
      <c r="AF73" s="396"/>
      <c r="AG73" s="396"/>
      <c r="AH73" s="396"/>
      <c r="AI73" s="396"/>
      <c r="AJ73" s="396"/>
      <c r="AK73" s="396"/>
      <c r="AL73" s="396"/>
      <c r="AM73" s="396"/>
      <c r="AN73" s="396"/>
      <c r="AO73" s="396"/>
      <c r="AP73" s="396"/>
      <c r="AQ73" s="396"/>
      <c r="AR73" s="396"/>
      <c r="AS73" s="396"/>
      <c r="AT73" s="396"/>
      <c r="AU73" s="396"/>
      <c r="AV73" s="396"/>
      <c r="AW73" s="396"/>
      <c r="AX73" s="396"/>
      <c r="AY73" s="396"/>
      <c r="AZ73" s="396"/>
      <c r="BA73" s="396"/>
      <c r="BB73" s="396"/>
      <c r="BC73" s="396"/>
      <c r="BD73" s="396"/>
      <c r="BE73" s="396"/>
      <c r="BF73" s="396"/>
      <c r="BG73" s="396"/>
      <c r="BH73" s="396"/>
      <c r="BI73" s="396"/>
      <c r="BJ73" s="396"/>
      <c r="BK73" s="396"/>
      <c r="BL73" s="396"/>
      <c r="BM73" s="396"/>
      <c r="BN73" s="396"/>
      <c r="BO73" s="396"/>
      <c r="BP73" s="396"/>
      <c r="BQ73" s="396"/>
      <c r="BR73" s="396"/>
      <c r="BS73" s="396"/>
      <c r="BT73" s="396"/>
      <c r="BU73" s="396"/>
      <c r="BV73" s="396"/>
      <c r="BW73" s="396"/>
      <c r="BX73" s="396"/>
      <c r="BY73" s="396"/>
      <c r="BZ73" s="396"/>
      <c r="CA73" s="396"/>
      <c r="CB73" s="396"/>
      <c r="CC73" s="396"/>
      <c r="CD73" s="396"/>
      <c r="CE73" s="396"/>
      <c r="CF73" s="396"/>
      <c r="CG73" s="396"/>
      <c r="CH73" s="396"/>
      <c r="CI73" s="396"/>
      <c r="CJ73" s="396"/>
      <c r="CK73" s="396"/>
      <c r="CL73" s="396"/>
    </row>
    <row r="74" outlineLevel="1">
      <c r="A74" s="213" t="str">
        <f t="shared" si="7"/>
        <v>TC_06.59</v>
      </c>
      <c r="B74" s="214" t="s">
        <v>65</v>
      </c>
      <c r="C74" s="238" t="s">
        <v>1298</v>
      </c>
      <c r="D74" s="217" t="s">
        <v>1350</v>
      </c>
      <c r="E74" s="217" t="s">
        <v>1363</v>
      </c>
      <c r="F74" s="238" t="s">
        <v>1300</v>
      </c>
      <c r="G74" s="211" t="s">
        <v>56</v>
      </c>
      <c r="H74" s="211" t="s">
        <v>135</v>
      </c>
      <c r="I74" s="221"/>
      <c r="J74" s="221"/>
      <c r="K74" s="221"/>
      <c r="L74" s="221"/>
      <c r="M74" s="221"/>
      <c r="N74" s="221"/>
      <c r="O74" s="221"/>
      <c r="P74" s="221"/>
      <c r="Q74" s="221"/>
      <c r="R74" s="221"/>
      <c r="S74" s="238"/>
      <c r="T74" s="221"/>
      <c r="U74" s="221"/>
      <c r="V74" s="221"/>
      <c r="W74" s="221"/>
      <c r="X74" s="221"/>
      <c r="Y74" s="221"/>
      <c r="Z74" s="221"/>
      <c r="AA74" s="396"/>
      <c r="AB74" s="396"/>
      <c r="AC74" s="396"/>
      <c r="AD74" s="396"/>
      <c r="AE74" s="396"/>
      <c r="AF74" s="396"/>
      <c r="AG74" s="396"/>
      <c r="AH74" s="396"/>
      <c r="AI74" s="396"/>
      <c r="AJ74" s="396"/>
      <c r="AK74" s="396"/>
      <c r="AL74" s="396"/>
      <c r="AM74" s="396"/>
      <c r="AN74" s="396"/>
      <c r="AO74" s="396"/>
      <c r="AP74" s="396"/>
      <c r="AQ74" s="396"/>
      <c r="AR74" s="396"/>
      <c r="AS74" s="396"/>
      <c r="AT74" s="396"/>
      <c r="AU74" s="396"/>
      <c r="AV74" s="396"/>
      <c r="AW74" s="396"/>
      <c r="AX74" s="396"/>
      <c r="AY74" s="396"/>
      <c r="AZ74" s="396"/>
      <c r="BA74" s="396"/>
      <c r="BB74" s="396"/>
      <c r="BC74" s="396"/>
      <c r="BD74" s="396"/>
      <c r="BE74" s="396"/>
      <c r="BF74" s="396"/>
      <c r="BG74" s="396"/>
      <c r="BH74" s="396"/>
      <c r="BI74" s="396"/>
      <c r="BJ74" s="396"/>
      <c r="BK74" s="396"/>
      <c r="BL74" s="396"/>
      <c r="BM74" s="396"/>
      <c r="BN74" s="396"/>
      <c r="BO74" s="396"/>
      <c r="BP74" s="396"/>
      <c r="BQ74" s="396"/>
      <c r="BR74" s="396"/>
      <c r="BS74" s="396"/>
      <c r="BT74" s="396"/>
      <c r="BU74" s="396"/>
      <c r="BV74" s="396"/>
      <c r="BW74" s="396"/>
      <c r="BX74" s="396"/>
      <c r="BY74" s="396"/>
      <c r="BZ74" s="396"/>
      <c r="CA74" s="396"/>
      <c r="CB74" s="396"/>
      <c r="CC74" s="396"/>
      <c r="CD74" s="396"/>
      <c r="CE74" s="396"/>
      <c r="CF74" s="396"/>
      <c r="CG74" s="396"/>
      <c r="CH74" s="396"/>
      <c r="CI74" s="396"/>
      <c r="CJ74" s="396"/>
      <c r="CK74" s="396"/>
      <c r="CL74" s="396"/>
    </row>
    <row r="75" outlineLevel="1">
      <c r="A75" s="213" t="str">
        <f t="shared" si="7"/>
        <v>TC_06.60</v>
      </c>
      <c r="B75" s="214" t="s">
        <v>67</v>
      </c>
      <c r="C75" s="238" t="s">
        <v>1301</v>
      </c>
      <c r="D75" s="217" t="s">
        <v>1364</v>
      </c>
      <c r="E75" s="217" t="s">
        <v>1365</v>
      </c>
      <c r="F75" s="217" t="s">
        <v>1304</v>
      </c>
      <c r="G75" s="211" t="s">
        <v>56</v>
      </c>
      <c r="H75" s="211" t="s">
        <v>135</v>
      </c>
      <c r="I75" s="221"/>
      <c r="J75" s="221"/>
      <c r="K75" s="221"/>
      <c r="L75" s="221"/>
      <c r="M75" s="221"/>
      <c r="N75" s="221"/>
      <c r="O75" s="221"/>
      <c r="P75" s="221"/>
      <c r="Q75" s="221"/>
      <c r="R75" s="221"/>
      <c r="S75" s="238"/>
      <c r="T75" s="221"/>
      <c r="U75" s="221"/>
      <c r="V75" s="221"/>
      <c r="W75" s="221"/>
      <c r="X75" s="221"/>
      <c r="Y75" s="221"/>
      <c r="Z75" s="221"/>
      <c r="AA75" s="396"/>
      <c r="AB75" s="396"/>
      <c r="AC75" s="396"/>
      <c r="AD75" s="396"/>
      <c r="AE75" s="396"/>
      <c r="AF75" s="396"/>
      <c r="AG75" s="396"/>
      <c r="AH75" s="396"/>
      <c r="AI75" s="396"/>
      <c r="AJ75" s="396"/>
      <c r="AK75" s="396"/>
      <c r="AL75" s="396"/>
      <c r="AM75" s="396"/>
      <c r="AN75" s="396"/>
      <c r="AO75" s="396"/>
      <c r="AP75" s="396"/>
      <c r="AQ75" s="396"/>
      <c r="AR75" s="396"/>
      <c r="AS75" s="396"/>
      <c r="AT75" s="396"/>
      <c r="AU75" s="396"/>
      <c r="AV75" s="396"/>
      <c r="AW75" s="396"/>
      <c r="AX75" s="396"/>
      <c r="AY75" s="396"/>
      <c r="AZ75" s="396"/>
      <c r="BA75" s="396"/>
      <c r="BB75" s="396"/>
      <c r="BC75" s="396"/>
      <c r="BD75" s="396"/>
      <c r="BE75" s="396"/>
      <c r="BF75" s="396"/>
      <c r="BG75" s="396"/>
      <c r="BH75" s="396"/>
      <c r="BI75" s="396"/>
      <c r="BJ75" s="396"/>
      <c r="BK75" s="396"/>
      <c r="BL75" s="396"/>
      <c r="BM75" s="396"/>
      <c r="BN75" s="396"/>
      <c r="BO75" s="396"/>
      <c r="BP75" s="396"/>
      <c r="BQ75" s="396"/>
      <c r="BR75" s="396"/>
      <c r="BS75" s="396"/>
      <c r="BT75" s="396"/>
      <c r="BU75" s="396"/>
      <c r="BV75" s="396"/>
      <c r="BW75" s="396"/>
      <c r="BX75" s="396"/>
      <c r="BY75" s="396"/>
      <c r="BZ75" s="396"/>
      <c r="CA75" s="396"/>
      <c r="CB75" s="396"/>
      <c r="CC75" s="396"/>
      <c r="CD75" s="396"/>
      <c r="CE75" s="396"/>
      <c r="CF75" s="396"/>
      <c r="CG75" s="396"/>
      <c r="CH75" s="396"/>
      <c r="CI75" s="396"/>
      <c r="CJ75" s="396"/>
      <c r="CK75" s="396"/>
      <c r="CL75" s="396"/>
    </row>
    <row r="76" outlineLevel="1">
      <c r="A76" s="213" t="str">
        <f t="shared" si="7"/>
        <v>TC_06.61</v>
      </c>
      <c r="B76" s="214" t="s">
        <v>67</v>
      </c>
      <c r="C76" s="217" t="s">
        <v>1305</v>
      </c>
      <c r="D76" s="217" t="s">
        <v>1366</v>
      </c>
      <c r="E76" s="217" t="s">
        <v>1367</v>
      </c>
      <c r="F76" s="217" t="s">
        <v>1308</v>
      </c>
      <c r="G76" s="211" t="s">
        <v>56</v>
      </c>
      <c r="H76" s="211" t="s">
        <v>135</v>
      </c>
      <c r="I76" s="221"/>
      <c r="J76" s="221"/>
      <c r="K76" s="221"/>
      <c r="L76" s="221"/>
      <c r="M76" s="221"/>
      <c r="N76" s="221"/>
      <c r="O76" s="221"/>
      <c r="P76" s="221"/>
      <c r="Q76" s="221"/>
      <c r="R76" s="221"/>
      <c r="S76" s="238"/>
      <c r="T76" s="221"/>
      <c r="U76" s="221"/>
      <c r="V76" s="221"/>
      <c r="W76" s="221"/>
      <c r="X76" s="221"/>
      <c r="Y76" s="221"/>
      <c r="Z76" s="221"/>
      <c r="AA76" s="396"/>
      <c r="AB76" s="396"/>
      <c r="AC76" s="396"/>
      <c r="AD76" s="396"/>
      <c r="AE76" s="396"/>
      <c r="AF76" s="396"/>
      <c r="AG76" s="396"/>
      <c r="AH76" s="396"/>
      <c r="AI76" s="396"/>
      <c r="AJ76" s="396"/>
      <c r="AK76" s="396"/>
      <c r="AL76" s="396"/>
      <c r="AM76" s="396"/>
      <c r="AN76" s="396"/>
      <c r="AO76" s="396"/>
      <c r="AP76" s="396"/>
      <c r="AQ76" s="396"/>
      <c r="AR76" s="396"/>
      <c r="AS76" s="396"/>
      <c r="AT76" s="396"/>
      <c r="AU76" s="396"/>
      <c r="AV76" s="396"/>
      <c r="AW76" s="396"/>
      <c r="AX76" s="396"/>
      <c r="AY76" s="396"/>
      <c r="AZ76" s="396"/>
      <c r="BA76" s="396"/>
      <c r="BB76" s="396"/>
      <c r="BC76" s="396"/>
      <c r="BD76" s="396"/>
      <c r="BE76" s="396"/>
      <c r="BF76" s="396"/>
      <c r="BG76" s="396"/>
      <c r="BH76" s="396"/>
      <c r="BI76" s="396"/>
      <c r="BJ76" s="396"/>
      <c r="BK76" s="396"/>
      <c r="BL76" s="396"/>
      <c r="BM76" s="396"/>
      <c r="BN76" s="396"/>
      <c r="BO76" s="396"/>
      <c r="BP76" s="396"/>
      <c r="BQ76" s="396"/>
      <c r="BR76" s="396"/>
      <c r="BS76" s="396"/>
      <c r="BT76" s="396"/>
      <c r="BU76" s="396"/>
      <c r="BV76" s="396"/>
      <c r="BW76" s="396"/>
      <c r="BX76" s="396"/>
      <c r="BY76" s="396"/>
      <c r="BZ76" s="396"/>
      <c r="CA76" s="396"/>
      <c r="CB76" s="396"/>
      <c r="CC76" s="396"/>
      <c r="CD76" s="396"/>
      <c r="CE76" s="396"/>
      <c r="CF76" s="396"/>
      <c r="CG76" s="396"/>
      <c r="CH76" s="396"/>
      <c r="CI76" s="396"/>
      <c r="CJ76" s="396"/>
      <c r="CK76" s="396"/>
      <c r="CL76" s="396"/>
    </row>
    <row r="77" outlineLevel="1">
      <c r="A77" s="213" t="str">
        <f t="shared" si="7"/>
        <v>TC_06.62</v>
      </c>
      <c r="B77" s="214" t="s">
        <v>65</v>
      </c>
      <c r="C77" s="217" t="s">
        <v>1368</v>
      </c>
      <c r="D77" s="217" t="s">
        <v>1369</v>
      </c>
      <c r="E77" s="217" t="s">
        <v>1370</v>
      </c>
      <c r="F77" s="217" t="s">
        <v>1371</v>
      </c>
      <c r="G77" s="211" t="s">
        <v>56</v>
      </c>
      <c r="H77" s="211" t="s">
        <v>135</v>
      </c>
      <c r="I77" s="221"/>
      <c r="J77" s="221"/>
      <c r="K77" s="221"/>
      <c r="L77" s="221"/>
      <c r="M77" s="221"/>
      <c r="N77" s="221"/>
      <c r="O77" s="221"/>
      <c r="P77" s="221"/>
      <c r="Q77" s="221"/>
      <c r="R77" s="221"/>
      <c r="S77" s="238"/>
      <c r="T77" s="221"/>
      <c r="U77" s="221"/>
      <c r="V77" s="221"/>
      <c r="W77" s="221"/>
      <c r="X77" s="221"/>
      <c r="Y77" s="221"/>
      <c r="Z77" s="221"/>
      <c r="AA77" s="396"/>
      <c r="AB77" s="396"/>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6"/>
      <c r="AZ77" s="396"/>
      <c r="BA77" s="396"/>
      <c r="BB77" s="396"/>
      <c r="BC77" s="396"/>
      <c r="BD77" s="396"/>
      <c r="BE77" s="396"/>
      <c r="BF77" s="396"/>
      <c r="BG77" s="396"/>
      <c r="BH77" s="396"/>
      <c r="BI77" s="396"/>
      <c r="BJ77" s="396"/>
      <c r="BK77" s="396"/>
      <c r="BL77" s="396"/>
      <c r="BM77" s="396"/>
      <c r="BN77" s="396"/>
      <c r="BO77" s="396"/>
      <c r="BP77" s="396"/>
      <c r="BQ77" s="396"/>
      <c r="BR77" s="396"/>
      <c r="BS77" s="396"/>
      <c r="BT77" s="396"/>
      <c r="BU77" s="396"/>
      <c r="BV77" s="396"/>
      <c r="BW77" s="396"/>
      <c r="BX77" s="396"/>
      <c r="BY77" s="396"/>
      <c r="BZ77" s="396"/>
      <c r="CA77" s="396"/>
      <c r="CB77" s="396"/>
      <c r="CC77" s="396"/>
      <c r="CD77" s="396"/>
      <c r="CE77" s="396"/>
      <c r="CF77" s="396"/>
      <c r="CG77" s="396"/>
      <c r="CH77" s="396"/>
      <c r="CI77" s="396"/>
      <c r="CJ77" s="396"/>
      <c r="CK77" s="396"/>
      <c r="CL77" s="396"/>
    </row>
    <row r="78" outlineLevel="1">
      <c r="A78" s="213" t="str">
        <f t="shared" si="7"/>
        <v>TC_06.63</v>
      </c>
      <c r="B78" s="214" t="s">
        <v>67</v>
      </c>
      <c r="C78" s="217" t="s">
        <v>1313</v>
      </c>
      <c r="D78" s="217" t="s">
        <v>1372</v>
      </c>
      <c r="E78" s="217" t="s">
        <v>1373</v>
      </c>
      <c r="F78" s="217" t="s">
        <v>1316</v>
      </c>
      <c r="G78" s="211" t="s">
        <v>56</v>
      </c>
      <c r="H78" s="211" t="s">
        <v>135</v>
      </c>
      <c r="I78" s="221"/>
      <c r="J78" s="221"/>
      <c r="K78" s="221"/>
      <c r="L78" s="221"/>
      <c r="M78" s="221"/>
      <c r="N78" s="221"/>
      <c r="O78" s="221"/>
      <c r="P78" s="221"/>
      <c r="Q78" s="221"/>
      <c r="R78" s="221"/>
      <c r="S78" s="238"/>
      <c r="T78" s="221"/>
      <c r="U78" s="221"/>
      <c r="V78" s="221"/>
      <c r="W78" s="221"/>
      <c r="X78" s="221"/>
      <c r="Y78" s="221"/>
      <c r="Z78" s="221"/>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396"/>
      <c r="BA78" s="396"/>
      <c r="BB78" s="396"/>
      <c r="BC78" s="396"/>
      <c r="BD78" s="396"/>
      <c r="BE78" s="396"/>
      <c r="BF78" s="396"/>
      <c r="BG78" s="396"/>
      <c r="BH78" s="396"/>
      <c r="BI78" s="396"/>
      <c r="BJ78" s="396"/>
      <c r="BK78" s="396"/>
      <c r="BL78" s="396"/>
      <c r="BM78" s="396"/>
      <c r="BN78" s="396"/>
      <c r="BO78" s="396"/>
      <c r="BP78" s="396"/>
      <c r="BQ78" s="396"/>
      <c r="BR78" s="396"/>
      <c r="BS78" s="396"/>
      <c r="BT78" s="396"/>
      <c r="BU78" s="396"/>
      <c r="BV78" s="396"/>
      <c r="BW78" s="396"/>
      <c r="BX78" s="396"/>
      <c r="BY78" s="396"/>
      <c r="BZ78" s="396"/>
      <c r="CA78" s="396"/>
      <c r="CB78" s="396"/>
      <c r="CC78" s="396"/>
      <c r="CD78" s="396"/>
      <c r="CE78" s="396"/>
      <c r="CF78" s="396"/>
      <c r="CG78" s="396"/>
      <c r="CH78" s="396"/>
      <c r="CI78" s="396"/>
      <c r="CJ78" s="396"/>
      <c r="CK78" s="396"/>
      <c r="CL78" s="396"/>
    </row>
    <row r="79" outlineLevel="1">
      <c r="A79" s="213" t="str">
        <f t="shared" si="7"/>
        <v>TC_06.64</v>
      </c>
      <c r="B79" s="214" t="s">
        <v>67</v>
      </c>
      <c r="C79" s="238" t="s">
        <v>1317</v>
      </c>
      <c r="D79" s="217" t="s">
        <v>1374</v>
      </c>
      <c r="E79" s="217" t="s">
        <v>1319</v>
      </c>
      <c r="F79" s="238" t="s">
        <v>1320</v>
      </c>
      <c r="G79" s="211" t="s">
        <v>56</v>
      </c>
      <c r="H79" s="211" t="s">
        <v>135</v>
      </c>
      <c r="I79" s="221"/>
      <c r="J79" s="221"/>
      <c r="K79" s="221"/>
      <c r="L79" s="221"/>
      <c r="M79" s="221"/>
      <c r="N79" s="221"/>
      <c r="O79" s="221"/>
      <c r="P79" s="221"/>
      <c r="Q79" s="221"/>
      <c r="R79" s="221"/>
      <c r="S79" s="238"/>
      <c r="T79" s="221"/>
      <c r="U79" s="221"/>
      <c r="V79" s="221"/>
      <c r="W79" s="221"/>
      <c r="X79" s="221"/>
      <c r="Y79" s="221"/>
      <c r="Z79" s="221"/>
      <c r="AA79" s="396"/>
      <c r="AB79" s="396"/>
      <c r="AC79" s="396"/>
      <c r="AD79" s="396"/>
      <c r="AE79" s="396"/>
      <c r="AF79" s="396"/>
      <c r="AG79" s="396"/>
      <c r="AH79" s="396"/>
      <c r="AI79" s="396"/>
      <c r="AJ79" s="396"/>
      <c r="AK79" s="396"/>
      <c r="AL79" s="396"/>
      <c r="AM79" s="396"/>
      <c r="AN79" s="396"/>
      <c r="AO79" s="396"/>
      <c r="AP79" s="396"/>
      <c r="AQ79" s="396"/>
      <c r="AR79" s="396"/>
      <c r="AS79" s="396"/>
      <c r="AT79" s="396"/>
      <c r="AU79" s="396"/>
      <c r="AV79" s="396"/>
      <c r="AW79" s="396"/>
      <c r="AX79" s="396"/>
      <c r="AY79" s="396"/>
      <c r="AZ79" s="396"/>
      <c r="BA79" s="396"/>
      <c r="BB79" s="396"/>
      <c r="BC79" s="396"/>
      <c r="BD79" s="396"/>
      <c r="BE79" s="396"/>
      <c r="BF79" s="396"/>
      <c r="BG79" s="396"/>
      <c r="BH79" s="396"/>
      <c r="BI79" s="396"/>
      <c r="BJ79" s="396"/>
      <c r="BK79" s="396"/>
      <c r="BL79" s="396"/>
      <c r="BM79" s="396"/>
      <c r="BN79" s="396"/>
      <c r="BO79" s="396"/>
      <c r="BP79" s="396"/>
      <c r="BQ79" s="396"/>
      <c r="BR79" s="396"/>
      <c r="BS79" s="396"/>
      <c r="BT79" s="396"/>
      <c r="BU79" s="396"/>
      <c r="BV79" s="396"/>
      <c r="BW79" s="396"/>
      <c r="BX79" s="396"/>
      <c r="BY79" s="396"/>
      <c r="BZ79" s="396"/>
      <c r="CA79" s="396"/>
      <c r="CB79" s="396"/>
      <c r="CC79" s="396"/>
      <c r="CD79" s="396"/>
      <c r="CE79" s="396"/>
      <c r="CF79" s="396"/>
      <c r="CG79" s="396"/>
      <c r="CH79" s="396"/>
      <c r="CI79" s="396"/>
      <c r="CJ79" s="396"/>
      <c r="CK79" s="396"/>
      <c r="CL79" s="396"/>
    </row>
    <row r="80">
      <c r="A80" s="424" t="s">
        <v>1375</v>
      </c>
      <c r="B80" s="144"/>
      <c r="C80" s="144"/>
      <c r="D80" s="144"/>
      <c r="E80" s="144"/>
      <c r="F80" s="167"/>
      <c r="G80" s="214"/>
      <c r="H80" s="213"/>
      <c r="I80" s="221"/>
      <c r="J80" s="221"/>
      <c r="K80" s="221"/>
      <c r="L80" s="221"/>
      <c r="M80" s="221"/>
      <c r="N80" s="221"/>
      <c r="O80" s="221"/>
      <c r="P80" s="221"/>
      <c r="Q80" s="221"/>
      <c r="R80" s="221"/>
      <c r="S80" s="238"/>
      <c r="T80" s="221"/>
      <c r="U80" s="221"/>
      <c r="V80" s="221"/>
      <c r="W80" s="221"/>
      <c r="X80" s="221"/>
      <c r="Y80" s="221"/>
      <c r="Z80" s="221"/>
      <c r="AA80" s="141"/>
      <c r="AB80" s="141"/>
      <c r="AC80" s="141"/>
      <c r="AD80" s="141"/>
      <c r="AE80" s="141"/>
      <c r="AF80" s="141"/>
      <c r="AG80" s="141"/>
      <c r="AH80" s="141"/>
      <c r="AI80" s="141"/>
      <c r="AJ80" s="141"/>
      <c r="AK80" s="141"/>
      <c r="AL80" s="141"/>
      <c r="AM80" s="141"/>
      <c r="AN80" s="141"/>
      <c r="AO80" s="141"/>
      <c r="AP80" s="141"/>
      <c r="AQ80" s="141"/>
      <c r="AR80" s="141"/>
      <c r="AS80" s="141"/>
      <c r="AT80" s="141"/>
      <c r="AU80" s="141"/>
      <c r="AV80" s="141"/>
      <c r="AW80" s="141"/>
      <c r="AX80" s="141"/>
      <c r="AY80" s="141"/>
      <c r="AZ80" s="141"/>
      <c r="BA80" s="141"/>
      <c r="BB80" s="141"/>
      <c r="BC80" s="141"/>
      <c r="BD80" s="141"/>
      <c r="BE80" s="141"/>
      <c r="BF80" s="141"/>
      <c r="BG80" s="141"/>
      <c r="BH80" s="141"/>
      <c r="BI80" s="141"/>
      <c r="BJ80" s="141"/>
      <c r="BK80" s="141"/>
      <c r="BL80" s="141"/>
      <c r="BM80" s="141"/>
      <c r="BN80" s="141"/>
      <c r="BO80" s="141"/>
      <c r="BP80" s="141"/>
      <c r="BQ80" s="141"/>
      <c r="BR80" s="141"/>
      <c r="BS80" s="141"/>
      <c r="BT80" s="141"/>
      <c r="BU80" s="141"/>
      <c r="BV80" s="141"/>
      <c r="BW80" s="141"/>
      <c r="BX80" s="141"/>
      <c r="BY80" s="141"/>
      <c r="BZ80" s="141"/>
      <c r="CA80" s="141"/>
      <c r="CB80" s="141"/>
      <c r="CC80" s="141"/>
      <c r="CD80" s="141"/>
      <c r="CE80" s="141"/>
      <c r="CF80" s="141"/>
      <c r="CG80" s="141"/>
      <c r="CH80" s="141"/>
      <c r="CI80" s="141"/>
      <c r="CJ80" s="141"/>
      <c r="CK80" s="141"/>
      <c r="CL80" s="141"/>
    </row>
    <row r="81" outlineLevel="1">
      <c r="A81" s="213" t="str">
        <f t="shared" ref="A81:A88" si="8">IF(E81="","",$C$3&amp;"."&amp;COUNTA($E$9:E81)&amp;"")</f>
        <v>TC_06.65</v>
      </c>
      <c r="B81" s="214" t="s">
        <v>67</v>
      </c>
      <c r="C81" s="221" t="s">
        <v>1376</v>
      </c>
      <c r="D81" s="221" t="s">
        <v>1377</v>
      </c>
      <c r="E81" s="217" t="s">
        <v>1378</v>
      </c>
      <c r="F81" s="217" t="s">
        <v>1379</v>
      </c>
      <c r="G81" s="211" t="s">
        <v>56</v>
      </c>
      <c r="H81" s="211" t="s">
        <v>135</v>
      </c>
      <c r="I81" s="221"/>
      <c r="J81" s="221"/>
      <c r="K81" s="221"/>
      <c r="L81" s="221"/>
      <c r="M81" s="221"/>
      <c r="N81" s="221"/>
      <c r="O81" s="221"/>
      <c r="P81" s="221"/>
      <c r="Q81" s="221"/>
      <c r="R81" s="221"/>
      <c r="S81" s="238"/>
      <c r="T81" s="221"/>
      <c r="U81" s="221"/>
      <c r="V81" s="221"/>
      <c r="W81" s="221"/>
      <c r="X81" s="221"/>
      <c r="Y81" s="221"/>
      <c r="Z81" s="221"/>
      <c r="AA81" s="141"/>
      <c r="AB81" s="141"/>
      <c r="AC81" s="141"/>
      <c r="AD81" s="141"/>
      <c r="AE81" s="141"/>
      <c r="AF81" s="141"/>
      <c r="AG81" s="141"/>
      <c r="AH81" s="141"/>
      <c r="AI81" s="141"/>
      <c r="AJ81" s="141"/>
      <c r="AK81" s="141"/>
      <c r="AL81" s="141"/>
      <c r="AM81" s="141"/>
      <c r="AN81" s="141"/>
      <c r="AO81" s="141"/>
      <c r="AP81" s="141"/>
      <c r="AQ81" s="141"/>
      <c r="AR81" s="141"/>
      <c r="AS81" s="141"/>
      <c r="AT81" s="141"/>
      <c r="AU81" s="141"/>
      <c r="AV81" s="141"/>
      <c r="AW81" s="141"/>
      <c r="AX81" s="141"/>
      <c r="AY81" s="141"/>
      <c r="AZ81" s="141"/>
      <c r="BA81" s="141"/>
      <c r="BB81" s="141"/>
      <c r="BC81" s="141"/>
      <c r="BD81" s="141"/>
      <c r="BE81" s="141"/>
      <c r="BF81" s="141"/>
      <c r="BG81" s="141"/>
      <c r="BH81" s="141"/>
      <c r="BI81" s="141"/>
      <c r="BJ81" s="141"/>
      <c r="BK81" s="141"/>
      <c r="BL81" s="141"/>
      <c r="BM81" s="141"/>
      <c r="BN81" s="141"/>
      <c r="BO81" s="141"/>
      <c r="BP81" s="141"/>
      <c r="BQ81" s="141"/>
      <c r="BR81" s="141"/>
      <c r="BS81" s="141"/>
      <c r="BT81" s="141"/>
      <c r="BU81" s="141"/>
      <c r="BV81" s="141"/>
      <c r="BW81" s="141"/>
      <c r="BX81" s="141"/>
      <c r="BY81" s="141"/>
      <c r="BZ81" s="141"/>
      <c r="CA81" s="141"/>
      <c r="CB81" s="141"/>
      <c r="CC81" s="141"/>
      <c r="CD81" s="141"/>
      <c r="CE81" s="141"/>
      <c r="CF81" s="141"/>
      <c r="CG81" s="141"/>
      <c r="CH81" s="141"/>
      <c r="CI81" s="141"/>
      <c r="CJ81" s="141"/>
      <c r="CK81" s="141"/>
      <c r="CL81" s="141"/>
    </row>
    <row r="82" outlineLevel="1">
      <c r="A82" s="213" t="str">
        <f t="shared" si="8"/>
        <v>TC_06.66</v>
      </c>
      <c r="B82" s="214" t="s">
        <v>65</v>
      </c>
      <c r="C82" s="238" t="s">
        <v>1380</v>
      </c>
      <c r="D82" s="238" t="s">
        <v>1377</v>
      </c>
      <c r="E82" s="217" t="s">
        <v>1381</v>
      </c>
      <c r="F82" s="217" t="s">
        <v>1382</v>
      </c>
      <c r="G82" s="211" t="s">
        <v>56</v>
      </c>
      <c r="H82" s="211" t="s">
        <v>135</v>
      </c>
      <c r="I82" s="221"/>
      <c r="J82" s="221"/>
      <c r="K82" s="221"/>
      <c r="L82" s="221"/>
      <c r="M82" s="221"/>
      <c r="N82" s="221"/>
      <c r="O82" s="221"/>
      <c r="P82" s="221"/>
      <c r="Q82" s="221"/>
      <c r="R82" s="221"/>
      <c r="S82" s="238"/>
      <c r="T82" s="221"/>
      <c r="U82" s="221"/>
      <c r="V82" s="221"/>
      <c r="W82" s="221"/>
      <c r="X82" s="221"/>
      <c r="Y82" s="221"/>
      <c r="Z82" s="221"/>
      <c r="AA82" s="141"/>
      <c r="AB82" s="141"/>
      <c r="AC82" s="141"/>
      <c r="AD82" s="141"/>
      <c r="AE82" s="141"/>
      <c r="AF82" s="141"/>
      <c r="AG82" s="141"/>
      <c r="AH82" s="141"/>
      <c r="AI82" s="141"/>
      <c r="AJ82" s="141"/>
      <c r="AK82" s="141"/>
      <c r="AL82" s="141"/>
      <c r="AM82" s="141"/>
      <c r="AN82" s="141"/>
      <c r="AO82" s="141"/>
      <c r="AP82" s="141"/>
      <c r="AQ82" s="141"/>
      <c r="AR82" s="141"/>
      <c r="AS82" s="141"/>
      <c r="AT82" s="141"/>
      <c r="AU82" s="141"/>
      <c r="AV82" s="141"/>
      <c r="AW82" s="141"/>
      <c r="AX82" s="141"/>
      <c r="AY82" s="141"/>
      <c r="AZ82" s="141"/>
      <c r="BA82" s="141"/>
      <c r="BB82" s="141"/>
      <c r="BC82" s="141"/>
      <c r="BD82" s="141"/>
      <c r="BE82" s="141"/>
      <c r="BF82" s="141"/>
      <c r="BG82" s="141"/>
      <c r="BH82" s="141"/>
      <c r="BI82" s="141"/>
      <c r="BJ82" s="141"/>
      <c r="BK82" s="141"/>
      <c r="BL82" s="141"/>
      <c r="BM82" s="141"/>
      <c r="BN82" s="141"/>
      <c r="BO82" s="141"/>
      <c r="BP82" s="141"/>
      <c r="BQ82" s="141"/>
      <c r="BR82" s="141"/>
      <c r="BS82" s="141"/>
      <c r="BT82" s="141"/>
      <c r="BU82" s="141"/>
      <c r="BV82" s="141"/>
      <c r="BW82" s="141"/>
      <c r="BX82" s="141"/>
      <c r="BY82" s="141"/>
      <c r="BZ82" s="141"/>
      <c r="CA82" s="141"/>
      <c r="CB82" s="141"/>
      <c r="CC82" s="141"/>
      <c r="CD82" s="141"/>
      <c r="CE82" s="141"/>
      <c r="CF82" s="141"/>
      <c r="CG82" s="141"/>
      <c r="CH82" s="141"/>
      <c r="CI82" s="141"/>
      <c r="CJ82" s="141"/>
      <c r="CK82" s="141"/>
      <c r="CL82" s="141"/>
    </row>
    <row r="83" outlineLevel="1">
      <c r="A83" s="213" t="str">
        <f t="shared" si="8"/>
        <v>TC_06.67</v>
      </c>
      <c r="B83" s="214" t="s">
        <v>65</v>
      </c>
      <c r="C83" s="238" t="s">
        <v>1383</v>
      </c>
      <c r="D83" s="238" t="s">
        <v>1384</v>
      </c>
      <c r="E83" s="217" t="s">
        <v>1385</v>
      </c>
      <c r="F83" s="238" t="s">
        <v>1386</v>
      </c>
      <c r="G83" s="211" t="s">
        <v>56</v>
      </c>
      <c r="H83" s="211" t="s">
        <v>135</v>
      </c>
      <c r="I83" s="221"/>
      <c r="J83" s="221"/>
      <c r="K83" s="221"/>
      <c r="L83" s="221"/>
      <c r="M83" s="221"/>
      <c r="N83" s="221"/>
      <c r="O83" s="221"/>
      <c r="P83" s="221"/>
      <c r="Q83" s="221"/>
      <c r="R83" s="221"/>
      <c r="S83" s="238"/>
      <c r="T83" s="221"/>
      <c r="U83" s="221"/>
      <c r="V83" s="221"/>
      <c r="W83" s="221"/>
      <c r="X83" s="221"/>
      <c r="Y83" s="221"/>
      <c r="Z83" s="221"/>
      <c r="AA83" s="141"/>
      <c r="AB83" s="141"/>
      <c r="AC83" s="141"/>
      <c r="AD83" s="141"/>
      <c r="AE83" s="141"/>
      <c r="AF83" s="141"/>
      <c r="AG83" s="141"/>
      <c r="AH83" s="141"/>
      <c r="AI83" s="141"/>
      <c r="AJ83" s="141"/>
      <c r="AK83" s="141"/>
      <c r="AL83" s="141"/>
      <c r="AM83" s="141"/>
      <c r="AN83" s="141"/>
      <c r="AO83" s="141"/>
      <c r="AP83" s="141"/>
      <c r="AQ83" s="141"/>
      <c r="AR83" s="141"/>
      <c r="AS83" s="141"/>
      <c r="AT83" s="141"/>
      <c r="AU83" s="141"/>
      <c r="AV83" s="141"/>
      <c r="AW83" s="141"/>
      <c r="AX83" s="141"/>
      <c r="AY83" s="141"/>
      <c r="AZ83" s="141"/>
      <c r="BA83" s="141"/>
      <c r="BB83" s="141"/>
      <c r="BC83" s="141"/>
      <c r="BD83" s="141"/>
      <c r="BE83" s="141"/>
      <c r="BF83" s="141"/>
      <c r="BG83" s="141"/>
      <c r="BH83" s="141"/>
      <c r="BI83" s="141"/>
      <c r="BJ83" s="141"/>
      <c r="BK83" s="141"/>
      <c r="BL83" s="141"/>
      <c r="BM83" s="141"/>
      <c r="BN83" s="141"/>
      <c r="BO83" s="141"/>
      <c r="BP83" s="141"/>
      <c r="BQ83" s="141"/>
      <c r="BR83" s="141"/>
      <c r="BS83" s="141"/>
      <c r="BT83" s="141"/>
      <c r="BU83" s="141"/>
      <c r="BV83" s="141"/>
      <c r="BW83" s="141"/>
      <c r="BX83" s="141"/>
      <c r="BY83" s="141"/>
      <c r="BZ83" s="141"/>
      <c r="CA83" s="141"/>
      <c r="CB83" s="141"/>
      <c r="CC83" s="141"/>
      <c r="CD83" s="141"/>
      <c r="CE83" s="141"/>
      <c r="CF83" s="141"/>
      <c r="CG83" s="141"/>
      <c r="CH83" s="141"/>
      <c r="CI83" s="141"/>
      <c r="CJ83" s="141"/>
      <c r="CK83" s="141"/>
      <c r="CL83" s="141"/>
    </row>
    <row r="84" outlineLevel="1">
      <c r="A84" s="213" t="str">
        <f t="shared" si="8"/>
        <v>TC_06.68</v>
      </c>
      <c r="B84" s="214" t="s">
        <v>65</v>
      </c>
      <c r="C84" s="238" t="s">
        <v>1387</v>
      </c>
      <c r="D84" s="238" t="s">
        <v>1388</v>
      </c>
      <c r="E84" s="217" t="s">
        <v>1389</v>
      </c>
      <c r="F84" s="238" t="s">
        <v>1390</v>
      </c>
      <c r="G84" s="211" t="s">
        <v>56</v>
      </c>
      <c r="H84" s="211" t="s">
        <v>135</v>
      </c>
      <c r="I84" s="221"/>
      <c r="J84" s="221"/>
      <c r="K84" s="221"/>
      <c r="L84" s="221"/>
      <c r="M84" s="221"/>
      <c r="N84" s="221"/>
      <c r="O84" s="221"/>
      <c r="P84" s="221"/>
      <c r="Q84" s="221"/>
      <c r="R84" s="221"/>
      <c r="S84" s="238"/>
      <c r="T84" s="221"/>
      <c r="U84" s="221"/>
      <c r="V84" s="221"/>
      <c r="W84" s="221"/>
      <c r="X84" s="221"/>
      <c r="Y84" s="221"/>
      <c r="Z84" s="221"/>
      <c r="AA84" s="141"/>
      <c r="AB84" s="141"/>
      <c r="AC84" s="141"/>
      <c r="AD84" s="141"/>
      <c r="AE84" s="141"/>
      <c r="AF84" s="141"/>
      <c r="AG84" s="141"/>
      <c r="AH84" s="141"/>
      <c r="AI84" s="141"/>
      <c r="AJ84" s="141"/>
      <c r="AK84" s="141"/>
      <c r="AL84" s="141"/>
      <c r="AM84" s="141"/>
      <c r="AN84" s="141"/>
      <c r="AO84" s="141"/>
      <c r="AP84" s="141"/>
      <c r="AQ84" s="141"/>
      <c r="AR84" s="141"/>
      <c r="AS84" s="141"/>
      <c r="AT84" s="141"/>
      <c r="AU84" s="141"/>
      <c r="AV84" s="141"/>
      <c r="AW84" s="141"/>
      <c r="AX84" s="141"/>
      <c r="AY84" s="141"/>
      <c r="AZ84" s="141"/>
      <c r="BA84" s="141"/>
      <c r="BB84" s="141"/>
      <c r="BC84" s="141"/>
      <c r="BD84" s="141"/>
      <c r="BE84" s="141"/>
      <c r="BF84" s="141"/>
      <c r="BG84" s="141"/>
      <c r="BH84" s="141"/>
      <c r="BI84" s="141"/>
      <c r="BJ84" s="141"/>
      <c r="BK84" s="141"/>
      <c r="BL84" s="141"/>
      <c r="BM84" s="141"/>
      <c r="BN84" s="141"/>
      <c r="BO84" s="141"/>
      <c r="BP84" s="141"/>
      <c r="BQ84" s="141"/>
      <c r="BR84" s="141"/>
      <c r="BS84" s="141"/>
      <c r="BT84" s="141"/>
      <c r="BU84" s="141"/>
      <c r="BV84" s="141"/>
      <c r="BW84" s="141"/>
      <c r="BX84" s="141"/>
      <c r="BY84" s="141"/>
      <c r="BZ84" s="141"/>
      <c r="CA84" s="141"/>
      <c r="CB84" s="141"/>
      <c r="CC84" s="141"/>
      <c r="CD84" s="141"/>
      <c r="CE84" s="141"/>
      <c r="CF84" s="141"/>
      <c r="CG84" s="141"/>
      <c r="CH84" s="141"/>
      <c r="CI84" s="141"/>
      <c r="CJ84" s="141"/>
      <c r="CK84" s="141"/>
      <c r="CL84" s="141"/>
    </row>
    <row r="85" outlineLevel="1">
      <c r="A85" s="213" t="str">
        <f t="shared" si="8"/>
        <v>TC_06.69</v>
      </c>
      <c r="B85" s="214" t="s">
        <v>65</v>
      </c>
      <c r="C85" s="238" t="s">
        <v>1391</v>
      </c>
      <c r="D85" s="238" t="s">
        <v>1392</v>
      </c>
      <c r="E85" s="217" t="s">
        <v>1393</v>
      </c>
      <c r="F85" s="238" t="s">
        <v>1394</v>
      </c>
      <c r="G85" s="211" t="s">
        <v>56</v>
      </c>
      <c r="H85" s="211" t="s">
        <v>135</v>
      </c>
      <c r="I85" s="221"/>
      <c r="J85" s="221"/>
      <c r="K85" s="221"/>
      <c r="L85" s="221"/>
      <c r="M85" s="221"/>
      <c r="N85" s="221"/>
      <c r="O85" s="221"/>
      <c r="P85" s="221"/>
      <c r="Q85" s="221"/>
      <c r="R85" s="221"/>
      <c r="S85" s="238"/>
      <c r="T85" s="221"/>
      <c r="U85" s="221"/>
      <c r="V85" s="221"/>
      <c r="W85" s="221"/>
      <c r="X85" s="221"/>
      <c r="Y85" s="221"/>
      <c r="Z85" s="221"/>
      <c r="AA85" s="141"/>
      <c r="AB85" s="141"/>
      <c r="AC85" s="141"/>
      <c r="AD85" s="141"/>
      <c r="AE85" s="141"/>
      <c r="AF85" s="141"/>
      <c r="AG85" s="141"/>
      <c r="AH85" s="141"/>
      <c r="AI85" s="141"/>
      <c r="AJ85" s="141"/>
      <c r="AK85" s="141"/>
      <c r="AL85" s="141"/>
      <c r="AM85" s="141"/>
      <c r="AN85" s="141"/>
      <c r="AO85" s="141"/>
      <c r="AP85" s="141"/>
      <c r="AQ85" s="141"/>
      <c r="AR85" s="141"/>
      <c r="AS85" s="141"/>
      <c r="AT85" s="141"/>
      <c r="AU85" s="141"/>
      <c r="AV85" s="141"/>
      <c r="AW85" s="141"/>
      <c r="AX85" s="141"/>
      <c r="AY85" s="141"/>
      <c r="AZ85" s="141"/>
      <c r="BA85" s="141"/>
      <c r="BB85" s="141"/>
      <c r="BC85" s="141"/>
      <c r="BD85" s="141"/>
      <c r="BE85" s="141"/>
      <c r="BF85" s="141"/>
      <c r="BG85" s="141"/>
      <c r="BH85" s="141"/>
      <c r="BI85" s="141"/>
      <c r="BJ85" s="141"/>
      <c r="BK85" s="141"/>
      <c r="BL85" s="141"/>
      <c r="BM85" s="141"/>
      <c r="BN85" s="141"/>
      <c r="BO85" s="141"/>
      <c r="BP85" s="141"/>
      <c r="BQ85" s="141"/>
      <c r="BR85" s="141"/>
      <c r="BS85" s="141"/>
      <c r="BT85" s="141"/>
      <c r="BU85" s="141"/>
      <c r="BV85" s="141"/>
      <c r="BW85" s="141"/>
      <c r="BX85" s="141"/>
      <c r="BY85" s="141"/>
      <c r="BZ85" s="141"/>
      <c r="CA85" s="141"/>
      <c r="CB85" s="141"/>
      <c r="CC85" s="141"/>
      <c r="CD85" s="141"/>
      <c r="CE85" s="141"/>
      <c r="CF85" s="141"/>
      <c r="CG85" s="141"/>
      <c r="CH85" s="141"/>
      <c r="CI85" s="141"/>
      <c r="CJ85" s="141"/>
      <c r="CK85" s="141"/>
      <c r="CL85" s="141"/>
    </row>
    <row r="86" outlineLevel="1">
      <c r="A86" s="213" t="str">
        <f t="shared" si="8"/>
        <v>TC_06.70</v>
      </c>
      <c r="B86" s="214" t="s">
        <v>67</v>
      </c>
      <c r="C86" s="238" t="s">
        <v>1395</v>
      </c>
      <c r="D86" s="238" t="s">
        <v>1396</v>
      </c>
      <c r="E86" s="217" t="s">
        <v>1397</v>
      </c>
      <c r="F86" s="238" t="s">
        <v>1398</v>
      </c>
      <c r="G86" s="211" t="s">
        <v>56</v>
      </c>
      <c r="H86" s="211" t="s">
        <v>135</v>
      </c>
      <c r="I86" s="221"/>
      <c r="J86" s="221"/>
      <c r="K86" s="221"/>
      <c r="L86" s="221"/>
      <c r="M86" s="221"/>
      <c r="N86" s="221"/>
      <c r="O86" s="221"/>
      <c r="P86" s="221"/>
      <c r="Q86" s="221"/>
      <c r="R86" s="221"/>
      <c r="S86" s="238"/>
      <c r="T86" s="221"/>
      <c r="U86" s="221"/>
      <c r="V86" s="221"/>
      <c r="W86" s="221"/>
      <c r="X86" s="221"/>
      <c r="Y86" s="221"/>
      <c r="Z86" s="221"/>
      <c r="AA86" s="141"/>
      <c r="AB86" s="141"/>
      <c r="AC86" s="141"/>
      <c r="AD86" s="141"/>
      <c r="AE86" s="141"/>
      <c r="AF86" s="141"/>
      <c r="AG86" s="141"/>
      <c r="AH86" s="141"/>
      <c r="AI86" s="141"/>
      <c r="AJ86" s="141"/>
      <c r="AK86" s="141"/>
      <c r="AL86" s="141"/>
      <c r="AM86" s="141"/>
      <c r="AN86" s="141"/>
      <c r="AO86" s="141"/>
      <c r="AP86" s="141"/>
      <c r="AQ86" s="141"/>
      <c r="AR86" s="141"/>
      <c r="AS86" s="141"/>
      <c r="AT86" s="141"/>
      <c r="AU86" s="141"/>
      <c r="AV86" s="141"/>
      <c r="AW86" s="141"/>
      <c r="AX86" s="141"/>
      <c r="AY86" s="141"/>
      <c r="AZ86" s="141"/>
      <c r="BA86" s="141"/>
      <c r="BB86" s="141"/>
      <c r="BC86" s="141"/>
      <c r="BD86" s="141"/>
      <c r="BE86" s="141"/>
      <c r="BF86" s="141"/>
      <c r="BG86" s="141"/>
      <c r="BH86" s="141"/>
      <c r="BI86" s="141"/>
      <c r="BJ86" s="141"/>
      <c r="BK86" s="141"/>
      <c r="BL86" s="141"/>
      <c r="BM86" s="141"/>
      <c r="BN86" s="141"/>
      <c r="BO86" s="141"/>
      <c r="BP86" s="141"/>
      <c r="BQ86" s="141"/>
      <c r="BR86" s="141"/>
      <c r="BS86" s="141"/>
      <c r="BT86" s="141"/>
      <c r="BU86" s="141"/>
      <c r="BV86" s="141"/>
      <c r="BW86" s="141"/>
      <c r="BX86" s="141"/>
      <c r="BY86" s="141"/>
      <c r="BZ86" s="141"/>
      <c r="CA86" s="141"/>
      <c r="CB86" s="141"/>
      <c r="CC86" s="141"/>
      <c r="CD86" s="141"/>
      <c r="CE86" s="141"/>
      <c r="CF86" s="141"/>
      <c r="CG86" s="141"/>
      <c r="CH86" s="141"/>
      <c r="CI86" s="141"/>
      <c r="CJ86" s="141"/>
      <c r="CK86" s="141"/>
      <c r="CL86" s="141"/>
    </row>
    <row r="87" outlineLevel="1">
      <c r="A87" s="213" t="str">
        <f t="shared" si="8"/>
        <v>TC_06.71</v>
      </c>
      <c r="B87" s="214" t="s">
        <v>67</v>
      </c>
      <c r="C87" s="238" t="s">
        <v>1399</v>
      </c>
      <c r="D87" s="238" t="s">
        <v>1400</v>
      </c>
      <c r="E87" s="238" t="s">
        <v>1401</v>
      </c>
      <c r="F87" s="238" t="s">
        <v>1402</v>
      </c>
      <c r="G87" s="211" t="s">
        <v>56</v>
      </c>
      <c r="H87" s="211" t="s">
        <v>135</v>
      </c>
      <c r="I87" s="221"/>
      <c r="J87" s="221"/>
      <c r="K87" s="221"/>
      <c r="L87" s="221"/>
      <c r="M87" s="221"/>
      <c r="N87" s="221"/>
      <c r="O87" s="221"/>
      <c r="P87" s="221"/>
      <c r="Q87" s="221"/>
      <c r="R87" s="221"/>
      <c r="S87" s="238"/>
      <c r="T87" s="221"/>
      <c r="U87" s="221"/>
      <c r="V87" s="221"/>
      <c r="W87" s="221"/>
      <c r="X87" s="221"/>
      <c r="Y87" s="221"/>
      <c r="Z87" s="22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c r="AW87" s="141"/>
      <c r="AX87" s="141"/>
      <c r="AY87" s="141"/>
      <c r="AZ87" s="141"/>
      <c r="BA87" s="141"/>
      <c r="BB87" s="141"/>
      <c r="BC87" s="141"/>
      <c r="BD87" s="141"/>
      <c r="BE87" s="141"/>
      <c r="BF87" s="141"/>
      <c r="BG87" s="141"/>
      <c r="BH87" s="141"/>
      <c r="BI87" s="141"/>
      <c r="BJ87" s="141"/>
      <c r="BK87" s="141"/>
      <c r="BL87" s="141"/>
      <c r="BM87" s="141"/>
      <c r="BN87" s="141"/>
      <c r="BO87" s="141"/>
      <c r="BP87" s="141"/>
      <c r="BQ87" s="141"/>
      <c r="BR87" s="141"/>
      <c r="BS87" s="141"/>
      <c r="BT87" s="141"/>
      <c r="BU87" s="141"/>
      <c r="BV87" s="141"/>
      <c r="BW87" s="141"/>
      <c r="BX87" s="141"/>
      <c r="BY87" s="141"/>
      <c r="BZ87" s="141"/>
      <c r="CA87" s="141"/>
      <c r="CB87" s="141"/>
      <c r="CC87" s="141"/>
      <c r="CD87" s="141"/>
      <c r="CE87" s="141"/>
      <c r="CF87" s="141"/>
      <c r="CG87" s="141"/>
      <c r="CH87" s="141"/>
      <c r="CI87" s="141"/>
      <c r="CJ87" s="141"/>
      <c r="CK87" s="141"/>
      <c r="CL87" s="141"/>
    </row>
    <row r="88" outlineLevel="1">
      <c r="A88" s="213" t="str">
        <f t="shared" si="8"/>
        <v>TC_06.72</v>
      </c>
      <c r="B88" s="214" t="s">
        <v>69</v>
      </c>
      <c r="C88" s="238" t="s">
        <v>1403</v>
      </c>
      <c r="D88" s="238" t="s">
        <v>1404</v>
      </c>
      <c r="E88" s="217" t="s">
        <v>1405</v>
      </c>
      <c r="F88" s="217" t="s">
        <v>1406</v>
      </c>
      <c r="G88" s="211" t="s">
        <v>56</v>
      </c>
      <c r="H88" s="211" t="s">
        <v>135</v>
      </c>
      <c r="I88" s="221"/>
      <c r="J88" s="221"/>
      <c r="K88" s="221"/>
      <c r="L88" s="221"/>
      <c r="M88" s="221"/>
      <c r="N88" s="221"/>
      <c r="O88" s="221"/>
      <c r="P88" s="221"/>
      <c r="Q88" s="221"/>
      <c r="R88" s="221"/>
      <c r="S88" s="238"/>
      <c r="T88" s="221"/>
      <c r="U88" s="221"/>
      <c r="V88" s="221"/>
      <c r="W88" s="221"/>
      <c r="X88" s="221"/>
      <c r="Y88" s="221"/>
      <c r="Z88" s="22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c r="AW88" s="141"/>
      <c r="AX88" s="141"/>
      <c r="AY88" s="141"/>
      <c r="AZ88" s="141"/>
      <c r="BA88" s="141"/>
      <c r="BB88" s="141"/>
      <c r="BC88" s="141"/>
      <c r="BD88" s="141"/>
      <c r="BE88" s="141"/>
      <c r="BF88" s="141"/>
      <c r="BG88" s="141"/>
      <c r="BH88" s="141"/>
      <c r="BI88" s="141"/>
      <c r="BJ88" s="141"/>
      <c r="BK88" s="141"/>
      <c r="BL88" s="141"/>
      <c r="BM88" s="141"/>
      <c r="BN88" s="141"/>
      <c r="BO88" s="141"/>
      <c r="BP88" s="141"/>
      <c r="BQ88" s="141"/>
      <c r="BR88" s="141"/>
      <c r="BS88" s="141"/>
      <c r="BT88" s="141"/>
      <c r="BU88" s="141"/>
      <c r="BV88" s="141"/>
      <c r="BW88" s="141"/>
      <c r="BX88" s="141"/>
      <c r="BY88" s="141"/>
      <c r="BZ88" s="141"/>
      <c r="CA88" s="141"/>
      <c r="CB88" s="141"/>
      <c r="CC88" s="141"/>
      <c r="CD88" s="141"/>
      <c r="CE88" s="141"/>
      <c r="CF88" s="141"/>
      <c r="CG88" s="141"/>
      <c r="CH88" s="141"/>
      <c r="CI88" s="141"/>
      <c r="CJ88" s="141"/>
      <c r="CK88" s="141"/>
      <c r="CL88" s="141"/>
    </row>
    <row r="89">
      <c r="A89" s="424" t="s">
        <v>1407</v>
      </c>
      <c r="B89" s="144"/>
      <c r="C89" s="144"/>
      <c r="D89" s="144"/>
      <c r="E89" s="144"/>
      <c r="F89" s="167"/>
      <c r="G89" s="214"/>
      <c r="H89" s="213"/>
      <c r="I89" s="221"/>
      <c r="J89" s="221"/>
      <c r="K89" s="221"/>
      <c r="L89" s="221"/>
      <c r="M89" s="221"/>
      <c r="N89" s="221"/>
      <c r="O89" s="221"/>
      <c r="P89" s="221"/>
      <c r="Q89" s="221"/>
      <c r="R89" s="221"/>
      <c r="S89" s="238"/>
      <c r="T89" s="221"/>
      <c r="U89" s="221"/>
      <c r="V89" s="221"/>
      <c r="W89" s="221"/>
      <c r="X89" s="221"/>
      <c r="Y89" s="221"/>
      <c r="Z89" s="22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c r="AZ89" s="141"/>
      <c r="BA89" s="141"/>
      <c r="BB89" s="141"/>
      <c r="BC89" s="141"/>
      <c r="BD89" s="141"/>
      <c r="BE89" s="141"/>
      <c r="BF89" s="141"/>
      <c r="BG89" s="141"/>
      <c r="BH89" s="141"/>
      <c r="BI89" s="141"/>
      <c r="BJ89" s="141"/>
      <c r="BK89" s="141"/>
      <c r="BL89" s="141"/>
      <c r="BM89" s="141"/>
      <c r="BN89" s="141"/>
      <c r="BO89" s="141"/>
      <c r="BP89" s="141"/>
      <c r="BQ89" s="141"/>
      <c r="BR89" s="141"/>
      <c r="BS89" s="141"/>
      <c r="BT89" s="141"/>
      <c r="BU89" s="141"/>
      <c r="BV89" s="141"/>
      <c r="BW89" s="141"/>
      <c r="BX89" s="141"/>
      <c r="BY89" s="141"/>
      <c r="BZ89" s="141"/>
      <c r="CA89" s="141"/>
      <c r="CB89" s="141"/>
      <c r="CC89" s="141"/>
      <c r="CD89" s="141"/>
      <c r="CE89" s="141"/>
      <c r="CF89" s="141"/>
      <c r="CG89" s="141"/>
      <c r="CH89" s="141"/>
      <c r="CI89" s="141"/>
      <c r="CJ89" s="141"/>
      <c r="CK89" s="141"/>
      <c r="CL89" s="141"/>
    </row>
    <row r="90" outlineLevel="1">
      <c r="A90" s="213" t="str">
        <f t="shared" ref="A90:A100" si="9">IF(E90="","",$C$3&amp;"."&amp;COUNTA($E$9:E90)&amp;"")</f>
        <v>TC_06.73</v>
      </c>
      <c r="B90" s="214" t="s">
        <v>67</v>
      </c>
      <c r="C90" s="217" t="s">
        <v>1408</v>
      </c>
      <c r="D90" s="217" t="s">
        <v>1409</v>
      </c>
      <c r="E90" s="217" t="s">
        <v>1410</v>
      </c>
      <c r="F90" s="217" t="s">
        <v>1411</v>
      </c>
      <c r="G90" s="211" t="s">
        <v>56</v>
      </c>
      <c r="H90" s="211" t="s">
        <v>135</v>
      </c>
      <c r="I90" s="221"/>
      <c r="J90" s="221"/>
      <c r="K90" s="221"/>
      <c r="L90" s="221"/>
      <c r="M90" s="221"/>
      <c r="N90" s="221"/>
      <c r="O90" s="221"/>
      <c r="P90" s="221"/>
      <c r="Q90" s="221"/>
      <c r="R90" s="221"/>
      <c r="S90" s="238"/>
      <c r="T90" s="221"/>
      <c r="U90" s="221"/>
      <c r="V90" s="221"/>
      <c r="W90" s="221"/>
      <c r="X90" s="221"/>
      <c r="Y90" s="221"/>
      <c r="Z90" s="22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c r="AW90" s="141"/>
      <c r="AX90" s="141"/>
      <c r="AY90" s="141"/>
      <c r="AZ90" s="141"/>
      <c r="BA90" s="141"/>
      <c r="BB90" s="141"/>
      <c r="BC90" s="141"/>
      <c r="BD90" s="141"/>
      <c r="BE90" s="141"/>
      <c r="BF90" s="141"/>
      <c r="BG90" s="141"/>
      <c r="BH90" s="141"/>
      <c r="BI90" s="141"/>
      <c r="BJ90" s="141"/>
      <c r="BK90" s="141"/>
      <c r="BL90" s="141"/>
      <c r="BM90" s="141"/>
      <c r="BN90" s="141"/>
      <c r="BO90" s="141"/>
      <c r="BP90" s="141"/>
      <c r="BQ90" s="141"/>
      <c r="BR90" s="141"/>
      <c r="BS90" s="141"/>
      <c r="BT90" s="141"/>
      <c r="BU90" s="141"/>
      <c r="BV90" s="141"/>
      <c r="BW90" s="141"/>
      <c r="BX90" s="141"/>
      <c r="BY90" s="141"/>
      <c r="BZ90" s="141"/>
      <c r="CA90" s="141"/>
      <c r="CB90" s="141"/>
      <c r="CC90" s="141"/>
      <c r="CD90" s="141"/>
      <c r="CE90" s="141"/>
      <c r="CF90" s="141"/>
      <c r="CG90" s="141"/>
      <c r="CH90" s="141"/>
      <c r="CI90" s="141"/>
      <c r="CJ90" s="141"/>
      <c r="CK90" s="141"/>
      <c r="CL90" s="141"/>
    </row>
    <row r="91" outlineLevel="1">
      <c r="A91" s="213" t="str">
        <f t="shared" si="9"/>
        <v>TC_06.74</v>
      </c>
      <c r="B91" s="214" t="s">
        <v>65</v>
      </c>
      <c r="C91" s="217" t="s">
        <v>1412</v>
      </c>
      <c r="D91" s="217" t="s">
        <v>1413</v>
      </c>
      <c r="E91" s="217" t="s">
        <v>1414</v>
      </c>
      <c r="F91" s="238" t="s">
        <v>1415</v>
      </c>
      <c r="G91" s="211" t="s">
        <v>56</v>
      </c>
      <c r="H91" s="211" t="s">
        <v>135</v>
      </c>
      <c r="I91" s="221"/>
      <c r="J91" s="221"/>
      <c r="K91" s="221"/>
      <c r="L91" s="221"/>
      <c r="M91" s="221"/>
      <c r="N91" s="221"/>
      <c r="O91" s="221"/>
      <c r="P91" s="221"/>
      <c r="Q91" s="221"/>
      <c r="R91" s="221"/>
      <c r="S91" s="238"/>
      <c r="T91" s="221"/>
      <c r="U91" s="221"/>
      <c r="V91" s="221"/>
      <c r="W91" s="221"/>
      <c r="X91" s="221"/>
      <c r="Y91" s="221"/>
      <c r="Z91" s="22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c r="AW91" s="141"/>
      <c r="AX91" s="141"/>
      <c r="AY91" s="141"/>
      <c r="AZ91" s="141"/>
      <c r="BA91" s="141"/>
      <c r="BB91" s="141"/>
      <c r="BC91" s="141"/>
      <c r="BD91" s="141"/>
      <c r="BE91" s="141"/>
      <c r="BF91" s="141"/>
      <c r="BG91" s="141"/>
      <c r="BH91" s="141"/>
      <c r="BI91" s="141"/>
      <c r="BJ91" s="141"/>
      <c r="BK91" s="141"/>
      <c r="BL91" s="141"/>
      <c r="BM91" s="141"/>
      <c r="BN91" s="141"/>
      <c r="BO91" s="141"/>
      <c r="BP91" s="141"/>
      <c r="BQ91" s="141"/>
      <c r="BR91" s="141"/>
      <c r="BS91" s="141"/>
      <c r="BT91" s="141"/>
      <c r="BU91" s="141"/>
      <c r="BV91" s="141"/>
      <c r="BW91" s="141"/>
      <c r="BX91" s="141"/>
      <c r="BY91" s="141"/>
      <c r="BZ91" s="141"/>
      <c r="CA91" s="141"/>
      <c r="CB91" s="141"/>
      <c r="CC91" s="141"/>
      <c r="CD91" s="141"/>
      <c r="CE91" s="141"/>
      <c r="CF91" s="141"/>
      <c r="CG91" s="141"/>
      <c r="CH91" s="141"/>
      <c r="CI91" s="141"/>
      <c r="CJ91" s="141"/>
      <c r="CK91" s="141"/>
      <c r="CL91" s="141"/>
    </row>
    <row r="92" outlineLevel="1">
      <c r="A92" s="213" t="str">
        <f t="shared" si="9"/>
        <v>TC_06.75</v>
      </c>
      <c r="B92" s="214" t="s">
        <v>65</v>
      </c>
      <c r="C92" s="238" t="s">
        <v>1416</v>
      </c>
      <c r="D92" s="217" t="s">
        <v>1417</v>
      </c>
      <c r="E92" s="217" t="s">
        <v>1418</v>
      </c>
      <c r="F92" s="238" t="s">
        <v>1419</v>
      </c>
      <c r="G92" s="211" t="s">
        <v>56</v>
      </c>
      <c r="H92" s="211" t="s">
        <v>135</v>
      </c>
      <c r="I92" s="221"/>
      <c r="J92" s="221"/>
      <c r="K92" s="221"/>
      <c r="L92" s="221"/>
      <c r="M92" s="221"/>
      <c r="N92" s="221"/>
      <c r="O92" s="221"/>
      <c r="P92" s="221"/>
      <c r="Q92" s="221"/>
      <c r="R92" s="221"/>
      <c r="S92" s="238"/>
      <c r="T92" s="221"/>
      <c r="U92" s="221"/>
      <c r="V92" s="221"/>
      <c r="W92" s="221"/>
      <c r="X92" s="221"/>
      <c r="Y92" s="221"/>
      <c r="Z92" s="22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1"/>
      <c r="BQ92" s="141"/>
      <c r="BR92" s="141"/>
      <c r="BS92" s="141"/>
      <c r="BT92" s="141"/>
      <c r="BU92" s="141"/>
      <c r="BV92" s="141"/>
      <c r="BW92" s="141"/>
      <c r="BX92" s="141"/>
      <c r="BY92" s="141"/>
      <c r="BZ92" s="141"/>
      <c r="CA92" s="141"/>
      <c r="CB92" s="141"/>
      <c r="CC92" s="141"/>
      <c r="CD92" s="141"/>
      <c r="CE92" s="141"/>
      <c r="CF92" s="141"/>
      <c r="CG92" s="141"/>
      <c r="CH92" s="141"/>
      <c r="CI92" s="141"/>
      <c r="CJ92" s="141"/>
      <c r="CK92" s="141"/>
      <c r="CL92" s="141"/>
    </row>
    <row r="93" outlineLevel="1">
      <c r="A93" s="213" t="str">
        <f t="shared" si="9"/>
        <v>TC_06.76</v>
      </c>
      <c r="B93" s="214" t="s">
        <v>65</v>
      </c>
      <c r="C93" s="238" t="s">
        <v>1420</v>
      </c>
      <c r="D93" s="217" t="s">
        <v>1421</v>
      </c>
      <c r="E93" s="217" t="s">
        <v>1422</v>
      </c>
      <c r="F93" s="238" t="s">
        <v>1423</v>
      </c>
      <c r="G93" s="211" t="s">
        <v>56</v>
      </c>
      <c r="H93" s="211" t="s">
        <v>135</v>
      </c>
      <c r="I93" s="221"/>
      <c r="J93" s="221"/>
      <c r="K93" s="221"/>
      <c r="L93" s="221"/>
      <c r="M93" s="221"/>
      <c r="N93" s="221"/>
      <c r="O93" s="221"/>
      <c r="P93" s="221"/>
      <c r="Q93" s="221"/>
      <c r="R93" s="221"/>
      <c r="S93" s="238"/>
      <c r="T93" s="221"/>
      <c r="U93" s="221"/>
      <c r="V93" s="221"/>
      <c r="W93" s="221"/>
      <c r="X93" s="221"/>
      <c r="Y93" s="221"/>
      <c r="Z93" s="22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c r="AW93" s="141"/>
      <c r="AX93" s="141"/>
      <c r="AY93" s="141"/>
      <c r="AZ93" s="141"/>
      <c r="BA93" s="141"/>
      <c r="BB93" s="141"/>
      <c r="BC93" s="141"/>
      <c r="BD93" s="141"/>
      <c r="BE93" s="141"/>
      <c r="BF93" s="141"/>
      <c r="BG93" s="141"/>
      <c r="BH93" s="141"/>
      <c r="BI93" s="141"/>
      <c r="BJ93" s="141"/>
      <c r="BK93" s="141"/>
      <c r="BL93" s="141"/>
      <c r="BM93" s="141"/>
      <c r="BN93" s="141"/>
      <c r="BO93" s="141"/>
      <c r="BP93" s="141"/>
      <c r="BQ93" s="141"/>
      <c r="BR93" s="141"/>
      <c r="BS93" s="141"/>
      <c r="BT93" s="141"/>
      <c r="BU93" s="141"/>
      <c r="BV93" s="141"/>
      <c r="BW93" s="141"/>
      <c r="BX93" s="141"/>
      <c r="BY93" s="141"/>
      <c r="BZ93" s="141"/>
      <c r="CA93" s="141"/>
      <c r="CB93" s="141"/>
      <c r="CC93" s="141"/>
      <c r="CD93" s="141"/>
      <c r="CE93" s="141"/>
      <c r="CF93" s="141"/>
      <c r="CG93" s="141"/>
      <c r="CH93" s="141"/>
      <c r="CI93" s="141"/>
      <c r="CJ93" s="141"/>
      <c r="CK93" s="141"/>
      <c r="CL93" s="141"/>
    </row>
    <row r="94" outlineLevel="1">
      <c r="A94" s="213" t="str">
        <f t="shared" si="9"/>
        <v>TC_06.77</v>
      </c>
      <c r="B94" s="214" t="s">
        <v>65</v>
      </c>
      <c r="C94" s="238" t="s">
        <v>1424</v>
      </c>
      <c r="D94" s="238" t="s">
        <v>1425</v>
      </c>
      <c r="E94" s="217" t="s">
        <v>1426</v>
      </c>
      <c r="F94" s="238" t="s">
        <v>1427</v>
      </c>
      <c r="G94" s="211" t="s">
        <v>56</v>
      </c>
      <c r="H94" s="211" t="s">
        <v>135</v>
      </c>
      <c r="I94" s="221"/>
      <c r="J94" s="221"/>
      <c r="K94" s="221"/>
      <c r="L94" s="221"/>
      <c r="M94" s="221"/>
      <c r="N94" s="221"/>
      <c r="O94" s="221"/>
      <c r="P94" s="221"/>
      <c r="Q94" s="221"/>
      <c r="R94" s="221"/>
      <c r="S94" s="238"/>
      <c r="T94" s="221"/>
      <c r="U94" s="221"/>
      <c r="V94" s="221"/>
      <c r="W94" s="221"/>
      <c r="X94" s="221"/>
      <c r="Y94" s="221"/>
      <c r="Z94" s="22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c r="AW94" s="141"/>
      <c r="AX94" s="141"/>
      <c r="AY94" s="141"/>
      <c r="AZ94" s="141"/>
      <c r="BA94" s="141"/>
      <c r="BB94" s="141"/>
      <c r="BC94" s="141"/>
      <c r="BD94" s="141"/>
      <c r="BE94" s="141"/>
      <c r="BF94" s="141"/>
      <c r="BG94" s="141"/>
      <c r="BH94" s="141"/>
      <c r="BI94" s="141"/>
      <c r="BJ94" s="141"/>
      <c r="BK94" s="141"/>
      <c r="BL94" s="141"/>
      <c r="BM94" s="141"/>
      <c r="BN94" s="141"/>
      <c r="BO94" s="141"/>
      <c r="BP94" s="141"/>
      <c r="BQ94" s="141"/>
      <c r="BR94" s="141"/>
      <c r="BS94" s="141"/>
      <c r="BT94" s="141"/>
      <c r="BU94" s="141"/>
      <c r="BV94" s="141"/>
      <c r="BW94" s="141"/>
      <c r="BX94" s="141"/>
      <c r="BY94" s="141"/>
      <c r="BZ94" s="141"/>
      <c r="CA94" s="141"/>
      <c r="CB94" s="141"/>
      <c r="CC94" s="141"/>
      <c r="CD94" s="141"/>
      <c r="CE94" s="141"/>
      <c r="CF94" s="141"/>
      <c r="CG94" s="141"/>
      <c r="CH94" s="141"/>
      <c r="CI94" s="141"/>
      <c r="CJ94" s="141"/>
      <c r="CK94" s="141"/>
      <c r="CL94" s="141"/>
    </row>
    <row r="95" outlineLevel="1">
      <c r="A95" s="213" t="str">
        <f t="shared" si="9"/>
        <v>TC_06.78</v>
      </c>
      <c r="B95" s="214" t="s">
        <v>67</v>
      </c>
      <c r="C95" s="238" t="s">
        <v>1428</v>
      </c>
      <c r="D95" s="217" t="s">
        <v>1429</v>
      </c>
      <c r="E95" s="217" t="s">
        <v>1430</v>
      </c>
      <c r="F95" s="217" t="s">
        <v>1431</v>
      </c>
      <c r="G95" s="211" t="s">
        <v>56</v>
      </c>
      <c r="H95" s="211" t="s">
        <v>135</v>
      </c>
      <c r="I95" s="221"/>
      <c r="J95" s="221"/>
      <c r="K95" s="221"/>
      <c r="L95" s="221"/>
      <c r="M95" s="221"/>
      <c r="N95" s="221"/>
      <c r="O95" s="221"/>
      <c r="P95" s="221"/>
      <c r="Q95" s="221"/>
      <c r="R95" s="221"/>
      <c r="S95" s="238"/>
      <c r="T95" s="221"/>
      <c r="U95" s="221"/>
      <c r="V95" s="221"/>
      <c r="W95" s="221"/>
      <c r="X95" s="221"/>
      <c r="Y95" s="221"/>
      <c r="Z95" s="22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c r="BK95" s="141"/>
      <c r="BL95" s="141"/>
      <c r="BM95" s="141"/>
      <c r="BN95" s="141"/>
      <c r="BO95" s="141"/>
      <c r="BP95" s="141"/>
      <c r="BQ95" s="141"/>
      <c r="BR95" s="141"/>
      <c r="BS95" s="141"/>
      <c r="BT95" s="141"/>
      <c r="BU95" s="141"/>
      <c r="BV95" s="141"/>
      <c r="BW95" s="141"/>
      <c r="BX95" s="141"/>
      <c r="BY95" s="141"/>
      <c r="BZ95" s="141"/>
      <c r="CA95" s="141"/>
      <c r="CB95" s="141"/>
      <c r="CC95" s="141"/>
      <c r="CD95" s="141"/>
      <c r="CE95" s="141"/>
      <c r="CF95" s="141"/>
      <c r="CG95" s="141"/>
      <c r="CH95" s="141"/>
      <c r="CI95" s="141"/>
      <c r="CJ95" s="141"/>
      <c r="CK95" s="141"/>
      <c r="CL95" s="141"/>
    </row>
    <row r="96" outlineLevel="1">
      <c r="A96" s="213" t="str">
        <f t="shared" si="9"/>
        <v>TC_06.79</v>
      </c>
      <c r="B96" s="214" t="s">
        <v>67</v>
      </c>
      <c r="C96" s="238" t="s">
        <v>1432</v>
      </c>
      <c r="D96" s="217" t="s">
        <v>1433</v>
      </c>
      <c r="E96" s="217" t="s">
        <v>1434</v>
      </c>
      <c r="F96" s="238" t="s">
        <v>1435</v>
      </c>
      <c r="G96" s="211" t="s">
        <v>56</v>
      </c>
      <c r="H96" s="211" t="s">
        <v>135</v>
      </c>
      <c r="I96" s="221"/>
      <c r="J96" s="221"/>
      <c r="K96" s="221"/>
      <c r="L96" s="221"/>
      <c r="M96" s="221"/>
      <c r="N96" s="221"/>
      <c r="O96" s="221"/>
      <c r="P96" s="221"/>
      <c r="Q96" s="221"/>
      <c r="R96" s="221"/>
      <c r="S96" s="238"/>
      <c r="T96" s="221"/>
      <c r="U96" s="221"/>
      <c r="V96" s="221"/>
      <c r="W96" s="221"/>
      <c r="X96" s="221"/>
      <c r="Y96" s="221"/>
      <c r="Z96" s="221"/>
      <c r="AA96" s="141"/>
      <c r="AB96" s="141"/>
      <c r="AC96" s="141"/>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c r="BK96" s="141"/>
      <c r="BL96" s="141"/>
      <c r="BM96" s="141"/>
      <c r="BN96" s="141"/>
      <c r="BO96" s="141"/>
      <c r="BP96" s="141"/>
      <c r="BQ96" s="141"/>
      <c r="BR96" s="141"/>
      <c r="BS96" s="141"/>
      <c r="BT96" s="141"/>
      <c r="BU96" s="141"/>
      <c r="BV96" s="141"/>
      <c r="BW96" s="141"/>
      <c r="BX96" s="141"/>
      <c r="BY96" s="141"/>
      <c r="BZ96" s="141"/>
      <c r="CA96" s="141"/>
      <c r="CB96" s="141"/>
      <c r="CC96" s="141"/>
      <c r="CD96" s="141"/>
      <c r="CE96" s="141"/>
      <c r="CF96" s="141"/>
      <c r="CG96" s="141"/>
      <c r="CH96" s="141"/>
      <c r="CI96" s="141"/>
      <c r="CJ96" s="141"/>
      <c r="CK96" s="141"/>
      <c r="CL96" s="141"/>
    </row>
    <row r="97" outlineLevel="1">
      <c r="A97" s="213" t="str">
        <f t="shared" si="9"/>
        <v>TC_06.80</v>
      </c>
      <c r="B97" s="214" t="s">
        <v>67</v>
      </c>
      <c r="C97" s="238" t="s">
        <v>1436</v>
      </c>
      <c r="D97" s="217" t="s">
        <v>1437</v>
      </c>
      <c r="E97" s="217" t="s">
        <v>1438</v>
      </c>
      <c r="F97" s="238" t="s">
        <v>1439</v>
      </c>
      <c r="G97" s="211" t="s">
        <v>56</v>
      </c>
      <c r="H97" s="211" t="s">
        <v>135</v>
      </c>
      <c r="I97" s="221"/>
      <c r="J97" s="221"/>
      <c r="K97" s="221"/>
      <c r="L97" s="221"/>
      <c r="M97" s="221"/>
      <c r="N97" s="221"/>
      <c r="O97" s="221"/>
      <c r="P97" s="221"/>
      <c r="Q97" s="221"/>
      <c r="R97" s="221"/>
      <c r="S97" s="238"/>
      <c r="T97" s="221"/>
      <c r="U97" s="221"/>
      <c r="V97" s="221"/>
      <c r="W97" s="221"/>
      <c r="X97" s="221"/>
      <c r="Y97" s="221"/>
      <c r="Z97" s="221"/>
      <c r="AA97" s="141"/>
      <c r="AB97" s="141"/>
      <c r="AC97" s="141"/>
      <c r="AD97" s="141"/>
      <c r="AE97" s="141"/>
      <c r="AF97" s="141"/>
      <c r="AG97" s="141"/>
      <c r="AH97" s="141"/>
      <c r="AI97" s="141"/>
      <c r="AJ97" s="141"/>
      <c r="AK97" s="141"/>
      <c r="AL97" s="141"/>
      <c r="AM97" s="141"/>
      <c r="AN97" s="141"/>
      <c r="AO97" s="141"/>
      <c r="AP97" s="141"/>
      <c r="AQ97" s="141"/>
      <c r="AR97" s="141"/>
      <c r="AS97" s="141"/>
      <c r="AT97" s="141"/>
      <c r="AU97" s="141"/>
      <c r="AV97" s="141"/>
      <c r="AW97" s="141"/>
      <c r="AX97" s="141"/>
      <c r="AY97" s="141"/>
      <c r="AZ97" s="141"/>
      <c r="BA97" s="141"/>
      <c r="BB97" s="141"/>
      <c r="BC97" s="141"/>
      <c r="BD97" s="141"/>
      <c r="BE97" s="141"/>
      <c r="BF97" s="141"/>
      <c r="BG97" s="141"/>
      <c r="BH97" s="141"/>
      <c r="BI97" s="141"/>
      <c r="BJ97" s="141"/>
      <c r="BK97" s="141"/>
      <c r="BL97" s="141"/>
      <c r="BM97" s="141"/>
      <c r="BN97" s="141"/>
      <c r="BO97" s="141"/>
      <c r="BP97" s="141"/>
      <c r="BQ97" s="141"/>
      <c r="BR97" s="141"/>
      <c r="BS97" s="141"/>
      <c r="BT97" s="141"/>
      <c r="BU97" s="141"/>
      <c r="BV97" s="141"/>
      <c r="BW97" s="141"/>
      <c r="BX97" s="141"/>
      <c r="BY97" s="141"/>
      <c r="BZ97" s="141"/>
      <c r="CA97" s="141"/>
      <c r="CB97" s="141"/>
      <c r="CC97" s="141"/>
      <c r="CD97" s="141"/>
      <c r="CE97" s="141"/>
      <c r="CF97" s="141"/>
      <c r="CG97" s="141"/>
      <c r="CH97" s="141"/>
      <c r="CI97" s="141"/>
      <c r="CJ97" s="141"/>
      <c r="CK97" s="141"/>
      <c r="CL97" s="141"/>
    </row>
    <row r="98" outlineLevel="1">
      <c r="A98" s="213" t="str">
        <f t="shared" si="9"/>
        <v>TC_06.81</v>
      </c>
      <c r="B98" s="214" t="s">
        <v>67</v>
      </c>
      <c r="C98" s="238" t="s">
        <v>1440</v>
      </c>
      <c r="D98" s="238" t="s">
        <v>1441</v>
      </c>
      <c r="E98" s="217" t="s">
        <v>1442</v>
      </c>
      <c r="F98" s="238" t="s">
        <v>1443</v>
      </c>
      <c r="G98" s="211" t="s">
        <v>56</v>
      </c>
      <c r="H98" s="211" t="s">
        <v>135</v>
      </c>
      <c r="I98" s="221"/>
      <c r="J98" s="221"/>
      <c r="K98" s="221"/>
      <c r="L98" s="221"/>
      <c r="M98" s="221"/>
      <c r="N98" s="221"/>
      <c r="O98" s="221"/>
      <c r="P98" s="221"/>
      <c r="Q98" s="221"/>
      <c r="R98" s="221"/>
      <c r="S98" s="238"/>
      <c r="T98" s="221"/>
      <c r="U98" s="221"/>
      <c r="V98" s="221"/>
      <c r="W98" s="221"/>
      <c r="X98" s="221"/>
      <c r="Y98" s="221"/>
      <c r="Z98" s="221"/>
      <c r="AA98" s="141"/>
      <c r="AB98" s="141"/>
      <c r="AC98" s="141"/>
      <c r="AD98" s="141"/>
      <c r="AE98" s="141"/>
      <c r="AF98" s="141"/>
      <c r="AG98" s="141"/>
      <c r="AH98" s="141"/>
      <c r="AI98" s="141"/>
      <c r="AJ98" s="141"/>
      <c r="AK98" s="141"/>
      <c r="AL98" s="141"/>
      <c r="AM98" s="141"/>
      <c r="AN98" s="141"/>
      <c r="AO98" s="141"/>
      <c r="AP98" s="141"/>
      <c r="AQ98" s="141"/>
      <c r="AR98" s="141"/>
      <c r="AS98" s="141"/>
      <c r="AT98" s="141"/>
      <c r="AU98" s="141"/>
      <c r="AV98" s="141"/>
      <c r="AW98" s="141"/>
      <c r="AX98" s="141"/>
      <c r="AY98" s="141"/>
      <c r="AZ98" s="141"/>
      <c r="BA98" s="141"/>
      <c r="BB98" s="141"/>
      <c r="BC98" s="141"/>
      <c r="BD98" s="141"/>
      <c r="BE98" s="141"/>
      <c r="BF98" s="141"/>
      <c r="BG98" s="141"/>
      <c r="BH98" s="141"/>
      <c r="BI98" s="141"/>
      <c r="BJ98" s="141"/>
      <c r="BK98" s="141"/>
      <c r="BL98" s="141"/>
      <c r="BM98" s="141"/>
      <c r="BN98" s="141"/>
      <c r="BO98" s="141"/>
      <c r="BP98" s="141"/>
      <c r="BQ98" s="141"/>
      <c r="BR98" s="141"/>
      <c r="BS98" s="141"/>
      <c r="BT98" s="141"/>
      <c r="BU98" s="141"/>
      <c r="BV98" s="141"/>
      <c r="BW98" s="141"/>
      <c r="BX98" s="141"/>
      <c r="BY98" s="141"/>
      <c r="BZ98" s="141"/>
      <c r="CA98" s="141"/>
      <c r="CB98" s="141"/>
      <c r="CC98" s="141"/>
      <c r="CD98" s="141"/>
      <c r="CE98" s="141"/>
      <c r="CF98" s="141"/>
      <c r="CG98" s="141"/>
      <c r="CH98" s="141"/>
      <c r="CI98" s="141"/>
      <c r="CJ98" s="141"/>
      <c r="CK98" s="141"/>
      <c r="CL98" s="141"/>
    </row>
    <row r="99" outlineLevel="1">
      <c r="A99" s="213" t="str">
        <f t="shared" si="9"/>
        <v>TC_06.82</v>
      </c>
      <c r="B99" s="214" t="s">
        <v>69</v>
      </c>
      <c r="C99" s="217" t="s">
        <v>1444</v>
      </c>
      <c r="D99" s="217" t="s">
        <v>1445</v>
      </c>
      <c r="E99" s="217" t="s">
        <v>1446</v>
      </c>
      <c r="F99" s="217" t="s">
        <v>1447</v>
      </c>
      <c r="G99" s="211" t="s">
        <v>56</v>
      </c>
      <c r="H99" s="211" t="s">
        <v>135</v>
      </c>
      <c r="I99" s="221"/>
      <c r="J99" s="221"/>
      <c r="K99" s="221"/>
      <c r="L99" s="221"/>
      <c r="M99" s="221"/>
      <c r="N99" s="221"/>
      <c r="O99" s="221"/>
      <c r="P99" s="221"/>
      <c r="Q99" s="221"/>
      <c r="R99" s="221"/>
      <c r="S99" s="238"/>
      <c r="T99" s="221"/>
      <c r="U99" s="221"/>
      <c r="V99" s="221"/>
      <c r="W99" s="221"/>
      <c r="X99" s="221"/>
      <c r="Y99" s="221"/>
      <c r="Z99" s="221"/>
      <c r="AA99" s="141"/>
      <c r="AB99" s="141"/>
      <c r="AC99" s="141"/>
      <c r="AD99" s="141"/>
      <c r="AE99" s="141"/>
      <c r="AF99" s="141"/>
      <c r="AG99" s="141"/>
      <c r="AH99" s="141"/>
      <c r="AI99" s="141"/>
      <c r="AJ99" s="141"/>
      <c r="AK99" s="141"/>
      <c r="AL99" s="141"/>
      <c r="AM99" s="141"/>
      <c r="AN99" s="141"/>
      <c r="AO99" s="141"/>
      <c r="AP99" s="141"/>
      <c r="AQ99" s="141"/>
      <c r="AR99" s="141"/>
      <c r="AS99" s="141"/>
      <c r="AT99" s="141"/>
      <c r="AU99" s="141"/>
      <c r="AV99" s="141"/>
      <c r="AW99" s="141"/>
      <c r="AX99" s="141"/>
      <c r="AY99" s="141"/>
      <c r="AZ99" s="141"/>
      <c r="BA99" s="141"/>
      <c r="BB99" s="141"/>
      <c r="BC99" s="141"/>
      <c r="BD99" s="141"/>
      <c r="BE99" s="141"/>
      <c r="BF99" s="141"/>
      <c r="BG99" s="141"/>
      <c r="BH99" s="141"/>
      <c r="BI99" s="141"/>
      <c r="BJ99" s="141"/>
      <c r="BK99" s="141"/>
      <c r="BL99" s="141"/>
      <c r="BM99" s="141"/>
      <c r="BN99" s="141"/>
      <c r="BO99" s="141"/>
      <c r="BP99" s="141"/>
      <c r="BQ99" s="141"/>
      <c r="BR99" s="141"/>
      <c r="BS99" s="141"/>
      <c r="BT99" s="141"/>
      <c r="BU99" s="141"/>
      <c r="BV99" s="141"/>
      <c r="BW99" s="141"/>
      <c r="BX99" s="141"/>
      <c r="BY99" s="141"/>
      <c r="BZ99" s="141"/>
      <c r="CA99" s="141"/>
      <c r="CB99" s="141"/>
      <c r="CC99" s="141"/>
      <c r="CD99" s="141"/>
      <c r="CE99" s="141"/>
      <c r="CF99" s="141"/>
      <c r="CG99" s="141"/>
      <c r="CH99" s="141"/>
      <c r="CI99" s="141"/>
      <c r="CJ99" s="141"/>
      <c r="CK99" s="141"/>
      <c r="CL99" s="141"/>
    </row>
    <row r="100" outlineLevel="1">
      <c r="A100" s="213" t="str">
        <f t="shared" si="9"/>
        <v>TC_06.83</v>
      </c>
      <c r="B100" s="214" t="s">
        <v>69</v>
      </c>
      <c r="C100" s="238" t="s">
        <v>1448</v>
      </c>
      <c r="D100" s="238" t="s">
        <v>1449</v>
      </c>
      <c r="E100" s="217" t="s">
        <v>1450</v>
      </c>
      <c r="F100" s="238" t="s">
        <v>1451</v>
      </c>
      <c r="G100" s="211" t="s">
        <v>56</v>
      </c>
      <c r="H100" s="211" t="s">
        <v>135</v>
      </c>
      <c r="I100" s="221"/>
      <c r="J100" s="221"/>
      <c r="K100" s="221"/>
      <c r="L100" s="221"/>
      <c r="M100" s="221"/>
      <c r="N100" s="221"/>
      <c r="O100" s="221"/>
      <c r="P100" s="221"/>
      <c r="Q100" s="221"/>
      <c r="R100" s="221"/>
      <c r="S100" s="238"/>
      <c r="T100" s="221"/>
      <c r="U100" s="221"/>
      <c r="V100" s="221"/>
      <c r="W100" s="221"/>
      <c r="X100" s="221"/>
      <c r="Y100" s="221"/>
      <c r="Z100" s="221"/>
      <c r="AA100" s="141"/>
      <c r="AB100" s="141"/>
      <c r="AC100" s="141"/>
      <c r="AD100" s="141"/>
      <c r="AE100" s="141"/>
      <c r="AF100" s="141"/>
      <c r="AG100" s="141"/>
      <c r="AH100" s="141"/>
      <c r="AI100" s="141"/>
      <c r="AJ100" s="141"/>
      <c r="AK100" s="141"/>
      <c r="AL100" s="141"/>
      <c r="AM100" s="141"/>
      <c r="AN100" s="141"/>
      <c r="AO100" s="141"/>
      <c r="AP100" s="141"/>
      <c r="AQ100" s="141"/>
      <c r="AR100" s="141"/>
      <c r="AS100" s="141"/>
      <c r="AT100" s="141"/>
      <c r="AU100" s="141"/>
      <c r="AV100" s="141"/>
      <c r="AW100" s="141"/>
      <c r="AX100" s="141"/>
      <c r="AY100" s="141"/>
      <c r="AZ100" s="141"/>
      <c r="BA100" s="141"/>
      <c r="BB100" s="141"/>
      <c r="BC100" s="141"/>
      <c r="BD100" s="141"/>
      <c r="BE100" s="141"/>
      <c r="BF100" s="141"/>
      <c r="BG100" s="141"/>
      <c r="BH100" s="141"/>
      <c r="BI100" s="141"/>
      <c r="BJ100" s="141"/>
      <c r="BK100" s="141"/>
      <c r="BL100" s="141"/>
      <c r="BM100" s="141"/>
      <c r="BN100" s="141"/>
      <c r="BO100" s="141"/>
      <c r="BP100" s="141"/>
      <c r="BQ100" s="141"/>
      <c r="BR100" s="141"/>
      <c r="BS100" s="141"/>
      <c r="BT100" s="141"/>
      <c r="BU100" s="141"/>
      <c r="BV100" s="141"/>
      <c r="BW100" s="141"/>
      <c r="BX100" s="141"/>
      <c r="BY100" s="141"/>
      <c r="BZ100" s="141"/>
      <c r="CA100" s="141"/>
      <c r="CB100" s="141"/>
      <c r="CC100" s="141"/>
      <c r="CD100" s="141"/>
      <c r="CE100" s="141"/>
      <c r="CF100" s="141"/>
      <c r="CG100" s="141"/>
      <c r="CH100" s="141"/>
      <c r="CI100" s="141"/>
      <c r="CJ100" s="141"/>
      <c r="CK100" s="141"/>
      <c r="CL100" s="141"/>
    </row>
    <row r="101">
      <c r="A101" s="424" t="s">
        <v>1452</v>
      </c>
      <c r="B101" s="144"/>
      <c r="C101" s="144"/>
      <c r="D101" s="144"/>
      <c r="E101" s="144"/>
      <c r="F101" s="167"/>
      <c r="G101" s="214"/>
      <c r="H101" s="213"/>
      <c r="I101" s="221"/>
      <c r="J101" s="221"/>
      <c r="K101" s="221"/>
      <c r="L101" s="221"/>
      <c r="M101" s="221"/>
      <c r="N101" s="221"/>
      <c r="O101" s="221"/>
      <c r="P101" s="221"/>
      <c r="Q101" s="221"/>
      <c r="R101" s="221"/>
      <c r="S101" s="238"/>
      <c r="T101" s="221"/>
      <c r="U101" s="221"/>
      <c r="V101" s="221"/>
      <c r="W101" s="221"/>
      <c r="X101" s="221"/>
      <c r="Y101" s="221"/>
      <c r="Z101" s="221"/>
      <c r="AA101" s="141"/>
      <c r="AB101" s="141"/>
      <c r="AC101" s="141"/>
      <c r="AD101" s="141"/>
      <c r="AE101" s="141"/>
      <c r="AF101" s="141"/>
      <c r="AG101" s="141"/>
      <c r="AH101" s="141"/>
      <c r="AI101" s="141"/>
      <c r="AJ101" s="141"/>
      <c r="AK101" s="141"/>
      <c r="AL101" s="141"/>
      <c r="AM101" s="141"/>
      <c r="AN101" s="141"/>
      <c r="AO101" s="141"/>
      <c r="AP101" s="141"/>
      <c r="AQ101" s="141"/>
      <c r="AR101" s="141"/>
      <c r="AS101" s="141"/>
      <c r="AT101" s="141"/>
      <c r="AU101" s="141"/>
      <c r="AV101" s="141"/>
      <c r="AW101" s="141"/>
      <c r="AX101" s="141"/>
      <c r="AY101" s="141"/>
      <c r="AZ101" s="141"/>
      <c r="BA101" s="141"/>
      <c r="BB101" s="141"/>
      <c r="BC101" s="141"/>
      <c r="BD101" s="141"/>
      <c r="BE101" s="141"/>
      <c r="BF101" s="141"/>
      <c r="BG101" s="141"/>
      <c r="BH101" s="141"/>
      <c r="BI101" s="141"/>
      <c r="BJ101" s="141"/>
      <c r="BK101" s="141"/>
      <c r="BL101" s="141"/>
      <c r="BM101" s="141"/>
      <c r="BN101" s="141"/>
      <c r="BO101" s="141"/>
      <c r="BP101" s="141"/>
      <c r="BQ101" s="141"/>
      <c r="BR101" s="141"/>
      <c r="BS101" s="141"/>
      <c r="BT101" s="141"/>
      <c r="BU101" s="141"/>
      <c r="BV101" s="141"/>
      <c r="BW101" s="141"/>
      <c r="BX101" s="141"/>
      <c r="BY101" s="141"/>
      <c r="BZ101" s="141"/>
      <c r="CA101" s="141"/>
      <c r="CB101" s="141"/>
      <c r="CC101" s="141"/>
      <c r="CD101" s="141"/>
      <c r="CE101" s="141"/>
      <c r="CF101" s="141"/>
      <c r="CG101" s="141"/>
      <c r="CH101" s="141"/>
      <c r="CI101" s="141"/>
      <c r="CJ101" s="141"/>
      <c r="CK101" s="141"/>
      <c r="CL101" s="141"/>
    </row>
    <row r="102" outlineLevel="1">
      <c r="A102" s="213" t="str">
        <f t="shared" ref="A102:A125" si="10">IF(E102="","",$C$3&amp;"."&amp;COUNTA($E$9:E102)&amp;"")</f>
        <v>TC_06.84</v>
      </c>
      <c r="B102" s="214" t="s">
        <v>67</v>
      </c>
      <c r="C102" s="217" t="s">
        <v>1453</v>
      </c>
      <c r="D102" s="221" t="s">
        <v>1454</v>
      </c>
      <c r="E102" s="217" t="s">
        <v>1455</v>
      </c>
      <c r="F102" s="217" t="s">
        <v>1456</v>
      </c>
      <c r="G102" s="211" t="s">
        <v>56</v>
      </c>
      <c r="H102" s="211" t="s">
        <v>135</v>
      </c>
      <c r="I102" s="221"/>
      <c r="J102" s="221"/>
      <c r="K102" s="221"/>
      <c r="L102" s="221"/>
      <c r="M102" s="221"/>
      <c r="N102" s="221"/>
      <c r="O102" s="221"/>
      <c r="P102" s="221"/>
      <c r="Q102" s="221"/>
      <c r="R102" s="221"/>
      <c r="S102" s="238"/>
      <c r="T102" s="221"/>
      <c r="U102" s="221"/>
      <c r="V102" s="221"/>
      <c r="W102" s="221"/>
      <c r="X102" s="221"/>
      <c r="Y102" s="221"/>
      <c r="Z102" s="221"/>
      <c r="AA102" s="141"/>
      <c r="AB102" s="141"/>
      <c r="AC102" s="141"/>
      <c r="AD102" s="141"/>
      <c r="AE102" s="141"/>
      <c r="AF102" s="141"/>
      <c r="AG102" s="141"/>
      <c r="AH102" s="141"/>
      <c r="AI102" s="141"/>
      <c r="AJ102" s="141"/>
      <c r="AK102" s="141"/>
      <c r="AL102" s="141"/>
      <c r="AM102" s="141"/>
      <c r="AN102" s="141"/>
      <c r="AO102" s="141"/>
      <c r="AP102" s="141"/>
      <c r="AQ102" s="141"/>
      <c r="AR102" s="141"/>
      <c r="AS102" s="141"/>
      <c r="AT102" s="141"/>
      <c r="AU102" s="141"/>
      <c r="AV102" s="141"/>
      <c r="AW102" s="141"/>
      <c r="AX102" s="141"/>
      <c r="AY102" s="141"/>
      <c r="AZ102" s="141"/>
      <c r="BA102" s="141"/>
      <c r="BB102" s="141"/>
      <c r="BC102" s="141"/>
      <c r="BD102" s="141"/>
      <c r="BE102" s="141"/>
      <c r="BF102" s="141"/>
      <c r="BG102" s="141"/>
      <c r="BH102" s="141"/>
      <c r="BI102" s="141"/>
      <c r="BJ102" s="141"/>
      <c r="BK102" s="141"/>
      <c r="BL102" s="141"/>
      <c r="BM102" s="141"/>
      <c r="BN102" s="141"/>
      <c r="BO102" s="141"/>
      <c r="BP102" s="141"/>
      <c r="BQ102" s="141"/>
      <c r="BR102" s="141"/>
      <c r="BS102" s="141"/>
      <c r="BT102" s="141"/>
      <c r="BU102" s="141"/>
      <c r="BV102" s="141"/>
      <c r="BW102" s="141"/>
      <c r="BX102" s="141"/>
      <c r="BY102" s="141"/>
      <c r="BZ102" s="141"/>
      <c r="CA102" s="141"/>
      <c r="CB102" s="141"/>
      <c r="CC102" s="141"/>
      <c r="CD102" s="141"/>
      <c r="CE102" s="141"/>
      <c r="CF102" s="141"/>
      <c r="CG102" s="141"/>
      <c r="CH102" s="141"/>
      <c r="CI102" s="141"/>
      <c r="CJ102" s="141"/>
      <c r="CK102" s="141"/>
      <c r="CL102" s="141"/>
    </row>
    <row r="103" outlineLevel="1">
      <c r="A103" s="213" t="str">
        <f t="shared" si="10"/>
        <v>TC_06.85</v>
      </c>
      <c r="B103" s="214" t="s">
        <v>67</v>
      </c>
      <c r="C103" s="217" t="s">
        <v>1457</v>
      </c>
      <c r="D103" s="217" t="s">
        <v>1458</v>
      </c>
      <c r="E103" s="217" t="s">
        <v>1459</v>
      </c>
      <c r="F103" s="217" t="s">
        <v>1460</v>
      </c>
      <c r="G103" s="211" t="s">
        <v>56</v>
      </c>
      <c r="H103" s="211" t="s">
        <v>135</v>
      </c>
      <c r="I103" s="221"/>
      <c r="J103" s="221"/>
      <c r="K103" s="221"/>
      <c r="L103" s="221"/>
      <c r="M103" s="221"/>
      <c r="N103" s="221"/>
      <c r="O103" s="221"/>
      <c r="P103" s="221"/>
      <c r="Q103" s="221"/>
      <c r="R103" s="221"/>
      <c r="S103" s="238"/>
      <c r="T103" s="221"/>
      <c r="U103" s="221"/>
      <c r="V103" s="221"/>
      <c r="W103" s="221"/>
      <c r="X103" s="221"/>
      <c r="Y103" s="221"/>
      <c r="Z103" s="221"/>
      <c r="AA103" s="141"/>
      <c r="AB103" s="141"/>
      <c r="AC103" s="141"/>
      <c r="AD103" s="141"/>
      <c r="AE103" s="141"/>
      <c r="AF103" s="141"/>
      <c r="AG103" s="141"/>
      <c r="AH103" s="141"/>
      <c r="AI103" s="141"/>
      <c r="AJ103" s="141"/>
      <c r="AK103" s="141"/>
      <c r="AL103" s="141"/>
      <c r="AM103" s="141"/>
      <c r="AN103" s="141"/>
      <c r="AO103" s="141"/>
      <c r="AP103" s="141"/>
      <c r="AQ103" s="141"/>
      <c r="AR103" s="141"/>
      <c r="AS103" s="141"/>
      <c r="AT103" s="141"/>
      <c r="AU103" s="141"/>
      <c r="AV103" s="141"/>
      <c r="AW103" s="141"/>
      <c r="AX103" s="141"/>
      <c r="AY103" s="141"/>
      <c r="AZ103" s="141"/>
      <c r="BA103" s="141"/>
      <c r="BB103" s="141"/>
      <c r="BC103" s="141"/>
      <c r="BD103" s="141"/>
      <c r="BE103" s="141"/>
      <c r="BF103" s="141"/>
      <c r="BG103" s="141"/>
      <c r="BH103" s="141"/>
      <c r="BI103" s="141"/>
      <c r="BJ103" s="141"/>
      <c r="BK103" s="141"/>
      <c r="BL103" s="141"/>
      <c r="BM103" s="141"/>
      <c r="BN103" s="141"/>
      <c r="BO103" s="141"/>
      <c r="BP103" s="141"/>
      <c r="BQ103" s="141"/>
      <c r="BR103" s="141"/>
      <c r="BS103" s="141"/>
      <c r="BT103" s="141"/>
      <c r="BU103" s="141"/>
      <c r="BV103" s="141"/>
      <c r="BW103" s="141"/>
      <c r="BX103" s="141"/>
      <c r="BY103" s="141"/>
      <c r="BZ103" s="141"/>
      <c r="CA103" s="141"/>
      <c r="CB103" s="141"/>
      <c r="CC103" s="141"/>
      <c r="CD103" s="141"/>
      <c r="CE103" s="141"/>
      <c r="CF103" s="141"/>
      <c r="CG103" s="141"/>
      <c r="CH103" s="141"/>
      <c r="CI103" s="141"/>
      <c r="CJ103" s="141"/>
      <c r="CK103" s="141"/>
      <c r="CL103" s="141"/>
    </row>
    <row r="104" outlineLevel="1">
      <c r="A104" s="213" t="str">
        <f t="shared" si="10"/>
        <v>TC_06.86</v>
      </c>
      <c r="B104" s="214" t="s">
        <v>67</v>
      </c>
      <c r="C104" s="217" t="s">
        <v>1461</v>
      </c>
      <c r="D104" s="217" t="s">
        <v>1462</v>
      </c>
      <c r="E104" s="217" t="s">
        <v>1463</v>
      </c>
      <c r="F104" s="217" t="s">
        <v>1464</v>
      </c>
      <c r="G104" s="211" t="s">
        <v>56</v>
      </c>
      <c r="H104" s="211" t="s">
        <v>135</v>
      </c>
      <c r="I104" s="221"/>
      <c r="J104" s="221"/>
      <c r="K104" s="221"/>
      <c r="L104" s="221"/>
      <c r="M104" s="221"/>
      <c r="N104" s="221"/>
      <c r="O104" s="221"/>
      <c r="P104" s="221"/>
      <c r="Q104" s="221"/>
      <c r="R104" s="221"/>
      <c r="S104" s="238"/>
      <c r="T104" s="221"/>
      <c r="U104" s="221"/>
      <c r="V104" s="221"/>
      <c r="W104" s="221"/>
      <c r="X104" s="221"/>
      <c r="Y104" s="221"/>
      <c r="Z104" s="221"/>
      <c r="AA104" s="141"/>
      <c r="AB104" s="141"/>
      <c r="AC104" s="141"/>
      <c r="AD104" s="141"/>
      <c r="AE104" s="141"/>
      <c r="AF104" s="141"/>
      <c r="AG104" s="141"/>
      <c r="AH104" s="141"/>
      <c r="AI104" s="141"/>
      <c r="AJ104" s="141"/>
      <c r="AK104" s="141"/>
      <c r="AL104" s="141"/>
      <c r="AM104" s="141"/>
      <c r="AN104" s="141"/>
      <c r="AO104" s="141"/>
      <c r="AP104" s="141"/>
      <c r="AQ104" s="141"/>
      <c r="AR104" s="141"/>
      <c r="AS104" s="141"/>
      <c r="AT104" s="141"/>
      <c r="AU104" s="141"/>
      <c r="AV104" s="141"/>
      <c r="AW104" s="141"/>
      <c r="AX104" s="141"/>
      <c r="AY104" s="141"/>
      <c r="AZ104" s="141"/>
      <c r="BA104" s="141"/>
      <c r="BB104" s="141"/>
      <c r="BC104" s="141"/>
      <c r="BD104" s="141"/>
      <c r="BE104" s="141"/>
      <c r="BF104" s="141"/>
      <c r="BG104" s="141"/>
      <c r="BH104" s="141"/>
      <c r="BI104" s="141"/>
      <c r="BJ104" s="141"/>
      <c r="BK104" s="141"/>
      <c r="BL104" s="141"/>
      <c r="BM104" s="141"/>
      <c r="BN104" s="141"/>
      <c r="BO104" s="141"/>
      <c r="BP104" s="141"/>
      <c r="BQ104" s="141"/>
      <c r="BR104" s="141"/>
      <c r="BS104" s="141"/>
      <c r="BT104" s="141"/>
      <c r="BU104" s="141"/>
      <c r="BV104" s="141"/>
      <c r="BW104" s="141"/>
      <c r="BX104" s="141"/>
      <c r="BY104" s="141"/>
      <c r="BZ104" s="141"/>
      <c r="CA104" s="141"/>
      <c r="CB104" s="141"/>
      <c r="CC104" s="141"/>
      <c r="CD104" s="141"/>
      <c r="CE104" s="141"/>
      <c r="CF104" s="141"/>
      <c r="CG104" s="141"/>
      <c r="CH104" s="141"/>
      <c r="CI104" s="141"/>
      <c r="CJ104" s="141"/>
      <c r="CK104" s="141"/>
      <c r="CL104" s="141"/>
    </row>
    <row r="105" outlineLevel="1">
      <c r="A105" s="213" t="str">
        <f t="shared" si="10"/>
        <v>TC_06.87</v>
      </c>
      <c r="B105" s="214" t="s">
        <v>67</v>
      </c>
      <c r="C105" s="217" t="s">
        <v>1465</v>
      </c>
      <c r="D105" s="217" t="s">
        <v>1466</v>
      </c>
      <c r="E105" s="217" t="s">
        <v>1467</v>
      </c>
      <c r="F105" s="217" t="s">
        <v>1468</v>
      </c>
      <c r="G105" s="211" t="s">
        <v>56</v>
      </c>
      <c r="H105" s="211" t="s">
        <v>135</v>
      </c>
      <c r="I105" s="221"/>
      <c r="J105" s="221"/>
      <c r="K105" s="221"/>
      <c r="L105" s="221"/>
      <c r="M105" s="221"/>
      <c r="N105" s="221"/>
      <c r="O105" s="221"/>
      <c r="P105" s="221"/>
      <c r="Q105" s="221"/>
      <c r="R105" s="221"/>
      <c r="S105" s="238"/>
      <c r="T105" s="221"/>
      <c r="U105" s="221"/>
      <c r="V105" s="221"/>
      <c r="W105" s="221"/>
      <c r="X105" s="221"/>
      <c r="Y105" s="221"/>
      <c r="Z105" s="221"/>
      <c r="AA105" s="141"/>
      <c r="AB105" s="141"/>
      <c r="AC105" s="141"/>
      <c r="AD105" s="141"/>
      <c r="AE105" s="141"/>
      <c r="AF105" s="141"/>
      <c r="AG105" s="141"/>
      <c r="AH105" s="141"/>
      <c r="AI105" s="141"/>
      <c r="AJ105" s="141"/>
      <c r="AK105" s="141"/>
      <c r="AL105" s="141"/>
      <c r="AM105" s="141"/>
      <c r="AN105" s="141"/>
      <c r="AO105" s="141"/>
      <c r="AP105" s="141"/>
      <c r="AQ105" s="141"/>
      <c r="AR105" s="141"/>
      <c r="AS105" s="141"/>
      <c r="AT105" s="141"/>
      <c r="AU105" s="141"/>
      <c r="AV105" s="141"/>
      <c r="AW105" s="141"/>
      <c r="AX105" s="141"/>
      <c r="AY105" s="141"/>
      <c r="AZ105" s="141"/>
      <c r="BA105" s="141"/>
      <c r="BB105" s="141"/>
      <c r="BC105" s="141"/>
      <c r="BD105" s="141"/>
      <c r="BE105" s="141"/>
      <c r="BF105" s="141"/>
      <c r="BG105" s="141"/>
      <c r="BH105" s="141"/>
      <c r="BI105" s="141"/>
      <c r="BJ105" s="141"/>
      <c r="BK105" s="141"/>
      <c r="BL105" s="141"/>
      <c r="BM105" s="141"/>
      <c r="BN105" s="141"/>
      <c r="BO105" s="141"/>
      <c r="BP105" s="141"/>
      <c r="BQ105" s="141"/>
      <c r="BR105" s="141"/>
      <c r="BS105" s="141"/>
      <c r="BT105" s="141"/>
      <c r="BU105" s="141"/>
      <c r="BV105" s="141"/>
      <c r="BW105" s="141"/>
      <c r="BX105" s="141"/>
      <c r="BY105" s="141"/>
      <c r="BZ105" s="141"/>
      <c r="CA105" s="141"/>
      <c r="CB105" s="141"/>
      <c r="CC105" s="141"/>
      <c r="CD105" s="141"/>
      <c r="CE105" s="141"/>
      <c r="CF105" s="141"/>
      <c r="CG105" s="141"/>
      <c r="CH105" s="141"/>
      <c r="CI105" s="141"/>
      <c r="CJ105" s="141"/>
      <c r="CK105" s="141"/>
      <c r="CL105" s="141"/>
    </row>
    <row r="106" outlineLevel="1">
      <c r="A106" s="213" t="str">
        <f t="shared" si="10"/>
        <v>TC_06.88</v>
      </c>
      <c r="B106" s="214" t="s">
        <v>67</v>
      </c>
      <c r="C106" s="217" t="s">
        <v>1469</v>
      </c>
      <c r="D106" s="217" t="s">
        <v>1470</v>
      </c>
      <c r="E106" s="217" t="s">
        <v>1471</v>
      </c>
      <c r="F106" s="217" t="s">
        <v>1472</v>
      </c>
      <c r="G106" s="211" t="s">
        <v>56</v>
      </c>
      <c r="H106" s="211" t="s">
        <v>135</v>
      </c>
      <c r="I106" s="221"/>
      <c r="J106" s="221"/>
      <c r="K106" s="221"/>
      <c r="L106" s="221"/>
      <c r="M106" s="221"/>
      <c r="N106" s="221"/>
      <c r="O106" s="221"/>
      <c r="P106" s="221"/>
      <c r="Q106" s="221"/>
      <c r="R106" s="221"/>
      <c r="S106" s="238"/>
      <c r="T106" s="221"/>
      <c r="U106" s="221"/>
      <c r="V106" s="221"/>
      <c r="W106" s="221"/>
      <c r="X106" s="221"/>
      <c r="Y106" s="221"/>
      <c r="Z106" s="221"/>
      <c r="AA106" s="141"/>
      <c r="AB106" s="141"/>
      <c r="AC106" s="141"/>
      <c r="AD106" s="141"/>
      <c r="AE106" s="141"/>
      <c r="AF106" s="141"/>
      <c r="AG106" s="141"/>
      <c r="AH106" s="141"/>
      <c r="AI106" s="141"/>
      <c r="AJ106" s="141"/>
      <c r="AK106" s="141"/>
      <c r="AL106" s="141"/>
      <c r="AM106" s="141"/>
      <c r="AN106" s="141"/>
      <c r="AO106" s="141"/>
      <c r="AP106" s="141"/>
      <c r="AQ106" s="141"/>
      <c r="AR106" s="141"/>
      <c r="AS106" s="141"/>
      <c r="AT106" s="141"/>
      <c r="AU106" s="141"/>
      <c r="AV106" s="141"/>
      <c r="AW106" s="141"/>
      <c r="AX106" s="141"/>
      <c r="AY106" s="141"/>
      <c r="AZ106" s="141"/>
      <c r="BA106" s="141"/>
      <c r="BB106" s="141"/>
      <c r="BC106" s="141"/>
      <c r="BD106" s="141"/>
      <c r="BE106" s="141"/>
      <c r="BF106" s="141"/>
      <c r="BG106" s="141"/>
      <c r="BH106" s="141"/>
      <c r="BI106" s="141"/>
      <c r="BJ106" s="141"/>
      <c r="BK106" s="141"/>
      <c r="BL106" s="141"/>
      <c r="BM106" s="141"/>
      <c r="BN106" s="141"/>
      <c r="BO106" s="141"/>
      <c r="BP106" s="141"/>
      <c r="BQ106" s="141"/>
      <c r="BR106" s="141"/>
      <c r="BS106" s="141"/>
      <c r="BT106" s="141"/>
      <c r="BU106" s="141"/>
      <c r="BV106" s="141"/>
      <c r="BW106" s="141"/>
      <c r="BX106" s="141"/>
      <c r="BY106" s="141"/>
      <c r="BZ106" s="141"/>
      <c r="CA106" s="141"/>
      <c r="CB106" s="141"/>
      <c r="CC106" s="141"/>
      <c r="CD106" s="141"/>
      <c r="CE106" s="141"/>
      <c r="CF106" s="141"/>
      <c r="CG106" s="141"/>
      <c r="CH106" s="141"/>
      <c r="CI106" s="141"/>
      <c r="CJ106" s="141"/>
      <c r="CK106" s="141"/>
      <c r="CL106" s="141"/>
    </row>
    <row r="107" outlineLevel="1">
      <c r="A107" s="213" t="str">
        <f t="shared" si="10"/>
        <v>TC_06.89</v>
      </c>
      <c r="B107" s="214" t="s">
        <v>67</v>
      </c>
      <c r="C107" s="217" t="s">
        <v>1473</v>
      </c>
      <c r="D107" s="217" t="s">
        <v>1474</v>
      </c>
      <c r="E107" s="217" t="s">
        <v>1475</v>
      </c>
      <c r="F107" s="217" t="s">
        <v>1476</v>
      </c>
      <c r="G107" s="211" t="s">
        <v>56</v>
      </c>
      <c r="H107" s="211" t="s">
        <v>135</v>
      </c>
      <c r="I107" s="221"/>
      <c r="J107" s="221"/>
      <c r="K107" s="221"/>
      <c r="L107" s="221"/>
      <c r="M107" s="221"/>
      <c r="N107" s="221"/>
      <c r="O107" s="221"/>
      <c r="P107" s="221"/>
      <c r="Q107" s="221"/>
      <c r="R107" s="221"/>
      <c r="S107" s="238"/>
      <c r="T107" s="221"/>
      <c r="U107" s="221"/>
      <c r="V107" s="221"/>
      <c r="W107" s="221"/>
      <c r="X107" s="221"/>
      <c r="Y107" s="221"/>
      <c r="Z107" s="221"/>
      <c r="AA107" s="141"/>
      <c r="AB107" s="141"/>
      <c r="AC107" s="141"/>
      <c r="AD107" s="141"/>
      <c r="AE107" s="141"/>
      <c r="AF107" s="141"/>
      <c r="AG107" s="141"/>
      <c r="AH107" s="141"/>
      <c r="AI107" s="141"/>
      <c r="AJ107" s="141"/>
      <c r="AK107" s="141"/>
      <c r="AL107" s="141"/>
      <c r="AM107" s="141"/>
      <c r="AN107" s="141"/>
      <c r="AO107" s="141"/>
      <c r="AP107" s="141"/>
      <c r="AQ107" s="141"/>
      <c r="AR107" s="141"/>
      <c r="AS107" s="141"/>
      <c r="AT107" s="141"/>
      <c r="AU107" s="141"/>
      <c r="AV107" s="141"/>
      <c r="AW107" s="141"/>
      <c r="AX107" s="141"/>
      <c r="AY107" s="141"/>
      <c r="AZ107" s="141"/>
      <c r="BA107" s="141"/>
      <c r="BB107" s="141"/>
      <c r="BC107" s="141"/>
      <c r="BD107" s="141"/>
      <c r="BE107" s="141"/>
      <c r="BF107" s="141"/>
      <c r="BG107" s="141"/>
      <c r="BH107" s="141"/>
      <c r="BI107" s="141"/>
      <c r="BJ107" s="141"/>
      <c r="BK107" s="141"/>
      <c r="BL107" s="141"/>
      <c r="BM107" s="141"/>
      <c r="BN107" s="141"/>
      <c r="BO107" s="141"/>
      <c r="BP107" s="141"/>
      <c r="BQ107" s="141"/>
      <c r="BR107" s="141"/>
      <c r="BS107" s="141"/>
      <c r="BT107" s="141"/>
      <c r="BU107" s="141"/>
      <c r="BV107" s="141"/>
      <c r="BW107" s="141"/>
      <c r="BX107" s="141"/>
      <c r="BY107" s="141"/>
      <c r="BZ107" s="141"/>
      <c r="CA107" s="141"/>
      <c r="CB107" s="141"/>
      <c r="CC107" s="141"/>
      <c r="CD107" s="141"/>
      <c r="CE107" s="141"/>
      <c r="CF107" s="141"/>
      <c r="CG107" s="141"/>
      <c r="CH107" s="141"/>
      <c r="CI107" s="141"/>
      <c r="CJ107" s="141"/>
      <c r="CK107" s="141"/>
      <c r="CL107" s="141"/>
    </row>
    <row r="108" outlineLevel="1">
      <c r="A108" s="213" t="str">
        <f t="shared" si="10"/>
        <v>TC_06.90</v>
      </c>
      <c r="B108" s="214" t="s">
        <v>67</v>
      </c>
      <c r="C108" s="238" t="s">
        <v>1477</v>
      </c>
      <c r="D108" s="238" t="s">
        <v>1478</v>
      </c>
      <c r="E108" s="217" t="s">
        <v>1479</v>
      </c>
      <c r="F108" s="238" t="s">
        <v>1480</v>
      </c>
      <c r="G108" s="211" t="s">
        <v>56</v>
      </c>
      <c r="H108" s="211" t="s">
        <v>135</v>
      </c>
      <c r="I108" s="221"/>
      <c r="J108" s="221"/>
      <c r="K108" s="221"/>
      <c r="L108" s="221"/>
      <c r="M108" s="221"/>
      <c r="N108" s="221"/>
      <c r="O108" s="221"/>
      <c r="P108" s="221"/>
      <c r="Q108" s="221"/>
      <c r="R108" s="221"/>
      <c r="S108" s="238"/>
      <c r="T108" s="221"/>
      <c r="U108" s="221"/>
      <c r="V108" s="221"/>
      <c r="W108" s="221"/>
      <c r="X108" s="221"/>
      <c r="Y108" s="221"/>
      <c r="Z108" s="221"/>
      <c r="AA108" s="141"/>
      <c r="AB108" s="141"/>
      <c r="AC108" s="141"/>
      <c r="AD108" s="141"/>
      <c r="AE108" s="141"/>
      <c r="AF108" s="141"/>
      <c r="AG108" s="141"/>
      <c r="AH108" s="141"/>
      <c r="AI108" s="141"/>
      <c r="AJ108" s="14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1"/>
      <c r="BN108" s="141"/>
      <c r="BO108" s="141"/>
      <c r="BP108" s="141"/>
      <c r="BQ108" s="141"/>
      <c r="BR108" s="141"/>
      <c r="BS108" s="141"/>
      <c r="BT108" s="141"/>
      <c r="BU108" s="141"/>
      <c r="BV108" s="141"/>
      <c r="BW108" s="141"/>
      <c r="BX108" s="141"/>
      <c r="BY108" s="141"/>
      <c r="BZ108" s="141"/>
      <c r="CA108" s="141"/>
      <c r="CB108" s="141"/>
      <c r="CC108" s="141"/>
      <c r="CD108" s="141"/>
      <c r="CE108" s="141"/>
      <c r="CF108" s="141"/>
      <c r="CG108" s="141"/>
      <c r="CH108" s="141"/>
      <c r="CI108" s="141"/>
      <c r="CJ108" s="141"/>
      <c r="CK108" s="141"/>
      <c r="CL108" s="141"/>
    </row>
    <row r="109" outlineLevel="1">
      <c r="A109" s="213" t="str">
        <f t="shared" si="10"/>
        <v>TC_06.91</v>
      </c>
      <c r="B109" s="214" t="s">
        <v>67</v>
      </c>
      <c r="C109" s="238" t="s">
        <v>1481</v>
      </c>
      <c r="D109" s="238" t="s">
        <v>1482</v>
      </c>
      <c r="E109" s="217" t="s">
        <v>1483</v>
      </c>
      <c r="F109" s="217" t="s">
        <v>1484</v>
      </c>
      <c r="G109" s="211" t="s">
        <v>56</v>
      </c>
      <c r="H109" s="211" t="s">
        <v>135</v>
      </c>
      <c r="I109" s="221"/>
      <c r="J109" s="221"/>
      <c r="K109" s="221"/>
      <c r="L109" s="221"/>
      <c r="M109" s="221"/>
      <c r="N109" s="221"/>
      <c r="O109" s="221"/>
      <c r="P109" s="221"/>
      <c r="Q109" s="221"/>
      <c r="R109" s="221"/>
      <c r="S109" s="238"/>
      <c r="T109" s="221"/>
      <c r="U109" s="221"/>
      <c r="V109" s="221"/>
      <c r="W109" s="221"/>
      <c r="X109" s="221"/>
      <c r="Y109" s="221"/>
      <c r="Z109" s="221"/>
      <c r="AA109" s="141"/>
      <c r="AB109" s="141"/>
      <c r="AC109" s="141"/>
      <c r="AD109" s="141"/>
      <c r="AE109" s="141"/>
      <c r="AF109" s="141"/>
      <c r="AG109" s="141"/>
      <c r="AH109" s="141"/>
      <c r="AI109" s="141"/>
      <c r="AJ109" s="141"/>
      <c r="AK109" s="141"/>
      <c r="AL109" s="141"/>
      <c r="AM109" s="141"/>
      <c r="AN109" s="141"/>
      <c r="AO109" s="141"/>
      <c r="AP109" s="141"/>
      <c r="AQ109" s="141"/>
      <c r="AR109" s="141"/>
      <c r="AS109" s="141"/>
      <c r="AT109" s="141"/>
      <c r="AU109" s="141"/>
      <c r="AV109" s="141"/>
      <c r="AW109" s="141"/>
      <c r="AX109" s="141"/>
      <c r="AY109" s="141"/>
      <c r="AZ109" s="141"/>
      <c r="BA109" s="141"/>
      <c r="BB109" s="141"/>
      <c r="BC109" s="141"/>
      <c r="BD109" s="141"/>
      <c r="BE109" s="141"/>
      <c r="BF109" s="141"/>
      <c r="BG109" s="141"/>
      <c r="BH109" s="141"/>
      <c r="BI109" s="141"/>
      <c r="BJ109" s="141"/>
      <c r="BK109" s="141"/>
      <c r="BL109" s="141"/>
      <c r="BM109" s="141"/>
      <c r="BN109" s="141"/>
      <c r="BO109" s="141"/>
      <c r="BP109" s="141"/>
      <c r="BQ109" s="141"/>
      <c r="BR109" s="141"/>
      <c r="BS109" s="141"/>
      <c r="BT109" s="141"/>
      <c r="BU109" s="141"/>
      <c r="BV109" s="141"/>
      <c r="BW109" s="141"/>
      <c r="BX109" s="141"/>
      <c r="BY109" s="141"/>
      <c r="BZ109" s="141"/>
      <c r="CA109" s="141"/>
      <c r="CB109" s="141"/>
      <c r="CC109" s="141"/>
      <c r="CD109" s="141"/>
      <c r="CE109" s="141"/>
      <c r="CF109" s="141"/>
      <c r="CG109" s="141"/>
      <c r="CH109" s="141"/>
      <c r="CI109" s="141"/>
      <c r="CJ109" s="141"/>
      <c r="CK109" s="141"/>
      <c r="CL109" s="141"/>
    </row>
    <row r="110" outlineLevel="1">
      <c r="A110" s="213" t="str">
        <f t="shared" si="10"/>
        <v>TC_06.92</v>
      </c>
      <c r="B110" s="214" t="s">
        <v>67</v>
      </c>
      <c r="C110" s="238" t="s">
        <v>1485</v>
      </c>
      <c r="D110" s="238" t="s">
        <v>1486</v>
      </c>
      <c r="E110" s="217" t="s">
        <v>1487</v>
      </c>
      <c r="F110" s="238" t="s">
        <v>1488</v>
      </c>
      <c r="G110" s="211" t="s">
        <v>56</v>
      </c>
      <c r="H110" s="211" t="s">
        <v>135</v>
      </c>
      <c r="I110" s="221"/>
      <c r="J110" s="221"/>
      <c r="K110" s="221"/>
      <c r="L110" s="221"/>
      <c r="M110" s="221"/>
      <c r="N110" s="221"/>
      <c r="O110" s="221"/>
      <c r="P110" s="221"/>
      <c r="Q110" s="221"/>
      <c r="R110" s="221"/>
      <c r="S110" s="238"/>
      <c r="T110" s="221"/>
      <c r="U110" s="221"/>
      <c r="V110" s="221"/>
      <c r="W110" s="221"/>
      <c r="X110" s="221"/>
      <c r="Y110" s="221"/>
      <c r="Z110" s="221"/>
      <c r="AA110" s="141"/>
      <c r="AB110" s="141"/>
      <c r="AC110" s="141"/>
      <c r="AD110" s="141"/>
      <c r="AE110" s="141"/>
      <c r="AF110" s="141"/>
      <c r="AG110" s="141"/>
      <c r="AH110" s="141"/>
      <c r="AI110" s="141"/>
      <c r="AJ110" s="141"/>
      <c r="AK110" s="141"/>
      <c r="AL110" s="141"/>
      <c r="AM110" s="141"/>
      <c r="AN110" s="141"/>
      <c r="AO110" s="141"/>
      <c r="AP110" s="141"/>
      <c r="AQ110" s="141"/>
      <c r="AR110" s="141"/>
      <c r="AS110" s="141"/>
      <c r="AT110" s="141"/>
      <c r="AU110" s="141"/>
      <c r="AV110" s="141"/>
      <c r="AW110" s="141"/>
      <c r="AX110" s="141"/>
      <c r="AY110" s="141"/>
      <c r="AZ110" s="141"/>
      <c r="BA110" s="141"/>
      <c r="BB110" s="141"/>
      <c r="BC110" s="141"/>
      <c r="BD110" s="141"/>
      <c r="BE110" s="141"/>
      <c r="BF110" s="141"/>
      <c r="BG110" s="141"/>
      <c r="BH110" s="141"/>
      <c r="BI110" s="141"/>
      <c r="BJ110" s="141"/>
      <c r="BK110" s="141"/>
      <c r="BL110" s="141"/>
      <c r="BM110" s="141"/>
      <c r="BN110" s="141"/>
      <c r="BO110" s="141"/>
      <c r="BP110" s="141"/>
      <c r="BQ110" s="141"/>
      <c r="BR110" s="141"/>
      <c r="BS110" s="141"/>
      <c r="BT110" s="141"/>
      <c r="BU110" s="141"/>
      <c r="BV110" s="141"/>
      <c r="BW110" s="141"/>
      <c r="BX110" s="141"/>
      <c r="BY110" s="141"/>
      <c r="BZ110" s="141"/>
      <c r="CA110" s="141"/>
      <c r="CB110" s="141"/>
      <c r="CC110" s="141"/>
      <c r="CD110" s="141"/>
      <c r="CE110" s="141"/>
      <c r="CF110" s="141"/>
      <c r="CG110" s="141"/>
      <c r="CH110" s="141"/>
      <c r="CI110" s="141"/>
      <c r="CJ110" s="141"/>
      <c r="CK110" s="141"/>
      <c r="CL110" s="141"/>
    </row>
    <row r="111" outlineLevel="1">
      <c r="A111" s="213" t="str">
        <f t="shared" si="10"/>
        <v>TC_06.93</v>
      </c>
      <c r="B111" s="214" t="s">
        <v>67</v>
      </c>
      <c r="C111" s="238" t="s">
        <v>1489</v>
      </c>
      <c r="D111" s="238" t="s">
        <v>1486</v>
      </c>
      <c r="E111" s="217" t="s">
        <v>1490</v>
      </c>
      <c r="F111" s="238" t="s">
        <v>1491</v>
      </c>
      <c r="G111" s="211" t="s">
        <v>56</v>
      </c>
      <c r="H111" s="211" t="s">
        <v>135</v>
      </c>
      <c r="I111" s="221"/>
      <c r="J111" s="221"/>
      <c r="K111" s="221"/>
      <c r="L111" s="221"/>
      <c r="M111" s="221"/>
      <c r="N111" s="221"/>
      <c r="O111" s="221"/>
      <c r="P111" s="221"/>
      <c r="Q111" s="221"/>
      <c r="R111" s="221"/>
      <c r="S111" s="238"/>
      <c r="T111" s="221"/>
      <c r="U111" s="221"/>
      <c r="V111" s="221"/>
      <c r="W111" s="221"/>
      <c r="X111" s="221"/>
      <c r="Y111" s="221"/>
      <c r="Z111" s="221"/>
      <c r="AA111" s="141"/>
      <c r="AB111" s="141"/>
      <c r="AC111" s="141"/>
      <c r="AD111" s="141"/>
      <c r="AE111" s="141"/>
      <c r="AF111" s="141"/>
      <c r="AG111" s="141"/>
      <c r="AH111" s="141"/>
      <c r="AI111" s="141"/>
      <c r="AJ111" s="141"/>
      <c r="AK111" s="141"/>
      <c r="AL111" s="141"/>
      <c r="AM111" s="141"/>
      <c r="AN111" s="141"/>
      <c r="AO111" s="141"/>
      <c r="AP111" s="141"/>
      <c r="AQ111" s="141"/>
      <c r="AR111" s="141"/>
      <c r="AS111" s="141"/>
      <c r="AT111" s="141"/>
      <c r="AU111" s="141"/>
      <c r="AV111" s="141"/>
      <c r="AW111" s="141"/>
      <c r="AX111" s="141"/>
      <c r="AY111" s="141"/>
      <c r="AZ111" s="141"/>
      <c r="BA111" s="141"/>
      <c r="BB111" s="141"/>
      <c r="BC111" s="141"/>
      <c r="BD111" s="141"/>
      <c r="BE111" s="141"/>
      <c r="BF111" s="141"/>
      <c r="BG111" s="141"/>
      <c r="BH111" s="141"/>
      <c r="BI111" s="141"/>
      <c r="BJ111" s="141"/>
      <c r="BK111" s="141"/>
      <c r="BL111" s="141"/>
      <c r="BM111" s="141"/>
      <c r="BN111" s="141"/>
      <c r="BO111" s="141"/>
      <c r="BP111" s="141"/>
      <c r="BQ111" s="141"/>
      <c r="BR111" s="141"/>
      <c r="BS111" s="141"/>
      <c r="BT111" s="141"/>
      <c r="BU111" s="141"/>
      <c r="BV111" s="141"/>
      <c r="BW111" s="141"/>
      <c r="BX111" s="141"/>
      <c r="BY111" s="141"/>
      <c r="BZ111" s="141"/>
      <c r="CA111" s="141"/>
      <c r="CB111" s="141"/>
      <c r="CC111" s="141"/>
      <c r="CD111" s="141"/>
      <c r="CE111" s="141"/>
      <c r="CF111" s="141"/>
      <c r="CG111" s="141"/>
      <c r="CH111" s="141"/>
      <c r="CI111" s="141"/>
      <c r="CJ111" s="141"/>
      <c r="CK111" s="141"/>
      <c r="CL111" s="141"/>
    </row>
    <row r="112" outlineLevel="1">
      <c r="A112" s="213" t="str">
        <f t="shared" si="10"/>
        <v>TC_06.94</v>
      </c>
      <c r="B112" s="214" t="s">
        <v>67</v>
      </c>
      <c r="C112" s="238" t="s">
        <v>1492</v>
      </c>
      <c r="D112" s="238" t="s">
        <v>1486</v>
      </c>
      <c r="E112" s="217" t="s">
        <v>1493</v>
      </c>
      <c r="F112" s="238" t="s">
        <v>1494</v>
      </c>
      <c r="G112" s="211" t="s">
        <v>56</v>
      </c>
      <c r="H112" s="211" t="s">
        <v>135</v>
      </c>
      <c r="I112" s="221"/>
      <c r="J112" s="221"/>
      <c r="K112" s="221"/>
      <c r="L112" s="221"/>
      <c r="M112" s="221"/>
      <c r="N112" s="221"/>
      <c r="O112" s="221"/>
      <c r="P112" s="221"/>
      <c r="Q112" s="221"/>
      <c r="R112" s="221"/>
      <c r="S112" s="238"/>
      <c r="T112" s="221"/>
      <c r="U112" s="221"/>
      <c r="V112" s="221"/>
      <c r="W112" s="221"/>
      <c r="X112" s="221"/>
      <c r="Y112" s="221"/>
      <c r="Z112" s="221"/>
      <c r="AA112" s="141"/>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c r="AZ112" s="141"/>
      <c r="BA112" s="141"/>
      <c r="BB112" s="141"/>
      <c r="BC112" s="141"/>
      <c r="BD112" s="141"/>
      <c r="BE112" s="141"/>
      <c r="BF112" s="141"/>
      <c r="BG112" s="141"/>
      <c r="BH112" s="141"/>
      <c r="BI112" s="141"/>
      <c r="BJ112" s="141"/>
      <c r="BK112" s="141"/>
      <c r="BL112" s="141"/>
      <c r="BM112" s="141"/>
      <c r="BN112" s="141"/>
      <c r="BO112" s="141"/>
      <c r="BP112" s="141"/>
      <c r="BQ112" s="141"/>
      <c r="BR112" s="141"/>
      <c r="BS112" s="141"/>
      <c r="BT112" s="141"/>
      <c r="BU112" s="141"/>
      <c r="BV112" s="141"/>
      <c r="BW112" s="141"/>
      <c r="BX112" s="141"/>
      <c r="BY112" s="141"/>
      <c r="BZ112" s="141"/>
      <c r="CA112" s="141"/>
      <c r="CB112" s="141"/>
      <c r="CC112" s="141"/>
      <c r="CD112" s="141"/>
      <c r="CE112" s="141"/>
      <c r="CF112" s="141"/>
      <c r="CG112" s="141"/>
      <c r="CH112" s="141"/>
      <c r="CI112" s="141"/>
      <c r="CJ112" s="141"/>
      <c r="CK112" s="141"/>
      <c r="CL112" s="141"/>
    </row>
    <row r="113" outlineLevel="1">
      <c r="A113" s="213" t="str">
        <f t="shared" si="10"/>
        <v>TC_06.95</v>
      </c>
      <c r="B113" s="214" t="s">
        <v>67</v>
      </c>
      <c r="C113" s="238" t="s">
        <v>1495</v>
      </c>
      <c r="D113" s="238" t="s">
        <v>1486</v>
      </c>
      <c r="E113" s="217" t="s">
        <v>1496</v>
      </c>
      <c r="F113" s="238" t="s">
        <v>1497</v>
      </c>
      <c r="G113" s="211" t="s">
        <v>56</v>
      </c>
      <c r="H113" s="211" t="s">
        <v>135</v>
      </c>
      <c r="I113" s="221"/>
      <c r="J113" s="221"/>
      <c r="K113" s="221"/>
      <c r="L113" s="221"/>
      <c r="M113" s="221"/>
      <c r="N113" s="221"/>
      <c r="O113" s="221"/>
      <c r="P113" s="221"/>
      <c r="Q113" s="221"/>
      <c r="R113" s="221"/>
      <c r="S113" s="238"/>
      <c r="T113" s="221"/>
      <c r="U113" s="221"/>
      <c r="V113" s="221"/>
      <c r="W113" s="221"/>
      <c r="X113" s="221"/>
      <c r="Y113" s="221"/>
      <c r="Z113" s="221"/>
      <c r="AA113" s="141"/>
      <c r="AB113" s="141"/>
      <c r="AC113" s="141"/>
      <c r="AD113" s="141"/>
      <c r="AE113" s="141"/>
      <c r="AF113" s="141"/>
      <c r="AG113" s="141"/>
      <c r="AH113" s="141"/>
      <c r="AI113" s="141"/>
      <c r="AJ113" s="141"/>
      <c r="AK113" s="141"/>
      <c r="AL113" s="141"/>
      <c r="AM113" s="141"/>
      <c r="AN113" s="141"/>
      <c r="AO113" s="141"/>
      <c r="AP113" s="141"/>
      <c r="AQ113" s="141"/>
      <c r="AR113" s="141"/>
      <c r="AS113" s="141"/>
      <c r="AT113" s="141"/>
      <c r="AU113" s="141"/>
      <c r="AV113" s="141"/>
      <c r="AW113" s="141"/>
      <c r="AX113" s="141"/>
      <c r="AY113" s="141"/>
      <c r="AZ113" s="141"/>
      <c r="BA113" s="141"/>
      <c r="BB113" s="141"/>
      <c r="BC113" s="141"/>
      <c r="BD113" s="141"/>
      <c r="BE113" s="141"/>
      <c r="BF113" s="141"/>
      <c r="BG113" s="141"/>
      <c r="BH113" s="141"/>
      <c r="BI113" s="141"/>
      <c r="BJ113" s="141"/>
      <c r="BK113" s="141"/>
      <c r="BL113" s="141"/>
      <c r="BM113" s="141"/>
      <c r="BN113" s="141"/>
      <c r="BO113" s="141"/>
      <c r="BP113" s="141"/>
      <c r="BQ113" s="141"/>
      <c r="BR113" s="141"/>
      <c r="BS113" s="141"/>
      <c r="BT113" s="141"/>
      <c r="BU113" s="141"/>
      <c r="BV113" s="141"/>
      <c r="BW113" s="141"/>
      <c r="BX113" s="141"/>
      <c r="BY113" s="141"/>
      <c r="BZ113" s="141"/>
      <c r="CA113" s="141"/>
      <c r="CB113" s="141"/>
      <c r="CC113" s="141"/>
      <c r="CD113" s="141"/>
      <c r="CE113" s="141"/>
      <c r="CF113" s="141"/>
      <c r="CG113" s="141"/>
      <c r="CH113" s="141"/>
      <c r="CI113" s="141"/>
      <c r="CJ113" s="141"/>
      <c r="CK113" s="141"/>
      <c r="CL113" s="141"/>
    </row>
    <row r="114" outlineLevel="1">
      <c r="A114" s="213" t="str">
        <f t="shared" si="10"/>
        <v>TC_06.96</v>
      </c>
      <c r="B114" s="214" t="s">
        <v>67</v>
      </c>
      <c r="C114" s="238" t="s">
        <v>1498</v>
      </c>
      <c r="D114" s="238" t="s">
        <v>1486</v>
      </c>
      <c r="E114" s="217" t="s">
        <v>1499</v>
      </c>
      <c r="F114" s="238" t="s">
        <v>1500</v>
      </c>
      <c r="G114" s="211" t="s">
        <v>56</v>
      </c>
      <c r="H114" s="211" t="s">
        <v>135</v>
      </c>
      <c r="I114" s="221"/>
      <c r="J114" s="221"/>
      <c r="K114" s="221"/>
      <c r="L114" s="221"/>
      <c r="M114" s="221"/>
      <c r="N114" s="221"/>
      <c r="O114" s="221"/>
      <c r="P114" s="221"/>
      <c r="Q114" s="221"/>
      <c r="R114" s="221"/>
      <c r="S114" s="238"/>
      <c r="T114" s="221"/>
      <c r="U114" s="221"/>
      <c r="V114" s="221"/>
      <c r="W114" s="221"/>
      <c r="X114" s="221"/>
      <c r="Y114" s="221"/>
      <c r="Z114" s="221"/>
      <c r="AA114" s="141"/>
      <c r="AB114" s="141"/>
      <c r="AC114" s="141"/>
      <c r="AD114" s="141"/>
      <c r="AE114" s="141"/>
      <c r="AF114" s="141"/>
      <c r="AG114" s="141"/>
      <c r="AH114" s="141"/>
      <c r="AI114" s="141"/>
      <c r="AJ114" s="141"/>
      <c r="AK114" s="141"/>
      <c r="AL114" s="141"/>
      <c r="AM114" s="141"/>
      <c r="AN114" s="141"/>
      <c r="AO114" s="141"/>
      <c r="AP114" s="141"/>
      <c r="AQ114" s="141"/>
      <c r="AR114" s="141"/>
      <c r="AS114" s="141"/>
      <c r="AT114" s="141"/>
      <c r="AU114" s="141"/>
      <c r="AV114" s="141"/>
      <c r="AW114" s="141"/>
      <c r="AX114" s="141"/>
      <c r="AY114" s="141"/>
      <c r="AZ114" s="141"/>
      <c r="BA114" s="141"/>
      <c r="BB114" s="141"/>
      <c r="BC114" s="141"/>
      <c r="BD114" s="141"/>
      <c r="BE114" s="141"/>
      <c r="BF114" s="141"/>
      <c r="BG114" s="141"/>
      <c r="BH114" s="141"/>
      <c r="BI114" s="141"/>
      <c r="BJ114" s="141"/>
      <c r="BK114" s="141"/>
      <c r="BL114" s="141"/>
      <c r="BM114" s="141"/>
      <c r="BN114" s="141"/>
      <c r="BO114" s="141"/>
      <c r="BP114" s="141"/>
      <c r="BQ114" s="141"/>
      <c r="BR114" s="141"/>
      <c r="BS114" s="141"/>
      <c r="BT114" s="141"/>
      <c r="BU114" s="141"/>
      <c r="BV114" s="141"/>
      <c r="BW114" s="141"/>
      <c r="BX114" s="141"/>
      <c r="BY114" s="141"/>
      <c r="BZ114" s="141"/>
      <c r="CA114" s="141"/>
      <c r="CB114" s="141"/>
      <c r="CC114" s="141"/>
      <c r="CD114" s="141"/>
      <c r="CE114" s="141"/>
      <c r="CF114" s="141"/>
      <c r="CG114" s="141"/>
      <c r="CH114" s="141"/>
      <c r="CI114" s="141"/>
      <c r="CJ114" s="141"/>
      <c r="CK114" s="141"/>
      <c r="CL114" s="141"/>
    </row>
    <row r="115" outlineLevel="1">
      <c r="A115" s="213" t="str">
        <f t="shared" si="10"/>
        <v>TC_06.97</v>
      </c>
      <c r="B115" s="214" t="s">
        <v>67</v>
      </c>
      <c r="C115" s="238" t="s">
        <v>1501</v>
      </c>
      <c r="D115" s="238" t="s">
        <v>1486</v>
      </c>
      <c r="E115" s="217" t="s">
        <v>1502</v>
      </c>
      <c r="F115" s="238" t="s">
        <v>1503</v>
      </c>
      <c r="G115" s="211" t="s">
        <v>56</v>
      </c>
      <c r="H115" s="211" t="s">
        <v>135</v>
      </c>
      <c r="I115" s="221"/>
      <c r="J115" s="221"/>
      <c r="K115" s="221"/>
      <c r="L115" s="221"/>
      <c r="M115" s="221"/>
      <c r="N115" s="221"/>
      <c r="O115" s="221"/>
      <c r="P115" s="221"/>
      <c r="Q115" s="221"/>
      <c r="R115" s="221"/>
      <c r="S115" s="238"/>
      <c r="T115" s="221"/>
      <c r="U115" s="221"/>
      <c r="V115" s="221"/>
      <c r="W115" s="221"/>
      <c r="X115" s="221"/>
      <c r="Y115" s="221"/>
      <c r="Z115" s="221"/>
      <c r="AA115" s="141"/>
      <c r="AB115" s="141"/>
      <c r="AC115" s="141"/>
      <c r="AD115" s="141"/>
      <c r="AE115" s="141"/>
      <c r="AF115" s="141"/>
      <c r="AG115" s="141"/>
      <c r="AH115" s="141"/>
      <c r="AI115" s="141"/>
      <c r="AJ115" s="141"/>
      <c r="AK115" s="141"/>
      <c r="AL115" s="141"/>
      <c r="AM115" s="141"/>
      <c r="AN115" s="141"/>
      <c r="AO115" s="141"/>
      <c r="AP115" s="141"/>
      <c r="AQ115" s="141"/>
      <c r="AR115" s="141"/>
      <c r="AS115" s="141"/>
      <c r="AT115" s="141"/>
      <c r="AU115" s="141"/>
      <c r="AV115" s="141"/>
      <c r="AW115" s="141"/>
      <c r="AX115" s="141"/>
      <c r="AY115" s="141"/>
      <c r="AZ115" s="141"/>
      <c r="BA115" s="141"/>
      <c r="BB115" s="141"/>
      <c r="BC115" s="141"/>
      <c r="BD115" s="141"/>
      <c r="BE115" s="141"/>
      <c r="BF115" s="141"/>
      <c r="BG115" s="141"/>
      <c r="BH115" s="141"/>
      <c r="BI115" s="141"/>
      <c r="BJ115" s="141"/>
      <c r="BK115" s="141"/>
      <c r="BL115" s="141"/>
      <c r="BM115" s="141"/>
      <c r="BN115" s="141"/>
      <c r="BO115" s="141"/>
      <c r="BP115" s="141"/>
      <c r="BQ115" s="141"/>
      <c r="BR115" s="141"/>
      <c r="BS115" s="141"/>
      <c r="BT115" s="141"/>
      <c r="BU115" s="141"/>
      <c r="BV115" s="141"/>
      <c r="BW115" s="141"/>
      <c r="BX115" s="141"/>
      <c r="BY115" s="141"/>
      <c r="BZ115" s="141"/>
      <c r="CA115" s="141"/>
      <c r="CB115" s="141"/>
      <c r="CC115" s="141"/>
      <c r="CD115" s="141"/>
      <c r="CE115" s="141"/>
      <c r="CF115" s="141"/>
      <c r="CG115" s="141"/>
      <c r="CH115" s="141"/>
      <c r="CI115" s="141"/>
      <c r="CJ115" s="141"/>
      <c r="CK115" s="141"/>
      <c r="CL115" s="141"/>
    </row>
    <row r="116" outlineLevel="1">
      <c r="A116" s="213" t="str">
        <f t="shared" si="10"/>
        <v>TC_06.98</v>
      </c>
      <c r="B116" s="214" t="s">
        <v>67</v>
      </c>
      <c r="C116" s="238" t="s">
        <v>1504</v>
      </c>
      <c r="D116" s="238" t="s">
        <v>1486</v>
      </c>
      <c r="E116" s="217" t="s">
        <v>1505</v>
      </c>
      <c r="F116" s="238" t="s">
        <v>1506</v>
      </c>
      <c r="G116" s="211" t="s">
        <v>56</v>
      </c>
      <c r="H116" s="211" t="s">
        <v>135</v>
      </c>
      <c r="I116" s="221"/>
      <c r="J116" s="221"/>
      <c r="K116" s="221"/>
      <c r="L116" s="221"/>
      <c r="M116" s="221"/>
      <c r="N116" s="221"/>
      <c r="O116" s="221"/>
      <c r="P116" s="221"/>
      <c r="Q116" s="221"/>
      <c r="R116" s="221"/>
      <c r="S116" s="238"/>
      <c r="T116" s="221"/>
      <c r="U116" s="221"/>
      <c r="V116" s="221"/>
      <c r="W116" s="221"/>
      <c r="X116" s="221"/>
      <c r="Y116" s="221"/>
      <c r="Z116" s="22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1"/>
      <c r="BN116" s="141"/>
      <c r="BO116" s="141"/>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141"/>
      <c r="CL116" s="141"/>
    </row>
    <row r="117" outlineLevel="1">
      <c r="A117" s="213" t="str">
        <f t="shared" si="10"/>
        <v>TC_06.99</v>
      </c>
      <c r="B117" s="214" t="s">
        <v>67</v>
      </c>
      <c r="C117" s="238" t="s">
        <v>1507</v>
      </c>
      <c r="D117" s="238" t="s">
        <v>1486</v>
      </c>
      <c r="E117" s="217" t="s">
        <v>1508</v>
      </c>
      <c r="F117" s="238" t="s">
        <v>1509</v>
      </c>
      <c r="G117" s="211" t="s">
        <v>56</v>
      </c>
      <c r="H117" s="211" t="s">
        <v>135</v>
      </c>
      <c r="I117" s="221"/>
      <c r="J117" s="221"/>
      <c r="K117" s="221"/>
      <c r="L117" s="221"/>
      <c r="M117" s="221"/>
      <c r="N117" s="221"/>
      <c r="O117" s="221"/>
      <c r="P117" s="221"/>
      <c r="Q117" s="221"/>
      <c r="R117" s="221"/>
      <c r="S117" s="238"/>
      <c r="T117" s="221"/>
      <c r="U117" s="221"/>
      <c r="V117" s="221"/>
      <c r="W117" s="221"/>
      <c r="X117" s="221"/>
      <c r="Y117" s="221"/>
      <c r="Z117" s="221"/>
      <c r="AA117" s="141"/>
      <c r="AB117" s="141"/>
      <c r="AC117" s="141"/>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c r="AY117" s="141"/>
      <c r="AZ117" s="141"/>
      <c r="BA117" s="141"/>
      <c r="BB117" s="141"/>
      <c r="BC117" s="141"/>
      <c r="BD117" s="141"/>
      <c r="BE117" s="141"/>
      <c r="BF117" s="141"/>
      <c r="BG117" s="141"/>
      <c r="BH117" s="141"/>
      <c r="BI117" s="141"/>
      <c r="BJ117" s="141"/>
      <c r="BK117" s="141"/>
      <c r="BL117" s="141"/>
      <c r="BM117" s="141"/>
      <c r="BN117" s="141"/>
      <c r="BO117" s="141"/>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c r="CJ117" s="141"/>
      <c r="CK117" s="141"/>
      <c r="CL117" s="141"/>
    </row>
    <row r="118" outlineLevel="1">
      <c r="A118" s="213" t="str">
        <f t="shared" si="10"/>
        <v>TC_06.100</v>
      </c>
      <c r="B118" s="214" t="s">
        <v>67</v>
      </c>
      <c r="C118" s="238" t="s">
        <v>1510</v>
      </c>
      <c r="D118" s="238" t="s">
        <v>1486</v>
      </c>
      <c r="E118" s="217" t="s">
        <v>1511</v>
      </c>
      <c r="F118" s="238" t="s">
        <v>1512</v>
      </c>
      <c r="G118" s="211" t="s">
        <v>56</v>
      </c>
      <c r="H118" s="211" t="s">
        <v>135</v>
      </c>
      <c r="I118" s="221"/>
      <c r="J118" s="221"/>
      <c r="K118" s="221"/>
      <c r="L118" s="221"/>
      <c r="M118" s="221"/>
      <c r="N118" s="221"/>
      <c r="O118" s="221"/>
      <c r="P118" s="221"/>
      <c r="Q118" s="221"/>
      <c r="R118" s="221"/>
      <c r="S118" s="238"/>
      <c r="T118" s="221"/>
      <c r="U118" s="221"/>
      <c r="V118" s="221"/>
      <c r="W118" s="221"/>
      <c r="X118" s="221"/>
      <c r="Y118" s="221"/>
      <c r="Z118" s="22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1"/>
      <c r="BN118" s="141"/>
      <c r="BO118" s="141"/>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c r="CJ118" s="141"/>
      <c r="CK118" s="141"/>
      <c r="CL118" s="141"/>
    </row>
    <row r="119" outlineLevel="1">
      <c r="A119" s="213" t="str">
        <f t="shared" si="10"/>
        <v>TC_06.101</v>
      </c>
      <c r="B119" s="214" t="s">
        <v>67</v>
      </c>
      <c r="C119" s="238" t="s">
        <v>1513</v>
      </c>
      <c r="D119" s="238" t="s">
        <v>1486</v>
      </c>
      <c r="E119" s="217" t="s">
        <v>1514</v>
      </c>
      <c r="F119" s="238" t="s">
        <v>1515</v>
      </c>
      <c r="G119" s="211" t="s">
        <v>56</v>
      </c>
      <c r="H119" s="211" t="s">
        <v>135</v>
      </c>
      <c r="I119" s="221"/>
      <c r="J119" s="221"/>
      <c r="K119" s="221"/>
      <c r="L119" s="221"/>
      <c r="M119" s="221"/>
      <c r="N119" s="221"/>
      <c r="O119" s="221"/>
      <c r="P119" s="221"/>
      <c r="Q119" s="221"/>
      <c r="R119" s="221"/>
      <c r="S119" s="238"/>
      <c r="T119" s="221"/>
      <c r="U119" s="221"/>
      <c r="V119" s="221"/>
      <c r="W119" s="221"/>
      <c r="X119" s="221"/>
      <c r="Y119" s="221"/>
      <c r="Z119" s="221"/>
      <c r="AA119" s="141"/>
      <c r="AB119" s="141"/>
      <c r="AC119" s="141"/>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c r="AY119" s="141"/>
      <c r="AZ119" s="141"/>
      <c r="BA119" s="141"/>
      <c r="BB119" s="141"/>
      <c r="BC119" s="141"/>
      <c r="BD119" s="141"/>
      <c r="BE119" s="141"/>
      <c r="BF119" s="141"/>
      <c r="BG119" s="141"/>
      <c r="BH119" s="141"/>
      <c r="BI119" s="141"/>
      <c r="BJ119" s="141"/>
      <c r="BK119" s="141"/>
      <c r="BL119" s="141"/>
      <c r="BM119" s="141"/>
      <c r="BN119" s="141"/>
      <c r="BO119" s="141"/>
      <c r="BP119" s="141"/>
      <c r="BQ119" s="141"/>
      <c r="BR119" s="141"/>
      <c r="BS119" s="141"/>
      <c r="BT119" s="141"/>
      <c r="BU119" s="141"/>
      <c r="BV119" s="141"/>
      <c r="BW119" s="141"/>
      <c r="BX119" s="141"/>
      <c r="BY119" s="141"/>
      <c r="BZ119" s="141"/>
      <c r="CA119" s="141"/>
      <c r="CB119" s="141"/>
      <c r="CC119" s="141"/>
      <c r="CD119" s="141"/>
      <c r="CE119" s="141"/>
      <c r="CF119" s="141"/>
      <c r="CG119" s="141"/>
      <c r="CH119" s="141"/>
      <c r="CI119" s="141"/>
      <c r="CJ119" s="141"/>
      <c r="CK119" s="141"/>
      <c r="CL119" s="141"/>
    </row>
    <row r="120" outlineLevel="1">
      <c r="A120" s="213" t="str">
        <f t="shared" si="10"/>
        <v>TC_06.102</v>
      </c>
      <c r="B120" s="214" t="s">
        <v>67</v>
      </c>
      <c r="C120" s="238" t="s">
        <v>1516</v>
      </c>
      <c r="D120" s="238" t="s">
        <v>1486</v>
      </c>
      <c r="E120" s="217" t="s">
        <v>1517</v>
      </c>
      <c r="F120" s="238" t="s">
        <v>1518</v>
      </c>
      <c r="G120" s="211" t="s">
        <v>56</v>
      </c>
      <c r="H120" s="211" t="s">
        <v>135</v>
      </c>
      <c r="I120" s="221"/>
      <c r="J120" s="221"/>
      <c r="K120" s="221"/>
      <c r="L120" s="221"/>
      <c r="M120" s="221"/>
      <c r="N120" s="221"/>
      <c r="O120" s="221"/>
      <c r="P120" s="221"/>
      <c r="Q120" s="221"/>
      <c r="R120" s="221"/>
      <c r="S120" s="238"/>
      <c r="T120" s="221"/>
      <c r="U120" s="221"/>
      <c r="V120" s="221"/>
      <c r="W120" s="221"/>
      <c r="X120" s="221"/>
      <c r="Y120" s="221"/>
      <c r="Z120" s="221"/>
      <c r="AA120" s="141"/>
      <c r="AB120" s="141"/>
      <c r="AC120" s="141"/>
      <c r="AD120" s="141"/>
      <c r="AE120" s="141"/>
      <c r="AF120" s="141"/>
      <c r="AG120" s="141"/>
      <c r="AH120" s="141"/>
      <c r="AI120" s="141"/>
      <c r="AJ120" s="141"/>
      <c r="AK120" s="141"/>
      <c r="AL120" s="141"/>
      <c r="AM120" s="141"/>
      <c r="AN120" s="141"/>
      <c r="AO120" s="141"/>
      <c r="AP120" s="141"/>
      <c r="AQ120" s="141"/>
      <c r="AR120" s="141"/>
      <c r="AS120" s="141"/>
      <c r="AT120" s="141"/>
      <c r="AU120" s="141"/>
      <c r="AV120" s="141"/>
      <c r="AW120" s="141"/>
      <c r="AX120" s="141"/>
      <c r="AY120" s="141"/>
      <c r="AZ120" s="141"/>
      <c r="BA120" s="141"/>
      <c r="BB120" s="141"/>
      <c r="BC120" s="141"/>
      <c r="BD120" s="141"/>
      <c r="BE120" s="141"/>
      <c r="BF120" s="141"/>
      <c r="BG120" s="141"/>
      <c r="BH120" s="141"/>
      <c r="BI120" s="141"/>
      <c r="BJ120" s="141"/>
      <c r="BK120" s="141"/>
      <c r="BL120" s="141"/>
      <c r="BM120" s="141"/>
      <c r="BN120" s="141"/>
      <c r="BO120" s="141"/>
      <c r="BP120" s="141"/>
      <c r="BQ120" s="141"/>
      <c r="BR120" s="141"/>
      <c r="BS120" s="141"/>
      <c r="BT120" s="141"/>
      <c r="BU120" s="141"/>
      <c r="BV120" s="141"/>
      <c r="BW120" s="141"/>
      <c r="BX120" s="141"/>
      <c r="BY120" s="141"/>
      <c r="BZ120" s="141"/>
      <c r="CA120" s="141"/>
      <c r="CB120" s="141"/>
      <c r="CC120" s="141"/>
      <c r="CD120" s="141"/>
      <c r="CE120" s="141"/>
      <c r="CF120" s="141"/>
      <c r="CG120" s="141"/>
      <c r="CH120" s="141"/>
      <c r="CI120" s="141"/>
      <c r="CJ120" s="141"/>
      <c r="CK120" s="141"/>
      <c r="CL120" s="141"/>
    </row>
    <row r="121" outlineLevel="1">
      <c r="A121" s="213" t="str">
        <f t="shared" si="10"/>
        <v>TC_06.103</v>
      </c>
      <c r="B121" s="214" t="s">
        <v>67</v>
      </c>
      <c r="C121" s="238" t="s">
        <v>1519</v>
      </c>
      <c r="D121" s="238" t="s">
        <v>1486</v>
      </c>
      <c r="E121" s="217" t="s">
        <v>1520</v>
      </c>
      <c r="F121" s="238" t="s">
        <v>1521</v>
      </c>
      <c r="G121" s="211" t="s">
        <v>56</v>
      </c>
      <c r="H121" s="211" t="s">
        <v>135</v>
      </c>
      <c r="I121" s="221"/>
      <c r="J121" s="221"/>
      <c r="K121" s="221"/>
      <c r="L121" s="221"/>
      <c r="M121" s="221"/>
      <c r="N121" s="221"/>
      <c r="O121" s="221"/>
      <c r="P121" s="221"/>
      <c r="Q121" s="221"/>
      <c r="R121" s="221"/>
      <c r="S121" s="238"/>
      <c r="T121" s="221"/>
      <c r="U121" s="221"/>
      <c r="V121" s="221"/>
      <c r="W121" s="221"/>
      <c r="X121" s="221"/>
      <c r="Y121" s="221"/>
      <c r="Z121" s="221"/>
      <c r="AA121" s="141"/>
      <c r="AB121" s="141"/>
      <c r="AC121" s="141"/>
      <c r="AD121" s="141"/>
      <c r="AE121" s="141"/>
      <c r="AF121" s="141"/>
      <c r="AG121" s="141"/>
      <c r="AH121" s="141"/>
      <c r="AI121" s="141"/>
      <c r="AJ121" s="141"/>
      <c r="AK121" s="141"/>
      <c r="AL121" s="141"/>
      <c r="AM121" s="141"/>
      <c r="AN121" s="141"/>
      <c r="AO121" s="141"/>
      <c r="AP121" s="141"/>
      <c r="AQ121" s="141"/>
      <c r="AR121" s="141"/>
      <c r="AS121" s="141"/>
      <c r="AT121" s="141"/>
      <c r="AU121" s="141"/>
      <c r="AV121" s="141"/>
      <c r="AW121" s="141"/>
      <c r="AX121" s="141"/>
      <c r="AY121" s="141"/>
      <c r="AZ121" s="141"/>
      <c r="BA121" s="141"/>
      <c r="BB121" s="141"/>
      <c r="BC121" s="141"/>
      <c r="BD121" s="141"/>
      <c r="BE121" s="141"/>
      <c r="BF121" s="141"/>
      <c r="BG121" s="141"/>
      <c r="BH121" s="141"/>
      <c r="BI121" s="141"/>
      <c r="BJ121" s="141"/>
      <c r="BK121" s="141"/>
      <c r="BL121" s="141"/>
      <c r="BM121" s="141"/>
      <c r="BN121" s="141"/>
      <c r="BO121" s="141"/>
      <c r="BP121" s="141"/>
      <c r="BQ121" s="141"/>
      <c r="BR121" s="141"/>
      <c r="BS121" s="141"/>
      <c r="BT121" s="141"/>
      <c r="BU121" s="141"/>
      <c r="BV121" s="141"/>
      <c r="BW121" s="141"/>
      <c r="BX121" s="141"/>
      <c r="BY121" s="141"/>
      <c r="BZ121" s="141"/>
      <c r="CA121" s="141"/>
      <c r="CB121" s="141"/>
      <c r="CC121" s="141"/>
      <c r="CD121" s="141"/>
      <c r="CE121" s="141"/>
      <c r="CF121" s="141"/>
      <c r="CG121" s="141"/>
      <c r="CH121" s="141"/>
      <c r="CI121" s="141"/>
      <c r="CJ121" s="141"/>
      <c r="CK121" s="141"/>
      <c r="CL121" s="141"/>
    </row>
    <row r="122" outlineLevel="1">
      <c r="A122" s="213" t="str">
        <f t="shared" si="10"/>
        <v>TC_06.104</v>
      </c>
      <c r="B122" s="214" t="s">
        <v>67</v>
      </c>
      <c r="C122" s="238" t="s">
        <v>1522</v>
      </c>
      <c r="D122" s="238" t="s">
        <v>1486</v>
      </c>
      <c r="E122" s="217" t="s">
        <v>1523</v>
      </c>
      <c r="F122" s="238" t="s">
        <v>1524</v>
      </c>
      <c r="G122" s="211" t="s">
        <v>56</v>
      </c>
      <c r="H122" s="211" t="s">
        <v>135</v>
      </c>
      <c r="I122" s="221"/>
      <c r="J122" s="221"/>
      <c r="K122" s="221"/>
      <c r="L122" s="221"/>
      <c r="M122" s="221"/>
      <c r="N122" s="221"/>
      <c r="O122" s="221"/>
      <c r="P122" s="221"/>
      <c r="Q122" s="221"/>
      <c r="R122" s="221"/>
      <c r="S122" s="238"/>
      <c r="T122" s="221"/>
      <c r="U122" s="221"/>
      <c r="V122" s="221"/>
      <c r="W122" s="221"/>
      <c r="X122" s="221"/>
      <c r="Y122" s="221"/>
      <c r="Z122" s="221"/>
      <c r="AA122" s="141"/>
      <c r="AB122" s="141"/>
      <c r="AC122" s="141"/>
      <c r="AD122" s="141"/>
      <c r="AE122" s="141"/>
      <c r="AF122" s="141"/>
      <c r="AG122" s="141"/>
      <c r="AH122" s="141"/>
      <c r="AI122" s="141"/>
      <c r="AJ122" s="141"/>
      <c r="AK122" s="141"/>
      <c r="AL122" s="141"/>
      <c r="AM122" s="141"/>
      <c r="AN122" s="141"/>
      <c r="AO122" s="141"/>
      <c r="AP122" s="141"/>
      <c r="AQ122" s="141"/>
      <c r="AR122" s="141"/>
      <c r="AS122" s="141"/>
      <c r="AT122" s="141"/>
      <c r="AU122" s="141"/>
      <c r="AV122" s="141"/>
      <c r="AW122" s="141"/>
      <c r="AX122" s="141"/>
      <c r="AY122" s="141"/>
      <c r="AZ122" s="141"/>
      <c r="BA122" s="141"/>
      <c r="BB122" s="141"/>
      <c r="BC122" s="141"/>
      <c r="BD122" s="141"/>
      <c r="BE122" s="141"/>
      <c r="BF122" s="141"/>
      <c r="BG122" s="141"/>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row>
    <row r="123" outlineLevel="1">
      <c r="A123" s="213" t="str">
        <f t="shared" si="10"/>
        <v>TC_06.105</v>
      </c>
      <c r="B123" s="214" t="s">
        <v>67</v>
      </c>
      <c r="C123" s="238" t="s">
        <v>1525</v>
      </c>
      <c r="D123" s="238" t="s">
        <v>1486</v>
      </c>
      <c r="E123" s="217" t="s">
        <v>1526</v>
      </c>
      <c r="F123" s="238" t="s">
        <v>1527</v>
      </c>
      <c r="G123" s="211" t="s">
        <v>56</v>
      </c>
      <c r="H123" s="211" t="s">
        <v>135</v>
      </c>
      <c r="I123" s="221"/>
      <c r="J123" s="221"/>
      <c r="K123" s="221"/>
      <c r="L123" s="221"/>
      <c r="M123" s="221"/>
      <c r="N123" s="221"/>
      <c r="O123" s="221"/>
      <c r="P123" s="221"/>
      <c r="Q123" s="221"/>
      <c r="R123" s="221"/>
      <c r="S123" s="238"/>
      <c r="T123" s="221"/>
      <c r="U123" s="221"/>
      <c r="V123" s="221"/>
      <c r="W123" s="221"/>
      <c r="X123" s="221"/>
      <c r="Y123" s="221"/>
      <c r="Z123" s="221"/>
      <c r="AA123" s="141"/>
      <c r="AB123" s="141"/>
      <c r="AC123" s="141"/>
      <c r="AD123" s="141"/>
      <c r="AE123" s="141"/>
      <c r="AF123" s="141"/>
      <c r="AG123" s="141"/>
      <c r="AH123" s="141"/>
      <c r="AI123" s="141"/>
      <c r="AJ123" s="141"/>
      <c r="AK123" s="141"/>
      <c r="AL123" s="141"/>
      <c r="AM123" s="141"/>
      <c r="AN123" s="141"/>
      <c r="AO123" s="141"/>
      <c r="AP123" s="141"/>
      <c r="AQ123" s="141"/>
      <c r="AR123" s="141"/>
      <c r="AS123" s="141"/>
      <c r="AT123" s="141"/>
      <c r="AU123" s="141"/>
      <c r="AV123" s="141"/>
      <c r="AW123" s="141"/>
      <c r="AX123" s="141"/>
      <c r="AY123" s="141"/>
      <c r="AZ123" s="141"/>
      <c r="BA123" s="141"/>
      <c r="BB123" s="141"/>
      <c r="BC123" s="141"/>
      <c r="BD123" s="141"/>
      <c r="BE123" s="141"/>
      <c r="BF123" s="141"/>
      <c r="BG123" s="141"/>
      <c r="BH123" s="141"/>
      <c r="BI123" s="141"/>
      <c r="BJ123" s="141"/>
      <c r="BK123" s="141"/>
      <c r="BL123" s="141"/>
      <c r="BM123" s="141"/>
      <c r="BN123" s="141"/>
      <c r="BO123" s="141"/>
      <c r="BP123" s="141"/>
      <c r="BQ123" s="141"/>
      <c r="BR123" s="141"/>
      <c r="BS123" s="141"/>
      <c r="BT123" s="141"/>
      <c r="BU123" s="141"/>
      <c r="BV123" s="141"/>
      <c r="BW123" s="141"/>
      <c r="BX123" s="141"/>
      <c r="BY123" s="141"/>
      <c r="BZ123" s="141"/>
      <c r="CA123" s="141"/>
      <c r="CB123" s="141"/>
      <c r="CC123" s="141"/>
      <c r="CD123" s="141"/>
      <c r="CE123" s="141"/>
      <c r="CF123" s="141"/>
      <c r="CG123" s="141"/>
      <c r="CH123" s="141"/>
      <c r="CI123" s="141"/>
      <c r="CJ123" s="141"/>
      <c r="CK123" s="141"/>
      <c r="CL123" s="141"/>
    </row>
    <row r="124" outlineLevel="1">
      <c r="A124" s="213" t="str">
        <f t="shared" si="10"/>
        <v>TC_06.106</v>
      </c>
      <c r="B124" s="214" t="s">
        <v>67</v>
      </c>
      <c r="C124" s="238" t="s">
        <v>1528</v>
      </c>
      <c r="D124" s="238" t="s">
        <v>1486</v>
      </c>
      <c r="E124" s="217" t="s">
        <v>1529</v>
      </c>
      <c r="F124" s="238" t="s">
        <v>1530</v>
      </c>
      <c r="G124" s="211" t="s">
        <v>56</v>
      </c>
      <c r="H124" s="211" t="s">
        <v>135</v>
      </c>
      <c r="I124" s="221"/>
      <c r="J124" s="221"/>
      <c r="K124" s="221"/>
      <c r="L124" s="221"/>
      <c r="M124" s="221"/>
      <c r="N124" s="221"/>
      <c r="O124" s="221"/>
      <c r="P124" s="221"/>
      <c r="Q124" s="221"/>
      <c r="R124" s="221"/>
      <c r="S124" s="238"/>
      <c r="T124" s="221"/>
      <c r="U124" s="221"/>
      <c r="V124" s="221"/>
      <c r="W124" s="221"/>
      <c r="X124" s="221"/>
      <c r="Y124" s="221"/>
      <c r="Z124" s="221"/>
      <c r="AA124" s="141"/>
      <c r="AB124" s="141"/>
      <c r="AC124" s="141"/>
      <c r="AD124" s="141"/>
      <c r="AE124" s="141"/>
      <c r="AF124" s="141"/>
      <c r="AG124" s="141"/>
      <c r="AH124" s="141"/>
      <c r="AI124" s="141"/>
      <c r="AJ124" s="141"/>
      <c r="AK124" s="141"/>
      <c r="AL124" s="141"/>
      <c r="AM124" s="141"/>
      <c r="AN124" s="141"/>
      <c r="AO124" s="141"/>
      <c r="AP124" s="141"/>
      <c r="AQ124" s="141"/>
      <c r="AR124" s="141"/>
      <c r="AS124" s="141"/>
      <c r="AT124" s="141"/>
      <c r="AU124" s="141"/>
      <c r="AV124" s="141"/>
      <c r="AW124" s="141"/>
      <c r="AX124" s="141"/>
      <c r="AY124" s="141"/>
      <c r="AZ124" s="141"/>
      <c r="BA124" s="141"/>
      <c r="BB124" s="141"/>
      <c r="BC124" s="141"/>
      <c r="BD124" s="141"/>
      <c r="BE124" s="141"/>
      <c r="BF124" s="141"/>
      <c r="BG124" s="141"/>
      <c r="BH124" s="141"/>
      <c r="BI124" s="141"/>
      <c r="BJ124" s="141"/>
      <c r="BK124" s="141"/>
      <c r="BL124" s="141"/>
      <c r="BM124" s="141"/>
      <c r="BN124" s="141"/>
      <c r="BO124" s="141"/>
      <c r="BP124" s="141"/>
      <c r="BQ124" s="141"/>
      <c r="BR124" s="141"/>
      <c r="BS124" s="141"/>
      <c r="BT124" s="141"/>
      <c r="BU124" s="141"/>
      <c r="BV124" s="141"/>
      <c r="BW124" s="141"/>
      <c r="BX124" s="141"/>
      <c r="BY124" s="141"/>
      <c r="BZ124" s="141"/>
      <c r="CA124" s="141"/>
      <c r="CB124" s="141"/>
      <c r="CC124" s="141"/>
      <c r="CD124" s="141"/>
      <c r="CE124" s="141"/>
      <c r="CF124" s="141"/>
      <c r="CG124" s="141"/>
      <c r="CH124" s="141"/>
      <c r="CI124" s="141"/>
      <c r="CJ124" s="141"/>
      <c r="CK124" s="141"/>
      <c r="CL124" s="141"/>
    </row>
    <row r="125" outlineLevel="1">
      <c r="A125" s="213" t="str">
        <f t="shared" si="10"/>
        <v>TC_06.107</v>
      </c>
      <c r="B125" s="214" t="s">
        <v>67</v>
      </c>
      <c r="C125" s="238" t="s">
        <v>1531</v>
      </c>
      <c r="D125" s="238" t="s">
        <v>1478</v>
      </c>
      <c r="E125" s="217" t="s">
        <v>1532</v>
      </c>
      <c r="F125" s="238" t="s">
        <v>1533</v>
      </c>
      <c r="G125" s="211" t="s">
        <v>56</v>
      </c>
      <c r="H125" s="211" t="s">
        <v>135</v>
      </c>
      <c r="I125" s="221"/>
      <c r="J125" s="221"/>
      <c r="K125" s="221"/>
      <c r="L125" s="221"/>
      <c r="M125" s="221"/>
      <c r="N125" s="221"/>
      <c r="O125" s="221"/>
      <c r="P125" s="221"/>
      <c r="Q125" s="221"/>
      <c r="R125" s="221"/>
      <c r="S125" s="238"/>
      <c r="T125" s="221"/>
      <c r="U125" s="221"/>
      <c r="V125" s="221"/>
      <c r="W125" s="221"/>
      <c r="X125" s="221"/>
      <c r="Y125" s="221"/>
      <c r="Z125" s="221"/>
      <c r="AA125" s="141"/>
      <c r="AB125" s="141"/>
      <c r="AC125" s="141"/>
      <c r="AD125" s="141"/>
      <c r="AE125" s="141"/>
      <c r="AF125" s="141"/>
      <c r="AG125" s="141"/>
      <c r="AH125" s="141"/>
      <c r="AI125" s="141"/>
      <c r="AJ125" s="14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c r="BQ125" s="141"/>
      <c r="BR125" s="141"/>
      <c r="BS125" s="141"/>
      <c r="BT125" s="141"/>
      <c r="BU125" s="141"/>
      <c r="BV125" s="141"/>
      <c r="BW125" s="141"/>
      <c r="BX125" s="141"/>
      <c r="BY125" s="141"/>
      <c r="BZ125" s="141"/>
      <c r="CA125" s="141"/>
      <c r="CB125" s="141"/>
      <c r="CC125" s="141"/>
      <c r="CD125" s="141"/>
      <c r="CE125" s="141"/>
      <c r="CF125" s="141"/>
      <c r="CG125" s="141"/>
      <c r="CH125" s="141"/>
      <c r="CI125" s="141"/>
      <c r="CJ125" s="141"/>
      <c r="CK125" s="141"/>
      <c r="CL125" s="141"/>
    </row>
    <row r="126">
      <c r="A126" s="413" t="s">
        <v>1121</v>
      </c>
      <c r="B126" s="144"/>
      <c r="C126" s="144"/>
      <c r="D126" s="144"/>
      <c r="E126" s="144"/>
      <c r="F126" s="167"/>
      <c r="G126" s="214"/>
      <c r="H126" s="213"/>
      <c r="I126" s="221"/>
      <c r="J126" s="221"/>
      <c r="K126" s="221"/>
      <c r="L126" s="221"/>
      <c r="M126" s="221"/>
      <c r="N126" s="221"/>
      <c r="O126" s="221"/>
      <c r="P126" s="221"/>
      <c r="Q126" s="221"/>
      <c r="R126" s="221"/>
      <c r="S126" s="238"/>
      <c r="T126" s="221"/>
      <c r="U126" s="221"/>
      <c r="V126" s="221"/>
      <c r="W126" s="221"/>
      <c r="X126" s="221"/>
      <c r="Y126" s="221"/>
      <c r="Z126" s="221"/>
      <c r="AA126" s="141"/>
      <c r="AB126" s="141"/>
      <c r="AC126" s="141"/>
      <c r="AD126" s="141"/>
      <c r="AE126" s="141"/>
      <c r="AF126" s="141"/>
      <c r="AG126" s="141"/>
      <c r="AH126" s="141"/>
      <c r="AI126" s="141"/>
      <c r="AJ126" s="141"/>
      <c r="AK126" s="141"/>
      <c r="AL126" s="141"/>
      <c r="AM126" s="141"/>
      <c r="AN126" s="141"/>
      <c r="AO126" s="141"/>
      <c r="AP126" s="141"/>
      <c r="AQ126" s="141"/>
      <c r="AR126" s="141"/>
      <c r="AS126" s="141"/>
      <c r="AT126" s="141"/>
      <c r="AU126" s="141"/>
      <c r="AV126" s="141"/>
      <c r="AW126" s="141"/>
      <c r="AX126" s="141"/>
      <c r="AY126" s="141"/>
      <c r="AZ126" s="141"/>
      <c r="BA126" s="141"/>
      <c r="BB126" s="141"/>
      <c r="BC126" s="141"/>
      <c r="BD126" s="141"/>
      <c r="BE126" s="141"/>
      <c r="BF126" s="141"/>
      <c r="BG126" s="141"/>
      <c r="BH126" s="141"/>
      <c r="BI126" s="141"/>
      <c r="BJ126" s="141"/>
      <c r="BK126" s="141"/>
      <c r="BL126" s="141"/>
      <c r="BM126" s="141"/>
      <c r="BN126" s="141"/>
      <c r="BO126" s="141"/>
      <c r="BP126" s="141"/>
      <c r="BQ126" s="141"/>
      <c r="BR126" s="141"/>
      <c r="BS126" s="141"/>
      <c r="BT126" s="141"/>
      <c r="BU126" s="141"/>
      <c r="BV126" s="141"/>
      <c r="BW126" s="141"/>
      <c r="BX126" s="141"/>
      <c r="BY126" s="141"/>
      <c r="BZ126" s="141"/>
      <c r="CA126" s="141"/>
      <c r="CB126" s="141"/>
      <c r="CC126" s="141"/>
      <c r="CD126" s="141"/>
      <c r="CE126" s="141"/>
      <c r="CF126" s="141"/>
      <c r="CG126" s="141"/>
      <c r="CH126" s="141"/>
      <c r="CI126" s="141"/>
      <c r="CJ126" s="141"/>
      <c r="CK126" s="141"/>
      <c r="CL126" s="141"/>
    </row>
    <row r="127" outlineLevel="1">
      <c r="A127" s="213" t="str">
        <f t="shared" ref="A127:A129" si="11">IF(E127="","",$C$3&amp;"."&amp;COUNTA($E$9:E127)&amp;"")</f>
        <v>TC_06.108</v>
      </c>
      <c r="B127" s="214" t="s">
        <v>67</v>
      </c>
      <c r="C127" s="238" t="s">
        <v>1534</v>
      </c>
      <c r="D127" s="238" t="s">
        <v>1535</v>
      </c>
      <c r="E127" s="217" t="s">
        <v>1536</v>
      </c>
      <c r="F127" s="238" t="s">
        <v>1537</v>
      </c>
      <c r="G127" s="211" t="s">
        <v>56</v>
      </c>
      <c r="H127" s="211" t="s">
        <v>135</v>
      </c>
      <c r="I127" s="221"/>
      <c r="J127" s="221"/>
      <c r="K127" s="221"/>
      <c r="L127" s="221"/>
      <c r="M127" s="221"/>
      <c r="N127" s="221"/>
      <c r="O127" s="221"/>
      <c r="P127" s="221"/>
      <c r="Q127" s="221"/>
      <c r="R127" s="221"/>
      <c r="S127" s="238"/>
      <c r="T127" s="221"/>
      <c r="U127" s="221"/>
      <c r="V127" s="221"/>
      <c r="W127" s="221"/>
      <c r="X127" s="221"/>
      <c r="Y127" s="221"/>
      <c r="Z127" s="221"/>
      <c r="AA127" s="141"/>
      <c r="AB127" s="141"/>
      <c r="AC127" s="141"/>
      <c r="AD127" s="141"/>
      <c r="AE127" s="141"/>
      <c r="AF127" s="141"/>
      <c r="AG127" s="141"/>
      <c r="AH127" s="141"/>
      <c r="AI127" s="141"/>
      <c r="AJ127" s="141"/>
      <c r="AK127" s="141"/>
      <c r="AL127" s="141"/>
      <c r="AM127" s="141"/>
      <c r="AN127" s="141"/>
      <c r="AO127" s="141"/>
      <c r="AP127" s="141"/>
      <c r="AQ127" s="141"/>
      <c r="AR127" s="141"/>
      <c r="AS127" s="141"/>
      <c r="AT127" s="141"/>
      <c r="AU127" s="141"/>
      <c r="AV127" s="141"/>
      <c r="AW127" s="141"/>
      <c r="AX127" s="141"/>
      <c r="AY127" s="141"/>
      <c r="AZ127" s="141"/>
      <c r="BA127" s="141"/>
      <c r="BB127" s="141"/>
      <c r="BC127" s="141"/>
      <c r="BD127" s="141"/>
      <c r="BE127" s="141"/>
      <c r="BF127" s="141"/>
      <c r="BG127" s="141"/>
      <c r="BH127" s="141"/>
      <c r="BI127" s="141"/>
      <c r="BJ127" s="141"/>
      <c r="BK127" s="141"/>
      <c r="BL127" s="141"/>
      <c r="BM127" s="141"/>
      <c r="BN127" s="141"/>
      <c r="BO127" s="141"/>
      <c r="BP127" s="141"/>
      <c r="BQ127" s="141"/>
      <c r="BR127" s="141"/>
      <c r="BS127" s="141"/>
      <c r="BT127" s="141"/>
      <c r="BU127" s="141"/>
      <c r="BV127" s="141"/>
      <c r="BW127" s="141"/>
      <c r="BX127" s="141"/>
      <c r="BY127" s="141"/>
      <c r="BZ127" s="141"/>
      <c r="CA127" s="141"/>
      <c r="CB127" s="141"/>
      <c r="CC127" s="141"/>
      <c r="CD127" s="141"/>
      <c r="CE127" s="141"/>
      <c r="CF127" s="141"/>
      <c r="CG127" s="141"/>
      <c r="CH127" s="141"/>
      <c r="CI127" s="141"/>
      <c r="CJ127" s="141"/>
      <c r="CK127" s="141"/>
      <c r="CL127" s="141"/>
    </row>
    <row r="128" ht="86.25" customHeight="1" outlineLevel="1">
      <c r="A128" s="213" t="str">
        <f t="shared" si="11"/>
        <v>TC_06.109</v>
      </c>
      <c r="B128" s="213" t="s">
        <v>65</v>
      </c>
      <c r="C128" s="221" t="s">
        <v>1122</v>
      </c>
      <c r="D128" s="221" t="s">
        <v>1123</v>
      </c>
      <c r="E128" s="217" t="s">
        <v>1538</v>
      </c>
      <c r="F128" s="238" t="s">
        <v>1125</v>
      </c>
      <c r="G128" s="211" t="s">
        <v>56</v>
      </c>
      <c r="H128" s="211" t="s">
        <v>135</v>
      </c>
      <c r="I128" s="397"/>
      <c r="J128" s="44"/>
      <c r="K128" s="221"/>
      <c r="L128" s="262"/>
      <c r="M128" s="397"/>
      <c r="N128" s="397"/>
      <c r="O128" s="397"/>
      <c r="P128" s="44"/>
      <c r="Q128" s="221"/>
      <c r="R128" s="262"/>
      <c r="S128" s="396"/>
      <c r="T128" s="396"/>
      <c r="U128" s="393"/>
      <c r="V128" s="396"/>
      <c r="W128" s="396"/>
      <c r="X128" s="396"/>
      <c r="Y128" s="213" t="str">
        <f>IF(AC128="","",$C$3&amp;"."&amp;COUNTA($E$11:AC128)&amp;"")</f>
        <v>TC_06.442</v>
      </c>
      <c r="Z128" s="220" t="s">
        <v>65</v>
      </c>
      <c r="AA128" s="221" t="s">
        <v>1122</v>
      </c>
      <c r="AB128" s="221" t="s">
        <v>1123</v>
      </c>
      <c r="AC128" s="221" t="s">
        <v>1124</v>
      </c>
      <c r="AD128" s="238" t="s">
        <v>1125</v>
      </c>
      <c r="AE128" s="397"/>
      <c r="AF128" s="397"/>
      <c r="AG128" s="397"/>
      <c r="AH128" s="44"/>
      <c r="AI128" s="221"/>
      <c r="AJ128" s="262"/>
      <c r="AK128" s="397"/>
      <c r="AL128" s="397"/>
      <c r="AM128" s="397"/>
      <c r="AN128" s="44"/>
      <c r="AO128" s="221"/>
      <c r="AP128" s="262"/>
      <c r="AQ128" s="396"/>
      <c r="AR128" s="396"/>
      <c r="AS128" s="393"/>
      <c r="AT128" s="396"/>
      <c r="AU128" s="396"/>
      <c r="AV128" s="396"/>
      <c r="AW128" s="213" t="str">
        <f>IF(BA128="","",$C$3&amp;"."&amp;COUNTA($E$11:BA128)&amp;"")</f>
        <v>TC_06.448</v>
      </c>
      <c r="AX128" s="220" t="s">
        <v>65</v>
      </c>
      <c r="AY128" s="221" t="s">
        <v>1122</v>
      </c>
      <c r="AZ128" s="221" t="s">
        <v>1123</v>
      </c>
      <c r="BA128" s="221" t="s">
        <v>1124</v>
      </c>
      <c r="BB128" s="238" t="s">
        <v>1125</v>
      </c>
      <c r="BC128" s="397"/>
      <c r="BD128" s="397"/>
      <c r="BE128" s="397"/>
      <c r="BF128" s="44"/>
      <c r="BG128" s="221"/>
      <c r="BH128" s="262"/>
      <c r="BI128" s="397"/>
      <c r="BJ128" s="397"/>
      <c r="BK128" s="397"/>
      <c r="BL128" s="44"/>
      <c r="BM128" s="221"/>
      <c r="BN128" s="262"/>
      <c r="BO128" s="396"/>
      <c r="BP128" s="396"/>
      <c r="BQ128" s="393"/>
      <c r="BR128" s="396"/>
      <c r="BS128" s="396"/>
      <c r="BT128" s="396"/>
      <c r="BU128" s="141"/>
      <c r="BV128" s="141"/>
      <c r="BW128" s="141"/>
      <c r="BX128" s="141"/>
      <c r="BY128" s="141"/>
      <c r="BZ128" s="141"/>
      <c r="CA128" s="141"/>
      <c r="CB128" s="141"/>
      <c r="CC128" s="141"/>
      <c r="CD128" s="141"/>
      <c r="CE128" s="141"/>
      <c r="CF128" s="141"/>
      <c r="CG128" s="141"/>
      <c r="CH128" s="141"/>
      <c r="CI128" s="141"/>
      <c r="CJ128" s="141"/>
      <c r="CK128" s="141"/>
      <c r="CL128" s="141"/>
    </row>
    <row r="129" outlineLevel="1">
      <c r="A129" s="213" t="str">
        <f t="shared" si="11"/>
        <v>TC_06.110</v>
      </c>
      <c r="B129" s="214" t="s">
        <v>69</v>
      </c>
      <c r="C129" s="238" t="s">
        <v>1539</v>
      </c>
      <c r="D129" s="238" t="s">
        <v>1540</v>
      </c>
      <c r="E129" s="217" t="s">
        <v>1541</v>
      </c>
      <c r="F129" s="238" t="s">
        <v>1542</v>
      </c>
      <c r="G129" s="211" t="s">
        <v>56</v>
      </c>
      <c r="H129" s="211" t="s">
        <v>135</v>
      </c>
      <c r="I129" s="221"/>
      <c r="J129" s="221"/>
      <c r="K129" s="221"/>
      <c r="L129" s="221"/>
      <c r="M129" s="221"/>
      <c r="N129" s="221"/>
      <c r="O129" s="221"/>
      <c r="P129" s="221"/>
      <c r="Q129" s="221"/>
      <c r="R129" s="221"/>
      <c r="S129" s="238"/>
      <c r="T129" s="221"/>
      <c r="U129" s="221"/>
      <c r="V129" s="221"/>
      <c r="W129" s="221"/>
      <c r="X129" s="221"/>
      <c r="Y129" s="221"/>
      <c r="Z129" s="221"/>
      <c r="AA129" s="141"/>
      <c r="AB129" s="141"/>
      <c r="AC129" s="141"/>
      <c r="AD129" s="141"/>
      <c r="AE129" s="141"/>
      <c r="AF129" s="141"/>
      <c r="AG129" s="141"/>
      <c r="AH129" s="141"/>
      <c r="AI129" s="141"/>
      <c r="AJ129" s="141"/>
      <c r="AK129" s="141"/>
      <c r="AL129" s="141"/>
      <c r="AM129" s="141"/>
      <c r="AN129" s="141"/>
      <c r="AO129" s="141"/>
      <c r="AP129" s="141"/>
      <c r="AQ129" s="141"/>
      <c r="AR129" s="141"/>
      <c r="AS129" s="141"/>
      <c r="AT129" s="141"/>
      <c r="AU129" s="141"/>
      <c r="AV129" s="141"/>
      <c r="AW129" s="141"/>
      <c r="AX129" s="141"/>
      <c r="AY129" s="141"/>
      <c r="AZ129" s="141"/>
      <c r="BA129" s="141"/>
      <c r="BB129" s="141"/>
      <c r="BC129" s="141"/>
      <c r="BD129" s="141"/>
      <c r="BE129" s="141"/>
      <c r="BF129" s="141"/>
      <c r="BG129" s="141"/>
      <c r="BH129" s="141"/>
      <c r="BI129" s="141"/>
      <c r="BJ129" s="141"/>
      <c r="BK129" s="141"/>
      <c r="BL129" s="141"/>
      <c r="BM129" s="141"/>
      <c r="BN129" s="141"/>
      <c r="BO129" s="141"/>
      <c r="BP129" s="141"/>
      <c r="BQ129" s="141"/>
      <c r="BR129" s="141"/>
      <c r="BS129" s="141"/>
      <c r="BT129" s="141"/>
      <c r="BU129" s="141"/>
      <c r="BV129" s="141"/>
      <c r="BW129" s="141"/>
      <c r="BX129" s="141"/>
      <c r="BY129" s="141"/>
      <c r="BZ129" s="141"/>
      <c r="CA129" s="141"/>
      <c r="CB129" s="141"/>
      <c r="CC129" s="141"/>
      <c r="CD129" s="141"/>
      <c r="CE129" s="141"/>
      <c r="CF129" s="141"/>
      <c r="CG129" s="141"/>
      <c r="CH129" s="141"/>
      <c r="CI129" s="141"/>
      <c r="CJ129" s="141"/>
      <c r="CK129" s="141"/>
      <c r="CL129" s="141"/>
    </row>
  </sheetData>
  <autoFilter ref="$G$1:$J$129"/>
  <mergeCells count="26">
    <mergeCell ref="C7:C8"/>
    <mergeCell ref="D7:D8"/>
    <mergeCell ref="F7:F8"/>
    <mergeCell ref="G7:J7"/>
    <mergeCell ref="K7:N7"/>
    <mergeCell ref="O7:R7"/>
    <mergeCell ref="S7:V7"/>
    <mergeCell ref="B2:E2"/>
    <mergeCell ref="A3:B3"/>
    <mergeCell ref="C3:D3"/>
    <mergeCell ref="A4:B4"/>
    <mergeCell ref="C4:D4"/>
    <mergeCell ref="A7:A8"/>
    <mergeCell ref="B7:B8"/>
    <mergeCell ref="A61:F61"/>
    <mergeCell ref="A80:F80"/>
    <mergeCell ref="A89:F89"/>
    <mergeCell ref="A101:F101"/>
    <mergeCell ref="A126:F126"/>
    <mergeCell ref="E7:E8"/>
    <mergeCell ref="A9:F9"/>
    <mergeCell ref="A12:F12"/>
    <mergeCell ref="A19:F19"/>
    <mergeCell ref="A24:F24"/>
    <mergeCell ref="A32:F32"/>
    <mergeCell ref="A42:F42"/>
  </mergeCells>
  <conditionalFormatting sqref="G9:G129 K9:K129 O9:O129 S9:S129 W14:W129 AA14:AA129 AE14:AE129 AI14:AI129 AM14:AM129 AQ14:AQ129 AU14:AU129 AY14:AY129 H128:I128 M128:N128 Q128 U128 AF128:AG128 AK128:AL128 AO128 AS128 BC128:BE128 BI128:BK128 BM128 BQ128">
    <cfRule type="cellIs" dxfId="0" priority="1" operator="equal">
      <formula>"Block"</formula>
    </cfRule>
  </conditionalFormatting>
  <conditionalFormatting sqref="G9:G129 K9:K129 O9:O129 S9:S129 W14:W129 AA14:AA129 AE14:AE129 AI14:AI129 AM14:AM129 AQ14:AQ129 AU14:AU129 AY14:AY129 H128:I128 M128:N128 Q128 U128 AF128:AG128 AK128:AL128 AO128 AS128 BC128:BE128 BI128:BK128 BM128 BQ128">
    <cfRule type="cellIs" dxfId="1" priority="2" operator="equal">
      <formula>"Fail"</formula>
    </cfRule>
  </conditionalFormatting>
  <conditionalFormatting sqref="G9:G129 K9:K129 O9:O129 S9:S129 W14:W129 AA14:AA129 AE14:AE129 AI14:AI129 AM14:AM129 AQ14:AQ129 AU14:AU129 AY14:AY129 H128:I128 M128:N128 Q128 U128 AF128:AG128 AK128:AL128 AO128 AS128 BC128:BE128 BI128:BK128 BM128 BQ128">
    <cfRule type="cellIs" dxfId="2" priority="3" operator="equal">
      <formula>"Pass"</formula>
    </cfRule>
  </conditionalFormatting>
  <conditionalFormatting sqref="G9:G129 K9:K129 O9:O129 S9:S129 W14:W129 AA14:AA129 AE14:AE129 AI14:AI129 AM14:AM129 AQ14:AQ129 AU14:AU129 AY14:AY129 H128:I128 M128:N128 Q128 U128 AF128:AG128 AK128:AL128 AO128 AS128 BC128:BE128 BI128:BK128 BM128 BQ128">
    <cfRule type="cellIs" dxfId="3" priority="4" operator="equal">
      <formula>"N/A"</formula>
    </cfRule>
  </conditionalFormatting>
  <conditionalFormatting sqref="G9:G129 K9:K129 O9:O129 S9:S129 H128:I128 M128:N128 Q128 U128 AE128:AG128 AK128:AM128 AO128 AS128 BC128:BE128 BI128:BK128 BM128 BQ128">
    <cfRule type="cellIs" dxfId="4" priority="5" operator="equal">
      <formula>"Block"</formula>
    </cfRule>
  </conditionalFormatting>
  <conditionalFormatting sqref="G9:G129 K9:K129 O9:O129 S9:S129 H128:I128 M128:N128 Q128 U128 AE128:AG128 AK128:AM128 AO128 AS128 BC128:BE128 BI128:BK128 BM128 BQ128">
    <cfRule type="cellIs" dxfId="5" priority="6" operator="equal">
      <formula>"Fail"</formula>
    </cfRule>
  </conditionalFormatting>
  <conditionalFormatting sqref="G9:G129 K9:K129 O9:O129 S9:S129 H128:I128 M128:N128 Q128 U128 AE128:AG128 AK128:AM128 AO128 AS128 BC128:BE128 BI128:BK128 BM128 BQ128">
    <cfRule type="cellIs" dxfId="6" priority="7" operator="equal">
      <formula>"Pass"</formula>
    </cfRule>
  </conditionalFormatting>
  <conditionalFormatting sqref="G9:G129 K9:K129 O9:O129 S9:S129 H128:I128 M128:N128 Q128 U128 AE128:AG128 AK128:AM128 AO128 AS128 BC128:BE128 BI128:BK128 BM128 BQ128">
    <cfRule type="cellIs" dxfId="7" priority="8" operator="equal">
      <formula>"N/A"</formula>
    </cfRule>
  </conditionalFormatting>
  <conditionalFormatting sqref="G71:G129">
    <cfRule type="cellIs" dxfId="4" priority="9" operator="equal">
      <formula>"Block"</formula>
    </cfRule>
  </conditionalFormatting>
  <conditionalFormatting sqref="G71:G129">
    <cfRule type="cellIs" dxfId="5" priority="10" operator="equal">
      <formula>"Fail"</formula>
    </cfRule>
  </conditionalFormatting>
  <conditionalFormatting sqref="G71:G129">
    <cfRule type="cellIs" dxfId="6" priority="11" operator="equal">
      <formula>"Pass"</formula>
    </cfRule>
  </conditionalFormatting>
  <conditionalFormatting sqref="G71:G129">
    <cfRule type="cellIs" dxfId="7" priority="12" operator="equal">
      <formula>"N/A"</formula>
    </cfRule>
  </conditionalFormatting>
  <conditionalFormatting sqref="G9:G129 K9:K129 O9:O129 S9:S129">
    <cfRule type="cellIs" dxfId="0" priority="13" operator="equal">
      <formula>"Block"</formula>
    </cfRule>
  </conditionalFormatting>
  <conditionalFormatting sqref="G9:G129 K9:K129 O9:O129 S9:S129">
    <cfRule type="cellIs" dxfId="1" priority="14" operator="equal">
      <formula>"Fail"</formula>
    </cfRule>
  </conditionalFormatting>
  <conditionalFormatting sqref="G9:G129 K9:K129 O9:O129 S9:S129">
    <cfRule type="cellIs" dxfId="2" priority="15" operator="equal">
      <formula>"Pass"</formula>
    </cfRule>
  </conditionalFormatting>
  <conditionalFormatting sqref="G9:G129 K9:K129 O9:O129 S9:S129">
    <cfRule type="cellIs" dxfId="3" priority="16" operator="equal">
      <formula>"N/A"</formula>
    </cfRule>
  </conditionalFormatting>
  <dataValidations>
    <dataValidation type="list" allowBlank="1" showErrorMessage="1" sqref="W20 AA20 AE20 AI20 AM20 AQ20 AU20 AY20 W23 AA23 AE23 AI23 AM23 K9:K127 O9:O127 S9:S127 I128 M128:O128 U128 AE128:AG128 AK128:AM128 AS128 BC128:BE128 BI128:BK128 BQ128 G9:G129 K129 O129 S129">
      <formula1>"Pass,Fail,Block,N/A"</formula1>
    </dataValidation>
    <dataValidation type="list" allowBlank="1" showErrorMessage="1" sqref="B10:B11 B13:B15 B18 B20 B22 B26:B31 B33:B41 B43:B60 B62:B79 B81:B88 B90:B100 B102:B125 Z128 AX128 B127:B129">
      <formula1>"High,Medium,Low"</formula1>
    </dataValidation>
  </dataValidations>
  <hyperlinks>
    <hyperlink r:id="rId1" ref="D11"/>
    <hyperlink r:id="rId2" ref="I43"/>
  </hyperlinks>
  <printOptions/>
  <pageMargins bottom="0.75" footer="0.0" header="0.0" left="0.7" right="0.7" top="0.75"/>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8.25"/>
    <col customWidth="1" min="5" max="5" width="67.0"/>
    <col customWidth="1" min="6" max="6" width="91.5"/>
  </cols>
  <sheetData>
    <row r="1">
      <c r="A1" s="426"/>
      <c r="B1" s="426"/>
      <c r="C1" s="426"/>
      <c r="D1" s="427"/>
      <c r="E1" s="427"/>
      <c r="F1" s="428" t="s">
        <v>1543</v>
      </c>
    </row>
    <row r="2">
      <c r="A2" s="429" t="s">
        <v>1544</v>
      </c>
      <c r="B2" s="429" t="s">
        <v>1545</v>
      </c>
      <c r="C2" s="429" t="s">
        <v>1546</v>
      </c>
      <c r="D2" s="430" t="s">
        <v>1547</v>
      </c>
      <c r="E2" s="430" t="s">
        <v>356</v>
      </c>
      <c r="F2" s="427" t="s">
        <v>1548</v>
      </c>
    </row>
    <row r="3">
      <c r="A3" s="431" t="s">
        <v>1549</v>
      </c>
      <c r="B3" s="432" t="s">
        <v>1550</v>
      </c>
      <c r="C3" s="432" t="s">
        <v>1551</v>
      </c>
      <c r="D3" s="432"/>
      <c r="E3" s="433"/>
      <c r="F3" s="428" t="s">
        <v>1552</v>
      </c>
    </row>
    <row r="4">
      <c r="A4" s="55"/>
      <c r="B4" s="432" t="s">
        <v>1553</v>
      </c>
      <c r="C4" s="432" t="s">
        <v>1554</v>
      </c>
      <c r="D4" s="433"/>
      <c r="E4" s="433"/>
      <c r="F4" s="434"/>
    </row>
    <row r="5">
      <c r="A5" s="55"/>
      <c r="B5" s="432" t="s">
        <v>1555</v>
      </c>
      <c r="C5" s="435" t="s">
        <v>1556</v>
      </c>
      <c r="D5" s="432"/>
      <c r="E5" s="432"/>
      <c r="F5" s="428" t="s">
        <v>1557</v>
      </c>
    </row>
    <row r="6">
      <c r="A6" s="55"/>
      <c r="B6" s="432" t="s">
        <v>1558</v>
      </c>
      <c r="C6" s="436" t="s">
        <v>1559</v>
      </c>
      <c r="D6" s="433"/>
      <c r="E6" s="432"/>
      <c r="F6" s="437"/>
    </row>
    <row r="7">
      <c r="A7" s="55"/>
      <c r="B7" s="432" t="s">
        <v>1560</v>
      </c>
      <c r="C7" s="432" t="s">
        <v>1561</v>
      </c>
      <c r="D7" s="433"/>
      <c r="E7" s="432" t="s">
        <v>1562</v>
      </c>
      <c r="F7" s="434"/>
    </row>
    <row r="8">
      <c r="A8" s="55"/>
      <c r="B8" s="432" t="s">
        <v>1563</v>
      </c>
      <c r="C8" s="436" t="s">
        <v>1564</v>
      </c>
      <c r="D8" s="433"/>
      <c r="E8" s="438" t="s">
        <v>1565</v>
      </c>
      <c r="F8" s="439"/>
    </row>
    <row r="9">
      <c r="A9" s="56"/>
      <c r="B9" s="432" t="s">
        <v>1566</v>
      </c>
      <c r="C9" s="432" t="s">
        <v>1567</v>
      </c>
      <c r="D9" s="433"/>
      <c r="E9" s="432"/>
      <c r="F9" s="434"/>
    </row>
    <row r="10">
      <c r="A10" s="431" t="s">
        <v>1568</v>
      </c>
      <c r="B10" s="432" t="s">
        <v>1550</v>
      </c>
      <c r="C10" s="432" t="s">
        <v>1569</v>
      </c>
      <c r="D10" s="432"/>
      <c r="E10" s="433"/>
      <c r="F10" s="437"/>
    </row>
    <row r="11">
      <c r="A11" s="55"/>
      <c r="B11" s="432" t="s">
        <v>1553</v>
      </c>
      <c r="C11" s="432" t="s">
        <v>1570</v>
      </c>
      <c r="D11" s="433"/>
      <c r="E11" s="432" t="s">
        <v>1571</v>
      </c>
      <c r="F11" s="434"/>
    </row>
    <row r="12">
      <c r="A12" s="55"/>
      <c r="B12" s="432" t="s">
        <v>1555</v>
      </c>
      <c r="C12" s="432" t="s">
        <v>1572</v>
      </c>
      <c r="D12" s="432"/>
      <c r="E12" s="432" t="s">
        <v>1571</v>
      </c>
      <c r="F12" s="437"/>
    </row>
    <row r="13">
      <c r="A13" s="55"/>
      <c r="B13" s="432" t="s">
        <v>1558</v>
      </c>
      <c r="C13" s="440" t="s">
        <v>1573</v>
      </c>
      <c r="D13" s="433"/>
      <c r="E13" s="432" t="s">
        <v>1574</v>
      </c>
      <c r="F13" s="437"/>
    </row>
    <row r="14">
      <c r="A14" s="55"/>
      <c r="B14" s="432" t="s">
        <v>1560</v>
      </c>
      <c r="C14" s="432" t="s">
        <v>1575</v>
      </c>
      <c r="D14" s="433"/>
      <c r="E14" s="432" t="s">
        <v>1574</v>
      </c>
      <c r="F14" s="434"/>
    </row>
    <row r="15">
      <c r="A15" s="55"/>
      <c r="B15" s="432" t="s">
        <v>1563</v>
      </c>
      <c r="C15" s="440" t="s">
        <v>1576</v>
      </c>
      <c r="D15" s="433"/>
      <c r="E15" s="438" t="s">
        <v>1574</v>
      </c>
      <c r="F15" s="439"/>
    </row>
    <row r="16">
      <c r="A16" s="56"/>
      <c r="B16" s="432" t="s">
        <v>1566</v>
      </c>
      <c r="C16" s="432" t="s">
        <v>1577</v>
      </c>
      <c r="D16" s="433"/>
      <c r="E16" s="432" t="s">
        <v>1574</v>
      </c>
      <c r="F16" s="434"/>
    </row>
  </sheetData>
  <mergeCells count="2">
    <mergeCell ref="A3:A9"/>
    <mergeCell ref="A10:A16"/>
  </mergeCells>
  <dataValidations>
    <dataValidation type="list" allowBlank="1" showErrorMessage="1" sqref="D3:D16">
      <formula1>"OK,NOT OK"</formula1>
    </dataValidation>
  </dataValidations>
  <hyperlinks>
    <hyperlink r:id="rId1" ref="F1"/>
    <hyperlink r:id="rId2" ref="F3"/>
    <hyperlink r:id="rId3" ref="C5"/>
    <hyperlink r:id="rId4" ref="F5"/>
    <hyperlink r:id="rId5" ref="C6"/>
    <hyperlink r:id="rId6" ref="C8"/>
  </hyperlinks>
  <drawing r:id="rId7"/>
</worksheet>
</file>