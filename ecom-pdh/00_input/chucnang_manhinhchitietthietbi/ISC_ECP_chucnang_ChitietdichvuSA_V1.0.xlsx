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390"/>
  </bookViews>
  <sheets>
    <sheet name="Chi tiết các dịch vụ SA" sheetId="9" r:id="rId1"/>
  </sheets>
  <definedNames>
    <definedName name="_xlnm._FilterDatabase" localSheetId="0" hidden="1">'Chi tiết các dịch vụ SA'!$G$1:$L$84</definedName>
    <definedName name="Display_Week">#REF!</definedName>
    <definedName name="Project_Start">#REF!</definedName>
    <definedName name="Testing_status">#REF!</definedName>
  </definedNames>
  <calcPr calcId="162913"/>
</workbook>
</file>

<file path=xl/calcChain.xml><?xml version="1.0" encoding="utf-8"?>
<calcChain xmlns="http://schemas.openxmlformats.org/spreadsheetml/2006/main">
  <c r="A83" i="9" l="1"/>
  <c r="A82" i="9"/>
  <c r="A81" i="9"/>
  <c r="A79" i="9"/>
  <c r="A78" i="9"/>
  <c r="A77" i="9"/>
  <c r="A76" i="9"/>
  <c r="A75" i="9"/>
  <c r="A74" i="9"/>
  <c r="A72" i="9"/>
  <c r="A71" i="9"/>
  <c r="A70" i="9"/>
  <c r="A69" i="9"/>
  <c r="A68" i="9"/>
  <c r="A67" i="9"/>
  <c r="A66" i="9"/>
  <c r="A65" i="9"/>
  <c r="A58" i="9"/>
  <c r="A57" i="9"/>
  <c r="A56" i="9"/>
  <c r="A55" i="9"/>
  <c r="A53" i="9"/>
  <c r="A52" i="9"/>
  <c r="A51" i="9"/>
  <c r="A41" i="9"/>
  <c r="A40" i="9"/>
  <c r="A38" i="9"/>
  <c r="A37" i="9"/>
  <c r="A36" i="9"/>
  <c r="A35" i="9"/>
  <c r="A33" i="9"/>
  <c r="A32" i="9"/>
  <c r="A31" i="9"/>
  <c r="A29" i="9"/>
  <c r="A28" i="9"/>
  <c r="A27" i="9"/>
  <c r="A26" i="9"/>
  <c r="A25" i="9"/>
  <c r="A24" i="9"/>
  <c r="A23" i="9"/>
  <c r="A22" i="9"/>
  <c r="A21" i="9"/>
  <c r="A20" i="9"/>
  <c r="A18" i="9"/>
  <c r="A17" i="9"/>
  <c r="A16" i="9"/>
  <c r="A14" i="9"/>
  <c r="A13" i="9"/>
  <c r="A12" i="9"/>
  <c r="A11" i="9"/>
  <c r="G7" i="9"/>
</calcChain>
</file>

<file path=xl/sharedStrings.xml><?xml version="1.0" encoding="utf-8"?>
<sst xmlns="http://schemas.openxmlformats.org/spreadsheetml/2006/main" count="542" uniqueCount="259">
  <si>
    <t>Ultra Fast</t>
  </si>
  <si>
    <t>Pass</t>
  </si>
  <si>
    <t>Block</t>
  </si>
  <si>
    <t>High</t>
  </si>
  <si>
    <t>Medium</t>
  </si>
  <si>
    <t>Low</t>
  </si>
  <si>
    <t>TC_05</t>
  </si>
  <si>
    <t>Mã chức năng
(Function ID)</t>
  </si>
  <si>
    <t>Tên chức năng 
(Function Name)</t>
  </si>
  <si>
    <t>Testcase ID</t>
  </si>
  <si>
    <t>Mức Độ Ưu Tiên
(Priority)</t>
  </si>
  <si>
    <t>Nội Dung Test
(Test Title)</t>
  </si>
  <si>
    <t>Điều Kiện/ Dữ Liệu Test
(Pre-condition/ Test Data)</t>
  </si>
  <si>
    <t>Các Bước Thực Hiện
(Test Steps)</t>
  </si>
  <si>
    <t>Kết Quả Mong Đợi
(Expected Results)</t>
  </si>
  <si>
    <t>Kết Quả Thực Hiện
(Actual Result)</t>
  </si>
  <si>
    <t>Người Thực Hiện
(Executed By)</t>
  </si>
  <si>
    <t>ID Bugs</t>
  </si>
  <si>
    <t>Ghi Chú
(Remark)</t>
  </si>
  <si>
    <t>Các dịch vụ cần test</t>
  </si>
  <si>
    <t>FPL</t>
  </si>
  <si>
    <t>HyperFast</t>
  </si>
  <si>
    <t>GiangDC2</t>
  </si>
  <si>
    <t xml:space="preserve"> </t>
  </si>
  <si>
    <t>Chi tiết dịch vụ SA</t>
  </si>
  <si>
    <t>Tổng Quan Màn Hình</t>
  </si>
  <si>
    <t>Kiểm tra layout tổng thể trang chi tiết dịch vụ</t>
  </si>
  <si>
    <t>Đang ở trang chi tiết dịch vụ với URL hợp lệ của 1 gói bán đang active.</t>
  </si>
  <si>
    <t>1. Mở trang chi tiết dịch vụ.
2. Quan sát toàn bộ bố cục màn hình.</t>
  </si>
  <si>
    <r>
      <rPr>
        <sz val="12"/>
        <color theme="1"/>
        <rFont val="Calibri"/>
      </rPr>
      <t xml:space="preserve">Trang hiển thị đầy đủ các block theo đúng thứ tự:
(1) Header dùng chung
(2) Breadcrumb
(3) Hình ảnh &amp; Video
(4) Thông tin gói bán (Tên, Mô tả, Chu kỳ, Giá bán)
(5) Block Đặc quyền 
</t>
    </r>
    <r>
      <rPr>
        <strike/>
        <sz val="12"/>
        <color theme="1"/>
        <rFont val="Calibri"/>
      </rPr>
      <t>(6) Block Ưu đãi</t>
    </r>
    <r>
      <rPr>
        <sz val="12"/>
        <color theme="1"/>
        <rFont val="Calibri"/>
      </rPr>
      <t xml:space="preserve">
</t>
    </r>
    <r>
      <rPr>
        <strike/>
        <sz val="12"/>
        <color theme="1"/>
        <rFont val="Calibri"/>
      </rPr>
      <t>(7) Block Khuyến mãi thanh toán</t>
    </r>
    <r>
      <rPr>
        <sz val="12"/>
        <color theme="1"/>
        <rFont val="Calibri"/>
      </rPr>
      <t xml:space="preserve">
(8) Button Mua ngay
(9) Block Thông tin sản phẩm
</t>
    </r>
    <r>
      <rPr>
        <strike/>
        <sz val="12"/>
        <color theme="1"/>
        <rFont val="Calibri"/>
      </rPr>
      <t>(10) Block Thông tin hay</t>
    </r>
    <r>
      <rPr>
        <sz val="12"/>
        <color theme="1"/>
        <rFont val="Calibri"/>
      </rPr>
      <t xml:space="preserve">
(11) Block Đã xem gần đây
(12) Câu hỏi thường gặp
(13) Footer dùng chung
Không có block bị vỡ layout, trùng chèn hoặc hiển thị lỗi.</t>
    </r>
  </si>
  <si>
    <t>Kiểm tra trang chi tiết dịch vụ truy cập tử Homepage</t>
  </si>
  <si>
    <t>User mở trình duyệt.</t>
  </si>
  <si>
    <t>1. Truy cập Homepage Tongdaiwifi
2. Click btn Xem chi tiết tại card dịch vụ SA bất kỳ</t>
  </si>
  <si>
    <t>Điều hướng đúng màn hình chi tiết của dịch vụ, Và load tên gói đúng với card đã chọn</t>
  </si>
  <si>
    <t>Kiểm tra trang chi tiết dịch vụ truy cập trực tiếp từ link</t>
  </si>
  <si>
    <t>1. Nhập URL trang chi tiết dịch vụ với ID sản phẩm hợp lệ vào thanh địa chỉ.
2. Nhấn Enter.</t>
  </si>
  <si>
    <t>Điều hướng đúng màn hình chi tiết của dịch vụ, và load thông tin gói đúng với URL đã nhập</t>
  </si>
  <si>
    <t>Kiểm tra trang chi tiết dịch vụ với URL sản phẩm không tồn tại</t>
  </si>
  <si>
    <t>1. Nhập URL trang chi tiết dịch vụ với ID sản phẩm không tồn tại vào thanh địa chỉ.
2. Nhấn Enter.</t>
  </si>
  <si>
    <t>Hệ thống hiển thị trang lỗi (404) hoặc trang thông báo 'Không tìm thấy sản phẩm'. Không hiển thị trang trắng hoặc crash.</t>
  </si>
  <si>
    <t>Breadcrumb</t>
  </si>
  <si>
    <t>Kiểm tra breadcrumb hiển thị đúng danh mục và tên gói dịch vụ</t>
  </si>
  <si>
    <t>1. Mở trang chi tiết dịch vụ.
2. Quan sát breadcrumb ở đầu trang.</t>
  </si>
  <si>
    <t>Breadcrumb hiển thị đúng chuỗi danh mục sản phẩm dẫn đến gói đang xem. Điểm đến cuối cùng là tên gói bán hiện tại.</t>
  </si>
  <si>
    <t>Kiểm tra breadcrumb điều hướng về trang danh mục cha</t>
  </si>
  <si>
    <t>1. Mở trang chi tiết dịch vụ.
2. Click vào một mục trung gian trong breadcrumb (không phải mục cuối).</t>
  </si>
  <si>
    <t>Hệ thống điều hướng đúng đến trang danh mục tương ứng. URL thay đổi chính xác.</t>
  </si>
  <si>
    <t>Kiểm tra breadcrumb không cho phép click vào điểm cuối (tên gói hiện tại)</t>
  </si>
  <si>
    <t>1. Mở trang chi tiết dịch vụ.
2. Click vào tên gói ở cuối breadcrumb.</t>
  </si>
  <si>
    <t>Giữ nguyên màn hình hiện tại, không điều hướng</t>
  </si>
  <si>
    <t>Hình Ảnh &amp; Video Sản Phẩm</t>
  </si>
  <si>
    <t>Kiểm tra hiển thị hình ảnh và video sản phẩm load từ ProductHub</t>
  </si>
  <si>
    <t>Đang ở trang chi tiết dịch vụ với URL hợp lệ của 1 gói bán đang active. Gói bán có cả ảnh và video trong ProductHub.</t>
  </si>
  <si>
    <t>1. Mở trang chi tiết dịch vụ.
2. Quan sát block Hình ảnh &amp; Video.</t>
  </si>
  <si>
    <t>Hình ảnh và video load đúng từ ProductHub. Ảnh đầu tiên hiển thị ở khung chính. Thumbnail ảnh/video hiển thị phía dưới để chọn.</t>
  </si>
  <si>
    <t xml:space="preserve">hiện tại chưa hỗ trợ đính kèm video </t>
  </si>
  <si>
    <t>Kiểm tra giới hạn tối đa 10 mục hình ảnh &amp; video</t>
  </si>
  <si>
    <t>Đang ở trang chi tiết dịch vụ với URL hợp lệ của 1 gói bán đang active. Gói bán có hơn 10 ảnh/video trong ProductHub.</t>
  </si>
  <si>
    <t>1. Mở trang chi tiết dịch vụ.
2. Đếm số lượng ảnh và video hiển thị trong block.</t>
  </si>
  <si>
    <t>Hệ thống chỉ hiển thị tối đa 10 mục (ảnh + video kết hợp). Các mục từ thứ 11 trở đi không hiển thị.</t>
  </si>
  <si>
    <t>Kiểm tra chuyển ảnh/video bằng nút điều hướng</t>
  </si>
  <si>
    <t>Đang ở trang chi tiết dịch vụ với URL hợp lệ của 1 gói bán đang active. Gói bán có &gt;= 3 ảnh trong ProductHub.</t>
  </si>
  <si>
    <t>1. Mở trang chi tiết dịch vụ.
2. Click nút điều hướng sang phải (Next).</t>
  </si>
  <si>
    <t>Hình ảnh chuyển sang mục tiếp theo. Khung ảnh chính cập nhật đúng ảnh tương ứng.</t>
  </si>
  <si>
    <t>Kiểm tra nút điều hướng khi đang ở vị trí giữa</t>
  </si>
  <si>
    <t>Đang ở trang chi tiết dịch vụ với URL hợp lệ của 1 gói bán đang active. Gói bán có &gt;= 3 ảnh/video trong ProductHub.</t>
  </si>
  <si>
    <t xml:space="preserve">1. Mở trang chi tiết dịch vụ.
2. Click nút Next 
3. Quan sát trạng thái nút Next/Prev </t>
  </si>
  <si>
    <t>Nút Next/Prev không bị disable có thể click được</t>
  </si>
  <si>
    <t>Kiểm tra nút điều hướng bị disabled khi đến giới hạn phải</t>
  </si>
  <si>
    <t>Đang ở trang chi tiết dịch vụ với URL hợp lệ của 1 gói bán đang active. Gói bán có &gt;= 2 ảnh/video trong ProductHub.</t>
  </si>
  <si>
    <t>1. Mở trang chi tiết dịch vụ.
2. Click nút Next liên tục cho đến mục cuối cùng.
3. Quan sát trạng thái nút Next.</t>
  </si>
  <si>
    <t>Nút điều hướng phải (Next) bị disabled (không thể click, thay đổi giao diện thể hiện trạng thái disabled) khi đang ở mục cuối cùng.</t>
  </si>
  <si>
    <t>Kiểm tra nút điều hướng bị disabled khi đang ở mục đầu tiên (giới hạn trái)</t>
  </si>
  <si>
    <t>1. Mở trang chi tiết dịch vụ.
2. Quan sát trạng thái nút điều hướng trái (Prev) ngay khi mở trang.</t>
  </si>
  <si>
    <t>Nút điều hướng trái (Prev) bị disabled khi đang hiển thị mục đầu tiên (không thể click thêm về trái).</t>
  </si>
  <si>
    <t>Kiểm tra cả 2 nút điều hướng đều disabled khi gói bán chỉ có 1 mục ảnh/video</t>
  </si>
  <si>
    <t>Đang ở trang chi tiết dịch vụ với URL hợp lệ của 1 gói bán đang active. Gói bán chỉ có đúng 1 ảnh hoặc 1 video trong ProductHub.</t>
  </si>
  <si>
    <t>1. Mở trang chi tiết dịch vụ.
2. Quan sát trạng thái cả hai nút điều hướng.</t>
  </si>
  <si>
    <t>Cả nút Prev và Next đều ẩn. Không thể click vào bất kỳ nút nào.</t>
  </si>
  <si>
    <t>Kiểm tra video tự động play khi chuyển đến mục video</t>
  </si>
  <si>
    <t>Đang ở trang chi tiết dịch vụ với URL hợp lệ của 1 gói bán đang active. Gói bán có ít nhất 1 video và 1 ảnh trong ProductHub, video không phải mục đầu tiên.</t>
  </si>
  <si>
    <t>1. Mở trang chi tiết dịch vụ.
2. Chuyển điều hướng đến mục là video.</t>
  </si>
  <si>
    <t>Video tự động phát (autoplay) trong khung ảnh chính ngay khi chuyển tới. Không cần người dùng click thêm.</t>
  </si>
  <si>
    <t>chưa hỗ trợ video</t>
  </si>
  <si>
    <t>Kiểm tra click vào video mở popup trình phát video</t>
  </si>
  <si>
    <t>Đang ở trang chi tiết dịch vụ với URL hợp lệ của 1 gói bán đang active. Gói bán có ít nhất 1 video trong ProductHub.</t>
  </si>
  <si>
    <t>1. Mở trang chi tiết dịch vụ.
2. Chuyển đến mục video.
3. Click vào video đang play trong khung chính.</t>
  </si>
  <si>
    <t>Hệ thống mở popup trình phát video ở dạng overlay/lightbox. Video tiếp tục phát trong popup. Nền màn hình bị mờ/dim.</t>
  </si>
  <si>
    <t>Kiểm tra tổng số mục boundary = 10 (đúng giới hạn tối đa)</t>
  </si>
  <si>
    <t>Đang ở trang chi tiết dịch vụ với URL hợp lệ của 1 gói bán đang active. Gói bán có đúng 10 ảnh/video trong ProductHub.</t>
  </si>
  <si>
    <t>1. Mở trang chi tiết dịch vụ.
2. Đếm tổng số mục media hiển thị.
3. Click Next đến mục cuối cùng.</t>
  </si>
  <si>
    <t>Hiển thị đúng 10 mục. Mục thứ 10 là mục cuối. Nút Next disabled ở mục thứ 10.</t>
  </si>
  <si>
    <t>Thông Tin Gói Bán</t>
  </si>
  <si>
    <t>Kiểm tra hiển thị tên gói và mô tả gói từ ProductHub</t>
  </si>
  <si>
    <t>1. Mở trang chi tiết dịch vụ.
2. Quan sát block Thông tin gói bán.</t>
  </si>
  <si>
    <t>Tên gói và mô tả gói hiển thị đúng theo dữ liệu từ ProductHub. Không bị cắt ngắn bất thường, font và layout đúng design.</t>
  </si>
  <si>
    <t>Kiểm tra hiển thị các option chu kỳ của gói</t>
  </si>
  <si>
    <t>Đang ở trang chi tiết dịch vụ với URL hợp lệ của 1 gói bán đang active. Gói bán có nhiều chu kỳ (ví dụ: 1 tháng, 3 tháng, 12 tháng).</t>
  </si>
  <si>
    <t>1. Mở trang chi tiết dịch vụ.
2. Quan sát block Chu kỳ của gói.</t>
  </si>
  <si>
    <t>Tất cả các option chu kỳ của gói hiển thị đúng. Option đầu tiên (hoặc mặc định) được highlight.</t>
  </si>
  <si>
    <t>Kiểm tra chọn chu kỳ → option được highlight</t>
  </si>
  <si>
    <t>Đang ở trang chi tiết dịch vụ với URL hợp lệ của 1 gói bán đang active. Gói bán có &gt;= 2 chu kỳ.</t>
  </si>
  <si>
    <t>1. Mở trang chi tiết dịch vụ.
2. Click chọn một option chu kỳ khác (không phải mặc định).</t>
  </si>
  <si>
    <t xml:space="preserve">Option vừa click được highlight (active state). Các option khác trở về trạng thái không được chọn. </t>
  </si>
  <si>
    <t>Giá Bán</t>
  </si>
  <si>
    <t>Kiểm tra giá bán hiển thị theo location khi user có location</t>
  </si>
  <si>
    <t>User đã chọn Location</t>
  </si>
  <si>
    <t>1. Mở trang chi tiết dịch vụ.
2. Quan sát block Giá bán.</t>
  </si>
  <si>
    <t>Giá bán hiển thị đúng theo location của user (lấy từ ProductHub theo location). Giá đúng định dạng tiền tệ (VND hoặc theo cấu hình).</t>
  </si>
  <si>
    <t>Kiểm tra giá bán hiển thị giá thấp nhất khi user không có location</t>
  </si>
  <si>
    <t>User đã chưa chọn Location</t>
  </si>
  <si>
    <t>Giá bán hiển thị giá thấp nhất hiện có trên ProductHub (không phụ thuộc location). Giá đúng định dạng tiền tệ.</t>
  </si>
  <si>
    <t>Kiểm tra giá bán khi user chọn chu kỳ khác</t>
  </si>
  <si>
    <t>Đang ở trang chi tiết dịch vụ với URL hợp lệ của 1 gói bán đang active. Gói bán có &gt;= 2 chu kỳ</t>
  </si>
  <si>
    <t>1. Mở trang chi tiết dịch vụ.
2. Quan sát giá bán ứng với chu kỳ mặc định.
3. Click chọn chu kỳ khác.</t>
  </si>
  <si>
    <t xml:space="preserve">Giá hiển thị đúng với chu kỳ đã chọn </t>
  </si>
  <si>
    <t>Kiểm tra định dạng hiển thị giá bán (format số, đơn vị tiền tệ)</t>
  </si>
  <si>
    <t>1. Mở trang chi tiết dịch vụ.
2. Quan sát giá trị và định dạng giá bán.</t>
  </si>
  <si>
    <t>Giá hiển thị đúng định dạng: có dấu phân cách hàng nghìn, đơn vị tiền tệ (VNĐ/đ hoặc theo thiết kế). Không hiển thị số raw không định dạng.</t>
  </si>
  <si>
    <t xml:space="preserve">Block Đặc quyền </t>
  </si>
  <si>
    <t>Kiểm tra blockĐặc quyền  load data từ ProductHub</t>
  </si>
  <si>
    <t>1. Mở trang chi tiết dịch vụ.
2. Quan sát block Đặc quyền</t>
  </si>
  <si>
    <t>Block hiển thị đúng nội dung được cấu hình trong ProductHub. Không có nội dung trống hoặc lỗi hiển thị.</t>
  </si>
  <si>
    <t>Kiểm tra hiển thị block khi ProductHub không có data cho block Đặc quyền</t>
  </si>
  <si>
    <t>Đang ở trang chi tiết dịch vụ với URL hợp lệ của 1 gói bán đang active. Gói bán không cấu hình data cho block Đặc quyền trong ProductHub.</t>
  </si>
  <si>
    <t>1. Mở trang chi tiết dịch vụ.
2. Quan sát vị trí của block Đặc quyền</t>
  </si>
  <si>
    <t>Ẩn block không hiển thị</t>
  </si>
  <si>
    <t>Block Ưu Đãi(sprint 12 chưa test)</t>
  </si>
  <si>
    <t>Kiểm tra block Ưu đãi load data từ ProductHub</t>
  </si>
  <si>
    <t>1. Mở trang chi tiết dịch vụ.
2. Quan sát block Ưu đãi.</t>
  </si>
  <si>
    <t>Block Ưu đãi hiển thị đúng nội dung từ ProductHub. Nội dung rõ ràng, đúng layout thiết kế.</t>
  </si>
  <si>
    <t>Kiểm tra hiển thị block khi ProductHub không có data cho block ƯU ĐÃI</t>
  </si>
  <si>
    <t>Đang ở trang chi tiết dịch vụ với URL hợp lệ của 1 gói bán đang active. Gói bán không cấu hình data cho block ƯU ĐÃI trong ProductHub.</t>
  </si>
  <si>
    <t>1. Mở trang chi tiết dịch vụ.
2. Quan sát vị trí của block ƯU ĐÃI</t>
  </si>
  <si>
    <t>Block Khuyến Mãi Thanh Toán(sprint 12 chưa test)</t>
  </si>
  <si>
    <t>Kiểm tra block Khuyến mãi thanh toán load data từ CMS</t>
  </si>
  <si>
    <t>1. Mở trang chi tiết dịch vụ.
2. Quan sát block Khuyến mãi thanh toán.</t>
  </si>
  <si>
    <t>Block hiển thị đúng các option khuyến mãi theo cấu hình CMS. Mỗi option có nội dung đầy đủ.</t>
  </si>
  <si>
    <t>Kiểm tra click vào option khuyến mãi → hiển thị thông tin chi tiết</t>
  </si>
  <si>
    <t>Đang ở trang chi tiết dịch vụ với URL hợp lệ của 1 gói bán đang active. Block Khuyến mãi thanh toán có ít nhất 1 option.</t>
  </si>
  <si>
    <t>1. Mở trang chi tiết dịch vụ.
2. Click vào 1 option trong block Khuyến mãi thanh toán.</t>
  </si>
  <si>
    <t>Hệ thống hiển thị thêm thông tin chi tiết của option vừa click (popup, expand section, hoặc theo design đã xác định). Nội dung chi tiết đúng với option được chọn.</t>
  </si>
  <si>
    <t>Kiểm tra scroll để xem hết thông tin khuyến mãi khi có nhiều data</t>
  </si>
  <si>
    <t>Đang ở trang chi tiết dịch vụ với URL hợp lệ của 1 gói bán đang active. Block Khuyến mãi thanh toán có nhiều option.</t>
  </si>
  <si>
    <t xml:space="preserve">1. Mở trang chi tiết dịch vụ.
2. Scroll tại block thông tin khuyến mãi </t>
  </si>
  <si>
    <t xml:space="preserve">Có thể xem được full tất cả các option thông tin khuyến mãi, không có option nào bị che mất </t>
  </si>
  <si>
    <t>Kiểm tra block Khuyến mãi thanh toán khi CMS không có data</t>
  </si>
  <si>
    <t>Đang ở trang chi tiết dịch vụ với URL hợp lệ của 1 gói bán đang active. CMS không cấu hình data cho block Khuyến mãi thanh toán.</t>
  </si>
  <si>
    <t>1. Mở trang chi tiết dịch vụ.
2. Quan sát vị trí block Khuyến mãi thanh toán.</t>
  </si>
  <si>
    <t>Button Mua Ngay</t>
  </si>
  <si>
    <t>Kiểm tra Button Mua ngay điều hướng đến màn hình đăng ký sản phẩm</t>
  </si>
  <si>
    <t>1. Mở trang chi tiết dịch vụ.
2. Click button Mua ngay.</t>
  </si>
  <si>
    <t>Hệ thống điều hướng đến màn hình đăng ký sản phẩm của dịch vụ đang xem. URL và trang đích đúng.</t>
  </si>
  <si>
    <t>Kiểm tra màn hình đăng ký nhận đúng chu kỳ đã chọn khi click Mua ngay</t>
  </si>
  <si>
    <t>1. Mở trang chi tiết dịch vụ.
2. Click chọn chu kỳ '3 tháng' (hoặc một chu kỳ không phải mặc định).
3. Click button Mua ngay.</t>
  </si>
  <si>
    <t>Màn hình đăng ký load với chu kỳ '3 tháng' đã được chọn sẵn (default load đúng thông tin chu kỳ đã chọn). Người dùng không phải chọn lại chu kỳ.</t>
  </si>
  <si>
    <t>Kiểm tra Button Mua ngay hiển thị và nổi bật theo design</t>
  </si>
  <si>
    <t>1. Mở trang chi tiết dịch vụ.
2. Quan sát button Mua ngay.</t>
  </si>
  <si>
    <t>Button Mua ngay hiển thị đúng màu sắc, kích thước, vị trí theo design. Không bị ẩn hay bị block bởi element khác.</t>
  </si>
  <si>
    <t>Block Thông Tin Sản Phẩm</t>
  </si>
  <si>
    <t>Kiểm tra block Thông tin sản phẩm mặc định hiển thị dạng rút gọn với button Xem thêm</t>
  </si>
  <si>
    <t>1. Mở trang chi tiết dịch vụ.
2. Quan sát block Thông tin sản phẩm.</t>
  </si>
  <si>
    <t>Block Thông tin sản phẩm hiển thị nội dung dạng rút gọn (truncated). Button 'Xem thêm' hiển thị ở cuối phần rút gọn.</t>
  </si>
  <si>
    <t>Kiểm tra click Xem thêm → hiển thị full nội dung và xuất hiện button Thu gọn</t>
  </si>
  <si>
    <t>1. Mở trang chi tiết dịch vụ.
2. Click button 'Xem thêm' trong block Thông tin sản phẩm.</t>
  </si>
  <si>
    <t>Toàn bộ nội dung Thông tin sản phẩm được hiển thị đầy đủ. Button 'Xem thêm' biến mất, button 'Thu gọn' xuất hiện thay thế.</t>
  </si>
  <si>
    <t>Kiểm tra click Thu gọn → nội dung trở về dạng rút gọn</t>
  </si>
  <si>
    <t>1. Mở trang chi tiết dịch vụ.
2. Click button 'Xem thêm' để expand.
3. Click button 'Thu gọn'.</t>
  </si>
  <si>
    <t>Nội dung block Thông tin sản phẩm trở về dạng rút gọn. Button 'Thu gọn' biến mất, button 'Xem thêm' xuất hiện lại.</t>
  </si>
  <si>
    <t>Kiểm tra nội dung block Thông tin sản phẩm load từ CMS</t>
  </si>
  <si>
    <t>1. Mở trang chi tiết dịch vụ.
2. Click Xem thêm để xem full nội dung.
3. Đối chiếu nội dung hiển thị với cấu hình CMS.</t>
  </si>
  <si>
    <t>Nội dung block Thông tin sản phẩm khớp với dữ liệu đã cấu hình trên CMS. Không bị mất nội dung hay hiển thị sai.</t>
  </si>
  <si>
    <t xml:space="preserve">Hiện đang load từ mô tả dài của gói, ko có CMS </t>
  </si>
  <si>
    <t>Block Thông Tin Hay (sprint 12 chưa làm )</t>
  </si>
  <si>
    <t>Kiểm tra block Thông tin hay load tối đa 5 bài đăng từ CMS</t>
  </si>
  <si>
    <t>Đang ở trang chi tiết dịch vụ với URL hợp lệ của 1 gói bán đang active. CMS có &gt;= 6 bài đăng cho block Thông tin hay của dịch vụ này.</t>
  </si>
  <si>
    <t>1. Mở trang chi tiết dịch vụ.
2. Đếm số bài đăng hiển thị trong block Thông tin hay.</t>
  </si>
  <si>
    <t>Hệ thống chỉ hiển thị tối đa 5 bài đăng. Bài thứ 6 trở đi không hiển thị.</t>
  </si>
  <si>
    <t>Kiểm tra mỗi bài đăng hiển thị đủ: thời gian, hình ảnh, tiêu đề</t>
  </si>
  <si>
    <t>Đang ở trang chi tiết dịch vụ với URL hợp lệ của 1 gói bán đang active. Block Thông tin hay có ít nhất 1 bài đăng.</t>
  </si>
  <si>
    <t>1. Mở trang chi tiết dịch vụ.
2. Quan sát từng card bài đăng trong block Thông tin hay.</t>
  </si>
  <si>
    <t>Mỗi bài đăng hiển thị đủ 3 thành phần: (1) Thời gian đăng, (2) Hình ảnh thumbnail, (3) Tiêu đề bài đăng. Không thiếu bất kỳ thành phần nào.</t>
  </si>
  <si>
    <t>Kiểm tra block Thông tin hay khi CMS có đúng 5 bài (boundary)</t>
  </si>
  <si>
    <t>Đang ở trang chi tiết dịch vụ với URL hợp lệ của 1 gói bán đang active. CMS có đúng 5 bài đăng cho block Thông tin hay.</t>
  </si>
  <si>
    <t>Hiển thị đúng 5 bài đăng, không hơn không kém.</t>
  </si>
  <si>
    <t>Kiểm tra block Thông tin hay khi CMS không có bài đăng</t>
  </si>
  <si>
    <t>Đang ở trang chi tiết dịch vụ với URL hợp lệ của 1 gói bán đang active. CMS không có bài đăng nào cho block Thông tin hay của dịch vụ này.</t>
  </si>
  <si>
    <t>1. Mở trang chi tiết dịch vụ.
2. Quan sát vị trí block Thông tin hay.</t>
  </si>
  <si>
    <t>Block Đã Xem Gần Đây</t>
  </si>
  <si>
    <t>Kiểm tra block Đã xem gần đây hiển thị các sản phẩm đã xem trong phiên hiện tại</t>
  </si>
  <si>
    <t>User đã xem ít nhất 2 sản phẩm/dịch vụ khác trước đó trong cùng phiên trình duyệt. Đang ở trang chi tiết dịch vụ.</t>
  </si>
  <si>
    <t>1. Mở trang chi tiết dịch vụ.
2. Quan sát block Đã xem gần đây.</t>
  </si>
  <si>
    <t>Block hiển thị các sản phẩm đã xem trước đó trong phiên hiện tại. Mỗi card hiển thị đúng: Hình ảnh, Tên sản phẩm/dịch vụ, Giá tiền.</t>
  </si>
  <si>
    <t>Kiểm tra thứ tự sản phẩm trong block Đã xem gần đây (mới nhất từ trái sang)</t>
  </si>
  <si>
    <t>User đã xem các sản phẩm theo thứ tự: A → B → C trong cùng phiên. Đang ở trang chi tiết dịch vụ khác.</t>
  </si>
  <si>
    <t>1. Mở trang chi tiết dịch vụ.
2. Quan sát thứ tự hiển thị trong block Đã xem gần đây.</t>
  </si>
  <si>
    <t>Sản phẩm C (xem gần nhất) xuất hiện đầu tiên bên trái, tiếp theo là B, sau đó là A. Thứ tự đúng: mới nhất → cũ hơn từ trái sang phải.</t>
  </si>
  <si>
    <t>Kiểm tra giới hạn tối đa 10 sản phẩm trong block Đã xem gần đây</t>
  </si>
  <si>
    <t>User đã xem hơn 10 sản phẩm/dịch vụ khác nhau trong cùng phiên trình duyệt.</t>
  </si>
  <si>
    <t>1. Mở trang chi tiết dịch vụ.
2. Đếm số card trong block Đã xem gần đây.</t>
  </si>
  <si>
    <t>Block chỉ hiển thị tối đa 10 sản phẩm gần nhất. Các sản phẩm xem cũ hơn không hiển thị.</t>
  </si>
  <si>
    <t>https://foxproject.atlassian.net/browse/EP-891</t>
  </si>
  <si>
    <t>đã recheck OK</t>
  </si>
  <si>
    <t>Kiểm tra block Đã xem gần đây ẩn khi chưa có lịch sử xem (phiên mới)</t>
  </si>
  <si>
    <t>User mở trình duyệt lần đầu (hoặc xóa session). Đang ở trang chi tiết dịch vụ.</t>
  </si>
  <si>
    <t>1. Mở trang chi tiết dịch vụ.
2. Quan sát vị trí block Đã xem gần đây.</t>
  </si>
  <si>
    <t>Kiểm tra trang hiện tại không xuất hiện trong block Đã xem gần đây của chính nó</t>
  </si>
  <si>
    <t>User đã xem sản phẩm X và các sản phẩm khác. Hiện đang ở trang chi tiết sản phẩm X.</t>
  </si>
  <si>
    <t>1. Mở trang chi tiết sản phẩm X.
2. Quan sát block Đã xem gần đây.</t>
  </si>
  <si>
    <t>Sản phẩm X (trang đang xem) không xuất hiện trong danh sách Đã xem gần đây của chính nó. Chỉ các sản phẩm khác mới được liệt kê.</t>
  </si>
  <si>
    <t>Kiểm tra block Đã xem gần đây không lưu sau khi đóng trình duyệt (session-based)</t>
  </si>
  <si>
    <t>User đã xem sản phẩm trong phiên trước.</t>
  </si>
  <si>
    <t>1. Mở trang Home và xem chi tiết dịch vụ bất kỳ
2. Đóng hoàn toàn trình duyệt.
3. Mở lại trình duyệt và điều hướng đến trang chi tiết dịch vụ.
4. Quan sát block Đã xem gần đây.</t>
  </si>
  <si>
    <t>Block Đã xem gần đây không hiển thị các sản phẩm từ phiên trước. Dữ liệu chỉ tồn tại trong phiên trình duyệt hiện tại (session-based, không persist qua session).</t>
  </si>
  <si>
    <t>Kiểm tra click vào gói tại block Đã xem gần đây</t>
  </si>
  <si>
    <t>1. Mở trang chi tiết sản phẩm X.
2. Click vào block của 1 gói bất kỳ tại Block đã Xem gần đây</t>
  </si>
  <si>
    <t xml:space="preserve">Điều hướng qua đúng màn hình chi tiết của gói đó </t>
  </si>
  <si>
    <t>https://foxproject.atlassian.net/browse/EP-899</t>
  </si>
  <si>
    <t>suggest, recheck OK</t>
  </si>
  <si>
    <t>Kiểm tra click vào gói tại block Đã xem gần đây&gt;back về</t>
  </si>
  <si>
    <t xml:space="preserve">1. Mở trang chi tiết sản phẩm X.
2. Click vào gói bất kỳ tại Block đã Xem gần đây
3. Click Back trên trình duyệt </t>
  </si>
  <si>
    <t>Quay về đúng màn hình ban đầu</t>
  </si>
  <si>
    <t>Câu Hỏi Thường Gặp (FAQ)</t>
  </si>
  <si>
    <t>Kiểm tra block FAQ mặc định chỉ hiển thị câu hỏi, ẩn câu trả lời</t>
  </si>
  <si>
    <t>Đang ở trang chi tiết dịch vụ với URL hợp lệ của 1 gói bán đang active. CMS có cấu hình ít nhất 2 câu hỏi FAQ cho dịch vụ này.</t>
  </si>
  <si>
    <t>1. Mở trang chi tiết dịch vụ.
2. Quan sát block Câu hỏi thường gặp.</t>
  </si>
  <si>
    <t>Tất cả các câu hỏi hiển thị. Câu trả lời ẩn hoàn toàn. Icon '+' hiển thị bên cạnh mỗi câu hỏi (trạng thái đóng).</t>
  </si>
  <si>
    <t>Kiểm tra click icon '+' mở rộng câu trả lời và icon chuyển thành '-'</t>
  </si>
  <si>
    <t>Đang ở trang chi tiết dịch vụ với URL hợp lệ của 1 gói bán đang active. Block FAQ có ít nhất 1 câu hỏi.</t>
  </si>
  <si>
    <t>1. Mở trang chi tiết dịch vụ.
2. Click icon '+' của câu hỏi đầu tiên.</t>
  </si>
  <si>
    <t>Nội dung câu trả lời của câu hỏi đó xuất hiện (expand). Icon '+' chuyển thành '-'. Các câu hỏi khác không bị ảnh hưởng.</t>
  </si>
  <si>
    <t>Kiểm tra click icon '-' thu gọn câu trả lời và icon chuyển về '+'</t>
  </si>
  <si>
    <t>Đang ở trang chi tiết dịch vụ với URL hợp lệ của 1 gói bán đang active. Block FAQ có ít nhất 1 câu hỏi đang ở trạng thái mở (đã click '+').</t>
  </si>
  <si>
    <t>1. Mở trang chi tiết dịch vụ.
2. Click icon '+' của câu hỏi đầu tiên để mở.
3. Click icon '-' của câu hỏi đó.</t>
  </si>
  <si>
    <t>Câu trả lời bị ẩn (collapse). Icon '-' chuyển về '+'. Block trở về trạng thái ban đầu.</t>
  </si>
  <si>
    <t>Kiểm tra có thể mở nhiều câu hỏi FAQ đồng thời</t>
  </si>
  <si>
    <t>Đang ở trang chi tiết dịch vụ với URL hợp lệ của 1 gói bán đang active. Block FAQ có &gt;= 2 câu hỏi.</t>
  </si>
  <si>
    <t>1. Mở trang chi tiết dịch vụ.
2. Click '+' mở câu hỏi 1.
3. Click '+' mở câu hỏi 2.
4. Quan sát trạng thái block FAQ.</t>
  </si>
  <si>
    <t>Chỉ mở 1 câu hỏi mới nhất</t>
  </si>
  <si>
    <t>Kiểm tra nội dung FAQ load đúng từ CMS</t>
  </si>
  <si>
    <t>Đang ở trang chi tiết dịch vụ với URL hợp lệ của 1 gói bán đang active. CMS đã cấu hình FAQ cho dịch vụ này.</t>
  </si>
  <si>
    <t>1. Mở trang chi tiết dịch vụ.
2. Click mở từng câu hỏi FAQ.
3. Đối chiếu câu hỏi và câu trả lời với cấu hình CMS.</t>
  </si>
  <si>
    <t>Nội dung câu hỏi và câu trả lời hiển thị đúng theo cấu hình CMS. Không bị thiếu câu hỏi hoặc sai nội dung.</t>
  </si>
  <si>
    <t>Kiểm tra block FAQ khi CMS không có câu hỏi nào</t>
  </si>
  <si>
    <t>Đang ở trang chi tiết dịch vụ với URL hợp lệ của 1 gói bán đang active. CMS không cấu hình FAQ cho dịch vụ này.</t>
  </si>
  <si>
    <t>1. Mở trang chi tiết dịch vụ.
2. Quan sát vị trí block Câu hỏi thường gặp.</t>
  </si>
  <si>
    <t>UI/UX — Trải Nghiệm Người Dùng</t>
  </si>
  <si>
    <t>Kiểm tra trang chi tiết dịch vụ responsive trên thiết bị mobile</t>
  </si>
  <si>
    <t>Mở trang trên thiết bị mobile hoặc DevTools với viewport 375px (iPhone SE).</t>
  </si>
  <si>
    <t>1. Mở trang chi tiết dịch vụ trên viewport mobile (375px).
2. Scroll qua tất cả các block từ trên xuống dưới.
3. Quan sát layout và các thành phần UI.</t>
  </si>
  <si>
    <t>Tất cả block hiển thị đúng trên mobile. Không có element bị tràn ngang (overflow-x). Text không bị cắt. Button Mua ngay dễ dàng tap. Ảnh scale đúng tỷ lệ.</t>
  </si>
  <si>
    <t>Kiểm tra trang chi tiết dịch vụ responsive trên tablet (768px)</t>
  </si>
  <si>
    <t>Mở trang với viewport 768px.</t>
  </si>
  <si>
    <t>1. Mở trang chi tiết dịch vụ trên viewport 768px.
2. Scroll qua tất cả các block.
3. Quan sát layout.</t>
  </si>
  <si>
    <t>Layout hiển thị phù hợp với viewport tablet. Không bị vỡ layout, overlap hay overflow.</t>
  </si>
  <si>
    <t>Kiểm tra loading state khi trang đang tải data từ ProductHub và CMS</t>
  </si>
  <si>
    <t>Đang ở trang chi tiết dịch vụ với URL hợp lệ của 1 gói bán đang active. Mạng chậm (simulate Slow 3G trong DevTools).</t>
  </si>
  <si>
    <t>1. Mở trang chi tiết dịch vụ trong điều kiện mạng chậm.
2. Quan sát trạng thái hiển thị trong khi chờ data load.</t>
  </si>
  <si>
    <t>Trang hiển thị skeleton loader hoặc spinner trong khi data đang tải. Không hiển thị layout trống đột ngột hay lỗi layout trước khi data về.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</si>
</sst>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Arial"/>
      <scheme val="minor"/>
    </font>
    <font>
      <sz val="11"/>
      <color theme="1"/>
      <name val="Calibri"/>
    </font>
    <font>
      <b/>
      <sz val="12"/>
      <color theme="1"/>
      <name val="Calibri"/>
    </font>
    <font>
      <sz val="11"/>
      <name val="Arial"/>
    </font>
    <font>
      <sz val="12"/>
      <color rgb="FF000000"/>
      <name val="Calibri"/>
    </font>
    <font>
      <b/>
      <sz val="12"/>
      <color rgb="FFFFFFFF"/>
      <name val="Calibri"/>
    </font>
    <font>
      <sz val="12"/>
      <color theme="1"/>
      <name val="Calibri"/>
    </font>
    <font>
      <b/>
      <sz val="16"/>
      <color theme="1"/>
      <name val="Calibri"/>
    </font>
    <font>
      <b/>
      <sz val="11"/>
      <color rgb="FFFFFFFF"/>
      <name val="Calibri"/>
    </font>
    <font>
      <b/>
      <sz val="11"/>
      <color theme="1"/>
      <name val="Calibri"/>
    </font>
    <font>
      <b/>
      <sz val="11"/>
      <color rgb="FF000000"/>
      <name val="Calibri"/>
    </font>
    <font>
      <sz val="11"/>
      <color rgb="FF000000"/>
      <name val="Calibri"/>
    </font>
    <font>
      <b/>
      <sz val="11"/>
      <color rgb="FF1F3864"/>
      <name val="Calibri"/>
    </font>
    <font>
      <b/>
      <sz val="12"/>
      <color rgb="FF1F3864"/>
      <name val="Calibri"/>
    </font>
    <font>
      <b/>
      <sz val="12"/>
      <color rgb="FF7D4E00"/>
      <name val="Calibri"/>
    </font>
    <font>
      <b/>
      <sz val="12"/>
      <color rgb="FF375623"/>
      <name val="Calibri"/>
    </font>
    <font>
      <u/>
      <sz val="12"/>
      <color rgb="FF0000FF"/>
      <name val="Calibri"/>
    </font>
    <font>
      <u/>
      <sz val="12"/>
      <color rgb="FF0000FF"/>
      <name val="Calibri"/>
    </font>
    <font>
      <strike/>
      <sz val="12"/>
      <color theme="1"/>
      <name val="Calibri"/>
    </font>
  </fonts>
  <fills count="7">
    <fill>
      <patternFill patternType="none"/>
    </fill>
    <fill>
      <patternFill patternType="gray125"/>
    </fill>
    <fill>
      <patternFill patternType="solid">
        <fgColor rgb="FFFFFFFF"/>
        <bgColor rgb="FFFFFFFF"/>
      </patternFill>
    </fill>
    <fill>
      <patternFill patternType="solid">
        <fgColor rgb="FF4472C4"/>
        <bgColor rgb="FF4472C4"/>
      </patternFill>
    </fill>
    <fill>
      <patternFill patternType="solid">
        <fgColor rgb="FFFFF2CC"/>
        <bgColor rgb="FFFFF2CC"/>
      </patternFill>
    </fill>
    <fill>
      <patternFill patternType="solid">
        <fgColor rgb="FF9FC5E8"/>
        <bgColor rgb="FF9FC5E8"/>
      </patternFill>
    </fill>
    <fill>
      <patternFill patternType="solid">
        <fgColor rgb="FFD6E4F0"/>
        <bgColor rgb="FFD6E4F0"/>
      </patternFill>
    </fill>
  </fills>
  <borders count="1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7">
    <xf numFmtId="0" fontId="0" fillId="0" borderId="0" xfId="0" applyFont="1" applyAlignment="1"/>
    <xf numFmtId="0" fontId="2" fillId="0" borderId="4" xfId="0" applyFont="1" applyBorder="1" applyAlignment="1">
      <alignment horizontal="center" vertical="center" wrapText="1"/>
    </xf>
    <xf numFmtId="0" fontId="6" fillId="0" borderId="4" xfId="0" applyFont="1" applyBorder="1" applyAlignment="1">
      <alignment horizontal="center" vertical="center"/>
    </xf>
    <xf numFmtId="0" fontId="1" fillId="0" borderId="0" xfId="0" applyFont="1" applyAlignment="1">
      <alignment horizontal="center" vertical="center" wrapText="1"/>
    </xf>
    <xf numFmtId="0" fontId="11" fillId="2" borderId="1" xfId="0" applyFont="1" applyFill="1" applyBorder="1" applyAlignment="1">
      <alignment vertical="center" wrapText="1"/>
    </xf>
    <xf numFmtId="0" fontId="11" fillId="2" borderId="2" xfId="0" applyFont="1" applyFill="1" applyBorder="1" applyAlignment="1">
      <alignment horizontal="center" vertical="center" wrapText="1"/>
    </xf>
    <xf numFmtId="0" fontId="11" fillId="2" borderId="0" xfId="0" applyFont="1" applyFill="1" applyAlignment="1">
      <alignment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2" borderId="3" xfId="0" applyFont="1" applyFill="1" applyBorder="1" applyAlignment="1">
      <alignment horizontal="center" vertical="center" wrapText="1"/>
    </xf>
    <xf numFmtId="0" fontId="10" fillId="2" borderId="0" xfId="0" applyFont="1" applyFill="1" applyAlignment="1">
      <alignment vertical="center" wrapText="1"/>
    </xf>
    <xf numFmtId="0" fontId="11" fillId="0" borderId="0" xfId="0" applyFont="1" applyAlignment="1">
      <alignment vertical="center" wrapText="1"/>
    </xf>
    <xf numFmtId="0" fontId="1" fillId="0" borderId="0" xfId="0" applyFont="1" applyAlignment="1">
      <alignment vertical="center" wrapText="1"/>
    </xf>
    <xf numFmtId="0" fontId="9" fillId="2" borderId="10"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9" fillId="2" borderId="3"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2" fillId="0" borderId="4" xfId="0" applyFont="1" applyBorder="1" applyAlignment="1">
      <alignment horizontal="center" vertical="center" wrapText="1"/>
    </xf>
    <xf numFmtId="0" fontId="6" fillId="0" borderId="4" xfId="0" applyFont="1" applyBorder="1" applyAlignment="1">
      <alignment vertical="center" wrapText="1"/>
    </xf>
    <xf numFmtId="0" fontId="2" fillId="0" borderId="4"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4" fillId="2"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0" borderId="0" xfId="0" applyFont="1" applyAlignment="1">
      <alignment horizontal="center" vertical="center"/>
    </xf>
    <xf numFmtId="0" fontId="11" fillId="0" borderId="0" xfId="0" applyFont="1" applyAlignment="1">
      <alignment horizontal="center" vertical="center"/>
    </xf>
    <xf numFmtId="0" fontId="2" fillId="2" borderId="4" xfId="0" applyFont="1" applyFill="1" applyBorder="1" applyAlignment="1">
      <alignment horizontal="center" vertical="center" wrapText="1"/>
    </xf>
    <xf numFmtId="0" fontId="6" fillId="0" borderId="4" xfId="0" applyFont="1" applyBorder="1" applyAlignment="1">
      <alignment vertical="center"/>
    </xf>
    <xf numFmtId="0" fontId="5" fillId="0" borderId="4" xfId="0" applyFont="1" applyBorder="1" applyAlignment="1">
      <alignment horizontal="center" vertical="center"/>
    </xf>
    <xf numFmtId="0" fontId="6" fillId="0" borderId="4" xfId="0" applyFont="1" applyBorder="1" applyAlignment="1">
      <alignment wrapText="1"/>
    </xf>
    <xf numFmtId="0" fontId="6" fillId="0" borderId="4" xfId="0" applyFont="1" applyBorder="1" applyAlignment="1">
      <alignment vertical="top" wrapText="1"/>
    </xf>
    <xf numFmtId="0" fontId="6" fillId="0" borderId="4" xfId="0" applyFont="1" applyBorder="1" applyAlignment="1">
      <alignment vertical="top" wrapText="1"/>
    </xf>
    <xf numFmtId="0" fontId="6" fillId="0" borderId="4" xfId="0" applyFont="1" applyBorder="1" applyAlignment="1">
      <alignment vertical="top" wrapText="1"/>
    </xf>
    <xf numFmtId="0" fontId="6" fillId="2" borderId="4" xfId="0" applyFont="1" applyFill="1" applyBorder="1" applyAlignment="1">
      <alignment vertical="top" wrapText="1"/>
    </xf>
    <xf numFmtId="0" fontId="6" fillId="2" borderId="4" xfId="0" applyFont="1" applyFill="1" applyBorder="1" applyAlignment="1">
      <alignment vertical="top" wrapText="1"/>
    </xf>
    <xf numFmtId="0" fontId="6" fillId="2" borderId="4" xfId="0" applyFont="1" applyFill="1" applyBorder="1" applyAlignment="1">
      <alignment vertical="top" wrapText="1"/>
    </xf>
    <xf numFmtId="0" fontId="14"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16" fillId="0" borderId="4" xfId="0" applyFont="1" applyBorder="1" applyAlignment="1">
      <alignment wrapText="1"/>
    </xf>
    <xf numFmtId="0" fontId="6" fillId="0" borderId="4" xfId="0" applyFont="1" applyBorder="1" applyAlignment="1">
      <alignment wrapText="1"/>
    </xf>
    <xf numFmtId="0" fontId="17" fillId="0" borderId="4" xfId="0" applyFont="1" applyBorder="1" applyAlignment="1">
      <alignment wrapText="1"/>
    </xf>
    <xf numFmtId="0" fontId="3" fillId="0" borderId="8" xfId="0" applyFont="1" applyBorder="1"/>
    <xf numFmtId="0" fontId="3" fillId="0" borderId="12" xfId="0" applyFont="1" applyBorder="1"/>
    <xf numFmtId="0" fontId="3" fillId="0" borderId="14" xfId="0" applyFont="1" applyBorder="1"/>
    <xf numFmtId="0" fontId="5" fillId="3" borderId="5" xfId="0" applyFont="1" applyFill="1" applyBorder="1" applyAlignment="1">
      <alignment horizontal="center" vertical="center" wrapText="1"/>
    </xf>
    <xf numFmtId="0" fontId="3" fillId="0" borderId="6" xfId="0" applyFont="1" applyBorder="1"/>
    <xf numFmtId="0" fontId="5" fillId="3" borderId="7"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3" fillId="0" borderId="9" xfId="0" applyFont="1" applyBorder="1"/>
    <xf numFmtId="0" fontId="3" fillId="0" borderId="18" xfId="0" applyFont="1" applyBorder="1"/>
    <xf numFmtId="0" fontId="5" fillId="3" borderId="13" xfId="0" applyFont="1" applyFill="1" applyBorder="1" applyAlignment="1">
      <alignment horizontal="center" vertical="center" wrapText="1"/>
    </xf>
    <xf numFmtId="0" fontId="3" fillId="0" borderId="16" xfId="0" applyFont="1" applyBorder="1"/>
    <xf numFmtId="0" fontId="9" fillId="2" borderId="11" xfId="0" applyFont="1" applyFill="1" applyBorder="1" applyAlignment="1">
      <alignment horizontal="center" vertical="center" wrapText="1"/>
    </xf>
    <xf numFmtId="0" fontId="7" fillId="4" borderId="13" xfId="0" applyFont="1" applyFill="1" applyBorder="1" applyAlignment="1">
      <alignment horizontal="left" vertical="center" wrapText="1"/>
    </xf>
    <xf numFmtId="0" fontId="10" fillId="2" borderId="15"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2" fillId="6" borderId="13" xfId="0" applyFont="1" applyFill="1" applyBorder="1" applyAlignment="1">
      <alignment vertical="center" wrapText="1"/>
    </xf>
    <xf numFmtId="0" fontId="13" fillId="6" borderId="13" xfId="0" applyFont="1" applyFill="1" applyBorder="1" applyAlignment="1">
      <alignment vertical="center" wrapText="1"/>
    </xf>
  </cellXfs>
  <cellStyles count="1">
    <cellStyle name="Normal" xfId="0" builtinId="0"/>
  </cellStyles>
  <dxfs count="12">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104775</xdr:rowOff>
    </xdr:from>
    <xdr:ext cx="1752600" cy="533400"/>
    <xdr:pic>
      <xdr:nvPicPr>
        <xdr:cNvPr id="2" name="image3.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Anh Dang Chau" id="{8750b43d-919e-48d1-a4ba-3d1bccac987c}"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oxproject.atlassian.net/browse/EP-899" TargetMode="External"/><Relationship Id="rId1" Type="http://schemas.openxmlformats.org/officeDocument/2006/relationships/hyperlink" Target="https://foxproject.atlassian.net/browse/EP-8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966"/>
    <outlinePr summaryBelow="0"/>
  </sheetPr>
  <dimension ref="A1:L84"/>
  <sheetViews>
    <sheetView showGridLines="0" tabSelected="1" topLeftCell="A7" workbookViewId="0">
      <selection activeCell="C11" sqref="C11"/>
    </sheetView>
  </sheetViews>
  <sheetFormatPr defaultColWidth="12.625" defaultRowHeight="15" customHeight="1" outlineLevelRow="1" x14ac:dyDescent="0.2"/>
  <cols>
    <col min="1" max="1" width="11.375" customWidth="1"/>
    <col min="2" max="2" width="13.375" customWidth="1"/>
    <col min="3" max="3" width="35.5" customWidth="1"/>
    <col min="4" max="4" width="17.625" customWidth="1"/>
    <col min="5" max="5" width="40.375" customWidth="1"/>
    <col min="6" max="6" width="53.375" customWidth="1"/>
    <col min="7" max="7" width="8.375" customWidth="1"/>
    <col min="8" max="8" width="9.5" customWidth="1"/>
    <col min="9" max="9" width="10.125" customWidth="1"/>
    <col min="10" max="10" width="12.25" customWidth="1"/>
    <col min="11" max="11" width="13.5" customWidth="1"/>
    <col min="12" max="12" width="14.875" customWidth="1"/>
  </cols>
  <sheetData>
    <row r="1" spans="1:12" hidden="1" outlineLevel="1" x14ac:dyDescent="0.2">
      <c r="A1" s="31"/>
      <c r="B1" s="3"/>
      <c r="C1" s="4"/>
      <c r="D1" s="4"/>
      <c r="E1" s="5"/>
      <c r="F1" s="6"/>
      <c r="G1" s="32"/>
      <c r="H1" s="32"/>
      <c r="I1" s="32"/>
      <c r="J1" s="33"/>
      <c r="K1" s="7"/>
      <c r="L1" s="8"/>
    </row>
    <row r="2" spans="1:12" hidden="1" outlineLevel="1" x14ac:dyDescent="0.2">
      <c r="A2" s="9"/>
      <c r="B2" s="62"/>
      <c r="C2" s="59"/>
      <c r="D2" s="59"/>
      <c r="E2" s="59"/>
      <c r="F2" s="10"/>
      <c r="G2" s="32"/>
      <c r="H2" s="32"/>
      <c r="I2" s="32"/>
      <c r="J2" s="33"/>
      <c r="K2" s="7"/>
      <c r="L2" s="8"/>
    </row>
    <row r="3" spans="1:12" hidden="1" outlineLevel="1" x14ac:dyDescent="0.2">
      <c r="A3" s="63" t="s">
        <v>7</v>
      </c>
      <c r="B3" s="50"/>
      <c r="C3" s="64" t="s">
        <v>6</v>
      </c>
      <c r="D3" s="50"/>
      <c r="E3" s="11"/>
      <c r="F3" s="12"/>
      <c r="G3" s="32"/>
      <c r="H3" s="32"/>
      <c r="I3" s="32"/>
      <c r="J3" s="33"/>
      <c r="K3" s="7"/>
      <c r="L3" s="11"/>
    </row>
    <row r="4" spans="1:12" hidden="1" outlineLevel="1" x14ac:dyDescent="0.2">
      <c r="A4" s="63" t="s">
        <v>8</v>
      </c>
      <c r="B4" s="50"/>
      <c r="C4" s="60" t="s">
        <v>24</v>
      </c>
      <c r="D4" s="50"/>
      <c r="E4" s="11"/>
      <c r="F4" s="12"/>
      <c r="G4" s="32"/>
      <c r="H4" s="32"/>
      <c r="I4" s="32"/>
      <c r="J4" s="33"/>
      <c r="K4" s="7"/>
      <c r="L4" s="11"/>
    </row>
    <row r="5" spans="1:12" hidden="1" outlineLevel="1" x14ac:dyDescent="0.2">
      <c r="A5" s="13"/>
      <c r="B5" s="13"/>
      <c r="C5" s="13"/>
      <c r="D5" s="13"/>
      <c r="E5" s="14"/>
      <c r="F5" s="15"/>
      <c r="G5" s="32"/>
      <c r="H5" s="32"/>
      <c r="I5" s="32"/>
      <c r="J5" s="33"/>
      <c r="K5" s="7"/>
      <c r="L5" s="8"/>
    </row>
    <row r="6" spans="1:12" hidden="1" outlineLevel="1" x14ac:dyDescent="0.2">
      <c r="A6" s="16"/>
      <c r="B6" s="16"/>
      <c r="C6" s="16"/>
      <c r="D6" s="16"/>
      <c r="E6" s="17"/>
      <c r="F6" s="15"/>
      <c r="G6" s="32"/>
      <c r="H6" s="32"/>
      <c r="I6" s="32"/>
      <c r="J6" s="33"/>
      <c r="K6" s="7"/>
      <c r="L6" s="8"/>
    </row>
    <row r="7" spans="1:12" ht="14.25" x14ac:dyDescent="0.2">
      <c r="A7" s="52" t="s">
        <v>9</v>
      </c>
      <c r="B7" s="52" t="s">
        <v>10</v>
      </c>
      <c r="C7" s="52" t="s">
        <v>11</v>
      </c>
      <c r="D7" s="52" t="s">
        <v>12</v>
      </c>
      <c r="E7" s="52" t="s">
        <v>13</v>
      </c>
      <c r="F7" s="54" t="s">
        <v>14</v>
      </c>
      <c r="G7" s="55" t="e">
        <f>#REF!</f>
        <v>#REF!</v>
      </c>
      <c r="H7" s="56"/>
      <c r="I7" s="56"/>
      <c r="J7" s="56"/>
      <c r="K7" s="56"/>
      <c r="L7" s="57"/>
    </row>
    <row r="8" spans="1:12" ht="63" x14ac:dyDescent="0.2">
      <c r="A8" s="49"/>
      <c r="B8" s="49"/>
      <c r="C8" s="49"/>
      <c r="D8" s="49"/>
      <c r="E8" s="49"/>
      <c r="F8" s="49"/>
      <c r="G8" s="58" t="s">
        <v>15</v>
      </c>
      <c r="H8" s="51"/>
      <c r="I8" s="53"/>
      <c r="J8" s="18" t="s">
        <v>16</v>
      </c>
      <c r="K8" s="18" t="s">
        <v>17</v>
      </c>
      <c r="L8" s="18" t="s">
        <v>18</v>
      </c>
    </row>
    <row r="9" spans="1:12" ht="15.75" x14ac:dyDescent="0.2">
      <c r="A9" s="61" t="s">
        <v>19</v>
      </c>
      <c r="B9" s="51"/>
      <c r="C9" s="51"/>
      <c r="D9" s="51"/>
      <c r="E9" s="51"/>
      <c r="F9" s="53"/>
      <c r="G9" s="19" t="s">
        <v>20</v>
      </c>
      <c r="H9" s="19" t="s">
        <v>0</v>
      </c>
      <c r="I9" s="19" t="s">
        <v>21</v>
      </c>
      <c r="J9" s="25"/>
      <c r="K9" s="25"/>
      <c r="L9" s="26"/>
    </row>
    <row r="10" spans="1:12" ht="15.75" x14ac:dyDescent="0.2">
      <c r="A10" s="65" t="s">
        <v>25</v>
      </c>
      <c r="B10" s="51"/>
      <c r="C10" s="51"/>
      <c r="D10" s="51"/>
      <c r="E10" s="51"/>
      <c r="F10" s="53"/>
      <c r="G10" s="1"/>
      <c r="H10" s="1"/>
      <c r="I10" s="1"/>
      <c r="J10" s="25"/>
      <c r="K10" s="25"/>
      <c r="L10" s="26"/>
    </row>
    <row r="11" spans="1:12" ht="236.25" outlineLevel="1" x14ac:dyDescent="0.2">
      <c r="A11" s="20" t="str">
        <f t="shared" ref="A11:A14" si="0">IF(E11="","",$C$3&amp;"."&amp;COUNTA($E$11:E11)&amp;"")</f>
        <v>TC_05.1</v>
      </c>
      <c r="B11" s="22" t="s">
        <v>3</v>
      </c>
      <c r="C11" s="38" t="s">
        <v>26</v>
      </c>
      <c r="D11" s="38" t="s">
        <v>27</v>
      </c>
      <c r="E11" s="39" t="s">
        <v>28</v>
      </c>
      <c r="F11" s="40" t="s">
        <v>29</v>
      </c>
      <c r="G11" s="2" t="s">
        <v>1</v>
      </c>
      <c r="H11" s="2" t="s">
        <v>1</v>
      </c>
      <c r="I11" s="2" t="s">
        <v>1</v>
      </c>
      <c r="J11" s="2" t="s">
        <v>22</v>
      </c>
      <c r="K11" s="21" t="s">
        <v>23</v>
      </c>
      <c r="L11" s="29"/>
    </row>
    <row r="12" spans="1:12" ht="47.25" outlineLevel="1" x14ac:dyDescent="0.2">
      <c r="A12" s="20" t="str">
        <f t="shared" si="0"/>
        <v>TC_05.2</v>
      </c>
      <c r="B12" s="22" t="s">
        <v>3</v>
      </c>
      <c r="C12" s="40" t="s">
        <v>30</v>
      </c>
      <c r="D12" s="38" t="s">
        <v>31</v>
      </c>
      <c r="E12" s="40" t="s">
        <v>32</v>
      </c>
      <c r="F12" s="40" t="s">
        <v>33</v>
      </c>
      <c r="G12" s="2" t="s">
        <v>1</v>
      </c>
      <c r="H12" s="2" t="s">
        <v>1</v>
      </c>
      <c r="I12" s="2" t="s">
        <v>1</v>
      </c>
      <c r="J12" s="2" t="s">
        <v>22</v>
      </c>
      <c r="K12" s="23"/>
      <c r="L12" s="29"/>
    </row>
    <row r="13" spans="1:12" ht="47.25" outlineLevel="1" x14ac:dyDescent="0.2">
      <c r="A13" s="20" t="str">
        <f t="shared" si="0"/>
        <v>TC_05.3</v>
      </c>
      <c r="B13" s="22" t="s">
        <v>3</v>
      </c>
      <c r="C13" s="40" t="s">
        <v>34</v>
      </c>
      <c r="D13" s="38" t="s">
        <v>31</v>
      </c>
      <c r="E13" s="40" t="s">
        <v>35</v>
      </c>
      <c r="F13" s="40" t="s">
        <v>36</v>
      </c>
      <c r="G13" s="2" t="s">
        <v>1</v>
      </c>
      <c r="H13" s="2" t="s">
        <v>1</v>
      </c>
      <c r="I13" s="2" t="s">
        <v>1</v>
      </c>
      <c r="J13" s="2" t="s">
        <v>22</v>
      </c>
      <c r="K13" s="23"/>
      <c r="L13" s="29"/>
    </row>
    <row r="14" spans="1:12" ht="47.25" outlineLevel="1" x14ac:dyDescent="0.2">
      <c r="A14" s="20" t="str">
        <f t="shared" si="0"/>
        <v>TC_05.4</v>
      </c>
      <c r="B14" s="22" t="s">
        <v>4</v>
      </c>
      <c r="C14" s="38" t="s">
        <v>37</v>
      </c>
      <c r="D14" s="38" t="s">
        <v>31</v>
      </c>
      <c r="E14" s="38" t="s">
        <v>38</v>
      </c>
      <c r="F14" s="39" t="s">
        <v>39</v>
      </c>
      <c r="G14" s="2" t="s">
        <v>1</v>
      </c>
      <c r="H14" s="2" t="s">
        <v>1</v>
      </c>
      <c r="I14" s="2" t="s">
        <v>1</v>
      </c>
      <c r="J14" s="2" t="s">
        <v>22</v>
      </c>
      <c r="K14" s="21"/>
      <c r="L14" s="29"/>
    </row>
    <row r="15" spans="1:12" ht="15.75" x14ac:dyDescent="0.2">
      <c r="A15" s="66" t="s">
        <v>40</v>
      </c>
      <c r="B15" s="51"/>
      <c r="C15" s="51"/>
      <c r="D15" s="51"/>
      <c r="E15" s="51"/>
      <c r="F15" s="53"/>
      <c r="G15" s="2"/>
      <c r="H15" s="2"/>
      <c r="I15" s="2"/>
      <c r="J15" s="2"/>
      <c r="K15" s="21"/>
      <c r="L15" s="29"/>
    </row>
    <row r="16" spans="1:12" ht="63" outlineLevel="1" x14ac:dyDescent="0.2">
      <c r="A16" s="20" t="str">
        <f t="shared" ref="A16:A18" si="1">IF(E16="","",$C$3&amp;"."&amp;COUNTA($E$11:E16)&amp;"")</f>
        <v>TC_05.5</v>
      </c>
      <c r="B16" s="34" t="s">
        <v>3</v>
      </c>
      <c r="C16" s="41" t="s">
        <v>41</v>
      </c>
      <c r="D16" s="41" t="s">
        <v>27</v>
      </c>
      <c r="E16" s="41" t="s">
        <v>42</v>
      </c>
      <c r="F16" s="42" t="s">
        <v>43</v>
      </c>
      <c r="G16" s="2" t="s">
        <v>1</v>
      </c>
      <c r="H16" s="2" t="s">
        <v>1</v>
      </c>
      <c r="I16" s="2" t="s">
        <v>1</v>
      </c>
      <c r="J16" s="2" t="s">
        <v>22</v>
      </c>
      <c r="K16" s="21"/>
      <c r="L16" s="29"/>
    </row>
    <row r="17" spans="1:12" ht="63" outlineLevel="1" x14ac:dyDescent="0.2">
      <c r="A17" s="20" t="str">
        <f t="shared" si="1"/>
        <v>TC_05.6</v>
      </c>
      <c r="B17" s="34" t="s">
        <v>4</v>
      </c>
      <c r="C17" s="41" t="s">
        <v>44</v>
      </c>
      <c r="D17" s="41" t="s">
        <v>27</v>
      </c>
      <c r="E17" s="41" t="s">
        <v>45</v>
      </c>
      <c r="F17" s="42" t="s">
        <v>46</v>
      </c>
      <c r="G17" s="2" t="s">
        <v>1</v>
      </c>
      <c r="H17" s="2" t="s">
        <v>1</v>
      </c>
      <c r="I17" s="2" t="s">
        <v>1</v>
      </c>
      <c r="J17" s="2" t="s">
        <v>22</v>
      </c>
      <c r="K17" s="23"/>
      <c r="L17" s="29"/>
    </row>
    <row r="18" spans="1:12" ht="63" outlineLevel="1" x14ac:dyDescent="0.2">
      <c r="A18" s="20" t="str">
        <f t="shared" si="1"/>
        <v>TC_05.7</v>
      </c>
      <c r="B18" s="34" t="s">
        <v>5</v>
      </c>
      <c r="C18" s="41" t="s">
        <v>47</v>
      </c>
      <c r="D18" s="41" t="s">
        <v>27</v>
      </c>
      <c r="E18" s="41" t="s">
        <v>48</v>
      </c>
      <c r="F18" s="43" t="s">
        <v>49</v>
      </c>
      <c r="G18" s="2" t="s">
        <v>1</v>
      </c>
      <c r="H18" s="2" t="s">
        <v>1</v>
      </c>
      <c r="I18" s="2" t="s">
        <v>1</v>
      </c>
      <c r="J18" s="2" t="s">
        <v>22</v>
      </c>
      <c r="K18" s="25"/>
      <c r="L18" s="29"/>
    </row>
    <row r="19" spans="1:12" ht="15.75" x14ac:dyDescent="0.2">
      <c r="A19" s="66" t="s">
        <v>50</v>
      </c>
      <c r="B19" s="51"/>
      <c r="C19" s="51"/>
      <c r="D19" s="51"/>
      <c r="E19" s="51"/>
      <c r="F19" s="53"/>
      <c r="G19" s="2"/>
      <c r="H19" s="2"/>
      <c r="I19" s="2"/>
      <c r="J19" s="2"/>
      <c r="K19" s="23"/>
      <c r="L19" s="29"/>
    </row>
    <row r="20" spans="1:12" ht="110.25" outlineLevel="1" x14ac:dyDescent="0.2">
      <c r="A20" s="20" t="str">
        <f t="shared" ref="A20:A29" si="2">IF(E20="","",$C$3&amp;"."&amp;COUNTA($E$11:E20)&amp;"")</f>
        <v>TC_05.8</v>
      </c>
      <c r="B20" s="22" t="s">
        <v>3</v>
      </c>
      <c r="C20" s="40" t="s">
        <v>51</v>
      </c>
      <c r="D20" s="40" t="s">
        <v>52</v>
      </c>
      <c r="E20" s="38" t="s">
        <v>53</v>
      </c>
      <c r="F20" s="40" t="s">
        <v>54</v>
      </c>
      <c r="G20" s="2" t="s">
        <v>1</v>
      </c>
      <c r="H20" s="1" t="s">
        <v>1</v>
      </c>
      <c r="I20" s="2" t="s">
        <v>1</v>
      </c>
      <c r="J20" s="2" t="s">
        <v>22</v>
      </c>
      <c r="K20" s="25"/>
      <c r="L20" s="29" t="s">
        <v>55</v>
      </c>
    </row>
    <row r="21" spans="1:12" ht="110.25" outlineLevel="1" x14ac:dyDescent="0.2">
      <c r="A21" s="20" t="str">
        <f t="shared" si="2"/>
        <v>TC_05.9</v>
      </c>
      <c r="B21" s="22" t="s">
        <v>3</v>
      </c>
      <c r="C21" s="38" t="s">
        <v>56</v>
      </c>
      <c r="D21" s="38" t="s">
        <v>57</v>
      </c>
      <c r="E21" s="38" t="s">
        <v>58</v>
      </c>
      <c r="F21" s="39" t="s">
        <v>59</v>
      </c>
      <c r="G21" s="2" t="s">
        <v>1</v>
      </c>
      <c r="H21" s="2" t="s">
        <v>1</v>
      </c>
      <c r="I21" s="2" t="s">
        <v>1</v>
      </c>
      <c r="J21" s="2" t="s">
        <v>22</v>
      </c>
      <c r="K21" s="23"/>
      <c r="L21" s="29" t="s">
        <v>55</v>
      </c>
    </row>
    <row r="22" spans="1:12" ht="110.25" outlineLevel="1" x14ac:dyDescent="0.2">
      <c r="A22" s="20" t="str">
        <f t="shared" si="2"/>
        <v>TC_05.10</v>
      </c>
      <c r="B22" s="22" t="s">
        <v>3</v>
      </c>
      <c r="C22" s="38" t="s">
        <v>60</v>
      </c>
      <c r="D22" s="38" t="s">
        <v>61</v>
      </c>
      <c r="E22" s="38" t="s">
        <v>62</v>
      </c>
      <c r="F22" s="39" t="s">
        <v>63</v>
      </c>
      <c r="G22" s="2" t="s">
        <v>1</v>
      </c>
      <c r="H22" s="2" t="s">
        <v>1</v>
      </c>
      <c r="I22" s="2" t="s">
        <v>1</v>
      </c>
      <c r="J22" s="2" t="s">
        <v>22</v>
      </c>
      <c r="K22" s="23"/>
      <c r="L22" s="29"/>
    </row>
    <row r="23" spans="1:12" ht="110.25" outlineLevel="1" x14ac:dyDescent="0.2">
      <c r="A23" s="20" t="str">
        <f t="shared" si="2"/>
        <v>TC_05.11</v>
      </c>
      <c r="B23" s="22" t="s">
        <v>3</v>
      </c>
      <c r="C23" s="40" t="s">
        <v>64</v>
      </c>
      <c r="D23" s="40" t="s">
        <v>65</v>
      </c>
      <c r="E23" s="40" t="s">
        <v>66</v>
      </c>
      <c r="F23" s="40" t="s">
        <v>67</v>
      </c>
      <c r="G23" s="2" t="s">
        <v>1</v>
      </c>
      <c r="H23" s="2" t="s">
        <v>1</v>
      </c>
      <c r="I23" s="2" t="s">
        <v>1</v>
      </c>
      <c r="J23" s="2" t="s">
        <v>22</v>
      </c>
      <c r="K23" s="23"/>
      <c r="L23" s="29"/>
    </row>
    <row r="24" spans="1:12" ht="110.25" outlineLevel="1" x14ac:dyDescent="0.2">
      <c r="A24" s="20" t="str">
        <f t="shared" si="2"/>
        <v>TC_05.12</v>
      </c>
      <c r="B24" s="22" t="s">
        <v>3</v>
      </c>
      <c r="C24" s="38" t="s">
        <v>68</v>
      </c>
      <c r="D24" s="38" t="s">
        <v>69</v>
      </c>
      <c r="E24" s="38" t="s">
        <v>70</v>
      </c>
      <c r="F24" s="39" t="s">
        <v>71</v>
      </c>
      <c r="G24" s="2" t="s">
        <v>1</v>
      </c>
      <c r="H24" s="2" t="s">
        <v>1</v>
      </c>
      <c r="I24" s="2" t="s">
        <v>1</v>
      </c>
      <c r="J24" s="2" t="s">
        <v>22</v>
      </c>
      <c r="K24" s="23"/>
      <c r="L24" s="29"/>
    </row>
    <row r="25" spans="1:12" ht="110.25" outlineLevel="1" x14ac:dyDescent="0.2">
      <c r="A25" s="20" t="str">
        <f t="shared" si="2"/>
        <v>TC_05.13</v>
      </c>
      <c r="B25" s="22" t="s">
        <v>3</v>
      </c>
      <c r="C25" s="38" t="s">
        <v>72</v>
      </c>
      <c r="D25" s="38" t="s">
        <v>69</v>
      </c>
      <c r="E25" s="38" t="s">
        <v>73</v>
      </c>
      <c r="F25" s="39" t="s">
        <v>74</v>
      </c>
      <c r="G25" s="2" t="s">
        <v>1</v>
      </c>
      <c r="H25" s="2" t="s">
        <v>1</v>
      </c>
      <c r="I25" s="2" t="s">
        <v>1</v>
      </c>
      <c r="J25" s="2" t="s">
        <v>22</v>
      </c>
      <c r="K25" s="23"/>
      <c r="L25" s="29"/>
    </row>
    <row r="26" spans="1:12" ht="126" outlineLevel="1" x14ac:dyDescent="0.2">
      <c r="A26" s="20" t="str">
        <f t="shared" si="2"/>
        <v>TC_05.14</v>
      </c>
      <c r="B26" s="22" t="s">
        <v>4</v>
      </c>
      <c r="C26" s="38" t="s">
        <v>75</v>
      </c>
      <c r="D26" s="38" t="s">
        <v>76</v>
      </c>
      <c r="E26" s="38" t="s">
        <v>77</v>
      </c>
      <c r="F26" s="40" t="s">
        <v>78</v>
      </c>
      <c r="G26" s="2" t="s">
        <v>1</v>
      </c>
      <c r="H26" s="2" t="s">
        <v>1</v>
      </c>
      <c r="I26" s="2" t="s">
        <v>1</v>
      </c>
      <c r="J26" s="2" t="s">
        <v>22</v>
      </c>
      <c r="K26" s="23"/>
      <c r="L26" s="29"/>
    </row>
    <row r="27" spans="1:12" ht="141.75" outlineLevel="1" x14ac:dyDescent="0.2">
      <c r="A27" s="20" t="str">
        <f t="shared" si="2"/>
        <v>TC_05.15</v>
      </c>
      <c r="B27" s="22" t="s">
        <v>3</v>
      </c>
      <c r="C27" s="38" t="s">
        <v>79</v>
      </c>
      <c r="D27" s="38" t="s">
        <v>80</v>
      </c>
      <c r="E27" s="38" t="s">
        <v>81</v>
      </c>
      <c r="F27" s="39" t="s">
        <v>82</v>
      </c>
      <c r="G27" s="2" t="s">
        <v>2</v>
      </c>
      <c r="H27" s="2" t="s">
        <v>2</v>
      </c>
      <c r="I27" s="2" t="s">
        <v>2</v>
      </c>
      <c r="J27" s="2" t="s">
        <v>22</v>
      </c>
      <c r="K27" s="23"/>
      <c r="L27" s="29" t="s">
        <v>83</v>
      </c>
    </row>
    <row r="28" spans="1:12" ht="110.25" outlineLevel="1" x14ac:dyDescent="0.2">
      <c r="A28" s="20" t="str">
        <f t="shared" si="2"/>
        <v>TC_05.16</v>
      </c>
      <c r="B28" s="22" t="s">
        <v>3</v>
      </c>
      <c r="C28" s="38" t="s">
        <v>84</v>
      </c>
      <c r="D28" s="38" t="s">
        <v>85</v>
      </c>
      <c r="E28" s="38" t="s">
        <v>86</v>
      </c>
      <c r="F28" s="39" t="s">
        <v>87</v>
      </c>
      <c r="G28" s="2" t="s">
        <v>2</v>
      </c>
      <c r="H28" s="2" t="s">
        <v>2</v>
      </c>
      <c r="I28" s="2" t="s">
        <v>2</v>
      </c>
      <c r="J28" s="2" t="s">
        <v>22</v>
      </c>
      <c r="K28" s="23"/>
      <c r="L28" s="29" t="s">
        <v>83</v>
      </c>
    </row>
    <row r="29" spans="1:12" ht="110.25" outlineLevel="1" x14ac:dyDescent="0.2">
      <c r="A29" s="20" t="str">
        <f t="shared" si="2"/>
        <v>TC_05.17</v>
      </c>
      <c r="B29" s="22" t="s">
        <v>4</v>
      </c>
      <c r="C29" s="38" t="s">
        <v>88</v>
      </c>
      <c r="D29" s="38" t="s">
        <v>89</v>
      </c>
      <c r="E29" s="38" t="s">
        <v>90</v>
      </c>
      <c r="F29" s="39" t="s">
        <v>91</v>
      </c>
      <c r="G29" s="2" t="s">
        <v>1</v>
      </c>
      <c r="H29" s="2" t="s">
        <v>1</v>
      </c>
      <c r="I29" s="2" t="s">
        <v>1</v>
      </c>
      <c r="J29" s="2" t="s">
        <v>22</v>
      </c>
      <c r="K29" s="23"/>
      <c r="L29" s="29"/>
    </row>
    <row r="30" spans="1:12" ht="15.75" x14ac:dyDescent="0.2">
      <c r="A30" s="66" t="s">
        <v>92</v>
      </c>
      <c r="B30" s="51"/>
      <c r="C30" s="51"/>
      <c r="D30" s="51"/>
      <c r="E30" s="51"/>
      <c r="F30" s="53"/>
      <c r="G30" s="2"/>
      <c r="H30" s="2"/>
      <c r="I30" s="2"/>
      <c r="J30" s="2"/>
      <c r="K30" s="23"/>
      <c r="L30" s="29"/>
    </row>
    <row r="31" spans="1:12" ht="63" outlineLevel="1" x14ac:dyDescent="0.2">
      <c r="A31" s="20" t="str">
        <f t="shared" ref="A31:A33" si="3">IF(E31="","",$C$3&amp;"."&amp;COUNTA($E$11:E31)&amp;"")</f>
        <v>TC_05.18</v>
      </c>
      <c r="B31" s="22" t="s">
        <v>3</v>
      </c>
      <c r="C31" s="38" t="s">
        <v>93</v>
      </c>
      <c r="D31" s="38" t="s">
        <v>27</v>
      </c>
      <c r="E31" s="38" t="s">
        <v>94</v>
      </c>
      <c r="F31" s="39" t="s">
        <v>95</v>
      </c>
      <c r="G31" s="2" t="s">
        <v>1</v>
      </c>
      <c r="H31" s="2" t="s">
        <v>1</v>
      </c>
      <c r="I31" s="2" t="s">
        <v>1</v>
      </c>
      <c r="J31" s="2" t="s">
        <v>22</v>
      </c>
      <c r="K31" s="23"/>
      <c r="L31" s="29"/>
    </row>
    <row r="32" spans="1:12" ht="126" outlineLevel="1" x14ac:dyDescent="0.2">
      <c r="A32" s="20" t="str">
        <f t="shared" si="3"/>
        <v>TC_05.19</v>
      </c>
      <c r="B32" s="22" t="s">
        <v>3</v>
      </c>
      <c r="C32" s="38" t="s">
        <v>96</v>
      </c>
      <c r="D32" s="38" t="s">
        <v>97</v>
      </c>
      <c r="E32" s="38" t="s">
        <v>98</v>
      </c>
      <c r="F32" s="39" t="s">
        <v>99</v>
      </c>
      <c r="G32" s="2" t="s">
        <v>1</v>
      </c>
      <c r="H32" s="2" t="s">
        <v>1</v>
      </c>
      <c r="I32" s="2" t="s">
        <v>1</v>
      </c>
      <c r="J32" s="2" t="s">
        <v>22</v>
      </c>
      <c r="K32" s="29"/>
      <c r="L32" s="29"/>
    </row>
    <row r="33" spans="1:12" ht="94.5" outlineLevel="1" x14ac:dyDescent="0.2">
      <c r="A33" s="20" t="str">
        <f t="shared" si="3"/>
        <v>TC_05.20</v>
      </c>
      <c r="B33" s="22" t="s">
        <v>3</v>
      </c>
      <c r="C33" s="38" t="s">
        <v>100</v>
      </c>
      <c r="D33" s="38" t="s">
        <v>101</v>
      </c>
      <c r="E33" s="38" t="s">
        <v>102</v>
      </c>
      <c r="F33" s="40" t="s">
        <v>103</v>
      </c>
      <c r="G33" s="2" t="s">
        <v>1</v>
      </c>
      <c r="H33" s="2" t="s">
        <v>1</v>
      </c>
      <c r="I33" s="2" t="s">
        <v>1</v>
      </c>
      <c r="J33" s="2" t="s">
        <v>22</v>
      </c>
      <c r="K33" s="23"/>
      <c r="L33" s="29"/>
    </row>
    <row r="34" spans="1:12" ht="15.75" x14ac:dyDescent="0.2">
      <c r="A34" s="66" t="s">
        <v>104</v>
      </c>
      <c r="B34" s="51"/>
      <c r="C34" s="51"/>
      <c r="D34" s="51"/>
      <c r="E34" s="51"/>
      <c r="F34" s="53"/>
      <c r="G34" s="2"/>
      <c r="H34" s="2"/>
      <c r="I34" s="2"/>
      <c r="J34" s="2"/>
      <c r="K34" s="23"/>
      <c r="L34" s="29"/>
    </row>
    <row r="35" spans="1:12" ht="47.25" outlineLevel="1" x14ac:dyDescent="0.2">
      <c r="A35" s="20" t="str">
        <f t="shared" ref="A35:A38" si="4">IF(E35="","",$C$3&amp;"."&amp;COUNTA($E$11:E35)&amp;"")</f>
        <v>TC_05.21</v>
      </c>
      <c r="B35" s="22" t="s">
        <v>3</v>
      </c>
      <c r="C35" s="38" t="s">
        <v>105</v>
      </c>
      <c r="D35" s="40" t="s">
        <v>106</v>
      </c>
      <c r="E35" s="38" t="s">
        <v>107</v>
      </c>
      <c r="F35" s="39" t="s">
        <v>108</v>
      </c>
      <c r="G35" s="2" t="s">
        <v>1</v>
      </c>
      <c r="H35" s="2" t="s">
        <v>1</v>
      </c>
      <c r="I35" s="2" t="s">
        <v>1</v>
      </c>
      <c r="J35" s="2" t="s">
        <v>22</v>
      </c>
      <c r="K35" s="23"/>
      <c r="L35" s="29"/>
    </row>
    <row r="36" spans="1:12" ht="31.5" outlineLevel="1" x14ac:dyDescent="0.2">
      <c r="A36" s="20" t="str">
        <f t="shared" si="4"/>
        <v>TC_05.22</v>
      </c>
      <c r="B36" s="22" t="s">
        <v>3</v>
      </c>
      <c r="C36" s="38" t="s">
        <v>109</v>
      </c>
      <c r="D36" s="40" t="s">
        <v>110</v>
      </c>
      <c r="E36" s="38" t="s">
        <v>107</v>
      </c>
      <c r="F36" s="39" t="s">
        <v>111</v>
      </c>
      <c r="G36" s="2" t="s">
        <v>1</v>
      </c>
      <c r="H36" s="2" t="s">
        <v>1</v>
      </c>
      <c r="I36" s="2" t="s">
        <v>1</v>
      </c>
      <c r="J36" s="2" t="s">
        <v>22</v>
      </c>
      <c r="K36" s="25"/>
      <c r="L36" s="29"/>
    </row>
    <row r="37" spans="1:12" ht="94.5" outlineLevel="1" x14ac:dyDescent="0.2">
      <c r="A37" s="20" t="str">
        <f t="shared" si="4"/>
        <v>TC_05.23</v>
      </c>
      <c r="B37" s="22" t="s">
        <v>3</v>
      </c>
      <c r="C37" s="40" t="s">
        <v>112</v>
      </c>
      <c r="D37" s="40" t="s">
        <v>113</v>
      </c>
      <c r="E37" s="38" t="s">
        <v>114</v>
      </c>
      <c r="F37" s="40" t="s">
        <v>115</v>
      </c>
      <c r="G37" s="2" t="s">
        <v>1</v>
      </c>
      <c r="H37" s="2" t="s">
        <v>1</v>
      </c>
      <c r="I37" s="2" t="s">
        <v>1</v>
      </c>
      <c r="J37" s="2" t="s">
        <v>22</v>
      </c>
      <c r="K37" s="23"/>
      <c r="L37" s="29"/>
    </row>
    <row r="38" spans="1:12" ht="63" outlineLevel="1" x14ac:dyDescent="0.2">
      <c r="A38" s="20" t="str">
        <f t="shared" si="4"/>
        <v>TC_05.24</v>
      </c>
      <c r="B38" s="22" t="s">
        <v>4</v>
      </c>
      <c r="C38" s="38" t="s">
        <v>116</v>
      </c>
      <c r="D38" s="38" t="s">
        <v>27</v>
      </c>
      <c r="E38" s="38" t="s">
        <v>117</v>
      </c>
      <c r="F38" s="39" t="s">
        <v>118</v>
      </c>
      <c r="G38" s="2" t="s">
        <v>1</v>
      </c>
      <c r="H38" s="2" t="s">
        <v>1</v>
      </c>
      <c r="I38" s="2" t="s">
        <v>1</v>
      </c>
      <c r="J38" s="2" t="s">
        <v>22</v>
      </c>
      <c r="K38" s="23"/>
      <c r="L38" s="29"/>
    </row>
    <row r="39" spans="1:12" ht="15.75" x14ac:dyDescent="0.2">
      <c r="A39" s="66" t="s">
        <v>119</v>
      </c>
      <c r="B39" s="51"/>
      <c r="C39" s="51"/>
      <c r="D39" s="51"/>
      <c r="E39" s="51"/>
      <c r="F39" s="53"/>
      <c r="G39" s="1"/>
      <c r="H39" s="1"/>
      <c r="I39" s="1"/>
      <c r="J39" s="2"/>
      <c r="K39" s="27"/>
      <c r="L39" s="29"/>
    </row>
    <row r="40" spans="1:12" ht="63" outlineLevel="1" x14ac:dyDescent="0.2">
      <c r="A40" s="20" t="str">
        <f t="shared" ref="A40:A41" si="5">IF(E40="","",$C$3&amp;"."&amp;COUNTA($E$11:E40)&amp;"")</f>
        <v>TC_05.25</v>
      </c>
      <c r="B40" s="44" t="s">
        <v>4</v>
      </c>
      <c r="C40" s="40" t="s">
        <v>120</v>
      </c>
      <c r="D40" s="38" t="s">
        <v>27</v>
      </c>
      <c r="E40" s="40" t="s">
        <v>121</v>
      </c>
      <c r="F40" s="39" t="s">
        <v>122</v>
      </c>
      <c r="G40" s="1" t="s">
        <v>1</v>
      </c>
      <c r="H40" s="1" t="s">
        <v>1</v>
      </c>
      <c r="I40" s="1" t="s">
        <v>1</v>
      </c>
      <c r="J40" s="2" t="s">
        <v>22</v>
      </c>
      <c r="K40" s="27"/>
      <c r="L40" s="29"/>
    </row>
    <row r="41" spans="1:12" ht="126" outlineLevel="1" x14ac:dyDescent="0.2">
      <c r="A41" s="20" t="str">
        <f t="shared" si="5"/>
        <v>TC_05.26</v>
      </c>
      <c r="B41" s="45" t="s">
        <v>5</v>
      </c>
      <c r="C41" s="40" t="s">
        <v>123</v>
      </c>
      <c r="D41" s="40" t="s">
        <v>124</v>
      </c>
      <c r="E41" s="40" t="s">
        <v>125</v>
      </c>
      <c r="F41" s="40" t="s">
        <v>126</v>
      </c>
      <c r="G41" s="1" t="s">
        <v>1</v>
      </c>
      <c r="H41" s="1" t="s">
        <v>1</v>
      </c>
      <c r="I41" s="1" t="s">
        <v>1</v>
      </c>
      <c r="J41" s="2" t="s">
        <v>22</v>
      </c>
      <c r="K41" s="27"/>
      <c r="L41" s="29"/>
    </row>
    <row r="42" spans="1:12" ht="15.75" collapsed="1" x14ac:dyDescent="0.2">
      <c r="A42" s="66" t="s">
        <v>127</v>
      </c>
      <c r="B42" s="51"/>
      <c r="C42" s="51"/>
      <c r="D42" s="51"/>
      <c r="E42" s="51"/>
      <c r="F42" s="53"/>
      <c r="G42" s="1"/>
      <c r="H42" s="1"/>
      <c r="I42" s="1"/>
      <c r="J42" s="2"/>
      <c r="K42" s="28"/>
      <c r="L42" s="29"/>
    </row>
    <row r="43" spans="1:12" ht="63" hidden="1" outlineLevel="1" x14ac:dyDescent="0.2">
      <c r="A43" s="20"/>
      <c r="B43" s="22" t="s">
        <v>4</v>
      </c>
      <c r="C43" s="38" t="s">
        <v>128</v>
      </c>
      <c r="D43" s="38" t="s">
        <v>27</v>
      </c>
      <c r="E43" s="38" t="s">
        <v>129</v>
      </c>
      <c r="F43" s="39" t="s">
        <v>130</v>
      </c>
      <c r="G43" s="1"/>
      <c r="H43" s="1"/>
      <c r="I43" s="1"/>
      <c r="J43" s="2"/>
      <c r="K43" s="27"/>
      <c r="L43" s="29"/>
    </row>
    <row r="44" spans="1:12" ht="126" hidden="1" outlineLevel="1" x14ac:dyDescent="0.2">
      <c r="A44" s="20"/>
      <c r="B44" s="22" t="s">
        <v>5</v>
      </c>
      <c r="C44" s="40" t="s">
        <v>131</v>
      </c>
      <c r="D44" s="40" t="s">
        <v>132</v>
      </c>
      <c r="E44" s="40" t="s">
        <v>133</v>
      </c>
      <c r="F44" s="40" t="s">
        <v>126</v>
      </c>
      <c r="G44" s="1"/>
      <c r="H44" s="1"/>
      <c r="I44" s="1"/>
      <c r="J44" s="2"/>
      <c r="K44" s="27"/>
      <c r="L44" s="29"/>
    </row>
    <row r="45" spans="1:12" ht="15.75" collapsed="1" x14ac:dyDescent="0.2">
      <c r="A45" s="66" t="s">
        <v>134</v>
      </c>
      <c r="B45" s="51"/>
      <c r="C45" s="51"/>
      <c r="D45" s="51"/>
      <c r="E45" s="51"/>
      <c r="F45" s="53"/>
      <c r="G45" s="1"/>
      <c r="H45" s="1"/>
      <c r="I45" s="1"/>
      <c r="J45" s="2"/>
      <c r="K45" s="27"/>
      <c r="L45" s="29"/>
    </row>
    <row r="46" spans="1:12" ht="63" hidden="1" outlineLevel="1" x14ac:dyDescent="0.2">
      <c r="A46" s="20"/>
      <c r="B46" s="22" t="s">
        <v>3</v>
      </c>
      <c r="C46" s="38" t="s">
        <v>135</v>
      </c>
      <c r="D46" s="38" t="s">
        <v>27</v>
      </c>
      <c r="E46" s="38" t="s">
        <v>136</v>
      </c>
      <c r="F46" s="39" t="s">
        <v>137</v>
      </c>
      <c r="G46" s="1"/>
      <c r="H46" s="1"/>
      <c r="I46" s="1"/>
      <c r="J46" s="2"/>
      <c r="K46" s="27"/>
      <c r="L46" s="29"/>
    </row>
    <row r="47" spans="1:12" ht="110.25" hidden="1" outlineLevel="1" x14ac:dyDescent="0.2">
      <c r="A47" s="20"/>
      <c r="B47" s="22" t="s">
        <v>3</v>
      </c>
      <c r="C47" s="38" t="s">
        <v>138</v>
      </c>
      <c r="D47" s="38" t="s">
        <v>139</v>
      </c>
      <c r="E47" s="38" t="s">
        <v>140</v>
      </c>
      <c r="F47" s="39" t="s">
        <v>141</v>
      </c>
      <c r="G47" s="1"/>
      <c r="H47" s="1"/>
      <c r="I47" s="1"/>
      <c r="J47" s="2"/>
      <c r="K47" s="27"/>
      <c r="L47" s="29"/>
    </row>
    <row r="48" spans="1:12" ht="110.25" hidden="1" outlineLevel="1" x14ac:dyDescent="0.2">
      <c r="A48" s="20"/>
      <c r="B48" s="22" t="s">
        <v>3</v>
      </c>
      <c r="C48" s="40" t="s">
        <v>142</v>
      </c>
      <c r="D48" s="40" t="s">
        <v>143</v>
      </c>
      <c r="E48" s="40" t="s">
        <v>144</v>
      </c>
      <c r="F48" s="40" t="s">
        <v>145</v>
      </c>
      <c r="G48" s="1"/>
      <c r="H48" s="1"/>
      <c r="I48" s="1"/>
      <c r="J48" s="2"/>
      <c r="K48" s="27"/>
      <c r="L48" s="29"/>
    </row>
    <row r="49" spans="1:12" ht="126" hidden="1" outlineLevel="1" x14ac:dyDescent="0.2">
      <c r="A49" s="20"/>
      <c r="B49" s="22" t="s">
        <v>5</v>
      </c>
      <c r="C49" s="38" t="s">
        <v>146</v>
      </c>
      <c r="D49" s="38" t="s">
        <v>147</v>
      </c>
      <c r="E49" s="38" t="s">
        <v>148</v>
      </c>
      <c r="F49" s="40" t="s">
        <v>126</v>
      </c>
      <c r="G49" s="2"/>
      <c r="H49" s="2"/>
      <c r="I49" s="2"/>
      <c r="J49" s="2"/>
      <c r="K49" s="23"/>
      <c r="L49" s="29"/>
    </row>
    <row r="50" spans="1:12" ht="15.75" x14ac:dyDescent="0.2">
      <c r="A50" s="66" t="s">
        <v>149</v>
      </c>
      <c r="B50" s="51"/>
      <c r="C50" s="51"/>
      <c r="D50" s="51"/>
      <c r="E50" s="51"/>
      <c r="F50" s="53"/>
      <c r="G50" s="1"/>
      <c r="H50" s="1"/>
      <c r="I50" s="1"/>
      <c r="J50" s="2"/>
      <c r="K50" s="27"/>
      <c r="L50" s="29"/>
    </row>
    <row r="51" spans="1:12" ht="63" outlineLevel="1" x14ac:dyDescent="0.2">
      <c r="A51" s="20" t="str">
        <f t="shared" ref="A51:A53" si="6">IF(E51="","",$C$3&amp;"."&amp;COUNTA($E$11:E51)&amp;"")</f>
        <v>TC_05.33</v>
      </c>
      <c r="B51" s="22" t="s">
        <v>3</v>
      </c>
      <c r="C51" s="38" t="s">
        <v>150</v>
      </c>
      <c r="D51" s="38" t="s">
        <v>27</v>
      </c>
      <c r="E51" s="38" t="s">
        <v>151</v>
      </c>
      <c r="F51" s="39" t="s">
        <v>152</v>
      </c>
      <c r="G51" s="1" t="s">
        <v>1</v>
      </c>
      <c r="H51" s="1" t="s">
        <v>1</v>
      </c>
      <c r="I51" s="1" t="s">
        <v>1</v>
      </c>
      <c r="J51" s="2" t="s">
        <v>22</v>
      </c>
      <c r="K51" s="30"/>
      <c r="L51" s="29"/>
    </row>
    <row r="52" spans="1:12" ht="94.5" outlineLevel="1" x14ac:dyDescent="0.2">
      <c r="A52" s="20" t="str">
        <f t="shared" si="6"/>
        <v>TC_05.34</v>
      </c>
      <c r="B52" s="22" t="s">
        <v>3</v>
      </c>
      <c r="C52" s="38" t="s">
        <v>153</v>
      </c>
      <c r="D52" s="38" t="s">
        <v>101</v>
      </c>
      <c r="E52" s="38" t="s">
        <v>154</v>
      </c>
      <c r="F52" s="39" t="s">
        <v>155</v>
      </c>
      <c r="G52" s="1" t="s">
        <v>1</v>
      </c>
      <c r="H52" s="1" t="s">
        <v>1</v>
      </c>
      <c r="I52" s="1" t="s">
        <v>1</v>
      </c>
      <c r="J52" s="2" t="s">
        <v>22</v>
      </c>
      <c r="K52" s="23"/>
      <c r="L52" s="29"/>
    </row>
    <row r="53" spans="1:12" ht="63" outlineLevel="1" x14ac:dyDescent="0.2">
      <c r="A53" s="20" t="str">
        <f t="shared" si="6"/>
        <v>TC_05.35</v>
      </c>
      <c r="B53" s="22" t="s">
        <v>4</v>
      </c>
      <c r="C53" s="38" t="s">
        <v>156</v>
      </c>
      <c r="D53" s="38" t="s">
        <v>27</v>
      </c>
      <c r="E53" s="38" t="s">
        <v>157</v>
      </c>
      <c r="F53" s="39" t="s">
        <v>158</v>
      </c>
      <c r="G53" s="1" t="s">
        <v>1</v>
      </c>
      <c r="H53" s="1" t="s">
        <v>1</v>
      </c>
      <c r="I53" s="1" t="s">
        <v>1</v>
      </c>
      <c r="J53" s="2" t="s">
        <v>22</v>
      </c>
      <c r="K53" s="23"/>
      <c r="L53" s="29"/>
    </row>
    <row r="54" spans="1:12" ht="15.75" x14ac:dyDescent="0.2">
      <c r="A54" s="66" t="s">
        <v>159</v>
      </c>
      <c r="B54" s="51"/>
      <c r="C54" s="51"/>
      <c r="D54" s="51"/>
      <c r="E54" s="51"/>
      <c r="F54" s="53"/>
      <c r="G54" s="2"/>
      <c r="H54" s="2"/>
      <c r="I54" s="2"/>
      <c r="J54" s="2"/>
      <c r="K54" s="23"/>
      <c r="L54" s="29"/>
    </row>
    <row r="55" spans="1:12" ht="63" outlineLevel="1" x14ac:dyDescent="0.2">
      <c r="A55" s="20" t="str">
        <f t="shared" ref="A55:A58" si="7">IF(E55="","",$C$3&amp;"."&amp;COUNTA($E$11:E55)&amp;"")</f>
        <v>TC_05.36</v>
      </c>
      <c r="B55" s="22" t="s">
        <v>3</v>
      </c>
      <c r="C55" s="38" t="s">
        <v>160</v>
      </c>
      <c r="D55" s="38" t="s">
        <v>27</v>
      </c>
      <c r="E55" s="38" t="s">
        <v>161</v>
      </c>
      <c r="F55" s="39" t="s">
        <v>162</v>
      </c>
      <c r="G55" s="1" t="s">
        <v>1</v>
      </c>
      <c r="H55" s="1" t="s">
        <v>1</v>
      </c>
      <c r="I55" s="1" t="s">
        <v>1</v>
      </c>
      <c r="J55" s="2" t="s">
        <v>22</v>
      </c>
      <c r="K55" s="23"/>
      <c r="L55" s="29"/>
    </row>
    <row r="56" spans="1:12" ht="63" outlineLevel="1" x14ac:dyDescent="0.2">
      <c r="A56" s="20" t="str">
        <f t="shared" si="7"/>
        <v>TC_05.37</v>
      </c>
      <c r="B56" s="22" t="s">
        <v>3</v>
      </c>
      <c r="C56" s="38" t="s">
        <v>163</v>
      </c>
      <c r="D56" s="38" t="s">
        <v>27</v>
      </c>
      <c r="E56" s="38" t="s">
        <v>164</v>
      </c>
      <c r="F56" s="39" t="s">
        <v>165</v>
      </c>
      <c r="G56" s="1" t="s">
        <v>1</v>
      </c>
      <c r="H56" s="1" t="s">
        <v>1</v>
      </c>
      <c r="I56" s="1" t="s">
        <v>1</v>
      </c>
      <c r="J56" s="2" t="s">
        <v>22</v>
      </c>
      <c r="K56" s="23"/>
      <c r="L56" s="29"/>
    </row>
    <row r="57" spans="1:12" ht="63" outlineLevel="1" x14ac:dyDescent="0.2">
      <c r="A57" s="20" t="str">
        <f t="shared" si="7"/>
        <v>TC_05.38</v>
      </c>
      <c r="B57" s="22" t="s">
        <v>3</v>
      </c>
      <c r="C57" s="38" t="s">
        <v>166</v>
      </c>
      <c r="D57" s="38" t="s">
        <v>27</v>
      </c>
      <c r="E57" s="38" t="s">
        <v>167</v>
      </c>
      <c r="F57" s="39" t="s">
        <v>168</v>
      </c>
      <c r="G57" s="1" t="s">
        <v>1</v>
      </c>
      <c r="H57" s="1" t="s">
        <v>1</v>
      </c>
      <c r="I57" s="1" t="s">
        <v>1</v>
      </c>
      <c r="J57" s="2" t="s">
        <v>22</v>
      </c>
      <c r="K57" s="21"/>
      <c r="L57" s="29"/>
    </row>
    <row r="58" spans="1:12" ht="63" outlineLevel="1" x14ac:dyDescent="0.2">
      <c r="A58" s="20" t="str">
        <f t="shared" si="7"/>
        <v>TC_05.39</v>
      </c>
      <c r="B58" s="22" t="s">
        <v>4</v>
      </c>
      <c r="C58" s="38" t="s">
        <v>169</v>
      </c>
      <c r="D58" s="38" t="s">
        <v>27</v>
      </c>
      <c r="E58" s="38" t="s">
        <v>170</v>
      </c>
      <c r="F58" s="39" t="s">
        <v>171</v>
      </c>
      <c r="G58" s="2" t="s">
        <v>1</v>
      </c>
      <c r="H58" s="2" t="s">
        <v>1</v>
      </c>
      <c r="I58" s="2" t="s">
        <v>1</v>
      </c>
      <c r="J58" s="2" t="s">
        <v>22</v>
      </c>
      <c r="K58" s="23"/>
      <c r="L58" s="29" t="s">
        <v>172</v>
      </c>
    </row>
    <row r="59" spans="1:12" ht="15.75" collapsed="1" x14ac:dyDescent="0.2">
      <c r="A59" s="66" t="s">
        <v>173</v>
      </c>
      <c r="B59" s="51"/>
      <c r="C59" s="51"/>
      <c r="D59" s="51"/>
      <c r="E59" s="51"/>
      <c r="F59" s="53"/>
      <c r="G59" s="2"/>
      <c r="H59" s="2"/>
      <c r="I59" s="2"/>
      <c r="J59" s="2"/>
      <c r="K59" s="23"/>
      <c r="L59" s="29"/>
    </row>
    <row r="60" spans="1:12" ht="126" hidden="1" outlineLevel="1" x14ac:dyDescent="0.2">
      <c r="A60" s="20"/>
      <c r="B60" s="22" t="s">
        <v>4</v>
      </c>
      <c r="C60" s="38" t="s">
        <v>174</v>
      </c>
      <c r="D60" s="38" t="s">
        <v>175</v>
      </c>
      <c r="E60" s="38" t="s">
        <v>176</v>
      </c>
      <c r="F60" s="39" t="s">
        <v>177</v>
      </c>
      <c r="G60" s="2"/>
      <c r="H60" s="2"/>
      <c r="I60" s="2"/>
      <c r="J60" s="2"/>
      <c r="K60" s="23"/>
      <c r="L60" s="29"/>
    </row>
    <row r="61" spans="1:12" ht="110.25" hidden="1" outlineLevel="1" x14ac:dyDescent="0.2">
      <c r="A61" s="20"/>
      <c r="B61" s="22" t="s">
        <v>4</v>
      </c>
      <c r="C61" s="38" t="s">
        <v>178</v>
      </c>
      <c r="D61" s="38" t="s">
        <v>179</v>
      </c>
      <c r="E61" s="38" t="s">
        <v>180</v>
      </c>
      <c r="F61" s="39" t="s">
        <v>181</v>
      </c>
      <c r="G61" s="2"/>
      <c r="H61" s="2"/>
      <c r="I61" s="2"/>
      <c r="J61" s="2"/>
      <c r="K61" s="23"/>
      <c r="L61" s="29"/>
    </row>
    <row r="62" spans="1:12" ht="110.25" hidden="1" outlineLevel="1" x14ac:dyDescent="0.2">
      <c r="A62" s="20"/>
      <c r="B62" s="22" t="s">
        <v>5</v>
      </c>
      <c r="C62" s="38" t="s">
        <v>182</v>
      </c>
      <c r="D62" s="38" t="s">
        <v>183</v>
      </c>
      <c r="E62" s="38" t="s">
        <v>176</v>
      </c>
      <c r="F62" s="39" t="s">
        <v>184</v>
      </c>
      <c r="G62" s="2"/>
      <c r="H62" s="2"/>
      <c r="I62" s="2"/>
      <c r="J62" s="2"/>
      <c r="K62" s="21"/>
      <c r="L62" s="29"/>
    </row>
    <row r="63" spans="1:12" ht="126" hidden="1" outlineLevel="1" x14ac:dyDescent="0.2">
      <c r="A63" s="20"/>
      <c r="B63" s="22" t="s">
        <v>5</v>
      </c>
      <c r="C63" s="38" t="s">
        <v>185</v>
      </c>
      <c r="D63" s="38" t="s">
        <v>186</v>
      </c>
      <c r="E63" s="38" t="s">
        <v>187</v>
      </c>
      <c r="F63" s="40" t="s">
        <v>126</v>
      </c>
      <c r="G63" s="2"/>
      <c r="H63" s="2"/>
      <c r="I63" s="2"/>
      <c r="J63" s="2"/>
      <c r="K63" s="23"/>
      <c r="L63" s="29"/>
    </row>
    <row r="64" spans="1:12" ht="15.75" x14ac:dyDescent="0.2">
      <c r="A64" s="66" t="s">
        <v>188</v>
      </c>
      <c r="B64" s="51"/>
      <c r="C64" s="51"/>
      <c r="D64" s="51"/>
      <c r="E64" s="51"/>
      <c r="F64" s="53"/>
      <c r="G64" s="2"/>
      <c r="H64" s="2"/>
      <c r="I64" s="2"/>
      <c r="J64" s="2"/>
      <c r="K64" s="23"/>
      <c r="L64" s="29"/>
    </row>
    <row r="65" spans="1:12" ht="110.25" outlineLevel="1" x14ac:dyDescent="0.2">
      <c r="A65" s="20" t="str">
        <f t="shared" ref="A65:A72" si="8">IF(E65="","",$C$3&amp;"."&amp;COUNTA($E$11:E65)&amp;"")</f>
        <v>TC_05.44</v>
      </c>
      <c r="B65" s="20" t="s">
        <v>3</v>
      </c>
      <c r="C65" s="38" t="s">
        <v>189</v>
      </c>
      <c r="D65" s="38" t="s">
        <v>190</v>
      </c>
      <c r="E65" s="38" t="s">
        <v>191</v>
      </c>
      <c r="F65" s="39" t="s">
        <v>192</v>
      </c>
      <c r="G65" s="1" t="s">
        <v>1</v>
      </c>
      <c r="H65" s="1" t="s">
        <v>1</v>
      </c>
      <c r="I65" s="1" t="s">
        <v>1</v>
      </c>
      <c r="J65" s="2" t="s">
        <v>22</v>
      </c>
      <c r="K65" s="23"/>
      <c r="L65" s="29"/>
    </row>
    <row r="66" spans="1:12" ht="94.5" outlineLevel="1" x14ac:dyDescent="0.2">
      <c r="A66" s="20" t="str">
        <f t="shared" si="8"/>
        <v>TC_05.45</v>
      </c>
      <c r="B66" s="20" t="s">
        <v>3</v>
      </c>
      <c r="C66" s="38" t="s">
        <v>193</v>
      </c>
      <c r="D66" s="38" t="s">
        <v>194</v>
      </c>
      <c r="E66" s="38" t="s">
        <v>195</v>
      </c>
      <c r="F66" s="39" t="s">
        <v>196</v>
      </c>
      <c r="G66" s="1" t="s">
        <v>1</v>
      </c>
      <c r="H66" s="1" t="s">
        <v>1</v>
      </c>
      <c r="I66" s="1" t="s">
        <v>1</v>
      </c>
      <c r="J66" s="2" t="s">
        <v>22</v>
      </c>
      <c r="K66" s="23"/>
      <c r="L66" s="29"/>
    </row>
    <row r="67" spans="1:12" ht="78.75" outlineLevel="1" x14ac:dyDescent="0.25">
      <c r="A67" s="20" t="str">
        <f t="shared" si="8"/>
        <v>TC_05.46</v>
      </c>
      <c r="B67" s="20" t="s">
        <v>3</v>
      </c>
      <c r="C67" s="38" t="s">
        <v>197</v>
      </c>
      <c r="D67" s="38" t="s">
        <v>198</v>
      </c>
      <c r="E67" s="38" t="s">
        <v>199</v>
      </c>
      <c r="F67" s="39" t="s">
        <v>200</v>
      </c>
      <c r="G67" s="2" t="s">
        <v>1</v>
      </c>
      <c r="H67" s="2" t="s">
        <v>1</v>
      </c>
      <c r="I67" s="2" t="s">
        <v>1</v>
      </c>
      <c r="J67" s="2" t="s">
        <v>22</v>
      </c>
      <c r="K67" s="46" t="s">
        <v>201</v>
      </c>
      <c r="L67" s="29" t="s">
        <v>202</v>
      </c>
    </row>
    <row r="68" spans="1:12" ht="78.75" outlineLevel="1" x14ac:dyDescent="0.25">
      <c r="A68" s="20" t="str">
        <f t="shared" si="8"/>
        <v>TC_05.47</v>
      </c>
      <c r="B68" s="20" t="s">
        <v>4</v>
      </c>
      <c r="C68" s="38" t="s">
        <v>203</v>
      </c>
      <c r="D68" s="38" t="s">
        <v>204</v>
      </c>
      <c r="E68" s="38" t="s">
        <v>205</v>
      </c>
      <c r="F68" s="40" t="s">
        <v>126</v>
      </c>
      <c r="G68" s="1" t="s">
        <v>1</v>
      </c>
      <c r="H68" s="1" t="s">
        <v>1</v>
      </c>
      <c r="I68" s="1" t="s">
        <v>1</v>
      </c>
      <c r="J68" s="2" t="s">
        <v>22</v>
      </c>
      <c r="K68" s="47"/>
      <c r="L68" s="29"/>
    </row>
    <row r="69" spans="1:12" ht="78.75" outlineLevel="1" x14ac:dyDescent="0.25">
      <c r="A69" s="20" t="str">
        <f t="shared" si="8"/>
        <v>TC_05.48</v>
      </c>
      <c r="B69" s="20" t="s">
        <v>4</v>
      </c>
      <c r="C69" s="38" t="s">
        <v>206</v>
      </c>
      <c r="D69" s="38" t="s">
        <v>207</v>
      </c>
      <c r="E69" s="38" t="s">
        <v>208</v>
      </c>
      <c r="F69" s="39" t="s">
        <v>209</v>
      </c>
      <c r="G69" s="36" t="s">
        <v>1</v>
      </c>
      <c r="H69" s="36" t="s">
        <v>1</v>
      </c>
      <c r="I69" s="1" t="s">
        <v>1</v>
      </c>
      <c r="J69" s="2" t="s">
        <v>22</v>
      </c>
      <c r="K69" s="47"/>
      <c r="L69" s="29"/>
    </row>
    <row r="70" spans="1:12" ht="94.5" outlineLevel="1" x14ac:dyDescent="0.25">
      <c r="A70" s="20" t="str">
        <f t="shared" si="8"/>
        <v>TC_05.49</v>
      </c>
      <c r="B70" s="20" t="s">
        <v>5</v>
      </c>
      <c r="C70" s="38" t="s">
        <v>210</v>
      </c>
      <c r="D70" s="40" t="s">
        <v>211</v>
      </c>
      <c r="E70" s="40" t="s">
        <v>212</v>
      </c>
      <c r="F70" s="39" t="s">
        <v>213</v>
      </c>
      <c r="G70" s="36" t="s">
        <v>1</v>
      </c>
      <c r="H70" s="36" t="s">
        <v>1</v>
      </c>
      <c r="I70" s="36" t="s">
        <v>1</v>
      </c>
      <c r="J70" s="2" t="s">
        <v>22</v>
      </c>
      <c r="K70" s="37"/>
      <c r="L70" s="29"/>
    </row>
    <row r="71" spans="1:12" ht="63" outlineLevel="1" x14ac:dyDescent="0.25">
      <c r="A71" s="20" t="str">
        <f t="shared" si="8"/>
        <v>TC_05.50</v>
      </c>
      <c r="B71" s="20" t="s">
        <v>5</v>
      </c>
      <c r="C71" s="40" t="s">
        <v>214</v>
      </c>
      <c r="D71" s="40" t="s">
        <v>211</v>
      </c>
      <c r="E71" s="40" t="s">
        <v>215</v>
      </c>
      <c r="F71" s="40" t="s">
        <v>216</v>
      </c>
      <c r="G71" s="36" t="s">
        <v>1</v>
      </c>
      <c r="H71" s="36" t="s">
        <v>1</v>
      </c>
      <c r="I71" s="36" t="s">
        <v>1</v>
      </c>
      <c r="J71" s="2" t="s">
        <v>22</v>
      </c>
      <c r="K71" s="48" t="s">
        <v>217</v>
      </c>
      <c r="L71" s="29" t="s">
        <v>218</v>
      </c>
    </row>
    <row r="72" spans="1:12" ht="63" outlineLevel="1" x14ac:dyDescent="0.25">
      <c r="A72" s="20" t="str">
        <f t="shared" si="8"/>
        <v>TC_05.51</v>
      </c>
      <c r="B72" s="20" t="s">
        <v>5</v>
      </c>
      <c r="C72" s="40" t="s">
        <v>219</v>
      </c>
      <c r="D72" s="40" t="s">
        <v>211</v>
      </c>
      <c r="E72" s="40" t="s">
        <v>220</v>
      </c>
      <c r="F72" s="40" t="s">
        <v>221</v>
      </c>
      <c r="G72" s="36" t="s">
        <v>1</v>
      </c>
      <c r="H72" s="36" t="s">
        <v>1</v>
      </c>
      <c r="I72" s="36" t="s">
        <v>1</v>
      </c>
      <c r="J72" s="2" t="s">
        <v>22</v>
      </c>
      <c r="K72" s="37"/>
      <c r="L72" s="29"/>
    </row>
    <row r="73" spans="1:12" ht="15.75" x14ac:dyDescent="0.25">
      <c r="A73" s="66" t="s">
        <v>222</v>
      </c>
      <c r="B73" s="51"/>
      <c r="C73" s="51"/>
      <c r="D73" s="51"/>
      <c r="E73" s="51"/>
      <c r="F73" s="53"/>
      <c r="G73" s="36"/>
      <c r="H73" s="36"/>
      <c r="I73" s="36"/>
      <c r="J73" s="2"/>
      <c r="K73" s="47"/>
      <c r="L73" s="29"/>
    </row>
    <row r="74" spans="1:12" ht="110.25" outlineLevel="1" x14ac:dyDescent="0.25">
      <c r="A74" s="20" t="str">
        <f t="shared" ref="A74:A79" si="9">IF(E74="","",$C$3&amp;"."&amp;COUNTA($E$11:E74)&amp;"")</f>
        <v>TC_05.52</v>
      </c>
      <c r="B74" s="22" t="s">
        <v>3</v>
      </c>
      <c r="C74" s="38" t="s">
        <v>223</v>
      </c>
      <c r="D74" s="38" t="s">
        <v>224</v>
      </c>
      <c r="E74" s="38" t="s">
        <v>225</v>
      </c>
      <c r="F74" s="39" t="s">
        <v>226</v>
      </c>
      <c r="G74" s="36" t="s">
        <v>1</v>
      </c>
      <c r="H74" s="36" t="s">
        <v>1</v>
      </c>
      <c r="I74" s="36" t="s">
        <v>1</v>
      </c>
      <c r="J74" s="2" t="s">
        <v>22</v>
      </c>
      <c r="K74" s="47"/>
      <c r="L74" s="29"/>
    </row>
    <row r="75" spans="1:12" ht="94.5" outlineLevel="1" x14ac:dyDescent="0.2">
      <c r="A75" s="20" t="str">
        <f t="shared" si="9"/>
        <v>TC_05.53</v>
      </c>
      <c r="B75" s="22" t="s">
        <v>3</v>
      </c>
      <c r="C75" s="38" t="s">
        <v>227</v>
      </c>
      <c r="D75" s="38" t="s">
        <v>228</v>
      </c>
      <c r="E75" s="38" t="s">
        <v>229</v>
      </c>
      <c r="F75" s="39" t="s">
        <v>230</v>
      </c>
      <c r="G75" s="36" t="s">
        <v>1</v>
      </c>
      <c r="H75" s="36" t="s">
        <v>1</v>
      </c>
      <c r="I75" s="36" t="s">
        <v>1</v>
      </c>
      <c r="J75" s="2" t="s">
        <v>22</v>
      </c>
      <c r="K75" s="23"/>
      <c r="L75" s="29"/>
    </row>
    <row r="76" spans="1:12" ht="126" outlineLevel="1" x14ac:dyDescent="0.2">
      <c r="A76" s="20" t="str">
        <f t="shared" si="9"/>
        <v>TC_05.54</v>
      </c>
      <c r="B76" s="22" t="s">
        <v>3</v>
      </c>
      <c r="C76" s="38" t="s">
        <v>231</v>
      </c>
      <c r="D76" s="38" t="s">
        <v>232</v>
      </c>
      <c r="E76" s="38" t="s">
        <v>233</v>
      </c>
      <c r="F76" s="39" t="s">
        <v>234</v>
      </c>
      <c r="G76" s="36" t="s">
        <v>1</v>
      </c>
      <c r="H76" s="36" t="s">
        <v>1</v>
      </c>
      <c r="I76" s="36" t="s">
        <v>1</v>
      </c>
      <c r="J76" s="2" t="s">
        <v>22</v>
      </c>
      <c r="K76" s="23"/>
      <c r="L76" s="29"/>
    </row>
    <row r="77" spans="1:12" ht="94.5" outlineLevel="1" x14ac:dyDescent="0.2">
      <c r="A77" s="20" t="str">
        <f t="shared" si="9"/>
        <v>TC_05.55</v>
      </c>
      <c r="B77" s="22" t="s">
        <v>4</v>
      </c>
      <c r="C77" s="38" t="s">
        <v>235</v>
      </c>
      <c r="D77" s="40" t="s">
        <v>236</v>
      </c>
      <c r="E77" s="38" t="s">
        <v>237</v>
      </c>
      <c r="F77" s="40" t="s">
        <v>238</v>
      </c>
      <c r="G77" s="36" t="s">
        <v>1</v>
      </c>
      <c r="H77" s="36" t="s">
        <v>1</v>
      </c>
      <c r="I77" s="36" t="s">
        <v>1</v>
      </c>
      <c r="J77" s="2" t="s">
        <v>22</v>
      </c>
      <c r="K77" s="23"/>
      <c r="L77" s="29"/>
    </row>
    <row r="78" spans="1:12" ht="110.25" outlineLevel="1" x14ac:dyDescent="0.2">
      <c r="A78" s="20" t="str">
        <f t="shared" si="9"/>
        <v>TC_05.56</v>
      </c>
      <c r="B78" s="22" t="s">
        <v>4</v>
      </c>
      <c r="C78" s="38" t="s">
        <v>239</v>
      </c>
      <c r="D78" s="38" t="s">
        <v>240</v>
      </c>
      <c r="E78" s="38" t="s">
        <v>241</v>
      </c>
      <c r="F78" s="39" t="s">
        <v>242</v>
      </c>
      <c r="G78" s="36" t="s">
        <v>1</v>
      </c>
      <c r="H78" s="36" t="s">
        <v>1</v>
      </c>
      <c r="I78" s="36" t="s">
        <v>1</v>
      </c>
      <c r="J78" s="2" t="s">
        <v>22</v>
      </c>
      <c r="K78" s="20"/>
      <c r="L78" s="29"/>
    </row>
    <row r="79" spans="1:12" ht="110.25" outlineLevel="1" x14ac:dyDescent="0.2">
      <c r="A79" s="20" t="str">
        <f t="shared" si="9"/>
        <v>TC_05.57</v>
      </c>
      <c r="B79" s="22" t="s">
        <v>5</v>
      </c>
      <c r="C79" s="38" t="s">
        <v>243</v>
      </c>
      <c r="D79" s="38" t="s">
        <v>244</v>
      </c>
      <c r="E79" s="38" t="s">
        <v>245</v>
      </c>
      <c r="F79" s="40" t="s">
        <v>126</v>
      </c>
      <c r="G79" s="36" t="s">
        <v>1</v>
      </c>
      <c r="H79" s="36" t="s">
        <v>1</v>
      </c>
      <c r="I79" s="36" t="s">
        <v>1</v>
      </c>
      <c r="J79" s="2" t="s">
        <v>22</v>
      </c>
      <c r="K79" s="23"/>
      <c r="L79" s="29"/>
    </row>
    <row r="80" spans="1:12" ht="15.75" x14ac:dyDescent="0.2">
      <c r="A80" s="66" t="s">
        <v>246</v>
      </c>
      <c r="B80" s="51"/>
      <c r="C80" s="51"/>
      <c r="D80" s="51"/>
      <c r="E80" s="51"/>
      <c r="F80" s="53"/>
      <c r="G80" s="36"/>
      <c r="H80" s="36"/>
      <c r="I80" s="36"/>
      <c r="J80" s="2"/>
      <c r="K80" s="23"/>
      <c r="L80" s="29"/>
    </row>
    <row r="81" spans="1:12" ht="78.75" outlineLevel="1" x14ac:dyDescent="0.2">
      <c r="A81" s="20" t="str">
        <f t="shared" ref="A81:A83" si="10">IF(E81="","",$C$3&amp;"."&amp;COUNTA($E$11:E81)&amp;"")</f>
        <v>TC_05.58</v>
      </c>
      <c r="B81" s="22" t="s">
        <v>3</v>
      </c>
      <c r="C81" s="38" t="s">
        <v>247</v>
      </c>
      <c r="D81" s="38" t="s">
        <v>248</v>
      </c>
      <c r="E81" s="38" t="s">
        <v>249</v>
      </c>
      <c r="F81" s="39" t="s">
        <v>250</v>
      </c>
      <c r="G81" s="36" t="s">
        <v>1</v>
      </c>
      <c r="H81" s="36" t="s">
        <v>1</v>
      </c>
      <c r="I81" s="36" t="s">
        <v>1</v>
      </c>
      <c r="J81" s="2" t="s">
        <v>22</v>
      </c>
      <c r="K81" s="23"/>
      <c r="L81" s="29"/>
    </row>
    <row r="82" spans="1:12" ht="63" outlineLevel="1" x14ac:dyDescent="0.2">
      <c r="A82" s="20" t="str">
        <f t="shared" si="10"/>
        <v>TC_05.59</v>
      </c>
      <c r="B82" s="22" t="s">
        <v>3</v>
      </c>
      <c r="C82" s="38" t="s">
        <v>251</v>
      </c>
      <c r="D82" s="38" t="s">
        <v>252</v>
      </c>
      <c r="E82" s="38" t="s">
        <v>253</v>
      </c>
      <c r="F82" s="39" t="s">
        <v>254</v>
      </c>
      <c r="G82" s="36" t="s">
        <v>1</v>
      </c>
      <c r="H82" s="36" t="s">
        <v>1</v>
      </c>
      <c r="I82" s="36" t="s">
        <v>1</v>
      </c>
      <c r="J82" s="2" t="s">
        <v>22</v>
      </c>
      <c r="K82" s="23"/>
      <c r="L82" s="29"/>
    </row>
    <row r="83" spans="1:12" ht="110.25" outlineLevel="1" x14ac:dyDescent="0.2">
      <c r="A83" s="20" t="str">
        <f t="shared" si="10"/>
        <v>TC_05.60</v>
      </c>
      <c r="B83" s="22" t="s">
        <v>4</v>
      </c>
      <c r="C83" s="38" t="s">
        <v>255</v>
      </c>
      <c r="D83" s="38" t="s">
        <v>256</v>
      </c>
      <c r="E83" s="38" t="s">
        <v>257</v>
      </c>
      <c r="F83" s="39" t="s">
        <v>258</v>
      </c>
      <c r="G83" s="36" t="s">
        <v>1</v>
      </c>
      <c r="H83" s="36" t="s">
        <v>1</v>
      </c>
      <c r="I83" s="36" t="s">
        <v>1</v>
      </c>
      <c r="J83" s="2" t="s">
        <v>22</v>
      </c>
      <c r="K83" s="23"/>
      <c r="L83" s="29"/>
    </row>
    <row r="84" spans="1:12" ht="15.75" x14ac:dyDescent="0.25">
      <c r="A84" s="20"/>
      <c r="B84" s="20"/>
      <c r="C84" s="24"/>
      <c r="D84" s="35"/>
      <c r="E84" s="23"/>
      <c r="F84" s="29"/>
      <c r="G84" s="36"/>
      <c r="H84" s="36"/>
      <c r="I84" s="36"/>
      <c r="J84" s="2"/>
      <c r="K84" s="29"/>
      <c r="L84" s="37"/>
    </row>
  </sheetData>
  <autoFilter ref="G1:L84"/>
  <mergeCells count="28">
    <mergeCell ref="A34:F34"/>
    <mergeCell ref="A73:F73"/>
    <mergeCell ref="A80:F80"/>
    <mergeCell ref="A39:F39"/>
    <mergeCell ref="A42:F42"/>
    <mergeCell ref="A45:F45"/>
    <mergeCell ref="A50:F50"/>
    <mergeCell ref="A54:F54"/>
    <mergeCell ref="A59:F59"/>
    <mergeCell ref="A64:F64"/>
    <mergeCell ref="A9:F9"/>
    <mergeCell ref="A10:F10"/>
    <mergeCell ref="A15:F15"/>
    <mergeCell ref="A19:F19"/>
    <mergeCell ref="A30:F30"/>
    <mergeCell ref="G8:I8"/>
    <mergeCell ref="B2:E2"/>
    <mergeCell ref="A3:B3"/>
    <mergeCell ref="C3:D3"/>
    <mergeCell ref="A4:B4"/>
    <mergeCell ref="C4:D4"/>
    <mergeCell ref="A7:A8"/>
    <mergeCell ref="B7:B8"/>
    <mergeCell ref="E7:E8"/>
    <mergeCell ref="C7:C8"/>
    <mergeCell ref="D7:D8"/>
    <mergeCell ref="F7:F8"/>
    <mergeCell ref="G7:L7"/>
  </mergeCells>
  <conditionalFormatting sqref="G9:I84">
    <cfRule type="cellIs" dxfId="11" priority="1" operator="equal">
      <formula>"Block"</formula>
    </cfRule>
  </conditionalFormatting>
  <conditionalFormatting sqref="G9:I84">
    <cfRule type="cellIs" dxfId="10" priority="2" operator="equal">
      <formula>"Fail"</formula>
    </cfRule>
  </conditionalFormatting>
  <conditionalFormatting sqref="G9:I84">
    <cfRule type="cellIs" dxfId="9" priority="3" operator="equal">
      <formula>"Pass"</formula>
    </cfRule>
  </conditionalFormatting>
  <conditionalFormatting sqref="G9:I84">
    <cfRule type="cellIs" dxfId="8" priority="4" operator="equal">
      <formula>"N/A"</formula>
    </cfRule>
  </conditionalFormatting>
  <conditionalFormatting sqref="G9:I84">
    <cfRule type="cellIs" dxfId="7" priority="5" operator="equal">
      <formula>"Block"</formula>
    </cfRule>
  </conditionalFormatting>
  <conditionalFormatting sqref="G9:I84">
    <cfRule type="cellIs" dxfId="6" priority="6" operator="equal">
      <formula>"Fail"</formula>
    </cfRule>
  </conditionalFormatting>
  <conditionalFormatting sqref="G9:I84">
    <cfRule type="cellIs" dxfId="5" priority="7" operator="equal">
      <formula>"Pass"</formula>
    </cfRule>
  </conditionalFormatting>
  <conditionalFormatting sqref="G9:I84">
    <cfRule type="cellIs" dxfId="4" priority="8" operator="equal">
      <formula>"N/A"</formula>
    </cfRule>
  </conditionalFormatting>
  <conditionalFormatting sqref="G9:I84">
    <cfRule type="cellIs" dxfId="3" priority="9" operator="equal">
      <formula>"Block"</formula>
    </cfRule>
  </conditionalFormatting>
  <conditionalFormatting sqref="G9:I84">
    <cfRule type="cellIs" dxfId="2" priority="10" operator="equal">
      <formula>"Fail"</formula>
    </cfRule>
  </conditionalFormatting>
  <conditionalFormatting sqref="G9:I84">
    <cfRule type="cellIs" dxfId="1" priority="11" operator="equal">
      <formula>"Pass"</formula>
    </cfRule>
  </conditionalFormatting>
  <conditionalFormatting sqref="G9:I84">
    <cfRule type="cellIs" dxfId="0" priority="12" operator="equal">
      <formula>"N/A"</formula>
    </cfRule>
  </conditionalFormatting>
  <dataValidations count="2">
    <dataValidation type="list" allowBlank="1" showErrorMessage="1" sqref="G10:I84">
      <formula1>"Pass,Fail,Block,N/A"</formula1>
    </dataValidation>
    <dataValidation type="list" allowBlank="1" showErrorMessage="1" sqref="B11:B14 B16:B18 B20:B29 B31:B33 B35:B38 B40:B41 B43:B44 B46:B49 B51:B53 B55:B58 B60:B63 B65:B72 B74:B79 B81:B84">
      <formula1>"High,Medium,Low"</formula1>
    </dataValidation>
  </dataValidations>
  <hyperlinks>
    <hyperlink ref="K67" r:id="rId1"/>
    <hyperlink ref="K71" r:id="rId2"/>
  </hyperlinks>
  <pageMargins left="0.7" right="0.7" top="0.75" bottom="0.75" header="0" footer="0"/>
  <pageSetup orientation="landscape"/>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 tiết các dịch vụ 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2026-05-25T08:42:54Z</dcterms:modified>
</cp:coreProperties>
</file>