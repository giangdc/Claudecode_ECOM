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Revision history" sheetId="2" r:id="rId6"/>
    <sheet state="visible" name="Guideline" sheetId="3" r:id="rId7"/>
    <sheet state="visible" name="Summary" sheetId="4" r:id="rId8"/>
    <sheet state="visible" name="Đặc tính" sheetId="5" r:id="rId9"/>
    <sheet state="visible" name="QL nội dung gói bán" sheetId="6" r:id="rId10"/>
    <sheet state="visible" name="Thông tin chung" sheetId="7" r:id="rId11"/>
    <sheet state="hidden" name="Chi tiết các dịch vụ SA" sheetId="8" r:id="rId12"/>
    <sheet state="visible" name="Chi tiết thiết bị" sheetId="9" r:id="rId13"/>
    <sheet state="visible" name="Checkout AP" sheetId="10" r:id="rId14"/>
    <sheet state="visible" name="Checkout Smart Home" sheetId="11" r:id="rId15"/>
    <sheet state="visible" name="Checkout Smart Tivi" sheetId="12" r:id="rId16"/>
    <sheet state="visible" name="Trang danh mục thiết bị" sheetId="13" r:id="rId17"/>
    <sheet state="hidden" name="Danh mục thiết bị Camera" sheetId="14" r:id="rId18"/>
    <sheet state="visible" name="Danh mục thiết bị Camera_New" sheetId="15" r:id="rId19"/>
    <sheet state="hidden" name="Danh mục thiết bị Access Point" sheetId="16" r:id="rId20"/>
    <sheet state="visible" name="Danh mục thiết bị Access Point_" sheetId="17" r:id="rId21"/>
  </sheets>
  <definedNames>
    <definedName localSheetId="0" name="Testing_status">#REF!</definedName>
    <definedName localSheetId="2" name="Testing_status">#REF!</definedName>
    <definedName localSheetId="1" name="Testing_status">#REF!</definedName>
    <definedName name="Testing_status">#REF!</definedName>
    <definedName localSheetId="3" name="Testing_status">#REF!</definedName>
    <definedName name="Display_Week">#REF!</definedName>
    <definedName name="Project_Start">#REF!</definedName>
    <definedName hidden="1" localSheetId="6" name="_xlnm._FilterDatabase">'Thông tin chung'!$G$1:$L$181</definedName>
    <definedName hidden="1" localSheetId="7" name="_xlnm._FilterDatabase">'Chi tiết các dịch vụ SA'!$G$1:$L$84</definedName>
    <definedName hidden="1" localSheetId="8" name="_xlnm._FilterDatabase">'Chi tiết thiết bị'!$H$1:$N$90</definedName>
    <definedName hidden="1" localSheetId="9" name="_xlnm._FilterDatabase">'Checkout AP'!$H$1:$K$34</definedName>
    <definedName hidden="1" localSheetId="10" name="_xlnm._FilterDatabase">'Checkout Smart Home'!$H$1:$K$34</definedName>
    <definedName hidden="1" localSheetId="11" name="_xlnm._FilterDatabase">'Checkout Smart Tivi'!$H$1:$K$34</definedName>
    <definedName hidden="1" localSheetId="12" name="_xlnm._FilterDatabase">'Trang danh mục thiết bị'!$G$1:$J$212</definedName>
    <definedName hidden="1" localSheetId="13" name="_xlnm._FilterDatabase">'Danh mục thiết bị Camera'!$G$1:$J$66</definedName>
    <definedName hidden="1" localSheetId="14" name="_xlnm._FilterDatabase">'Danh mục thiết bị Camera_New'!$H$1:$K$69</definedName>
    <definedName hidden="1" localSheetId="15" name="_xlnm._FilterDatabase">'Danh mục thiết bị Access Point'!$G$1:$J$48</definedName>
    <definedName hidden="1" localSheetId="16" name="_xlnm._FilterDatabase">'Danh mục thiết bị Access Point_'!$H$1:$K$66</definedName>
  </definedNames>
  <calcPr/>
</workbook>
</file>

<file path=xl/sharedStrings.xml><?xml version="1.0" encoding="utf-8"?>
<sst xmlns="http://schemas.openxmlformats.org/spreadsheetml/2006/main" count="5690" uniqueCount="3322">
  <si>
    <t>ECP</t>
  </si>
  <si>
    <t>TESTCASE</t>
  </si>
  <si>
    <t>Mã hiệu</t>
  </si>
  <si>
    <t>Phiên bản</t>
  </si>
  <si>
    <t>1.0</t>
  </si>
  <si>
    <t>Ngày hiệu lực</t>
  </si>
  <si>
    <t>REVISION HISTORY - TESTCASE</t>
  </si>
  <si>
    <t>Phiên bản testcase
(Testcase version)</t>
  </si>
  <si>
    <t>Ngày cập nhật
(Date Update)</t>
  </si>
  <si>
    <t>Người tạo
(Author)</t>
  </si>
  <si>
    <t>Người xem xét
(Reviewer)</t>
  </si>
  <si>
    <t>Tên chức năng
(Function name)</t>
  </si>
  <si>
    <t>Mô tả chức năng
(Function description)</t>
  </si>
  <si>
    <t>Tình trạng
(Status)</t>
  </si>
  <si>
    <t>v1.0</t>
  </si>
  <si>
    <t>v1.0_Sprint 10</t>
  </si>
  <si>
    <t>20/03/2026</t>
  </si>
  <si>
    <t>GiangDC2, AnhDC4</t>
  </si>
  <si>
    <t>HuyenNHK</t>
  </si>
  <si>
    <t>Luồng checkout Net,Combo net</t>
  </si>
  <si>
    <t>Thêm mới</t>
  </si>
  <si>
    <t>v1.0 Sprint 12</t>
  </si>
  <si>
    <t>Thông tin chung</t>
  </si>
  <si>
    <t>Các TC dùng chung cho tất cả dịch vụ (UI, navigation, form validation cơ bản...)</t>
  </si>
  <si>
    <t>FPL SA</t>
  </si>
  <si>
    <t>Luồng checkout FPL SA</t>
  </si>
  <si>
    <t>Ultra Fast</t>
  </si>
  <si>
    <t>Luồng checkout Ultra Fast</t>
  </si>
  <si>
    <t>Hyper Fast</t>
  </si>
  <si>
    <t>Luồng checkout Hyper Fast</t>
  </si>
  <si>
    <t>Chi tiết các dịch vụ SA</t>
  </si>
  <si>
    <t>Chi tiết các dịch vụ SA(FPTPlay, UltraFast, HyperFast)</t>
  </si>
  <si>
    <t>Trang tổng hợp dịch vụ</t>
  </si>
  <si>
    <t>Trang tổng hợp dịch vụ số (UltraFast, HyperFast)</t>
  </si>
  <si>
    <t>v1.1</t>
  </si>
  <si>
    <t>v1.1 sprint 2</t>
  </si>
  <si>
    <t xml:space="preserve">Quản lý nội dung gói bán </t>
  </si>
  <si>
    <t xml:space="preserve">giangdc2 update </t>
  </si>
  <si>
    <t xml:space="preserve">Quản lý gói bán </t>
  </si>
  <si>
    <t xml:space="preserve">Quản lý đặc tính </t>
  </si>
  <si>
    <t>Chi tiết thiết bị</t>
  </si>
  <si>
    <t>Chi tiết thiết bị: AP, Smart Home, Smart Tivi, Camera</t>
  </si>
  <si>
    <t>REVISION HISTORY - TEMPLATE</t>
  </si>
  <si>
    <t>[Phần này chỉ giành cho QA update]</t>
  </si>
  <si>
    <t>Version</t>
  </si>
  <si>
    <t>Người tạo</t>
  </si>
  <si>
    <t>Người xem xét</t>
  </si>
  <si>
    <t>Người phê duyệt</t>
  </si>
  <si>
    <t>Nội dung thay đổi</t>
  </si>
  <si>
    <t>Tạo mới</t>
  </si>
  <si>
    <t>QUY ĐỊNH CHUNG</t>
  </si>
  <si>
    <t xml:space="preserve">1. Tên File Testcase/Report đặt theo chuẩn: </t>
  </si>
  <si>
    <t>ISC_[Tên Dự Án]_[Version Dự Án]_TC_[Version File TC theo Revision history]_R[Số vòng test khi report].xlsx</t>
  </si>
  <si>
    <t>ISC_[Tên Dự Án]_[Version Dự Án]_Report.xlsx</t>
  </si>
  <si>
    <r>
      <rPr>
        <rFont val="Calibri"/>
        <color theme="1"/>
        <sz val="12.0"/>
        <u/>
      </rPr>
      <t>VD:</t>
    </r>
    <r>
      <rPr>
        <rFont val="Calibri"/>
        <color theme="1"/>
        <sz val="12.0"/>
      </rPr>
      <t xml:space="preserve"> ISC_Salary FTI_V2.2_TC_V1.0_R1.xlsx
 ISC_Salary FTI_V2.2_Report.xlsx</t>
    </r>
  </si>
  <si>
    <r>
      <rPr>
        <rFont val="Calibri"/>
        <b/>
        <color theme="1"/>
        <sz val="12.0"/>
      </rPr>
      <t>2. Khi update nội dung File Testcase (Add/Update/Delete các Function/Screen) phải</t>
    </r>
    <r>
      <rPr>
        <rFont val="Calibri"/>
        <b/>
        <color theme="5"/>
        <sz val="12.0"/>
      </rPr>
      <t xml:space="preserve"> </t>
    </r>
    <r>
      <rPr>
        <rFont val="Calibri"/>
        <b/>
        <color rgb="FF2F5496"/>
        <sz val="12.0"/>
      </rPr>
      <t>tăng [Version File TC] và quản lý lịch sử thay đổi trong Revision history.</t>
    </r>
  </si>
  <si>
    <t>3. Các Function/ Screen khác nhau được tách ra thành từng sheet.</t>
  </si>
  <si>
    <t>- [Nội Dung Test/Test Title] trongTestcase tách ra từng case riêng biệt không gộp lại thành 1 case nhưng kết quả test khác nhau.</t>
  </si>
  <si>
    <t>- [Người thực hiện]: sử dụng tên email, chỉ duy nhất một người thực hiện.</t>
  </si>
  <si>
    <t>BẢNG PHÂN LOẠI TRẠNG THÁI TESTCASE</t>
  </si>
  <si>
    <t>Trạng thái</t>
  </si>
  <si>
    <t>Ý nghĩa</t>
  </si>
  <si>
    <t>(Blank)</t>
  </si>
  <si>
    <t>Trạng thái mặc định khi chưa thực hiện test</t>
  </si>
  <si>
    <t>Pass</t>
  </si>
  <si>
    <t>Thực hiện thành công case</t>
  </si>
  <si>
    <t>Fail</t>
  </si>
  <si>
    <t>Không thành công case, có lỗi phát sinh</t>
  </si>
  <si>
    <t>Block</t>
  </si>
  <si>
    <r>
      <rPr>
        <rFont val="Calibri"/>
        <b/>
        <color theme="1"/>
        <sz val="12.0"/>
      </rPr>
      <t xml:space="preserve">Case này không thể thực hiện/Pending, ghi rõ lý do trong phần ghi chú:
</t>
    </r>
    <r>
      <rPr>
        <rFont val="Calibri"/>
        <color theme="1"/>
        <sz val="12.0"/>
      </rPr>
      <t>(</t>
    </r>
    <r>
      <rPr>
        <rFont val="Calibri"/>
        <b/>
        <color theme="1"/>
        <sz val="12.0"/>
      </rPr>
      <t>VD:</t>
    </r>
    <r>
      <rPr>
        <rFont val="Calibri"/>
        <color theme="1"/>
        <sz val="12.0"/>
      </rPr>
      <t xml:space="preserve"> Do chưa dev xong, Không có điều kiện - dữ liệu test, Tài liệu đặc tả sai, Đã thay đổi yêu cầu...).
</t>
    </r>
  </si>
  <si>
    <t>N/A</t>
  </si>
  <si>
    <t>- Case Suggest
- Case Won't fix</t>
  </si>
  <si>
    <t>BẢNG PHÂN LOẠI ĐỘ ƯU TIÊN</t>
  </si>
  <si>
    <t>High</t>
  </si>
  <si>
    <t>- Phải thực hiện trong bất kỳ vòng nào
- Case ảnh hưởng trực tiếp đến nhiều người dùng
- Chức năng, nghiệp vụ</t>
  </si>
  <si>
    <t>Medium</t>
  </si>
  <si>
    <t>- Phải thực hiện ít nhất một lần
- Ảnh hưởng đến người dùng</t>
  </si>
  <si>
    <t>Low</t>
  </si>
  <si>
    <t>- Có thể bỏ qua khi rút ngắn thời gian test
- Case không gây ảnh hưởng nhiều đến người dùng
- Case phụ thêm
- Không quy định trong tài liệu</t>
  </si>
  <si>
    <t>SUMMARY</t>
  </si>
  <si>
    <t>Project name</t>
  </si>
  <si>
    <t xml:space="preserve">Version </t>
  </si>
  <si>
    <t>V1.0 - Sprint 12</t>
  </si>
  <si>
    <t>Division</t>
  </si>
  <si>
    <t>ECOM</t>
  </si>
  <si>
    <t>Project Manager - PM</t>
  </si>
  <si>
    <t>TaiTT13</t>
  </si>
  <si>
    <t>STT</t>
  </si>
  <si>
    <t>Mã chức năng</t>
  </si>
  <si>
    <t>Sheet Name</t>
  </si>
  <si>
    <t>Function/ Screen</t>
  </si>
  <si>
    <t>Số Testcase</t>
  </si>
  <si>
    <t>Round 1 (09/04/2026 - 15/04/2026)</t>
  </si>
  <si>
    <t>G:I</t>
  </si>
  <si>
    <t>Round 2 (dd/mm/yyyy - dd/mm/yyyy)</t>
  </si>
  <si>
    <t>K:K</t>
  </si>
  <si>
    <t>Round 3(dd/mm/yyyy - dd/mm/yyyy)</t>
  </si>
  <si>
    <t>O:O</t>
  </si>
  <si>
    <t>Round 4 (dd/mm/yyyy - dd/mm/yyyy)</t>
  </si>
  <si>
    <t>S:S</t>
  </si>
  <si>
    <t>Round 5 (dd/mm/yyyy - dd/mm/yyyy)</t>
  </si>
  <si>
    <t>W:W</t>
  </si>
  <si>
    <t>Round 6 (dd/mm/yyyy - dd/mm/yyyy)</t>
  </si>
  <si>
    <t>AA:AA</t>
  </si>
  <si>
    <t>Round 7 (dd/mm/yyyy - dd/mm/yyyy)</t>
  </si>
  <si>
    <t>AE:AE</t>
  </si>
  <si>
    <t>Round 8 (dd/mm/yyyy - dd/mm/yyyy)</t>
  </si>
  <si>
    <t>AI:AI</t>
  </si>
  <si>
    <t>Round 9 (dd/mm/yyyy - dd/mm/yyyy)</t>
  </si>
  <si>
    <t>AM:AM</t>
  </si>
  <si>
    <t>Round 10 (dd/mm/yyyy - dd/mm/yyyy)</t>
  </si>
  <si>
    <t>AQ:AQ</t>
  </si>
  <si>
    <t>Excute Testcase</t>
  </si>
  <si>
    <t>v</t>
  </si>
  <si>
    <t>TC_01</t>
  </si>
  <si>
    <t>TC_02</t>
  </si>
  <si>
    <t>TC_03</t>
  </si>
  <si>
    <t>TC_04</t>
  </si>
  <si>
    <t>TC_05</t>
  </si>
  <si>
    <t>TC_06</t>
  </si>
  <si>
    <t>Total</t>
  </si>
  <si>
    <t>Rate (%)</t>
  </si>
  <si>
    <t>Mã chức năng
(Function ID)</t>
  </si>
  <si>
    <t>Tên chức năng 
(Function Name)</t>
  </si>
  <si>
    <t>Đặc tính</t>
  </si>
  <si>
    <t>QC/AI</t>
  </si>
  <si>
    <t>Testcase ID</t>
  </si>
  <si>
    <t>Mức Độ Ưu Tiên
(Priority)</t>
  </si>
  <si>
    <t>Nội Dung Test
(Test Title)</t>
  </si>
  <si>
    <t>Điều Kiện/ Dữ Liệu Test
(Pre-condition/ Test Data)</t>
  </si>
  <si>
    <t>Các Bước Thực Hiện
(Test Steps)</t>
  </si>
  <si>
    <t>Kết Quả Mong Đợi
(Expected Results)</t>
  </si>
  <si>
    <t>Kết Quả Thực Hiện
(Actual Result)</t>
  </si>
  <si>
    <t>Người Thực Hiện
(Executed By)</t>
  </si>
  <si>
    <t>ID Bugs</t>
  </si>
  <si>
    <t>Ghi Chú
(Remark)</t>
  </si>
  <si>
    <t>Xem danh sách nhóm đặc tính</t>
  </si>
  <si>
    <t>Check nhóm quyền thao tác xem danh sách nhóm đặc tính</t>
  </si>
  <si>
    <t>1. Check quyền thao tác xem danh sách nhóm đặc tính</t>
  </si>
  <si>
    <t xml:space="preserve"> Người quản trị mở chức năng Đặc tính</t>
  </si>
  <si>
    <t>Check menu vào màn hình Danh sách đặc tính</t>
  </si>
  <si>
    <t>1. Login thành công vào hệ thống 
2. Check Menu vào màn hình Danh sách đặc tính</t>
  </si>
  <si>
    <t>Menu vào màn hình Danh sách đặt tính:
- Left Menu ProductHub &gt; Đặc tính</t>
  </si>
  <si>
    <t>Check GUI Danh sách nhóm đặc tính</t>
  </si>
  <si>
    <t>1. Login thành công vào hệ thống 
2. Click Menu ProductHub &gt; Đặc tính
3. Check GUI Danh sách nhóm đặc tính</t>
  </si>
  <si>
    <t>GUI danh sách đặc tính gồm:
- Tiêu đề chính “ProductHub”
- Tab “Nhóm đặc tính”
- Tab “Đặc tính”
- Textbox: Ô tìm kiếm theo tên
- Nút “Tìm kiếm”
- Nút “+ Tạo mới nhóm đặc tính”
- Bảng danh sách nhóm đặc tính sản phẩm
- Thanh phân trang Pagination</t>
  </si>
  <si>
    <t xml:space="preserve">Check Tìm kiếm theo Nhóm đặc tính </t>
  </si>
  <si>
    <t>1. Login thành công vào hệ thống 
2. Click Menu ProductHub &gt; Đặc tính
3. Fill Tên nhóm đặc tính
4. Click btn Tìm kiếm hoặc nhấn Enter</t>
  </si>
  <si>
    <t>Trên Bảng danh sách nhóm đặc tính sản phẩm hiển thị dữ liệu thỏa điều kiện đang Filter</t>
  </si>
  <si>
    <t xml:space="preserve">Check Tìm kiếm theo Tên đặc tính </t>
  </si>
  <si>
    <t>1. Login thành công vào hệ thống 
2. Click Menu ProductHub &gt; Đặc tính
3. Fill Tên đặc tính 
4. Click btn Tìm kiếm hoặc nhấn Enter</t>
  </si>
  <si>
    <t>Check tìm kiếm theo Nhóm/ Tên đặc tính trước or sau có khoảng trắng</t>
  </si>
  <si>
    <t>1. Login thành công vào hệ thống 
2. Click Menu ProductHub &gt; Đặc tính
3. Check tìm kiếm theo Nhóm/ Tên đặc tính trước or sau có khoảng trắng
4. Click btn Tìm kiếm</t>
  </si>
  <si>
    <t>Tự động clear khoảng trắng trước or sau dữ liệu tìm kiếm
- Hiển thị dữ liệu thỏa điều kiện đang filter</t>
  </si>
  <si>
    <t>Check tìm kiếm theo Nhóm/ Tên đặc tính có ký tự hoa thường</t>
  </si>
  <si>
    <t>Cho phép người dùng nhập từ khóa để tìm nhóm đặc tính hoặc đặc tính theo tên. Tìm kiếm không phân biệt hoa/thường.
- Hiển thị dữ liệu thỏa điều kiện đang Filter</t>
  </si>
  <si>
    <t>Check Load dữ liệu ở Bảng danh sách nhóm đặc tính sản phẩm</t>
  </si>
  <si>
    <t>1. Login thành công vào hệ thống 
2. Click Menu ProductHub &gt; Đặc tính
3. Check Load dữ liệu ở Bảng danh sách nhóm đặc tính sản phẩm</t>
  </si>
  <si>
    <t>Bảng danh sách nhóm đặc tính sản phẩm gồm:
- Tên nhóm đặc tính
- Tên đặc tính
- Thời gian cập nhật
- Người cập nhật
- Thời gian tạo
- Người tạo
- Thao tác (Icon group (👁, ✏️)</t>
  </si>
  <si>
    <t>Check hiển thị tên nhóm đặc tính</t>
  </si>
  <si>
    <t>1. Login thành công vào hệ thống 
2. Click Menu ProductHub &gt; Đặc tính
3. Load dữ liệu ở Bảng danh sách nhóm đặc tính sản phẩm
4. Check hiển thị tên nhóm đặc tính</t>
  </si>
  <si>
    <t xml:space="preserve">Hiển thị đúng Tên nhóm đặc tính
ví dụ: Internet, FPT Play, Camera…
Click vào từng dòng tên nhóm đặc tính, hệ thống mở popup chi tiết nhóm đặc tính đấy. 
</t>
  </si>
  <si>
    <t>Check hiển thị Tên đặc tính</t>
  </si>
  <si>
    <t>1. Login thành công vào hệ thống 
2. Click Menu ProductHub &gt; Đặc tính
3. Load dữ liệu ở Bảng danh sách nhóm đặc tính sản phẩm
4. Check hiển thị Tên đặc tính</t>
  </si>
  <si>
    <t>Hiển thị danh sách các đặc tính thuộc nhóm dưới dạng thẻ (tag). Mặc định hiển thị 2 thẻ đầu tiên, phần còn lại hiển thị “+X more”.</t>
  </si>
  <si>
    <t>Check hiển thị Thời gian cập nhật</t>
  </si>
  <si>
    <t>1. Login thành công vào hệ thống 
2. Click Menu ProductHub &gt; Đặc tính
3. Load dữ liệu ở Bảng danh sách nhóm đặc tính sản phẩm
4. Check hiển thị Thời gian cập nhật</t>
  </si>
  <si>
    <t xml:space="preserve">Hiển thị thời gian cập nhật gần nhất, định dạng dd/MM/yyyy HH:mm, sử dụng hệ giờ 24h. </t>
  </si>
  <si>
    <t>Check hiển thị Người cập nhật</t>
  </si>
  <si>
    <t>1. Login thành công vào hệ thống 
2. Click Menu ProductHub &gt; Đặc tính
3. Load dữ liệu ở Bảng danh sách nhóm đặc tính sản phẩm
4. Check hiển thị Người cập nhật</t>
  </si>
  <si>
    <t>Hiển thị username hoặc mã người dùng thực hiện cập nhật gần nhất.
Khi tạo mới, thời gian cập nhật = thời gian tạo. 
Danh sách được sắp xếp theo thời gian cập nhật (last update), trong đó các nhóm đặc tính được cập nhật gần nhất sẽ hiển thị ở đầu danh sách.</t>
  </si>
  <si>
    <t>Check hiển thị Thời gian tạo</t>
  </si>
  <si>
    <t>1. Login thành công vào hệ thống 
2. Click Menu ProductHub &gt; Đặc tính
3. Load dữ liệu ở Bảng danh sách nhóm đặc tính sản phẩm
4. Check hiển thị Thời gian tạo</t>
  </si>
  <si>
    <t xml:space="preserve">Hiển thị thời gian tạo mới thành công, định dạng dd/MM/yyyy HH:mm, sử dụng hệ giờ 24h. </t>
  </si>
  <si>
    <t>Check hiển thị Người tạo</t>
  </si>
  <si>
    <t>1. Login thành công vào hệ thống 
2. Click Menu ProductHub &gt; Đặc tính
3. Load dữ liệu ở Bảng danh sách nhóm đặc tính sản phẩm
4. Check hiển thị Người tạo</t>
  </si>
  <si>
    <t xml:space="preserve">Hiển thị username hoặc mã người dùng thực hiện tạo mới nhóm đặc tính thành công. </t>
  </si>
  <si>
    <t>Check click icon 👁 cột Thao tác</t>
  </si>
  <si>
    <t>1. Login thành công vào hệ thống 
2. Click Menu ProductHub &gt; Đặc tính
3. Load dữ liệu ở Bảng danh sách nhóm đặc tính sản phẩm
4. Check click icon 👁 cột Thao tác</t>
  </si>
  <si>
    <t>Khi click icon, sẽ mở pop-up Xem chi tiết</t>
  </si>
  <si>
    <t>Check click icon ✏️ cột Thao tác</t>
  </si>
  <si>
    <t>1. Login thành công vào hệ thống 
2. Click Menu ProductHub &gt; Đặc tính
3. Load dữ liệu ở Bảng danh sách nhóm đặc tính sản phẩm
4. Check click icon ✏️ cột Thao tác</t>
  </si>
  <si>
    <t xml:space="preserve">Khi click icon, sẽ mở pop-up Chỉnh sửa tương ứng. </t>
  </si>
  <si>
    <t>Check hiển thị phân trang</t>
  </si>
  <si>
    <t>1. Login thành công vào hệ thống 
2. Click Menu ProductHub &gt; Đặc tính
3. Load dữ liệu ở Bảng danh sách nhóm đặc tính sản phẩm
4. Check hiển thị phân trang</t>
  </si>
  <si>
    <t>Hiển thị vị trí trang hiện tại và tổng số bản ghi. Cho phép chuyển trang (1, 2, 3, …). Mặc định 10 bản ghi/trang.</t>
  </si>
  <si>
    <t>Check click btn Tạo mới nhóm đặc tính</t>
  </si>
  <si>
    <t>1. Login thành công vào hệ thống 
2. Click Menu ProductHub &gt; Đặc tính
3. Load dữ liệu ở Bảng danh sách nhóm đặc tính sản phẩm
4. Check click btn Tạo mới nhóm đặc tính</t>
  </si>
  <si>
    <t>Hiển thị ở góc phải phía trên bảng.Hiển thị Popup Nhóm đặc tính</t>
  </si>
  <si>
    <t>Tạo mới nhóm đặc tính</t>
  </si>
  <si>
    <t>Check Popup Tạo mới nhóm đặc tính</t>
  </si>
  <si>
    <t>1. Login thành công vào hệ thống 
2. Click Menu ProductHub &gt; Đặc tính
3. Click btn Tạo mới nhóm đặc tính
5. Check Popup Tạo mới nhóm đặc tính</t>
  </si>
  <si>
    <t>Hiển thị ở góc phải phía trên bảng.Hiển thị Popup Nhóm đặc tính:
- Title popup: Tạo mới nhóm đặc tính
- Textbox: Tên nhóm đặc tính (*) - Placeholder: Nhập tên nhóm đặc tính
- Droplist: Chọn đặc tính 
- btn Hủy
- btn Tạo
- icon x (đóng popup)</t>
  </si>
  <si>
    <t>Check Tạo mới khi không  Nhập tên nhóm đặc tính</t>
  </si>
  <si>
    <t>1. Popup Tạo mới nhóm đặc tính
2. Check Tạo mới khi không  Nhập tên nhóm đặc tính
3. Click btn Tạo</t>
  </si>
  <si>
    <t xml:space="preserve"> “Vui lòng nhập tên nhóm đặc tính!”.</t>
  </si>
  <si>
    <t>Check Tạo mới khi Nhập tên nhóm đặc tính là khoảng trắng</t>
  </si>
  <si>
    <t>1. Popup Tạo mới nhóm đặc tính
2. Check Tạo mới khi Nhập tên nhóm đặc tính là khoảng trắng
3. Click btn Tạo</t>
  </si>
  <si>
    <t>Check Tạo mới nhưng Nhập tên nhóm đặc tính quá dài</t>
  </si>
  <si>
    <t>1. Popup Tạo mới nhóm đặc tính
2. Check Tạo mới nhưng Nhập tên nhóm đặc tính quá dài
3. Click btn Tạo</t>
  </si>
  <si>
    <t>Hiển thị cảnh báo: "Tên nhóm đặc tính tối đa 255 ký tự"</t>
  </si>
  <si>
    <t>Check load data Droplist Đặc tính</t>
  </si>
  <si>
    <t xml:space="preserve">1. Popup Tạo mới nhóm đặc tính
2. Check load data Droplist Đặc tính
</t>
  </si>
  <si>
    <t xml:space="preserve">Hệ thống hiển thị dữ liệu đặc tính gồm: 
- Danh sách đặc tính trong dropdown được lấy từ các đặc tính đã được cấu hình.
- Cho phép người dùng chọn đặc tính có sẵn trong hệ thống để gán vào nhóm. 
- Hỗ trợ tìm kiếm theo từ khóa và hiển thị dưới dạng tag
</t>
  </si>
  <si>
    <t>Check Chọn nhiều đặc tính trong dropdown</t>
  </si>
  <si>
    <t>1. Popup Tạo mới nhóm đặc tính
2. Check Chọn nhiều đặc tính trong dropdown</t>
  </si>
  <si>
    <t>Các đặc tính hiển thị dưới dạng tag</t>
  </si>
  <si>
    <t>Check Xoá một đặc tính đã chọn (dạng tag)</t>
  </si>
  <si>
    <t>1. Popup Tạo mới nhóm đặc tính
2. Check Xoá một đặc tính đã chọn (dạng tag)</t>
  </si>
  <si>
    <t>Tag đặc tính bị xoá khỏi danh sách chọn</t>
  </si>
  <si>
    <t>Check Tạo mới nhóm đặc tính nhưng không chọn đặc tính</t>
  </si>
  <si>
    <t>1. Popup Tạo mới nhóm đặc tính
2. Check Tạo mới nhóm đặc tính nhưng không chọn đặc tính
3. Click btn Tạo</t>
  </si>
  <si>
    <t xml:space="preserve">
Cho phép tạo Nhóm đặc tính thành công</t>
  </si>
  <si>
    <t>Check Tạo Nhóm đặc tính trùng trong hệ thống</t>
  </si>
  <si>
    <t>1. Popup Tạo mới nhóm đặc tính
2. Check Tạo Nhóm đặc tính trùng trong hệ thống
3. Click btn Tạo</t>
  </si>
  <si>
    <t>“Tên nhóm đặc tính đã tồn tại. Vui lòng nhập tên khác!”</t>
  </si>
  <si>
    <t>Check Tạo nhóm đặc tính mà có nhiều đặc tính trùng nhau</t>
  </si>
  <si>
    <t>1. Popup Tạo mới nhóm đặc tính
2. Check Tạo nhóm đặc tính mà có nhiều đặc tính trùng nhau
3. Click btn Tạo</t>
  </si>
  <si>
    <t>- Trong 1 nhóm đặc tính không có 2 cấu hình đặc tính trùng nhau.
- Không cho phép tạo 2 đặc tính trùng nhau trong hệ thống</t>
  </si>
  <si>
    <t>Check Click btn Hủy</t>
  </si>
  <si>
    <t>1. Popup Tạo mới nhóm đặc tính
2. Check Click btn Hủy</t>
  </si>
  <si>
    <t xml:space="preserve">
Đóng popup “Tạo mới nhóm đặc tính”, quay về màn danh sách nhóm đặc tính. 
</t>
  </si>
  <si>
    <t>Check Tạo mới nhóm đặc tính</t>
  </si>
  <si>
    <t>1. Popup Tạo mới nhóm đặc tính
2. Check Tạo mới nhóm đặc tính
3. Click btn Tạo</t>
  </si>
  <si>
    <t xml:space="preserve">Thành công: “Tạo nhóm đặc tính thành công.”
- Popup đóng lại
- Nhóm mới xuất hiện ở danh sách màn hình chính </t>
  </si>
  <si>
    <t>Check Click Đóng popup” (biểu tượng X)</t>
  </si>
  <si>
    <t>1. Popup Tạo mới nhóm đặc tính
2. Check Click Đóng popup” (biểu tượng X)</t>
  </si>
  <si>
    <t xml:space="preserve">
Cho phép người dùng tự đóng popup thủ công, tương đương hành động “Hủy”. 
</t>
  </si>
  <si>
    <t>Check thông báo khi Lỗi lưu dữ liệu hệ thống</t>
  </si>
  <si>
    <t>1. Nhập thông tin hợp lệ
2. Nhấn “Tạo</t>
  </si>
  <si>
    <t>Hiển thị lỗi: "Không thể tạo nhóm đặc tính. Vui lòng thử lại sau."
Không tạo dữ liệu</t>
  </si>
  <si>
    <t>Chi tiết nhóm đặc tính</t>
  </si>
  <si>
    <t>Check hiển thị Popup Chi tiết nhóm đặc tính</t>
  </si>
  <si>
    <t xml:space="preserve">1. Vào ProductHub → tab "Đặc tính"
2. Click tên nhóm đặc tính / icon 👁 </t>
  </si>
  <si>
    <t>Hiển thị popup “Chi tiết nhóm đặc tính” với các trường:
- Tên nhóm, 
- Danh sách đặc tính (tag), 
- nút Đóng
- icon X</t>
  </si>
  <si>
    <t>Check  load đúng tên nhóm đặc tính</t>
  </si>
  <si>
    <t>1. Popup Chi tiết nhóm đặc tính 
2. Check  load đúng tên nhóm đặc tính</t>
  </si>
  <si>
    <t>Trường Tên nhóm hiển thị đúng giá trị theo DB</t>
  </si>
  <si>
    <t>Check Load danh sách đặc tính thuộc nhóm</t>
  </si>
  <si>
    <t>1. Popup Chi tiết nhóm đặc tính 
2. Check Load danh sách đặc tính thuộc nhóm</t>
  </si>
  <si>
    <t>Danh sách tag đặc tính hiển thị đúng với DB (đúng số lượng &amp; tên)</t>
  </si>
  <si>
    <t xml:space="preserve"> Check Nhóm không có đặc tính được gán</t>
  </si>
  <si>
    <t>1. Popup Chi tiết nhóm đặc tính 
2. Nhóm không có đặc tính được gán</t>
  </si>
  <si>
    <t>Khu vực danh sách tag hiển thị rỗng hoặc thông báo: “Chưa có đặc tính gán vào nhóm”</t>
  </si>
  <si>
    <t>Check Đóng popup từ button “Đóng”</t>
  </si>
  <si>
    <t>1. Popup Chi tiết nhóm đặc tính 
2. Đóng popup từ button “Đóng”</t>
  </si>
  <si>
    <t>Popup biến mất, trở về màn hình danh sách</t>
  </si>
  <si>
    <t>Check Đóng popup bằng click ra ngoài overlay</t>
  </si>
  <si>
    <t>1. Popup Chi tiết nhóm đặc tính 
2. Check Đóng popup bằng click ra ngoài overlay</t>
  </si>
  <si>
    <t>Popup đóng, quay lại màn hình danh sách</t>
  </si>
  <si>
    <t>Kiểm tra hiển thị ký tự đặc biệt trong tên nhóm</t>
  </si>
  <si>
    <t>1. Popup Chi tiết nhóm đặc tính 
2. Kiểm tra hiển thị ký tự đặc biệt trong tên nhóm</t>
  </si>
  <si>
    <t>Hiển thị đúng định dạng, không bị cắt ký tự</t>
  </si>
  <si>
    <t>Reload màn khi popup đóng</t>
  </si>
  <si>
    <t>1. Popup Chi tiết nhóm đặc tính 
2. Reload màn khi popup đóng</t>
  </si>
  <si>
    <t>Màn hình danh sách vẫn giữ nguyên, không reload hoặc mất filter/search đang có</t>
  </si>
  <si>
    <t>Lỗi load dữ liệu khi vào chi tiết nhóm</t>
  </si>
  <si>
    <t>1. Popup Chi tiết nhóm đặc tính 
2. Lỗi load dữ liệu khi vào chi tiết nhóm</t>
  </si>
  <si>
    <t>Hiển thị thông báo lỗi: "Có lỗi xảy ra. Vui lòng thử lại sau."</t>
  </si>
  <si>
    <t>Kiểm tra phân quyền - user không có quyền xem</t>
  </si>
  <si>
    <t>1. Popup Chi tiết nhóm đặc tính 
2. Kiểm tra phân quyền - user không có quyền xem</t>
  </si>
  <si>
    <t>Không cho truy cập/ẩn nút Eye. Nếu cố mở → báo "Bạn không có quyền xem thông tin này"</t>
  </si>
  <si>
    <t>Chỉnh sửa nhóm đặc tính</t>
  </si>
  <si>
    <t>Check click icon Chỉnh sửa nhóm đặc tính</t>
  </si>
  <si>
    <t>1. Login thành công vào hệ thống 
2. Click Menu ProductHub &gt; Đặc tính
3. Click icon ✏️</t>
  </si>
  <si>
    <t>Popup “Chỉnh sửa nhóm đặc tính” hiển thị đúng, gồm:
 Tên nhóm đặc tính
-Danh sách đặc tính đã được chọn</t>
  </si>
  <si>
    <t>Check Hiển thị đúng dữ liệu hiện tại của nhóm</t>
  </si>
  <si>
    <t>1. Popup Chỉnh sửa nhóm đặc tính
2. Check Hiển thị đúng dữ liệu hiện tại của nhóm</t>
  </si>
  <si>
    <t>- Tên nhóm hiển thị đúng
- Các đặc tính đã gán hiển thị đúng dạng tag/multi-select</t>
  </si>
  <si>
    <t>Check Chỉnh sửa tên nhóm đặc tính hợp lệ</t>
  </si>
  <si>
    <t>1. Popup Chỉnh sửa nhóm đặc tính
2. Check Chỉnh sửa tên nhóm đặc tính hợp lệ</t>
  </si>
  <si>
    <t>- Lưu thành công
- Hiển thị toast “Chỉnh sửa nhóm đặc tính thành công”
- Popup đóng
- Danh sách hiển thị tên mới</t>
  </si>
  <si>
    <t>Check Để trống tên nhóm đặc tính</t>
  </si>
  <si>
    <t>Hiển thị validation message: “Vui lòng nhập đầy đủ thông tin bắt buộc”</t>
  </si>
  <si>
    <t>Check Trùng tên nhóm đặc tính đã tồn tại</t>
  </si>
  <si>
    <t>1. Popup Chỉnh sửa nhóm đặc tính
2. Check Trùng tên nhóm đặc tính đã tồn tại</t>
  </si>
  <si>
    <t>Hiển thị thông báo lỗi: “Tên nhóm đặc tính đã tồn tại. Vui lòng nhập tên khác.”</t>
  </si>
  <si>
    <t xml:space="preserve">Check Nhập Tên nhóm &lt; 255 ký tự </t>
  </si>
  <si>
    <t>1. Popup Chỉnh sửa nhóm đặc tính
2. Check Nhập Tên nhóm &lt; 255 ký tự 
3. Click btn Lưu</t>
  </si>
  <si>
    <t>Thao tác Lưu thành công</t>
  </si>
  <si>
    <t xml:space="preserve">Check Nhập Tên nhóm &gt; 255 ký tự </t>
  </si>
  <si>
    <t>1. Popup Chỉnh sửa nhóm đặc tính
2. Check Nhập Tên nhóm &gt;255 ký tự 
3. Click btn Lưu</t>
  </si>
  <si>
    <t>Hiển thị lỗi validation (không cho lưu)</t>
  </si>
  <si>
    <t>Check Thêm đặc tính mới vào nhóm</t>
  </si>
  <si>
    <t>1. Popup Chỉnh sửa nhóm đặc tính
2. Check Thêm đặc tính mới vào nhóm
3. Click btn Lưu</t>
  </si>
  <si>
    <t>- Đặc tính được thêm vào nhóm
- Dữ liệu DB cập nhật đúng</t>
  </si>
  <si>
    <t>Check Xóa đặc tính khỏi nhóm</t>
  </si>
  <si>
    <t>1. Popup Chỉnh sửa nhóm đặc tính
2. Check Xóa đặc tính khỏi nhóm
3. Click btn Lưu</t>
  </si>
  <si>
    <t>- Đặc tính bị loại khỏi nhóm
- Không còn hiển thị trong danh sách</t>
  </si>
  <si>
    <t>Check Không chọn bất kỳ đặc tính nào</t>
  </si>
  <si>
    <t>1. Popup Chỉnh sửa nhóm đặc tính
2. Check Không chọn bất kỳ đặc tính nào
3. Click btn Lưu</t>
  </si>
  <si>
    <t>Lưu thành công (do đặc tính không bắt buộc)</t>
  </si>
  <si>
    <t>Check add nhiều đặc tính trùng nhau trong Nhóm đặc tính</t>
  </si>
  <si>
    <t>1. Popup Chỉnh sửa nhóm đặc tính
2. Check add nhiều đặc tính trùng nhau trong Nhóm đặc tính
3. Click btn Lưu</t>
  </si>
  <si>
    <t>Hiển thị thông báo 
"Đặc tính đã được gán vào nhóm đặc tính."
- Không cho phép tạo 2 đặc tính trùng nhau trong hệ thống</t>
  </si>
  <si>
    <t>Check Click nút “Hủy”</t>
  </si>
  <si>
    <t>1. Popup Chỉnh sửa nhóm đặc tính
2. Check Click nút “Hủy”</t>
  </si>
  <si>
    <t>- Popup đóng
- Không có thay đổi dữ liệu</t>
  </si>
  <si>
    <t>Check Click icon đóng popup (X)</t>
  </si>
  <si>
    <t>1. Popup Chỉnh sửa nhóm đặc tính
2. Check Click icon đóng popup (X)</t>
  </si>
  <si>
    <t>Check nội dung thông báo khi Lỗi hệ thống khi Lưu</t>
  </si>
  <si>
    <t>Hiển thị thông báo: “Không thể cập nhật nhóm đặc tính. Vui lòng thử lại sau."</t>
  </si>
  <si>
    <t>Check Kiểm tra refresh danh sách sau khi chỉnh sửa</t>
  </si>
  <si>
    <t>1. Popup Chỉnh sửa nhóm đặc tính
2. Thao tác chỉnh sửa Nhóm đặc tính thành công
3. Check Kiểm tra refresh danh sách sau khi chỉnh sửa</t>
  </si>
  <si>
    <t>Dữ liệu hiển thị mới nhất, không cần reload trang</t>
  </si>
  <si>
    <t>DANH SÁCH ĐẶC TÍNH</t>
  </si>
  <si>
    <t>Check Truy cập màn hình Đặc tính</t>
  </si>
  <si>
    <t>User đã đăng nhập và có quyền “Xem danh sách đặc tính”</t>
  </si>
  <si>
    <t>1. Chọn menu ProductHub
2. Click Đặc tính
3. Check Truy cập màn hình Đặc tính</t>
  </si>
  <si>
    <t>Hiển thị màn hình “Đặc tính sản phẩm” gồm tab Nhóm đặc tính và Đặc tính</t>
  </si>
  <si>
    <t xml:space="preserve">Check GUI Đặc tính </t>
  </si>
  <si>
    <t xml:space="preserve">1. Chọn menu ProductHub
2. Click Đặc tính
3. Click Tab Đặc tính 
4. Check GUI Đặc tính </t>
  </si>
  <si>
    <t>Hiển thị đầy đủ cột: 
- STT, 
- Tên đặc tính,
- Giá trị đặc tính, 
- Thời gian cập nhật,
- Người cập nhật, 
- Thời gian tạo,
- Người tạo, 
- Thao tác</t>
  </si>
  <si>
    <t>Check hiển thị STT</t>
  </si>
  <si>
    <t>1. Chọn menu ProductHub
2. Click Đặc tính
3. Click Tab Đặc tính 
4. Check hiển thị STT</t>
  </si>
  <si>
    <t xml:space="preserve">Hiển thị số thứ tự của đặc tính trong trang </t>
  </si>
  <si>
    <t>1. Chọn menu ProductHub
2. Click Đặc tính
3. Click Tab Đặc tính 
4. Check hiển thị Tên đặc tính</t>
  </si>
  <si>
    <t xml:space="preserve">
Hiển thị tên đặc tính.
Click vào tên đặc tính để mở màn xem Chi tiết đặc tính. 
</t>
  </si>
  <si>
    <t>Check hiển thị Giá trị đặc tính</t>
  </si>
  <si>
    <t>1. Chọn menu ProductHub
2. Click Đặc tính
3. Click Tab Đặc tính 
4. Check hiển thị Giá trị đặc tính</t>
  </si>
  <si>
    <t xml:space="preserve">Hiển thị danh sách các giá trị đặc tính thuộc đặc tính dưới dạng thẻ (tag). </t>
  </si>
  <si>
    <t>Check Hiển thị giá trị đặc tính theo rule</t>
  </si>
  <si>
    <t>Đặc tính có &gt; 2 giá trị</t>
  </si>
  <si>
    <t>1. Chọn menu ProductHub
2. Click Đặc tính
3. Click Tab Đặc tính 
4. Check Hiển thị giá trị đặc tính theo rule</t>
  </si>
  <si>
    <t>- Hiển thị tối đa 2 giá trị đầu
- Các giá trị còn lại hiển thị dạng “+X more”</t>
  </si>
  <si>
    <t>Hiển thị thời gian cập nhật gần nhất, định dạng dd/MM/yyyy HH:mm.  
Khi tạo mới, thời gian cập nhật = thời gian tạo. Danh sách được sắp xếp theo thời gian cập nhật, trong đó các đặc tính được cập nhật gần nhất sẽ hiển thị ở đầu danh sách.</t>
  </si>
  <si>
    <t>1. Chọn menu ProductHub
2. Click Đặc tính
3. Click Tab Đặc tính 
4. Check hiển thị Người cập nhật</t>
  </si>
  <si>
    <t xml:space="preserve">
Hiển thị username hoặc mã người dùng thực hiện cập nhật gần nhất.
</t>
  </si>
  <si>
    <t>1. Chọn menu ProductHub
2. Click Đặc tính
3. Click Tab Đặc tính 
4. Check hiển thị Thời gian tạo</t>
  </si>
  <si>
    <t xml:space="preserve">
Hiển thị thời gian tạo thành công, định dạng dd/MM/yyyy HH:mm.
</t>
  </si>
  <si>
    <t xml:space="preserve">Check hiển thị Người tạo
</t>
  </si>
  <si>
    <t>1. Chọn menu ProductHub
2. Click Đặc tính
3. Click Tab Đặc tính 
4. Check hiển thị Người tạo</t>
  </si>
  <si>
    <t xml:space="preserve">
Hiển thị username hoặc mã người dùng thực hiện tạo thành công.
</t>
  </si>
  <si>
    <t>Check hiển thị cột Thao tác</t>
  </si>
  <si>
    <t>1. Chọn menu ProductHub
2. Click Đặc tính
3. Click Tab Đặc tính 
4. Check hiển thị cột Thao tác</t>
  </si>
  <si>
    <t>Gồm hai biểu tượng: 👁 Xem chi tiết, ✏️ Chỉnh sửa nhóm đặc tính.</t>
  </si>
  <si>
    <t>Check Tìm kiếm theo tên đặc tính</t>
  </si>
  <si>
    <t xml:space="preserve"> (có kết quả)</t>
  </si>
  <si>
    <t xml:space="preserve">1. Tab Đặc tính 
2. Nhập từ khóa vào ô Tìm kiếm
3. Click btn Tìm kiếm
</t>
  </si>
  <si>
    <t>Hiển thị danh sách đặc tính phù hợp với từ khóa</t>
  </si>
  <si>
    <t>Check Tìm kiếm không nhập từ khóa</t>
  </si>
  <si>
    <t xml:space="preserve">1. Tab Đặc tính 
2. Không Nhập từ khóa vào ô Tìm kiếm
3. Click btn Tìm kiếm
</t>
  </si>
  <si>
    <t>Hiển thị toàn bộ danh sách đặc tính</t>
  </si>
  <si>
    <t>Check Tìm kiếm không có kết quả</t>
  </si>
  <si>
    <t>(không có kq)</t>
  </si>
  <si>
    <t>Hiển thị thông báo: “Không tìm thấy kết quả phù hợp”</t>
  </si>
  <si>
    <t xml:space="preserve">Check Load data Nhóm đặc tính </t>
  </si>
  <si>
    <t xml:space="preserve">1. Tab Đặc tính 
2. Check Load data Nhóm đặc tính 
</t>
  </si>
  <si>
    <t xml:space="preserve">Cho phép lọc nhiều nhóm đặc tính. Danh sách lấy từ dữ liệu nhóm đặc tính hiện có.
</t>
  </si>
  <si>
    <t>Check Lọc theo Nhóm đặc tính</t>
  </si>
  <si>
    <t xml:space="preserve">1. Tab Đặc tính 
2. Check Lọc theo Nhóm đặc tính
</t>
  </si>
  <si>
    <t xml:space="preserve">Danh sách chỉ hiển thị đặc tính thuộc nhóm đã chọn
Bộ lọc được áp dụng theo cơ chế OR; dữ liệu thoả ít nhất một trong các điều kiện lọc sẽ được hiển thị.
Nếu bỏ chọn không lọc giá trị nào, danh sách hiển thị danh sách tất cả đặc tính. </t>
  </si>
  <si>
    <t>Check Thay đổi bộ lọc</t>
  </si>
  <si>
    <t xml:space="preserve">1. Tab Đặc tính 
2. Check Thay đổi bộ lọc
</t>
  </si>
  <si>
    <t>Danh sách cập nhật theo nhóm mới được chọn</t>
  </si>
  <si>
    <t>Check Tìm kiếm Nhóm đặc tính không có kết quả</t>
  </si>
  <si>
    <t xml:space="preserve">1. Tab Đặc tính 
2. Check tìm kiếm ở droplist Nhóm đặc tính
</t>
  </si>
  <si>
    <t xml:space="preserve">Nếu lọc không tìm thấy kết quả tìm kiếm, hệ thống hiển thị “Không tìm thấy kết quả phù hợp”. </t>
  </si>
  <si>
    <t>Check chọn multi select khi tìm kiếm</t>
  </si>
  <si>
    <t>1. Tab Đặc tính 
2. Check chọn multi select khi tìm kiếm</t>
  </si>
  <si>
    <t>Hiển thị dữ liệu thỏa điều kiện đang chọn</t>
  </si>
  <si>
    <t>Check Phân trang</t>
  </si>
  <si>
    <t>Tổng số bản ghi &gt; 10</t>
  </si>
  <si>
    <t xml:space="preserve">1. Tab Đặc tính 
2. Load danh sách đặc tính 
3. Check phân trang 
</t>
  </si>
  <si>
    <t>Danh sách hiển thị đúng dữ liệu theo trang được chọn</t>
  </si>
  <si>
    <t>Check Thay đổi số bản ghi trên trang</t>
  </si>
  <si>
    <t>1. Tab Đặc tính 
2. Load danh sách đặc tính 
3. Chọn dropdown số bản ghi
4. Check hiển thị số bản ghi trên trang</t>
  </si>
  <si>
    <t>Danh sách hiển thị đúng số bản ghi đã chọn</t>
  </si>
  <si>
    <t>Check click icon 👁</t>
  </si>
  <si>
    <t>1. Tab Đặc tính 
2. Load danh sách đặc tính 
3. Check click icon 👁</t>
  </si>
  <si>
    <t>Điều hướng sang màn hình Chi tiết đặc tính</t>
  </si>
  <si>
    <t>Check click icon ✏</t>
  </si>
  <si>
    <t>1. Tab Đặc tính 
2. Load danh sách đặc tính 
3. Check click icon ✏</t>
  </si>
  <si>
    <t>Điều hướng sang màn hình Chỉnh sửa đặc tính</t>
  </si>
  <si>
    <t>Check hiển thị thông báo lỗi hệ thống khi load danh sách</t>
  </si>
  <si>
    <t>1. Tab Đặc tính 
2. Load danh sách đặc tính 
3. Check hiển thị thông báo lỗi hệ thống khi load danh sách</t>
  </si>
  <si>
    <t>Hiển thị thông báo lỗi tải dữ liệu</t>
  </si>
  <si>
    <t>Check click btn + Tạo mới đặc tính</t>
  </si>
  <si>
    <t>1. Tab Đặc tính 
2. Check click btn + Tạo mới đặc tính</t>
  </si>
  <si>
    <t>điều hướng đến popup Tạo mới đặc tính .</t>
  </si>
  <si>
    <t>TẠO MỚI ĐẶC TÍNH</t>
  </si>
  <si>
    <t>AI</t>
  </si>
  <si>
    <t>Check GUI Popup Tạo mới đặc tính</t>
  </si>
  <si>
    <t>1. Tab Đặc tính 
2. Check click btn + Tạo mới đặc tính
3. Check GUI Popup Tạo mới đặc tính</t>
  </si>
  <si>
    <t>Popup "Tạo mới đặc tính" hiển thị:
- droplist Nhóm đặc tính
- Icon đặc tính (upload ảnh JPG/PNG) [V1.2]
- Tên đặc tính
- droplist: Kiểu dữ liệu
- Textbox: Giá trị đặc tính
- btn Thêm giá trị
- btn Thêm đặc tính
- btn Tạo
- Hủy
- icon Close</t>
  </si>
  <si>
    <t>Check load data Nhóm đặc tính</t>
  </si>
  <si>
    <t>1. Tab Đặc tính 
2. Check click btn + Tạo mới đặc tính
3. Check load data Nhóm dặc tính</t>
  </si>
  <si>
    <t>Khi click vào ô, hệ thống mở danh sách các nhóm đặc tính đã cấu hình trước đấy. 
UI: danh sách xổ xuống, có thể search.</t>
  </si>
  <si>
    <t>Check Seach Nhóm đặc tính</t>
  </si>
  <si>
    <t>1. Tab Đặc tính 
2. Check click btn + Tạo mới đặc tính
3. Check Seach Nhóm dặc tính</t>
  </si>
  <si>
    <t>Nhóm đặc tính hiển thị dữ liệu thỏa điều kiện đang tìm kiếm</t>
  </si>
  <si>
    <t>Check multi-select Nhóm đặc tính</t>
  </si>
  <si>
    <t>1. Tab Đặc tính 
2. click btn + Tạo mới đặc tính
3. Check multi-select Nhóm đặc tính</t>
  </si>
  <si>
    <t>Cho phép chọn nhiều dữ liệu trong Nhóm đặc tính</t>
  </si>
  <si>
    <t>Check load data Kiểu dữ liệu</t>
  </si>
  <si>
    <t>1. Tab Đặc tính 
2. Check click btn + Tạo mới đặc tính
3. Check load data Kiểu dữ liệu</t>
  </si>
  <si>
    <t>Các kiểu dữ liệu: 
- Dropdown: Tại màn hình cấu hình SKU, mỗi đặc tính chỉ cho phép chọn 01 giá trị đặc tính. 
- Text: Tại màn hình cấu hình SKU, cho phép nhập mô tả đặc tính SKU, maxlength 5000 từ.</t>
  </si>
  <si>
    <t>Check multi-select Kiểu dữ liệu</t>
  </si>
  <si>
    <t>1. Tab Đặc tính 
2. Check click btn + Tạo mới đặc tính
3. Check multi-select Kiểu dữ liệu</t>
  </si>
  <si>
    <t xml:space="preserve"> Multi-select Dropdown: Tại màn hình cấu hình SKU, mỗi đặc tính cho phép chọn nhiều giá trị đặc tính.</t>
  </si>
  <si>
    <t>Check Tạo đặc tính khi không nhập Tên đặc tính</t>
  </si>
  <si>
    <t>1. Không nhập Tên đặc tính
2. Nhập các field khác hợp lệ
3. Click “Tạo”</t>
  </si>
  <si>
    <t>Hiển thị lỗi “Vui lòng nhập tên đặc tính!”, không lưu dữ liệu</t>
  </si>
  <si>
    <t>Check Tạo đặc tính khi nhập Tên đặc tính là khoảng trắng</t>
  </si>
  <si>
    <t>1. Nhập Tên đặc tính là khoảng trắng
2. Nhập các field khác hợp lệ
3. Click “Tạo”</t>
  </si>
  <si>
    <t>Hiển thị lỗi “‘Vui lòng nhập tên đặc tính!’, không lưu dữ liệu</t>
  </si>
  <si>
    <t>Check Tạo đặc tính khi nhập Tên đặc tính quá dài</t>
  </si>
  <si>
    <t>1. Nhập Tên đặc tính quá dài
2. Nhập các field khác hợp lệ
3. Click “Tạo”</t>
  </si>
  <si>
    <t>Hiển thị cảnh báo Tên đặc tính được nhập tối đa 255 ký tự</t>
  </si>
  <si>
    <t>Check Tạo đặc tính khi Không chọn Kiểu dữ liệu</t>
  </si>
  <si>
    <t>1. Không chọn Kiểu dữ liệu
2. Nhập các field khác hợp lệ
3. Click “Tạo”</t>
  </si>
  <si>
    <t>Hiển thị lỗi “Vui lòng chọn kiểu dữ liệu!”, không lưu</t>
  </si>
  <si>
    <t>Check Tạo đặc tính khi Không nhập Giá trị đặc tính</t>
  </si>
  <si>
    <t>1. Không nhập Giá trị đặc tính
2. Nhập các field khác hợp lệ
3. Click “Tạo”</t>
  </si>
  <si>
    <t>Hiển thị lỗi “Vui lòng nhập Giá trị đặc tính!”, không lưu</t>
  </si>
  <si>
    <t>Check Tạo đặc tính trùng với tên đặc tính đã có trong hệ thống</t>
  </si>
  <si>
    <t>1. Tại màn hình Tạo đặc tính mới
2. Nhập tên đặc tính đã tồn tại trong hệ thống
3. Nhập đầy đủ các trường bắt buộc khác
4. Check click button Tạo</t>
  </si>
  <si>
    <t>Hệ thống show thông báo lỗi “Tên đặc tính đã tồn tại. Vui lòng nhập lại"</t>
  </si>
  <si>
    <t>Check Tạo đặc tính khi nhập đúng, đủ các trường thông tin</t>
  </si>
  <si>
    <t>Popup Tạo mới đặc tính đang mở</t>
  </si>
  <si>
    <t>1. Nhập Tên đặc tính hợp lệ
2. Chọn Kiểu dữ liệu
3. Nhập ít nhất 1 Giá trị đặc tính
4. (Tuỳ chọn) Upload Icon đặc tính
5. Click "Tạo"</t>
  </si>
  <si>
    <t>Hệ thống hiển thị thông báo "Tạo thành công";
popup đóng; đặc tính mới xuất hiện đầu danh sách
- Tạo thành công dù có hoặc không upload Icon đặc tính</t>
  </si>
  <si>
    <t>Kiểm tra field Icon đặc tính hiển thị trong popup Tạo mới [V1.2]</t>
  </si>
  <si>
    <t>1. Mở popup Tạo mới đặc tính
2. Quan sát các field trong popup</t>
  </si>
  <si>
    <t>Field "Icon đặc tính" hiển thị trong popup;
field là optional (không có dấu * bắt buộc)</t>
  </si>
  <si>
    <t>Kiểm tra upload icon hợp lệ (JPG/PNG, ≤1MB) — thành công [V1.2]</t>
  </si>
  <si>
    <t>Popup Tạo mới đặc tính đang mở;
có file JPG hoặc PNG kích thước ≤1MB</t>
  </si>
  <si>
    <t>1. Click vào field Icon đặc tính
2. Chọn file JPG hoặc PNG kích thước ≤1MB
3. Quan sát kết quả</t>
  </si>
  <si>
    <t>Icon được upload thành công;
hiển thị preview ảnh trong form;
không có thông báo lỗi</t>
  </si>
  <si>
    <t>Kiểm tra upload icon — format không hợp lệ (không phải JPG/PNG) [V1.2]</t>
  </si>
  <si>
    <t>1. Click vào field Icon đặc tính
2. Chọn file không phải JPG/PNG (ví dụ: .gif, .svg, .pdf)
3. Quan sát kết quả</t>
  </si>
  <si>
    <t>Hệ thống từ chối file;
hiển thị thông báo lỗi yêu cầu định dạng JPG hoặc PNG;
file không được upload</t>
  </si>
  <si>
    <t>Kiểm tra upload icon — kích thước vượt 1MB [V1.2]</t>
  </si>
  <si>
    <t>Popup Tạo mới đặc tính đang mở;
có file JPG/PNG kích thước &gt; 1MB</t>
  </si>
  <si>
    <t>1. Click vào field Icon đặc tính
2. Chọn file JPG/PNG có kích thước &gt; 1MB
3. Quan sát kết quả</t>
  </si>
  <si>
    <t>Hệ thống từ chối file;
hiển thị thông báo lỗi kích thước tối đa 1MB;
file không được upload</t>
  </si>
  <si>
    <t>Kiểm tra upload icon lần 2 thay thế icon cũ (max 1 icon) [V1.2]</t>
  </si>
  <si>
    <t>Popup Tạo mới đặc tính đang mở;
đã upload 1 icon JPG/PNG hợp lệ</t>
  </si>
  <si>
    <t>1. Upload thêm 1 file ảnh JPG/PNG hợp lệ thứ 2
2. Quan sát kết quả</t>
  </si>
  <si>
    <t>Icon thứ 2 thay thế icon cũ;
chỉ hiển thị 1 icon trong form;
không có thông báo lỗi</t>
  </si>
  <si>
    <t>Kiểm tra Kiểu dữ liệu = Text — không có nút Thêm giá trị [V1.2]</t>
  </si>
  <si>
    <t>1. Chọn Kiểu dữ liệu = "Text"
2. Quan sát field Giá trị đặc tính</t>
  </si>
  <si>
    <t>Field Giá trị đặc tính vẫn hiển thị;
KHÔNG có nút "Thêm giá trị";
không thể thêm predefined value khi Kiểu dữ liệu = Text</t>
  </si>
  <si>
    <t>Check click btn + Thêm giá trị</t>
  </si>
  <si>
    <t>1. Check click btn + Thêm giá trị</t>
  </si>
  <si>
    <t xml:space="preserve"> UI thêm 1 dòng nhập giá trị bên dưới. Người dùng nhập giá trị mới. Có thể thêm nhiều giá trị.
</t>
  </si>
  <si>
    <t>Check Sl tối đa khi Thêm giá trị</t>
  </si>
  <si>
    <t>1. Click “+ Thêm giá trị” nhiều lần
2. Nhập nhiều giá trị</t>
  </si>
  <si>
    <t>Thêm được nhiều dòng giá trị, tối đa 50 dòng</t>
  </si>
  <si>
    <t>Check Xóa Giá trị đặc tính</t>
  </si>
  <si>
    <t>1. Click icon “X” ở dòng bất kỳ (trừ dòng đầu)</t>
  </si>
  <si>
    <t>Dòng được xóa, dòng đầu tiên không có icon X</t>
  </si>
  <si>
    <t>Check Tên đặc tính bị trùng</t>
  </si>
  <si>
    <t>1. Nhập Tên đặc tính bị trùng
2. Nhập các field khác hợp lệ
3. Click “Tạo”</t>
  </si>
  <si>
    <t>Hiển thị lỗi “Tên đặc tính đã tồn tại. Vui lòng nhập lại!”, không lưu</t>
  </si>
  <si>
    <t>Check Tên đặc tính trùng nhưng khác hoa thường &amp; có khoảng trắng</t>
  </si>
  <si>
    <t>1. Tên đặc tính trùng nhưng khác hoa thường &amp; có khoảng trắng
2. Nhập các field khác hợp lệ
3. Click “Tạo”</t>
  </si>
  <si>
    <t>Hệ thống trim &amp; ignore case, báo lỗi trùng tên</t>
  </si>
  <si>
    <t>Đóng popup bằng nút Hủy</t>
  </si>
  <si>
    <t>1. Click “Hủy”</t>
  </si>
  <si>
    <t>Popup đóng, không tạo mới đặc tính</t>
  </si>
  <si>
    <t>Đóng popup bằng icon Close (X)</t>
  </si>
  <si>
    <t>1. Click icon Close (X)</t>
  </si>
  <si>
    <t>Popup đóng, không lưu dữ liệu</t>
  </si>
  <si>
    <t>Check nội dung Lỗi hệ thống khi tạo mới</t>
  </si>
  <si>
    <t>1. Nhập dữ liệu hợp lệ
2. Click “Tạo”</t>
  </si>
  <si>
    <t>Hiển thị thông báo “Không thể tạo đặc tính. Vui lòng thử lại sau.”</t>
  </si>
  <si>
    <t>Xem chi tiết đặc tính</t>
  </si>
  <si>
    <t>Check Xem chi tiết đặc tính</t>
  </si>
  <si>
    <t>1. Login thành công vào hệ thống 
2. Click Menu ProductHub &gt; Đặc tính
3. Click Tab Đặc tính
4. Click icon View của 1 đặc tính</t>
  </si>
  <si>
    <t>Hiển thị Popup “Chi tiết đặc tính” hiển thị</t>
  </si>
  <si>
    <t>Check Mở popup Chi tiết đặc tính bằng click tên đặc tính</t>
  </si>
  <si>
    <t>1. Click trực tiếp vào Tên đặc tính trong danh sách</t>
  </si>
  <si>
    <t>Check Popup Chi tiết đặc tính</t>
  </si>
  <si>
    <t>1. Click trực tiếp vào Tên đặc tính trong danh sách or click icon View của 1 đặc tính</t>
  </si>
  <si>
    <t>popup Hiển thị đúng các field:
- Nhóm đặc tính
- Icon đặc tính (nếu đặc tính có Icon) [V1.2]
- Tên đặc tính
- Kiểu dữ liệu
- Giá trị đặc tính
- btn Đóng</t>
  </si>
  <si>
    <t>Check Kiểm tra dữ liệu hiển thị đúng với dữ liệu đã lưu</t>
  </si>
  <si>
    <t>1. Mở Chi tiết đặc tính
2. Check hiển thị dữ liệu so với data đã lưu trước đó</t>
  </si>
  <si>
    <t>Hiển thị đúng dữ liệu Lưu và xem chi tiết</t>
  </si>
  <si>
    <t>Check Kiểm tra chế độ read-only</t>
  </si>
  <si>
    <t>1. Click vào các field (Tên, Kiểu dữ liệu, Giá trị, Icon đặc tính)</t>
  </si>
  <si>
    <t>Không cho chỉnh sửa, tất cả field ở chế độ read-only;
Icon đặc tính chỉ hiển thị ảnh, không thể upload/thay đổi</t>
  </si>
  <si>
    <t>Check Hiển thị nhiều Nhóm đặc tính</t>
  </si>
  <si>
    <t>1. Mở Chi tiết đặc tính</t>
  </si>
  <si>
    <t>Các nhóm đặc tính hiển thị đúng dạng tag/chip</t>
  </si>
  <si>
    <t>Check Hiển thị danh sách Giá trị đặc tính (Dropdown)</t>
  </si>
  <si>
    <t>Hiển thị đầy đủ danh sách giá trị theo thứ tự đã lưu</t>
  </si>
  <si>
    <t>Check Hiển thị danh sách Giá trị đặc tính (Multi-select Dropdown)</t>
  </si>
  <si>
    <t>Kiểu dữ liệu = Multi-select Dropdown</t>
  </si>
  <si>
    <t>Hiển thị đầy đủ các giá trị đặc tính</t>
  </si>
  <si>
    <t>Check Hiển thị Giá trị đặc tính với kiểu Text</t>
  </si>
  <si>
    <t>Kiểu dữ liệu = Text</t>
  </si>
  <si>
    <t>Hiển thị đúng nội dung text</t>
  </si>
  <si>
    <t>Kiểm tra Icon đặc tính hiển thị read-only trong popup Chi tiết [V1.2]</t>
  </si>
  <si>
    <t>Đặc tính có Icon đặc tính đã được upload;
popup Chi tiết đặc tính đang mở</t>
  </si>
  <si>
    <t>1. Mở popup Chi tiết của đặc tính có Icon
2. Quan sát field Icon đặc tính</t>
  </si>
  <si>
    <t>Icon đặc tính hiển thị đúng ảnh đã upload;
field ở chế độ read-only (không thể upload/thay đổi)</t>
  </si>
  <si>
    <t>Kiểm tra popup Chi tiết khi đặc tính không có Icon [V1.2]</t>
  </si>
  <si>
    <t>Đặc tính không có Icon (không upload trước đó);
popup Chi tiết đang mở</t>
  </si>
  <si>
    <t>1. Mở popup Chi tiết của đặc tính không có Icon
2. Quan sát field Icon đặc tính</t>
  </si>
  <si>
    <t>Field Icon không hiển thị ảnh (trống hoặc placeholder mặc định);
không có lỗi</t>
  </si>
  <si>
    <t>Check Đóng popup bằng nút Đóng</t>
  </si>
  <si>
    <t>1. Click nút Đóng</t>
  </si>
  <si>
    <t>Popup đóng, quay về danh sách đặc tính</t>
  </si>
  <si>
    <t>Check Quay về đúng màn hình trước sau khi đóng popup</t>
  </si>
  <si>
    <t>1. Click Đóng</t>
  </si>
  <si>
    <t>Quay về đúng màn hình danh sách đặc tính</t>
  </si>
  <si>
    <t>Check Xử lý lỗi khi không lấy được dữ liệu chi tiết</t>
  </si>
  <si>
    <t>1. Click View chi tiết</t>
  </si>
  <si>
    <t>Hiển thị thông báo lỗi: “Có lỗi xảy ra. Vui lòng thử lại sau.”</t>
  </si>
  <si>
    <t>Xem Chỉnh sửa đặc tính</t>
  </si>
  <si>
    <t>Check  click icon Chỉnh sửa đặc tính</t>
  </si>
  <si>
    <t>1. Login thành công vào hệ thống 
2. Click Menu ProductHub &gt; Đặc tính
3. Click Tab Đặc tính
4. Click icon chỉnh sửa 1 đặc tính</t>
  </si>
  <si>
    <t>Hiển thị Popup “Chỉnh sửa đặc tính” hiển thị</t>
  </si>
  <si>
    <t>Check Hiển thị đúng dữ liệu hiện tại của đặc tính</t>
  </si>
  <si>
    <t>1. Login thành công vào hệ thống 
2. Click Menu ProductHub &gt; Đặc tính
3. Click Tab Đặc tính
4. Click icon chỉnh sửa 1 đặc tính
5. Check Hiển thị đúng dữ liệu hiện tại của đặc tính</t>
  </si>
  <si>
    <t>Tất cả field hiển thị đúng dữ liệu hiện có;
bao gồm Icon đặc tính (nếu đặc tính có Icon đã upload trước đó) [V1.2]</t>
  </si>
  <si>
    <t>Kiểm tra field Icon đặc tính trong popup Chỉnh sửa — upload icon mới [V1.2]</t>
  </si>
  <si>
    <t>Popup Chỉnh sửa đặc tính đang mở (đặc tính có hoặc không có Icon)</t>
  </si>
  <si>
    <t>1. Click vào field Icon đặc tính
2. Upload file JPG hoặc PNG hợp lệ (≤1MB)
3. Click Lưu</t>
  </si>
  <si>
    <t>Icon mới được lưu thành công;
nếu đặc tính đã có Icon cũ, Icon cũ bị thay thế</t>
  </si>
  <si>
    <t>Kiểm tra Chỉnh sửa — không có nút xóa icon riêng [V1.2]</t>
  </si>
  <si>
    <t>Popup Chỉnh sửa đặc tính đang mở; đặc tính đang có Icon</t>
  </si>
  <si>
    <t>1. Quan sát field Icon đặc tính trong popup Chỉnh sửa
2. Tìm nút xóa (remove) icon</t>
  </si>
  <si>
    <t>Không có nút xóa icon riêng;
Icon chỉ có thể được thay thế bằng cách upload file mới đè lên</t>
  </si>
  <si>
    <t>QC</t>
  </si>
  <si>
    <t>Kiểm tra thay đổi Kiểu dữ liệu trong Chỉnh sửa [V1.2]</t>
  </si>
  <si>
    <t>Popup Chỉnh sửa đặc tính đang mở;
đặc tính hiện có Kiểu dữ liệu = Dropdown;
đặc tính đã được gán cho ít nhất 1 SKU</t>
  </si>
  <si>
    <t>1. Thay đổi Kiểu dữ liệu sang Multi-select Dropdown
2. Click Lưu</t>
  </si>
  <si>
    <t>Cho phép thay đổi Kiểu dữ liệu;
Lưu thành công;
Gói bán đã gán không bị ảnh hưởng</t>
  </si>
  <si>
    <t>Kiểm tra KDL = Text trong Chỉnh sửa — không có nút Thêm giá trị [V1.2]</t>
  </si>
  <si>
    <t>Popup Chỉnh sửa đặc tính đang mở;
Kiểu dữ liệu của đặc tính = Text</t>
  </si>
  <si>
    <t>1. Quan sát Kiểu dữ liệu = "Text"
2. Quan sát field Giá trị đặc tính</t>
  </si>
  <si>
    <t>Field Giá trị đặc tính hiển thị;
KHÔNG có nút "Thêm giá trị";
nhất quán với hành vi tại màn hình Tạo mới</t>
  </si>
  <si>
    <t>Chỉnh sửa Tên đặc tính thành công</t>
  </si>
  <si>
    <t>1. Login thành công vào hệ thống 
2. Click Menu ProductHub &gt; Đặc tính
3. Click Tab Đặc tính
4. Click icon chỉnh sửa 1 đặc tính
5. Thay đổi Tên đặc tính hợp lệ
6. Click Lưu</t>
  </si>
  <si>
    <t>Cập nhật thành công, popup đóng, dữ liệu mới hiển thị trong danh sách</t>
  </si>
  <si>
    <t>Chỉnh sửa Nhóm đặc tính</t>
  </si>
  <si>
    <t>1. Login thành công vào hệ thống 
2. Click Menu ProductHub &gt; Đặc tính
3. Click Tab Đặc tính
4. Click icon chỉnh sửa 1 đặc tính
5. Cập nhật/thêm/xóa nhóm đặc tính
6. Click Lưu</t>
  </si>
  <si>
    <t>Nhóm đặc tính được cập nhật đúng</t>
  </si>
  <si>
    <t>Chỉnh sửa Giá trị đặc tính</t>
  </si>
  <si>
    <t>1. Login thành công vào hệ thống 
2. Click Menu ProductHub &gt; Đặc tính
3. Click Tab Đặc tính
4. Click icon chỉnh sửa 1 đặc tính
5. Sửa giá trị hiện có
6. Click Lưu</t>
  </si>
  <si>
    <t>Giá trị đặc tính được cập nhật</t>
  </si>
  <si>
    <t>Thêm mới Giá trị đặc tính</t>
  </si>
  <si>
    <t>1. Login thành công vào hệ thống 
2. Click Menu ProductHub &gt; Đặc tính
3. Click Tab Đặc tính
4. Click icon chỉnh sửa 1 đặc tính
5. Click + Thêm giá trị
6. Nhập giá trị mới
7. Click Lưu</t>
  </si>
  <si>
    <t>Giá trị mới được thêm và lưu thành công</t>
  </si>
  <si>
    <t>Xóa Giá trị đặc tính</t>
  </si>
  <si>
    <t>Có ≥2 giá trị</t>
  </si>
  <si>
    <t>1. Login thành công vào hệ thống 
2. Click Menu ProductHub &gt; Đặc tính
3. Click Tab Đặc tính
4. Click icon chỉnh sửa 1 đặc tính
5. Click icon X tại 1 giá trị
6. Click Lưu</t>
  </si>
  <si>
    <t>Giá trị bị xóa khỏi hệ thống</t>
  </si>
  <si>
    <t>Không nhập Tên đặc tính</t>
  </si>
  <si>
    <t>1. Login thành công vào hệ thống 
2. Click Menu ProductHub &gt; Đặc tính
3. Click Tab Đặc tính
4. Click icon chỉnh sửa 1 đặc tính
5. Xóa Tên đặc tính
6. Click Lưu</t>
  </si>
  <si>
    <t>Hiển thị lỗi: “Vui lòng nhập tên đặc tính!”</t>
  </si>
  <si>
    <t>Không chọn Kiểu dữ liệu</t>
  </si>
  <si>
    <t>1. Login thành công vào hệ thống 
2. Click Menu ProductHub &gt; Đặc tính
3. Click Tab Đặc tính
4. Click icon chỉnh sửa 1 đặc tính
5. Bỏ chọn Kiểu dữ liệu
6. Click Lưu</t>
  </si>
  <si>
    <t>Hiển thị lỗi: “Vui lòng chọn kiểu dữ liệu!”</t>
  </si>
  <si>
    <t>Không nhập Giá trị đặc tính</t>
  </si>
  <si>
    <t>1. Login thành công vào hệ thống 
2. Click Menu ProductHub &gt; Đặc tính
3. Click Tab Đặc tính
4. Click icon chỉnh sửa 1 đặc tính
5. Xóa toàn bộ Giá trị đặc tính
6. Click Lưu</t>
  </si>
  <si>
    <t>Hiển thị lỗi: “Vui lòng nhập giá trị đặc tính!”</t>
  </si>
  <si>
    <t>Trùng Tên đặc tính với đặc tính khác</t>
  </si>
  <si>
    <t>1. Login thành công vào hệ thống 
2. Click Menu ProductHub &gt; Đặc tính
3. Click Tab Đặc tính
4. Click icon chỉnh sửa 1 đặc tính
5. Nhập Tên đặc tính trùng
6. Click Lưu</t>
  </si>
  <si>
    <t>Hiển thị lỗi: “Tên đặc tính đã tồn tại. Vui lòng nhập khác.”</t>
  </si>
  <si>
    <t>Trim &amp; không phân biệt hoa thường Tên đặc tính</t>
  </si>
  <si>
    <t>1. Login thành công vào hệ thống 
2. Click Menu ProductHub &gt; Đặc tính
3. Click Tab Đặc tính
4. Click icon chỉnh sửa 1 đặc tính
5. Nhập tên có khoảng trắng/viết hoa
6. Click Lưu</t>
  </si>
  <si>
    <t>Hệ thống trim &amp; ignore case, báo lỗi trùng</t>
  </si>
  <si>
    <t>Không thay đổi dữ liệu nhưng click Lưu</t>
  </si>
  <si>
    <t>1. Login thành công vào hệ thống 
2. Click Menu ProductHub &gt; Đặc tính
3. Click Tab Đặc tính
4. Click icon chỉnh sửa 1 đặc tính
5. Không thay đổi dữ liệu
6. Click Lưu</t>
  </si>
  <si>
    <t>Hệ thống không cho lưu hoặc không thay đổi dữ liệu</t>
  </si>
  <si>
    <t>Giới hạn độ dài Tên đặc tính</t>
  </si>
  <si>
    <t>1. Login thành công vào hệ thống 
2. Click Menu ProductHub &gt; Đặc tính
3. Click Tab Đặc tính
4. Click icon chỉnh sửa 1 đặc tính
5. Nhập Tên đặc tính &gt;255 ký tự
6. Click Lưu</t>
  </si>
  <si>
    <t>1. Nhập Tên đặc tính &gt;255 ký tự
2. Click Lưu</t>
  </si>
  <si>
    <t>Giới hạn số lượng Giá trị đặc tính</t>
  </si>
  <si>
    <t>1. Login thành công vào hệ thống 
2. Click Menu ProductHub &gt; Đặc tính
3. Click Tab Đặc tính
4. Click icon chỉnh sửa 1 đặc tính
5. Nhập Số lượng giá trị đặc tính &gt;50 
6. Click Lưu</t>
  </si>
  <si>
    <t>Không cho thêm vượt quá 50</t>
  </si>
  <si>
    <t>1. Login thành công vào hệ thống 
2. Click Menu ProductHub &gt; Đặc tính
3. Click Tab Đặc tính
4. Click icon chỉnh sửa 1 đặc tính
5. Thao tác chỉnh sửa dữ liệu hợp lệ
6. Click Hủy</t>
  </si>
  <si>
    <t>Popup đóng, không lưu thay đổi</t>
  </si>
  <si>
    <t>1. Login thành công vào hệ thống 
2. Click Menu ProductHub &gt; Đặc tính
3. Click Tab Đặc tính
4. Click icon chỉnh sửa 1 đặc tính
5. Thao tác chỉnh sửa dữ liệu hợp lệ
6. Click icon (X)</t>
  </si>
  <si>
    <t>Check thông báo Cập nhật thành công</t>
  </si>
  <si>
    <t>1. Login thành công vào hệ thống 
2. Click Menu ProductHub &gt; Đặc tính
3. Click Tab Đặc tính
4. Click icon chỉnh sửa 1 đặc tính
5. Thao tác chỉnh sửa dữ liệu hợp lệ
6. Click btn Lưu
7. Check thông báo</t>
  </si>
  <si>
    <t>Hiển thị toast: “Chỉnh sửa đặc tính thành công”</t>
  </si>
  <si>
    <t>Danh sách đặc tính hiển thị dữ liệu mới</t>
  </si>
  <si>
    <t>1. Login thành công vào hệ thống 
2. Click Menu ProductHub &gt; Đặc tính
3. Click Tab Đặc tính
4. Click icon chỉnh sửa 1 đặc tính
5. Thao tác chỉnh sửa dữ liệu hợp lệ
6. Click btn Lưu
7. Quan sát danh sách đặc tính</t>
  </si>
  <si>
    <t>Dữ liệu hiển thị đúng thông tin mới</t>
  </si>
  <si>
    <t>DANH SÁCH NỘI DUNG GÓI BÁN</t>
  </si>
  <si>
    <t>Kiểm tra truy cập màn hình Danh sách khi người dùng không có quyền</t>
  </si>
  <si>
    <t>1. Người dùng đã đăng nhập hệ thống.
2. Tài khoản KHÔNG có quyền 'Xem danh sách nội dung Gói bán'.</t>
  </si>
  <si>
    <t>1. Truy cập menu Nội dung hiển thị.
2. Chọn Gói bán.</t>
  </si>
  <si>
    <t>Hệ thống hiển thị thông báo lỗi: 'Bạn không có quyền truy cập chức năng này'. Danh sách không được hiển thị.</t>
  </si>
  <si>
    <t>Kiểm tra truy cập màn hình Danh sách khi người dùng có quyền hợp lệ</t>
  </si>
  <si>
    <t>1. Người dùng đã đăng nhập hệ thống.
2. Tài khoản có quyền 'Xem danh sách nội dung Gói bán'.</t>
  </si>
  <si>
    <t>Hệ thống điều hướng thành công đến màn hình Danh sách nội dung Gói bán. Tiêu đề 'Danh sách nội dung gói bán' được hiển thị.</t>
  </si>
  <si>
    <t>Kiểm tra truy cập màn hình Danh sách khi chưa đăng nhập</t>
  </si>
  <si>
    <t>Người dùng CHƯA đăng nhập hệ thống.</t>
  </si>
  <si>
    <t>1. Truy cập trực tiếp URL màn hình Danh sách nội dung Gói bán.</t>
  </si>
  <si>
    <t>Hệ thống chuyển hướng về trang đăng nhập. Danh sách nội dung không được hiển thị.</t>
  </si>
  <si>
    <t>Kiểm tra hiển thị danh sách khi có dữ liệu trong hệ thống</t>
  </si>
  <si>
    <t>1. Đã đăng nhập, có quyền xem.
2. Hệ thống có dữ liệu nội dung gói bán được tạo.</t>
  </si>
  <si>
    <t>1. Truy cập menu Nội dung hiển thị.
2. Chọn Gói bán.
3. Quan sát danh sách hiển thị.</t>
  </si>
  <si>
    <t>Danh sách gói bán hiển thị đủ các cột: STT, Gói bán, Kênh bán, Thời gian cập nhật, Người cập nhật, Thời gian tạo, Người tạo, Icon '...'. Mặc định hiển thị 20 bản ghi đầu tiên.</t>
  </si>
  <si>
    <t>Kiểm tra hiển thị danh sách khi không có dữ liệu trong hệ thống</t>
  </si>
  <si>
    <t>1. Đã đăng nhập, có quyền xem.
2. Hệ thống KHÔNG có dữ liệu gói bán.</t>
  </si>
  <si>
    <t>1. Truy cập menu Nội dung hiển thị.
2. Chọn Gói bán.
3. Quan sát khu vực hiển thị danh sách.</t>
  </si>
  <si>
    <t>Danh sách rỗng. Hệ thống hiển thị thông báo: 'Không có dữ liệu'.</t>
  </si>
  <si>
    <t>Kiểm tra sắp xếp danh sách theo thời gian cập nhật gần nhất (giảm dần)</t>
  </si>
  <si>
    <t>1. Đã đăng nhập, có quyền xem.
2. Hệ thống có nhiều bản ghi với thời gian cập nhật khác nhau.</t>
  </si>
  <si>
    <t>1. Truy cập menu Nội dung hiển thị.
2. Chọn Gói bán.
3. Quan sát thứ tự các bản ghi theo cột 'Thời gian cập nhật'.</t>
  </si>
  <si>
    <t>Bản ghi có 'Thời gian cập nhật' mới nhất được hiển thị đầu tiên (sắp xếp giảm dần theo thời gian cập nhật).</t>
  </si>
  <si>
    <t>Kiểm tra phân trang - hiển thị 20 bản ghi mặc định mỗi trang</t>
  </si>
  <si>
    <t>1. Đã đăng nhập, có quyền xem.
2. Hệ thống có hơn 21 bản ghi gói bán.</t>
  </si>
  <si>
    <t>1. Truy cập menu Nội dung hiển thị.
2. Chọn Gói bán.
3. Đếm số bản ghi hiển thị trên trang đầu tiên.</t>
  </si>
  <si>
    <t>Trang đầu tiên hiển thị đúng 20 bản ghi. Thanh điều hướng trang được hiển thị.</t>
  </si>
  <si>
    <t>Kiểm tra phân trang - chuyển sang trang tiếp theo</t>
  </si>
  <si>
    <t>1. Đã đăng nhập, có quyền xem.
2. Hệ thống có hơn 11 bản ghi gói bán.</t>
  </si>
  <si>
    <t>1. Truy cập menu Nội dung hiển thị.
2. Chọn Gói bán.
3. Nhấn nút điều hướng sang trang 2.
4. Quan sát danh sách trang 2.</t>
  </si>
  <si>
    <t>Trang 2 hiển thị đúng các bản ghi tiếp theo. STT tiếp tục từ bản ghi thứ 21.</t>
  </si>
  <si>
    <t>Kiểm tra định dạng cột 'Thời gian cập nhật' đúng dd/mm/yyyy HH:mm</t>
  </si>
  <si>
    <t>1. Truy cập menu Nội dung hiển thị.
2. Chọn Gói bán.
3. Quan sát giá trị hiển thị trong cột 'Thời gian cập nhật' của bất kỳ bản ghi nào.</t>
  </si>
  <si>
    <t>Cột 'Thời gian cập nhật' hiển thị đúng định dạng dd/mm/yyyy HH:mm (24h). Ví dụ: 28/03/2026 14:30.</t>
  </si>
  <si>
    <t>Kiểm tra định dạng cột 'Thời gian tạo' đúng dd/mm/yyyy HH:mm</t>
  </si>
  <si>
    <t>1. Truy cập menu Nội dung hiển thị.
2. Chọn Gói bán.
3. Quan sát giá trị hiển thị trong cột 'Thời gian tạo' của bất kỳ bản ghi nào.</t>
  </si>
  <si>
    <t>Cột 'Thời gian tạo' hiển thị đúng định dạng dd/mm/yyyy HH:mm (24h). Ví dụ: 01/01/2026 09:00.</t>
  </si>
  <si>
    <t>Kiểm tra tìm kiếm theo tên gói bán - từ khóa khớp chính xác</t>
  </si>
  <si>
    <t>1. Đã đăng nhập, có quyền xem.
2. Hệ thống có ít nhất 1 gói bán tên 'Gói Internet 100Mbps'.</t>
  </si>
  <si>
    <t>1. Truy cập menu Nội dung hiển thị.
2. Chọn Gói bán.
3. Nhập từ khóa 'Gói Internet 100Mbps' vào ô tìm kiếm.
4. Nhấn nút 'Tìm kiếm'.
5. Quan sát kết quả trả về trong danh sách.</t>
  </si>
  <si>
    <t>Danh sách chỉ hiển thị bản ghi 'Gói Internet 100Mbps'. Các bản ghi không khớp bị ẩn.</t>
  </si>
  <si>
    <t>Kiểm tra tìm kiếm không phân biệt hoa/thường</t>
  </si>
  <si>
    <t>1. Đã đăng nhập, có quyền xem.
2. Hệ thống có gói bán tên 'Gói Internet 100Mbps'.</t>
  </si>
  <si>
    <t>1. Truy cập menu Nội dung hiển thị.
2. Chọn Gói bán.
3. Nhập từ khóa 'gói internet 100mbps' (chữ thường) vào ô tìm kiếm.
4. Nhấn nút 'Tìm kiếm'.
5. Quan sát kết quả trả về trong danh sách.</t>
  </si>
  <si>
    <t>Danh sách hiển thị bản ghi 'Gói Internet 100Mbps'. Hệ thống không phân biệt hoa/thường.</t>
  </si>
  <si>
    <t>Kiểm tra tìm kiếm bằng phím Enter</t>
  </si>
  <si>
    <t>1. Đã đăng nhập, có quyền xem.
2. Hệ thống có gói bán chứa từ 'Internet'.</t>
  </si>
  <si>
    <t>1. Truy cập menu Nội dung hiển thị.
2. Chọn Gói bán.
3. Nhập từ khóa 'Internet' vào ô tìm kiếm.
4. Nhấn phím Enter.
5. Quan sát kết quả trả về trong danh sách.</t>
  </si>
  <si>
    <t>Danh sách hiển thị các bản ghi có tên chứa 'Internet'. Kết quả tương đương với nhấn nút 'Tìm kiếm'.</t>
  </si>
  <si>
    <t>Kiểm tra tìm kiếm với từ khóa một phần (partial match)</t>
  </si>
  <si>
    <t>1. Đã đăng nhập, có quyền xem.
2. Hệ thống có 'Gói Internet 100Mbps' và 'Gói Internet 200Mbps'.</t>
  </si>
  <si>
    <t>1. Truy cập menu Nội dung hiển thị.
2. Chọn Gói bán.
3. Nhập từ khóa 'Internet' vào ô tìm kiếm.
4. Nhấn nút 'Tìm kiếm'.
5. Quan sát kết quả trả về trong danh sách.</t>
  </si>
  <si>
    <t>Danh sách hiển thị cả 'Gói Internet 100Mbps' và 'Gói Internet 200Mbps'. Hệ thống hỗ trợ tìm kiếm substring.</t>
  </si>
  <si>
    <t>Kiểm tra tìm kiếm không có kết quả</t>
  </si>
  <si>
    <t>1. Truy cập menu Nội dung hiển thị.
2. Chọn Gói bán.
3. Nhập từ khóa 'XYZXYZXYZ_khong_ton_tai' vào ô tìm kiếm.
4. Nhấn nút 'Tìm kiếm'.
5. Quan sát khu vực hiển thị danh sách.</t>
  </si>
  <si>
    <t>Danh sách rỗng. Hệ thống hiển thị thông báo: 'Không tìm thấy kết quả phù hợp'.</t>
  </si>
  <si>
    <t>Kiểm tra tìm kiếm với ô tìm kiếm để trống</t>
  </si>
  <si>
    <t>1. Truy cập menu Nội dung hiển thị.
2. Chọn Gói bán.
3. Để trống ô tìm kiếm.
4. Nhấn nút 'Tìm kiếm'.
5. Quan sát danh sách hiển thị.</t>
  </si>
  <si>
    <t>Hệ thống hiển thị toàn bộ danh sách gói bán (20 bản ghi mặc định/trang).</t>
  </si>
  <si>
    <t>Kiểm tra placeholder ô tìm kiếm</t>
  </si>
  <si>
    <t>Đã đăng nhập, có quyền xem.</t>
  </si>
  <si>
    <t>1. Truy cập menu Nội dung hiển thị.
2. Chọn Gói bán.
3. Quan sát ô tìm kiếm khi chưa nhập dữ liệu.</t>
  </si>
  <si>
    <t>Ô tìm kiếm hiển thị placeholder text: 'Tìm kiếm gói bán'.</t>
  </si>
  <si>
    <t>Kiểm tra tìm kiếm với ký tự đặc biệt (XSS)</t>
  </si>
  <si>
    <t>1. Truy cập menu Nội dung hiển thị.
2. Chọn Gói bán.
3. Nhập ký tự '&lt;script&gt;alert(1)&lt;/script&gt;' vào ô tìm kiếm.
4. Nhấn nút 'Tìm kiếm'.
5. Quan sát phản hồi của hệ thống.</t>
  </si>
  <si>
    <t>Hệ thống xử lý an toàn, không thực thi script. Hiển thị kết quả rỗng hoặc không tìm thấy. Không có lỗi XSS.</t>
  </si>
  <si>
    <t xml:space="preserve">Kiểm tra nhấn 'Chỉnh sửa' </t>
  </si>
  <si>
    <t>1. Đã đăng nhập, có quyền xem và quyền chỉnh sửa.
2. Danh sách có ít nhất 1 bản ghi.</t>
  </si>
  <si>
    <t>1. Truy cập menu Nội dung hiển thị.
2. Chọn Gói bán.
3. Nhấn 'Chỉnh sửa'.</t>
  </si>
  <si>
    <t>Hệ thống điều hướng đến màn hình Chỉnh sửa nội dung gói bán với dữ liệu của bản ghi đó được load sẵn.</t>
  </si>
  <si>
    <t>Kiểm tra nhấn nút '+ Tạo mới' điều hướng đến màn hình Tạo mới</t>
  </si>
  <si>
    <t>1. Đã đăng nhập, có quyền xem và quyền tạo mới.</t>
  </si>
  <si>
    <t>1. Truy cập menu Nội dung hiển thị.
2. Chọn Gói bán.
3. Nhấn nút '+ Tạo mới'.</t>
  </si>
  <si>
    <t>Hệ thống điều hướng đến màn hình Tạo mới nội dung Gói bán. Tất cả các trường ở trạng thái trống hoặc giá trị mặc định.</t>
  </si>
  <si>
    <t>Kiểm tra hiển thị thông báo lỗi khi mất kết nối/lỗi máy chủ</t>
  </si>
  <si>
    <t>1. Đã đăng nhập, có quyền xem.
2. Hệ thống mạng bị ngắt hoặc máy chủ trả về lỗi 5xx.</t>
  </si>
  <si>
    <t>1. Truy cập menu Nội dung hiển thị.
2. Chọn Gói bán.
3. Quan sát thông báo hiển thị trên màn hình.</t>
  </si>
  <si>
    <t>Hệ thống hiển thị thông báo: 'Không thể tải dữ liệu. Vui lòng thử lại sau'. Không hiển thị dữ liệu lỗi.</t>
  </si>
  <si>
    <t>TẠO MỚI NỘI DUNG GÓI BÁN</t>
  </si>
  <si>
    <t>Kiểm tra truy cập màn hình Tạo mới khi không có quyền</t>
  </si>
  <si>
    <t>1. Đã đăng nhập.
 2. Tài khoản KHÔNG có quyền 'Tạo mới nội dung Gói bán'.</t>
  </si>
  <si>
    <t>1. Truy cập menu Product Hub → Gói bán.
 2. Nhấn '+ Tạo mới'.</t>
  </si>
  <si>
    <t>Hệ thống hiển thị thông báo lỗi phân quyền. Không điều hướng đến màn hình Tạo mới.</t>
  </si>
  <si>
    <t>Kiểm tra giao diện màn hình Tạo mới - hiển thị đủ các trường theo v1.2</t>
  </si>
  <si>
    <t>1. Đã đăng nhập, có quyền tạo mới.
 2. Hệ thống có ít nhất 1 Gói bán hoạt động và đã có giá bán.</t>
  </si>
  <si>
    <t>1. Truy cập menu Product Hub → Gói bán.
 2. Nhấn '+ Tạo mới'.
 3. Quan sát giao diện form.</t>
  </si>
  <si>
    <t>Form Tạo mới hiển thị đầy đủ theo v1.2:
 - Dropdown Gói bán (bắt buộc)
 - Dropdown Kênh bán (bắt buộc, multi-select)
 - Bảng line items: Sản phẩm (SKU), Tên hiển thị trên kênh, Phương thức hiển thị, Sản phẩm nhận trong gói (checkbox), Hình ảnh SKU nhận trong gói
 - Tên hiển thị trên kênh (cấp Gói bán)
 - Icon gói bán (upload JPG/PNG/SVG &lt;=1MB)
 - Mô tả card gói (text, không bắt buộc)
 - Mô tả ngắn gói bán (text editor, max 2000 ký tự)
 - Mô tả dài gói bán (text editor, max 12000 ký tự)
 - Ảnh gói bán (JPG/PNG &lt;=1MB, max 10 ảnh)
 - Đặc tính gói bán (section read-only, load từ cấu hình)
 - Block Đặc quyền (Collapse/Expand)
 - Link video gói bán (URL http/https, không bắt buộc)
 - Hình ảnh banner đầu trang (max 10 JPG/PNG)
 - Hình ảnh banner giữa trang (bảng: STT/Ảnh/Hoạt động/Xóa)
 - Button Lưu, Button Hủy</t>
  </si>
  <si>
    <t>Kiểm tra Dropdown Gói bán chỉ load gói bán đang hoạt động và đã có giá bán</t>
  </si>
  <si>
    <t>1. Đã đăng nhập, có quyền tạo mới.
 2. Hệ thống có: (A) gói hoạt động + có giá; (B) gói bị tắt; (C) gói hoạt động nhưng chưa có giá.</t>
  </si>
  <si>
    <t>1. Truy cập Tạo mới.
 2. Mở dropdown 'Gói bán'.
 3. Quan sát danh sách.</t>
  </si>
  <si>
    <t>Chỉ hiển thị gói loại (A). Gói (B) không xuất hiện.</t>
  </si>
  <si>
    <t>Kiểm tra validate bắt buộc trường Gói bán khi để trống</t>
  </si>
  <si>
    <t>Đã đăng nhập, có quyền tạo mới.</t>
  </si>
  <si>
    <t>1. Mở màn hình Tạo mới.
 2. Không chọn Gói bán.
 3. Nhấn 'Lưu'.</t>
  </si>
  <si>
    <t>Hệ thống hiển thị thông báo. Dữ liệu không được lưu.</t>
  </si>
  <si>
    <t>Kiểm tra Gói bán là Single select</t>
  </si>
  <si>
    <t>1. Đã đăng nhập, có quyền tạo mới.
 2. Hệ thống có ít nhất 2 gói bán hợp lệ.</t>
  </si>
  <si>
    <t>1. Mở màn hình Tạo mới.
 2. Chọn Gói bán A.
 3. Đổi sang Gói bán B.
 4. Quan sát dropdown.</t>
  </si>
  <si>
    <t>Chỉ Gói bán B được chọn. Dropdown hiển thị đúng 1 giá trị.</t>
  </si>
  <si>
    <t>Kiểm tra Kênh bán load động theo Gói bán đã chọn (BR-C03)</t>
  </si>
  <si>
    <t>1. Đã đăng nhập, có quyền tạo mới.
 2. Gói bán X chỉ áp dụng cho FPT.vn.</t>
  </si>
  <si>
    <t>1. Mở màn hình Tạo mới.
 2. Chọn Gói bán X.
 3. Mở dropdown Kênh bán.
 4. Quan sát danh sách.</t>
  </si>
  <si>
    <t>Dropdown Kênh bán chỉ hiển thị FPT.vn (load đúng theo Gói bán đã chọn).</t>
  </si>
  <si>
    <t>Kiểm tra validate bắt buộc trường Kênh bán khi để trống</t>
  </si>
  <si>
    <t>1. Đã đăng nhập, có quyền tạo mới.
 2. Đã chọn Gói bán hợp lệ.</t>
  </si>
  <si>
    <t>1. Mở màn hình Tạo mới.
 2. Chọn Gói bán.
 3. Không chọn Kênh bán.
 4. Nhấn 'Lưu'.</t>
  </si>
  <si>
    <t>Hệ thống hiển thị thông báo lỗi validation tại trường Kênh bán. Dữ liệu không được lưu.</t>
  </si>
  <si>
    <t>Kiểm tra Kênh bán Multi-select - chọn nhiều kênh cùng lúc [V1.2]</t>
  </si>
  <si>
    <t>1. Đã đăng nhập, có quyền tạo mới.
 2. Gói bán có nhiều kênh hợp lệ (FPT.vn, tongdaiwifi.vn).</t>
  </si>
  <si>
    <t>1. Mở màn hình Tạo mới.
 2. Chọn Gói bán.
 3. Chọn Kênh bán A (FPT.vn).
 4. Chọn thêm Kênh bán B (tongdaiwifi.vn).
 5. Quan sát dropdown Kênh bán.</t>
  </si>
  <si>
    <t>Cả Kênh bán A và B đều được chọn và hiển thị. Hệ thống cho phép multi-select. Không deselect kênh khi chọn thêm.</t>
  </si>
  <si>
    <t>Kiểm tra reset Kênh bán khi thay đổi Gói bán (BR-C04)</t>
  </si>
  <si>
    <t>1. Đã đăng nhập, có quyền tạo mới.
 2. Đã chọn Gói bán A và Kênh bán tương ứng.</t>
  </si>
  <si>
    <t>1. Mở màn hình Tạo mới.
 2. Chọn Gói bán A.
 3. Chọn Kênh bán.
 4. Thay đổi sang Gói bán B.
 5. Quan sát dropdown Kênh bán.</t>
  </si>
  <si>
    <t>Kênh bán bị reset về trạng thái trống sau khi thay đổi Gói bán.</t>
  </si>
  <si>
    <t>Kiểm tra bảng line items - hiển thị đủ 5 cột theo v1.1</t>
  </si>
  <si>
    <t>1. Mở màn hình Tạo mới.
 2. Chọn Gói bán.
 3. Quan sát bảng line items.</t>
  </si>
  <si>
    <t>Bảng hiển thị đủ 5 cột:
 1. Sản phẩm (SKU) - read-only
 2. Tên hiển thị trên kênh - input text
 3. Phương thức hiển thị - dropdown
 4. Sản phẩm nhận trong gói - checkbox
 5. Hình ảnh SKU nhận trong gói - image upload</t>
  </si>
  <si>
    <t>Kiểm tra auto-fill 'Tên hiển thị trên kênh' (cột bảng) sau khi chọn Gói bán - SKU đơn</t>
  </si>
  <si>
    <t>1. Đã đăng nhập, có quyền tạo mới.
 2. Gói bán Z có SKU đơn với Display name = 'SKU_Name_A'.</t>
  </si>
  <si>
    <t>1. Mở màn hình Tạo mới.
 2. Chọn Gói bán Z.
 3. Quan sát cột 'Tên hiển thị trên kênh' trong bảng.</t>
  </si>
  <si>
    <t>Cột 'Tên hiển thị trên kênh' tự động điền 'SKU_Name_A' (Display name của SKU).</t>
  </si>
  <si>
    <t>Kiểm tra auto-fill 'Tên hiển thị trên kênh' (cột bảng) - Phí đi kèm</t>
  </si>
  <si>
    <t>1. Đã đăng nhập, có quyền tạo mới.
 2. Gói bán Q có line item Phí đi kèm với Name = 'Phí lắp đặt'.</t>
  </si>
  <si>
    <t>1. Mở màn hình Tạo mới.
 2. Chọn Gói bán Q.
 3. Quan sát cột 'Tên hiển thị trên kênh' trong bảng.</t>
  </si>
  <si>
    <t>Cột 'Tên hiển thị trên kênh' tự động điền 'Phí lắp đặt' (Name của Phí đi kèm).</t>
  </si>
  <si>
    <t>Kiểm tra validate bắt buộc 'Tên hiển thị trên kênh' (cột bảng) khi xóa trắng</t>
  </si>
  <si>
    <t>1. Đã đăng nhập, có quyền tạo mới.
 2. Đã chọn Gói bán, Kênh bán.</t>
  </si>
  <si>
    <t>1. Mở màn hình Tạo mới.
 2. Chọn Gói bán, Kênh bán.
 3. Xóa nội dung trường 'Tên hiển thị trên kênh' trong bảng.
 4. Nhấn 'Lưu'.</t>
  </si>
  <si>
    <t>Hệ thống hiển thị thông báo lỗi validation tại trường 'Tên hiển thị trên kênh'. Dữ liệu không được lưu.</t>
  </si>
  <si>
    <t>Kiểm tra giới hạn 255 ký tự 'Tên hiển thị trên kênh' (cột bảng) - cận trên</t>
  </si>
  <si>
    <t>1. Mở màn hình Tạo mới.
 2. Chọn Gói bán, Kênh bán.
 3. Nhập đúng 255 ký tự vào 'Tên hiển thị trên kênh'.
 4. Nhấn 'Lưu'.</t>
  </si>
  <si>
    <t>Hệ thống chấp nhận và lưu thành công.</t>
  </si>
  <si>
    <t>Kiểm tra vượt giới hạn 'Tên hiển thị trên kênh' (cột bảng) - 256 ký tự</t>
  </si>
  <si>
    <t>1. Mở màn hình Tạo mới.
 2. Chọn Gói bán, Kênh bán.
 3. Nhập 256 ký tự vào 'Tên hiển thị trên kênh'.
 4. Nhấn 'Lưu'.</t>
  </si>
  <si>
    <t>Chặn không cho nhập quá 255 ký tự.</t>
  </si>
  <si>
    <t>Kiểm tra checkbox 'Sản phẩm nhận trong gói' - giá trị mặc định Checked (BR-T02)</t>
  </si>
  <si>
    <t>1. Mở màn hình Tạo mới.
 2. Chọn Gói bán.
 3. Quan sát checkbox 'Sản phẩm nhận trong gói' mỗi line item.</t>
  </si>
  <si>
    <t>Tất cả checkbox 'Sản phẩm nhận trong gói' mặc định = Checked (tick).</t>
  </si>
  <si>
    <t>Kiểm tra Uncheck 'Sản phẩm nhận trong gói' - ẩn toàn bộ thông tin sản phẩm trên kênh (BR-T03)</t>
  </si>
  <si>
    <t>1. Mở màn hình Tạo mới.
 2. Chọn Gói bán, Kênh bán.
 3. Uncheck checkbox 'Sản phẩm nhận trong gói' tại 1 line item.
 4. Nhấn 'Lưu'.
 5. Kiểm tra thông tin sản phẩm nhận trong gói trên kênh đã thiết lập.</t>
  </si>
  <si>
    <t>Sản phẩm uncheck sẽ không hiển thị trên kênh bán (ẩn toàn bộ thông tin sản phẩm trên kênh).</t>
  </si>
  <si>
    <t>Kiểm tra mỗi line item có 1 checkbox 'Sản phẩm nhận trong gói' riêng (BR-T01)</t>
  </si>
  <si>
    <t>1. Đã đăng nhập, có quyền tạo mới.
 2. Gói bán có nhiều line item.</t>
  </si>
  <si>
    <t>1. Mở màn hình Tạo mới.
 2. Chọn Gói bán nhiều line item.
 3. Quan sát cột 'Sản phẩm nhận trong gói'.</t>
  </si>
  <si>
    <t>Mỗi dòng trong bảng có 1 checkbox riêng biệt (per-row).</t>
  </si>
  <si>
    <t>Kiểm tra 'Hình ảnh SKU nhận trong gói' - load ảnh từ cấu hình SKU nếu có (BR-T04)</t>
  </si>
  <si>
    <t>1. Đã đăng nhập, có quyền tạo mới.
 2. Gói bán có SKU đã cấu hình ảnh trong hệ thống.</t>
  </si>
  <si>
    <t>1. Mở màn hình Tạo mới.
 2. Chọn Gói bán.
 3. Quan sát cột 'Hình ảnh SKU nhận trong gói'.</t>
  </si>
  <si>
    <t>Ảnh của SKU được load sẵn (lấy từ cấu hình SKU trong hệ thống).</t>
  </si>
  <si>
    <t>Kiểm tra 'Hình ảnh SKU nhận trong gói' - hiển thị button '+' khi SKU chưa có ảnh</t>
  </si>
  <si>
    <t>1. Đã đăng nhập, có quyền tạo mới.
 2. Gói bán có SKU chưa cấu hình ảnh.</t>
  </si>
  <si>
    <t>1. Mở màn hình Tạo mới.
 2. Chọn Gói bán có SKU chưa có ảnh.
 3. Quan sát cột 'Hình ảnh SKU nhận trong gói'.</t>
  </si>
  <si>
    <t>Cột hiển thị button '+' để người dùng upload ảnh.</t>
  </si>
  <si>
    <t>Kiểm tra upload 'Hình ảnh SKU nhận trong gói' - đúng định dạng JPG/PNG, ≤1MB</t>
  </si>
  <si>
    <t>1. Đã đăng nhập, có quyền tạo mới.
 2. Có file JPG/PNG ≤ 1MB.</t>
  </si>
  <si>
    <t>1. Mở màn hình Tạo mới.
 2. Chọn Gói bán.
 3. Nhấn '+' tại 1 line item.
 4. Upload file JPG/PNG ≤ 1MB.</t>
  </si>
  <si>
    <t>Ảnh được upload thành công và hiển thị preview (BR-T06).</t>
  </si>
  <si>
    <t>Kiểm tra từ chối 'Hình ảnh SKU nhận trong gói' - sai định dạng</t>
  </si>
  <si>
    <t>1. Đã đăng nhập, có quyền tạo mới.
 2. Có file .gif.</t>
  </si>
  <si>
    <t>1. Mở màn hình Tạo mới.
 2. Chọn Gói bán.
 3. Nhấn '+' tại 1 line item.
 4. Chọn file .gif.</t>
  </si>
  <si>
    <t>Hệ thống từ chối và hiển thị thông báo: chỉ chấp nhận JPG hoặc PNG.</t>
  </si>
  <si>
    <t>Kiểm tra từ chối 'Hình ảnh SKU nhận trong gói' - vượt 1MB</t>
  </si>
  <si>
    <t>1. Đã đăng nhập, có quyền tạo mới.
 2. Có file JPG &gt; 1MB.</t>
  </si>
  <si>
    <t>1. Mở màn hình Tạo mới.
 2. Chọn Gói bán.
 3. Nhấn '+' tại 1 line item.
 4. Chọn file JPG &gt; 1MB.</t>
  </si>
  <si>
    <t>Hệ thống từ chối và hiển thị thông báo: dung lượng tối đa 1MB/ảnh.</t>
  </si>
  <si>
    <t>Kiểm tra mỗi SKU chỉ được chọn tối đa 1 ảnh (BR-T05)</t>
  </si>
  <si>
    <t>1. Đã đăng nhập, có quyền tạo mới.
 2. Đã upload 1 ảnh cho 1 SKU.</t>
  </si>
  <si>
    <t>1. Mở màn hình Tạo mới.
 2. Chọn Gói bán.
 3. Upload 1 ảnh cho SKU.
 4. Thử upload ảnh thứ 2 cho cùng SKU đó.</t>
  </si>
  <si>
    <t xml:space="preserve">Hệ thống chỉ cho phép 1 ảnh/SKU. </t>
  </si>
  <si>
    <t>Kiểm tra 'Hình ảnh SKU nhận trong gói' không bắt buộc - lưu được khi để trống (BR-T07)</t>
  </si>
  <si>
    <t>1. Đã đăng nhập, có quyền tạo mới.
 2. Đã điền đủ trường bắt buộc.</t>
  </si>
  <si>
    <t>1. Mở màn hình Tạo mới.
 2. Điền đủ trường bắt buộc, không upload ảnh SKU.
 3. Nhấn 'Lưu'.</t>
  </si>
  <si>
    <t>Hệ thống lưu thành công. Không có lỗi validation cho trường ảnh SKU.</t>
  </si>
  <si>
    <t>Kiểm tra 'Phương thức hiển thị' mặc định = 'Hiển thị toàn bộ'</t>
  </si>
  <si>
    <t>1. Đã đăng nhập, có quyền tạo mới.
 2. Đã chọn Gói bán.</t>
  </si>
  <si>
    <t>1. Mở màn hình Tạo mới.
 2. Chọn Gói bán.
 3. Quan sát giá trị mặc định cột 'Phương thức hiển thị'.</t>
  </si>
  <si>
    <t>Tất cả line item có 'Phương thức hiển thị' = 'Hiển thị toàn bộ'.</t>
  </si>
  <si>
    <t>Kiểm tra dropdown 'Phương thức hiển thị' có đúng 3 giá trị</t>
  </si>
  <si>
    <t>1. Mở màn hình Tạo mới.
 2. Chọn Gói bán.
 3. Mở dropdown 'Phương thức hiển thị' của 1 line item.</t>
  </si>
  <si>
    <t>Dropdown hiển thị đúng 3 giá trị: 'Hiển thị toàn bộ', 'Ẩn toàn bộ', 'Chỉ hiển thị ở Summary'.</t>
  </si>
  <si>
    <t>Kiểm tra SKU con trong nhóm SKU kế thừa 'Phương thức hiển thị' từ nhóm cha, không cho chọn riêng (BR-T08)</t>
  </si>
  <si>
    <t>1. Đã đăng nhập, có quyền tạo mới.
 2. Gói bán có Nhóm SKU với SKU con.</t>
  </si>
  <si>
    <t>1. Mở màn hình Tạo mới.
 2. Chọn Gói bán có Nhóm SKU.
 3. Quan sát 'Phương thức hiển thị' của SKU con.</t>
  </si>
  <si>
    <t>Trường 'Phương thức hiển thị' của SKU con bị disabled. Giá trị kế thừa từ nhóm SKU cha.</t>
  </si>
  <si>
    <t>Kiểm tra bắt buộc phải có 1 sản phẩm cha phải có 'Phương thức hiển thị' = 'Hiển thị toàn bộ'.</t>
  </si>
  <si>
    <t>1. Mở màn hình Tạo mới.
 2. Chọn 'Phương thức hiển thị' của tất cả sản phẩm cha # 'Hiển thị toàn bộ'.
3. Click btn Lưu</t>
  </si>
  <si>
    <t>Hiển thị cảnh báo bắt buộc phải có 1 sản phầm cha có  'Phương thức hiển thị' = 'Hiển thị toàn bộ'.</t>
  </si>
  <si>
    <t>Kiểm tra auto-fill 'Tên hiển thị trên kênh' cấp Gói bán (BR-C05)</t>
  </si>
  <si>
    <t>1. Đã đăng nhập, có quyền tạo mới.
 2. Gói bán có SKU với Display name = 'SKU_Name_A'.</t>
  </si>
  <si>
    <t>1. Mở màn hình Tạo mới.
 2. Chọn Gói bán.
 3. Quan sát trường 'Tên hiển thị trên kênh' cấp Gói bán.</t>
  </si>
  <si>
    <t>Trường auto-fill theo cùng quy tắc với SKU (Display name / Name). Người dùng có thể chỉnh sửa sau.</t>
  </si>
  <si>
    <t>Kiểm tra validate bắt buộc 'Tên hiển thị trên kênh' cấp Gói bán</t>
  </si>
  <si>
    <t>1. Mở màn hình Tạo mới.
 2. Chọn Gói bán, Kênh bán.
 3. Xóa nội dung 'Tên hiển thị trên kênh' cấp Gói bán.
 4. Nhấn 'Lưu'.</t>
  </si>
  <si>
    <t>Hệ thống hiển thị lỗi validation. Dữ liệu không được lưu.</t>
  </si>
  <si>
    <t>Kiểm tra giới hạn 255 ký tự 'Tên hiển thị trên kênh' cấp Gói bán - cận trên</t>
  </si>
  <si>
    <t>1. Mở màn hình Tạo mới.
 2. Chọn Gói bán, Kênh bán.
 3. Nhập đúng 255 ký tự vào trường.
 4. Nhấn 'Lưu'.</t>
  </si>
  <si>
    <t>Kiểm tra vượt giới hạn 'Tên hiển thị trên kênh' cấp Gói bán - 256 ký tự</t>
  </si>
  <si>
    <t>1. Mở màn hình Tạo mới.
 2. Chọn Gói bán, Kênh bán.
 3. Nhập 256 ký tự.
 4. Nhấn 'Lưu'.</t>
  </si>
  <si>
    <t>Hệ thống hiển thị lỗi: không cho nhập quá 255 ký tự.</t>
  </si>
  <si>
    <t>Kiểm tra trường Mô tả ngắn không bắt buộc</t>
  </si>
  <si>
    <t>1. Mở màn hình Tạo mới.
 2. Điền đủ trường bắt buộc, để trống 'Mô tả ngắn '.
 3. Nhấn 'Lưu'.</t>
  </si>
  <si>
    <t>Hệ thống lưu thành công.</t>
  </si>
  <si>
    <t>Kiểm tra giới hạn 2000 ký tự 'Mô tả ngắn ' - cận trên</t>
  </si>
  <si>
    <t>1. Mở màn hình Tạo mới.
 2. Điền đủ trường bắt buộc.
 3. Nhập đúng 500 ký tự vào 'Mô tả ngắn '.
 4. Nhấn 'Lưu'.</t>
  </si>
  <si>
    <t>Hệ thống chấp nhận và lưu thành công 2000  ký tự.</t>
  </si>
  <si>
    <t>Kiểm tra vượt giới hạn 'Mô tả ngắn ' - 2001 ký tự</t>
  </si>
  <si>
    <t>1. Mở màn hình Tạo mới.
 2. Điền đủ trường bắt buộc.
 3. Nhập 501 ký tự vào 'Mô tả ngắn '.
 4. Nhấn 'Lưu'.</t>
  </si>
  <si>
    <t>Hệ thống hiển thị lỗi validation: không cho nhập quá 2001 ký tự.
** texteditor nằm trong thẻ html ẩn: &lt;p&gt;&lt;/p&gt;</t>
  </si>
  <si>
    <t xml:space="preserve">Kiểm tra nhập data tại trường Mô tả ngắn </t>
  </si>
  <si>
    <t xml:space="preserve">1. Mở màn hình Tạo mới.
 2. Điền đủ trường bắt buộc.
 3. Nhập data bất kỳ tại Mô tả ngắn </t>
  </si>
  <si>
    <t>Trường Mô tả ngắn là 1 text editor, hỗ trợ in đậm, in nghiêng , đánh stt, đính kèm ảnh</t>
  </si>
  <si>
    <t>Kiểm tra trường Mô tả dài gói bán không bắt buộc</t>
  </si>
  <si>
    <t>1. Mở màn hình Tạo mới.
 2. Để trống 'Mô tả dài'.
 3. Nhấn 'Lưu'.</t>
  </si>
  <si>
    <t>Kiểm tra giới hạn 12000 ký tự 'Mô tả dài' - cận trên</t>
  </si>
  <si>
    <t>1. Mở màn hình Tạo mới.
 2. Nhập đúng 12000 ký tự vào 'Mô tả dài'.
 3. Nhấn 'Lưu'.</t>
  </si>
  <si>
    <t>Kiểm tra vượt giới hạn 'Mô tả dài' - 2001 ký tự</t>
  </si>
  <si>
    <t>1. Mở màn hình Tạo mới.
 2. Nhập 2001 ký tự vào 'Mô tả dài'.
 3. Nhấn 'Lưu'.
4. Check lại nội dung hiển thị trên kênh</t>
  </si>
  <si>
    <t>Hệ thống hiển thị lỗi validation: không cho nhập quá 12001 ký tự.
** texteditor nằm trong thẻ html ẩn: &lt;p&gt;&lt;/p&gt;</t>
  </si>
  <si>
    <t>Kiểm tra nhập data tại trường Mô tả dài</t>
  </si>
  <si>
    <t xml:space="preserve">1. Mở màn hình Tạo mới.
 2. Điền đủ trường bắt buộc.
 3. Nhập data bất kỳ tại Mô tả dài </t>
  </si>
  <si>
    <t>Trường Mô tả dài là 1 text editor, hỗ trợ in đậm, in nghiêng , đánh stt, đính kèm ảnh</t>
  </si>
  <si>
    <t>Kiểm tra upload Ảnh gói bán - JPG hợp lệ (&lt; 1MB)</t>
  </si>
  <si>
    <t>Đã đăng nhập, có quyền tạo mới. Có file JPG &lt; 1MB.</t>
  </si>
  <si>
    <t>1. Mở màn hình Tạo mới.
 2. Upload 'Ảnh gói bán' với file JPG hợp lệ.</t>
  </si>
  <si>
    <t>File ảnh JPG được upload thành công, hiển thị preview.</t>
  </si>
  <si>
    <t>Kiểm tra upload Ảnh gói bán - từ chối sai định dạng</t>
  </si>
  <si>
    <t>Đã đăng nhập. Có file .gif.</t>
  </si>
  <si>
    <t>1. Mở màn hình Tạo mới.
 2. Upload 'Ảnh gói bán' với file .gif.</t>
  </si>
  <si>
    <t>Hệ thống từ chối và thông báo: chỉ chấp nhận JPG hoặc PNG.</t>
  </si>
  <si>
    <t>Kiểm tra upload Ảnh gói bán - từ chối vượt 1MB</t>
  </si>
  <si>
    <t>Đã đăng nhập. Có file JPG &gt; 1MB.</t>
  </si>
  <si>
    <t>1. Mở màn hình Tạo mới.
 2. Upload 'Ảnh gói bán' với file &gt; 1MB.</t>
  </si>
  <si>
    <t>Hệ thống từ chối và thông báo: dung lượng tối đa 1MB/ảnh.</t>
  </si>
  <si>
    <t>Kiểm tra upload Ảnh gói bán - giới hạn 10 ảnh</t>
  </si>
  <si>
    <t>Đã đăng nhập. Có 11 file JPG hợp lệ.</t>
  </si>
  <si>
    <t>1. Mở màn hình Tạo mới.
 2. Upload 10 ảnh thành công.
 3. Thử upload ảnh thứ 11.</t>
  </si>
  <si>
    <t>Hệ thống từ chối ảnh thứ 11 và thông báo: đã đạt tối đa 10 ảnh.</t>
  </si>
  <si>
    <t>Kiểm tra block Đặc quyền hiển thị dạng Collapse/Expand</t>
  </si>
  <si>
    <t>1. Mở màn hình Tạo mới.
 2. Chọn Gói bán, Kênh bán.
 3. Quan sát block 'Đặc quyền'.</t>
  </si>
  <si>
    <t>Block 'Đặc quyền' hiển thị dạng Collapse/Expand. Mặc định có thể thu gọn/mở rộng.</t>
  </si>
  <si>
    <t>Kiểm tra block Đặc quyền không bắt buộc - lưu khi để trống (BR-P01)</t>
  </si>
  <si>
    <t>Đã đăng nhập, có quyền tạo mới. Đã điền đủ trường bắt buộc.</t>
  </si>
  <si>
    <t>1. Mở màn hình Tạo mới.
 2. Điền đủ trường bắt buộc.
 3. Không điền block Đặc quyền.
 4. Nhấn 'Lưu'.</t>
  </si>
  <si>
    <t>Hệ thống lưu thành công. Không có lỗi validation cho block Đặc quyền.</t>
  </si>
  <si>
    <t>Kiểm tra cấu trúc block Đặc quyền - Tiêu đề block, Hình ảnh đặc quyền, Bảng danh sách</t>
  </si>
  <si>
    <t>1. Mở màn hình Tạo mới.
 2. Mở block Đặc quyền.
 3. Quan sát giao diện.</t>
  </si>
  <si>
    <t>Block hiển thị:
 - Textbox 'Tiêu đề chung đặc quyền' (max 255 ký tự)
 - Upload 'Hình ảnh đặc quyền' (1 ảnh)
 - Bảng danh sách đặc quyền (STT, Icon, Tiêu đề đặc quyền, Nội dung đặc quyền, Xóa) -- mặc định rỗng
 - Button '+' để thêm dòng (tối đa 10 dòng)</t>
  </si>
  <si>
    <t>Kiểm tra Tiêu đề chung đặc quyền block Đặc quyền - giới hạn 255 ký tự</t>
  </si>
  <si>
    <t>1. Mở block Đặc quyền.
 2. Nhập 256 ký tự vào 'Tiêu đề'.
 3. Nhấn 'Lưu'.</t>
  </si>
  <si>
    <t>Kiểm tra không nhập tiêu đề chung đặc quyền khi có thêm dòng đặc quyền</t>
  </si>
  <si>
    <t>1. Mở màn hình Tạo mới.
 2. Điền đủ trường bắt buộc.
 3. Không điền Tiêu đề chung đặc quyền 
 4. Click btn + để thêm dòng đặc quyền
5. Nhấn 'Lưu'.</t>
  </si>
  <si>
    <t xml:space="preserve">Hệ thống hiển thị lỗi bắt buộc nhập Tiêu đề chung đặc quyền </t>
  </si>
  <si>
    <t>Kiểm tra upload Icon đặc quyền - JPG/PNG hợp lệ (&lt; 1MB)</t>
  </si>
  <si>
    <t>1. Mở màn hình Tạo mới.
 2. Upload 'Icon đặc quyền' với file JPG/PNG hợp lệ.</t>
  </si>
  <si>
    <t>Kiểm tra upload Icon đặc quyền - từ chối sai định dạng</t>
  </si>
  <si>
    <t>1. Mở màn hình Tạo mới.
 2. Upload 'Icon đặc quyền' với file .gif.</t>
  </si>
  <si>
    <t>Kiểm tra upload Icon đặc quyền - từ chối vượt 1MB</t>
  </si>
  <si>
    <t>1. Mở màn hình Tạo mới.
 2. Upload 'Icon đặc quyền' với file &gt; 1MB.</t>
  </si>
  <si>
    <t>Kiểm tra upload Icon đặc quyền - tối đa 1 icon/dòng (BR-P04)</t>
  </si>
  <si>
    <t>Đã đăng nhập. Có file JPG/PNG hợp lệ.</t>
  </si>
  <si>
    <t>1. Mở block Đặc quyền.
 2. Thêm dòng.
 3. Upload 1 icon.
 4. Thử upload icon thứ 2 cho cùng dòng.</t>
  </si>
  <si>
    <t>Hệ thống chỉ cho phép 1 icon/dòng.</t>
  </si>
  <si>
    <t>Kiểm tra không nhậpTiêu đề đặc quyền khi có thêm dòng đặc quyền</t>
  </si>
  <si>
    <t>1. Mở màn hình Tạo mới.
 2. Điền đủ trường bắt buộc.
 3. Không điền Tiêu đề đặc quyền
 4. Click btn + để thêm dòng đặc quyền
5. Nhấn 'Lưu'.</t>
  </si>
  <si>
    <t>Hệ thống hiển thị lỗi validation: 'Tiêu đề đặc quyền là bắt buộc'. Dữ liệu không được lưu.</t>
  </si>
  <si>
    <t>Kiểm tra 'Tiêu đề đặc quyền'vượt giới hạn 255 ký tự</t>
  </si>
  <si>
    <t>1. Mở block Đặc quyền.
 2. Thêm dòng.
 3. Nhập 256 ký tự vào 'Tiêu đề đặc quyền'.
 4. Nhấn 'Lưu'.</t>
  </si>
  <si>
    <t>Kiểm tra 'Tiêu đề đặc quyền' đúng giới hạn 255 ký tự</t>
  </si>
  <si>
    <t>1. Mở block Đặc quyền.
 2. Thêm dòng.
 3. Nhập 255 ký tự vào 'Tiêu đề đặc quyền'.
 4. Nhấn 'Lưu'.</t>
  </si>
  <si>
    <t>Kiểm tra không nhập Nội dung đặc quyền khi có thêm dòng đặc quyền</t>
  </si>
  <si>
    <t>1. Mở màn hình Tạo mới.
 2. Điền đủ trường bắt buộc.
 3. Không điền Nội dung đặc quyền
 4. Click btn + để thêm dòng đặc quyền
5. Nhấn 'Lưu'.</t>
  </si>
  <si>
    <t>Hệ thông báo lỗi bắt buộc nhập Nội dung đặc quyền</t>
  </si>
  <si>
    <t>Kiểm tra 'Nội dung đặc quyền'vượt giới hạn 255 ký tự</t>
  </si>
  <si>
    <t>1. Mở block Đặc quyền.
 2. Thêm dòng.
 3. Nhập 256 ký tự vào 'Nội dung đặc quyền'.
 4. Nhấn 'Lưu'.</t>
  </si>
  <si>
    <t>Kiểm tra 'Nội dung đặc quyền' đúng giới hạn 255 ký tự</t>
  </si>
  <si>
    <t>1. Mở block Đặc quyền.
 2. Thêm dòng.
 3. Nhập 255 ký tự vào 'Nội dung đặc quyền'.
 4. Nhấn 'Lưu'.</t>
  </si>
  <si>
    <t>Kiểm tra upload Hình ảnh đặc quyền - JPG/PNG hợp lệ (&lt; 1MB)</t>
  </si>
  <si>
    <t>1. Mở màn hình Tạo mới.
 2. Upload 'Hình ảnh đặc quyền' với file JPG/PNG hợp lệ.</t>
  </si>
  <si>
    <t>Kiểm tra upload Hình ảnh đặc quyền - từ chối sai định dạng</t>
  </si>
  <si>
    <t>1. Mở màn hình Tạo mới.
 2. Upload 'Hình ảnh đặc quyền' với file .gif.</t>
  </si>
  <si>
    <t>Kiểm tra upload Hình ảnh đặc quyền (cấp block) - tối đa 1 ảnh (BR-P05)</t>
  </si>
  <si>
    <t>Đã đăng nhập. Có 2 file ảnh JPG hợp lệ.</t>
  </si>
  <si>
    <t>1. Mở block Đặc quyền.
 2. Upload 1 ảnh đặc quyền thành công.
 3. Thử upload ảnh thứ 2.</t>
  </si>
  <si>
    <t>Hệ thống chỉ cho phép 1 ảnh. Ảnh mới thay thế ảnh cũ hoặc từ chối upload thêm.</t>
  </si>
  <si>
    <t>Kiểm tra xóa dòng đặc quyền bằng icon X</t>
  </si>
  <si>
    <t>1. Mở block Đặc quyền.
 2. Thêm 2 dòng đặc quyền.
 3. Nhấn icon X xóa 1 dòng.
 4. Quan sát bảng.</t>
  </si>
  <si>
    <t>Dòng được chọn bị xóa. STT tự cập nhật.</t>
  </si>
  <si>
    <t>Kiểm tra dữ liệu block Đặc quyền truyền cho kênh theo nguyên tắc có thì hiển thị (BR-P06)</t>
  </si>
  <si>
    <t>Đã tạo thành công bản ghi có block Đặc quyền.</t>
  </si>
  <si>
    <t>1. Truy cập kênh bán tương ứng.
 2. Quan sát thông tin Đặc quyền.</t>
  </si>
  <si>
    <t>Kênh bán hiển thị đúng thông tin Đặc quyền đã cấu hình. Nếu không cấu hình thì không hiển thị.</t>
  </si>
  <si>
    <t>Kiểm tra trường 'Hình ảnh banner đầu trang' hiển thị bên cạnh 'Hình ảnh gói bán' (không thay thế)</t>
  </si>
  <si>
    <t>1. Mở màn hình Tạo mới.
 2. Chọn Gói bán.
 3. Quan sát khu vực Banner.</t>
  </si>
  <si>
    <t>Màn hình hiển thị đồng thời cả 2 trường: 'Hình ảnh gói bán' và 'Hình ảnh banner đầu trang'. Hai trường độc lập nhau.</t>
  </si>
  <si>
    <t>Kiểm tra upload 'Hình ảnh banner đầu trang' - JPG hợp lệ</t>
  </si>
  <si>
    <t>Đã đăng nhập. Có file JPG &lt; 1MB.</t>
  </si>
  <si>
    <t>1. Mở màn hình Tạo mới.
 2. Upload 'Hình ảnh banner đầu trang' với file JPG hợp lệ.</t>
  </si>
  <si>
    <t>File upload thành công, hiển thị preview.</t>
  </si>
  <si>
    <t>Kiểm tra upload 'Hình ảnh banner đầu trang' - từ chối sai định dạng</t>
  </si>
  <si>
    <t>1. Mở màn hình Tạo mới.
 2. Upload 'Hình ảnh banner đầu trang' với file .gif.</t>
  </si>
  <si>
    <t>Hệ thống từ chối: chỉ chấp nhận JPG/PNG.</t>
  </si>
  <si>
    <t>Kiểm tra upload 'Hình ảnh banner đầu trang' - từ chối vượt 1MB</t>
  </si>
  <si>
    <t>1. Mở màn hình Tạo mới.
 2. Upload 'Hình ảnh banner đầu trang' với file &gt; 1MB.</t>
  </si>
  <si>
    <t>Hệ thống từ chối: tối đa 1MB/ảnh.</t>
  </si>
  <si>
    <t>Kiểm tra upload 'Hình ảnh banner đầu trang' - giới hạn 10 ảnh</t>
  </si>
  <si>
    <t>1. Mở màn hình Tạo mới.
 2. Upload 10 ảnh.
 3. Thử upload ảnh thứ 11.</t>
  </si>
  <si>
    <t>Hệ thống từ chối ảnh thứ 11: đã đạt tối đa 10 ảnh (BR-B03).</t>
  </si>
  <si>
    <t>Kiểm tra 'Hình ảnh banner đầu trang' không bắt buộc</t>
  </si>
  <si>
    <t>Đã đăng nhập. Đã điền đủ trường bắt buộc.</t>
  </si>
  <si>
    <t>1. Mở màn hình Tạo mới.
 2. Không upload 'Hình ảnh banner đầu trang'.
 3. Nhấn 'Lưu'.</t>
  </si>
  <si>
    <t>Hệ thống lưu thành công (BR-B05).</t>
  </si>
  <si>
    <t>Kiểm tra 'Hình ảnh banner giữa trang' hiển thị dạng bảng (STT/Ảnh/Toggle/Xóa)</t>
  </si>
  <si>
    <t>1. Mở màn hình Tạo mới.
 2. Quan sát khu vực 'Hình ảnh banner giữa trang'.</t>
  </si>
  <si>
    <t>Hiển thị bảng gồm các cột: STT (tự tăng), Ảnh (1 ảnh/dòng), Hoạt động (toggle on/off), Xóa (icon X). Button '+' để thêm dòng mới.</t>
  </si>
  <si>
    <t>Kiểm tra toggle 'Hoạt động' banner giữa trang mặc định = OFF (BR-B08) [V1.2]</t>
  </si>
  <si>
    <t>1. Mở màn hình Tạo mới.
 2. Nhấn '+' thêm dòng trong bảng Banner giữa trang.
 3. Quan sát toggle 'Hoạt động'.</t>
  </si>
  <si>
    <t>Toggle mặc định = Không hoạt động (OFF). Ảnh sẽ không hiển thị trên kênh nếu không bật toggle.</t>
  </si>
  <si>
    <t>Kiểm tra toggle off = ảnh không hiển thị trên kênh (BR-B08)</t>
  </si>
  <si>
    <t>1. Mở màn hình Tạo mới.
 2. Thêm dòng Banner giữa trang.
 3. Toggle sang Off.
 4. Nhấn 'Lưu'.
 5. Kiểm tra trên kênh bán.</t>
  </si>
  <si>
    <t>Ảnh tương ứng không hiển thị trên kênh bán khi toggle = Off.</t>
  </si>
  <si>
    <t>Kiểm tra upload ảnh Banner giữa trang - 1 ảnh/dòng (BR-B07)</t>
  </si>
  <si>
    <t>Đã đăng nhập. Có file JPG hợp lệ.</t>
  </si>
  <si>
    <t>1. Mở màn hình Tạo mới.
 2. Thêm dòng Banner giữa trang.
 3. Upload 1 ảnh.
 4. Thử upload ảnh thứ 2 cho cùng dòng.</t>
  </si>
  <si>
    <t>Hệ thống chỉ cho phép 1 ảnh/dòng.</t>
  </si>
  <si>
    <t>Kiểm tra upload ảnh Banner giữa trang - từ chối sai định dạng</t>
  </si>
  <si>
    <t>1. Mở màn hình Tạo mới.
 2. Thêm dòng Banner giữa trang.
 3. Upload file .gif.</t>
  </si>
  <si>
    <t>Hệ thống từ chối: chỉ chấp nhận JPG/PNG (BR-B01).</t>
  </si>
  <si>
    <t>Kiểm tra upload ảnh Banner giữa trang - từ chối vượt 1MB</t>
  </si>
  <si>
    <t>1. Mở màn hình Tạo mới.
 2. Thêm dòng Banner giữa trang.
 3. Upload file &gt; 1MB.</t>
  </si>
  <si>
    <t>Hệ thống từ chối: tối đa 1MB/ảnh (BR-B02).</t>
  </si>
  <si>
    <t>Kiểm tra Banner giữa trang giới hạn 10 dòng (BR-B06)</t>
  </si>
  <si>
    <t>Đã đăng nhập.</t>
  </si>
  <si>
    <t>1. Mở màn hình Tạo mới.
 2. Thêm 10 dòng Banner giữa trang.
 3. Nhấn '+' thêm dòng thứ 11.</t>
  </si>
  <si>
    <t>Hệ thống từ chối: đã đạt tối đa 10 dòng.</t>
  </si>
  <si>
    <t>Kiểm tra xóa dòng Banner giữa trang bằng icon X (BR-B09)</t>
  </si>
  <si>
    <t>1. Mở màn hình Tạo mới.
 2. Thêm 2 dòng Banner giữa trang.
 3. Nhấn icon X xóa dòng thứ 2.</t>
  </si>
  <si>
    <t>Dòng bị xóa. STT tự cập nhật lại.</t>
  </si>
  <si>
    <t>Kiểm tra 'Hình ảnh banner giữa trang' không bắt buộc</t>
  </si>
  <si>
    <t>1. Mở màn hình Tạo mới.
 2. Không thêm Banner giữa trang.
 3. Nhấn 'Lưu'.</t>
  </si>
  <si>
    <t>Kiểm tra lưu thành công với đầy đủ trường bắt buộc</t>
  </si>
  <si>
    <t>Đã đăng nhập, có quyền tạo mới. Hệ thống có Gói bán hợp lệ.</t>
  </si>
  <si>
    <t>1. Mở màn hình Tạo mới.
 2. Chọn Gói bán, Kênh bán.
 3. Kiểm tra Tên hiển thị auto-fill.
 4. Nhấn 'Lưu'.</t>
  </si>
  <si>
    <t>Hiển thị thông báo thành công. Ghi nhận Thời gian tạo + Người tạo. Quay về Danh sách. Bản ghi mới xuất hiện đầu danh sách.</t>
  </si>
  <si>
    <t>Kiểm tra nút 'Hủy' (Tạo mới) hiển thị popup xác nhận hủy đúng nội dung [V1.2]</t>
  </si>
  <si>
    <t>1. Mở màn hình Tạo mới.
 2. Nhập một số thông tin.
 3. Nhấn nút 'Hủy'.
 4. Quan sát popup hiển thị.</t>
  </si>
  <si>
    <t>Popup hiển thị với nội dung: 'Bạn có chắc muốn hủy? Dữ liệu chưa lưu sẽ bị mất.' Có 2 button: 'Quay lại' và 'Xác nhận'.</t>
  </si>
  <si>
    <t>Kiểm tra lưu thất bại khi thiếu các trường bắt buộc</t>
  </si>
  <si>
    <t>1. Mở màn hình Tạo mới.
 2. Để trống tất cả trường.
 3. Nhấn 'Lưu'.</t>
  </si>
  <si>
    <t>Hệ thống hiển thị lỗi validation tại từng trường bắt buộc (Gói bán, Kênh bán, Tên hiển thị trên kênh). Không lưu.</t>
  </si>
  <si>
    <t>Kiểm tra sau lưu thành công - bản ghi mới xuất hiện đầu danh sách</t>
  </si>
  <si>
    <t>Đã đăng nhập, có quyền tạo mới và xem.</t>
  </si>
  <si>
    <t>1. Tạo mới và lưu thành công.
 2. Quay về Danh sách.
 3. Quan sát vị trí bản ghi.</t>
  </si>
  <si>
    <t>Bản ghi mới xuất hiện đầu danh sách. 'Thời gian tạo' và 'Người tạo' được ghi nhận chính xác.</t>
  </si>
  <si>
    <t>Kiểm tra kênh bán đã sử dụng không hiển thị trong dropdown Tạo mới [V1.2]</t>
  </si>
  <si>
    <t>1. Đã đăng nhập, có quyền tạo mới.
 2. Gói bán "Gói A" đã có nội dung tạo với kênh "FPT.vn".</t>
  </si>
  <si>
    <t>1. Mở màn hình Tạo mới.
 2. Chọn Gói bán "Gói A".
 3. Mở dropdown Kênh bán.
 4. Quan sát danh sách.</t>
  </si>
  <si>
    <t>Kênh "FPT.vn" không xuất hiện trong dropdown (đã được sử dụng). Chỉ hiển thị kênh chưa tạo nội dung cho Gói A.</t>
  </si>
  <si>
    <t>Kiểm tra upload Icon gói bán hợp lệ (JPG/PNG/SVG &lt;=1MB) - Tạo mới [V1.2]</t>
  </si>
  <si>
    <t>1. Đã đăng nhập, có quyền tạo mới.
 2. Có file icon.png (PNG, 500KB).</t>
  </si>
  <si>
    <t>1. Mở màn hình Tạo mới.
 2. Tại field "Icon gói bán" nhấn upload.
 3. Chọn file icon.png (500KB).
 4. Quan sát kết quả.</t>
  </si>
  <si>
    <t>File icon upload thành công. Hiển thị preview trong field. Không hiển thị thông báo lỗi.</t>
  </si>
  <si>
    <t>Kiểm tra upload Icon gói bán - từ chối sai định dạng (GIF) - Tạo mới [V1.2]</t>
  </si>
  <si>
    <t>1. Đã đăng nhập, có quyền tạo mới.
 2. Có file icon.gif (GIF, 200KB).</t>
  </si>
  <si>
    <t>1. Mở màn hình Tạo mới.
 2. Tại field "Icon gói bán" nhấn upload.
 3. Chọn file icon.gif.</t>
  </si>
  <si>
    <t>Hệ thống từ chối file. Hiển thị thông báo lỗi: chỉ chấp nhận JPG, PNG hoặc SVG.</t>
  </si>
  <si>
    <t>Kiểm tra upload Icon gói bán - từ chối vượt 1MB - Tạo mới [V1.2]</t>
  </si>
  <si>
    <t>1. Đã đăng nhập, có quyền tạo mới.
 2. Có file icon_large.jpg (1.5MB).</t>
  </si>
  <si>
    <t>1. Mở màn hình Tạo mới.
 2. Tại field "Icon gói bán" nhấn upload.
 3. Chọn file 1.5MB.
 4. Quan sát kết quả.</t>
  </si>
  <si>
    <t>Hệ thống từ chối file. Hiển thị thông báo lỗi: dung lượng tối đa 1MB/ảnh.</t>
  </si>
  <si>
    <t>Kiểm tra trường "Mô tả card gói" - không bắt buộc, lưu thành công khi để trống - Tạo mới [V1.2]</t>
  </si>
  <si>
    <t>1. Đã đăng nhập, có quyền tạo mới.
 2. Đã điền đủ trường bắt buộc (Gói bán, Kênh bán, Tên hiển thị trên kênh).</t>
  </si>
  <si>
    <t>1. Mở màn hình Tạo mới.
 2. Điền đủ trường bắt buộc.
 3. Để trống field "Mô tả card gói".
 4. Nhấn "Lưu".</t>
  </si>
  <si>
    <t>Hệ thống lưu thành công. Không có lỗi validation cho trường Mô tả card gói.</t>
  </si>
  <si>
    <t>Kiểm tra section "Đặc tính gói bán" hiển thị read-only - Tạo mới [V1.2]</t>
  </si>
  <si>
    <t>1. Đã đăng nhập, có quyền tạo mới.
 2. Gói bán "Gói A" có cấu hình đặc tính gói bán.</t>
  </si>
  <si>
    <t>1. Mở màn hình Tạo mới.
 2. Chọn Gói bán "Gói A".
 3. Quan sát section "Đặc tính gói bán".
 4. Thử chỉnh sửa bất kỳ trường nào trong section.</t>
  </si>
  <si>
    <t>Section "Đặc tính gói bán" hiển thị dữ liệu từ cấu hình Gói bán. Tất cả trường ở trạng thái read-only, không chỉnh sửa được.</t>
  </si>
  <si>
    <t>Kiểm tra section "Đặc tính gói bán" load đúng theo Gói bán đã chọn - Tạo mới [V1.2]</t>
  </si>
  <si>
    <t>1. Đã đăng nhập.
 2. Có "Gói A" và "Gói B" với cấu hình đặc tính khác nhau.</t>
  </si>
  <si>
    <t>1. Mở màn hình Tạo mới.
 2. Chọn Gói bán "Gói A", quan sát đặc tính.
 3. Đổi sang Gói bán "Gói B".
 4. Quan sát lại đặc tính.</t>
  </si>
  <si>
    <t>Khi chọn Gói A: hiển thị đặc tính Gói A. Đổi sang Gói B: section cập nhật hiển thị đặc tính Gói B. Không hiển thị đặc tính gói khác.</t>
  </si>
  <si>
    <t>Kiểm tra field "Link video gói bán" - URL hợp lệ http/https - Tạo mới [V1.2]</t>
  </si>
  <si>
    <t>1. Đã đăng nhập, có quyền tạo mới.</t>
  </si>
  <si>
    <t>1. Mở màn hình Tạo mới.
 2. Nhập "https://youtube.com/watch?v=example123" vào field "Link video gói bán".
 3. Nhấn "Lưu" (đã điền đủ trường bắt buộc).</t>
  </si>
  <si>
    <t>Hệ thống chấp nhận URL hợp lệ. Không hiển thị thông báo lỗi. Dữ liệu được lưu thành công.</t>
  </si>
  <si>
    <t>Kiểm tra field "Link video gói bán" - URL sai định dạng thiếu http/https - Tạo mới [V1.2]</t>
  </si>
  <si>
    <t>1. Mở màn hình Tạo mới.
 2. Nhập "youtube.com/watch?v=example" (thiếu http/https) vào "Link video".
 3. Nhấn "Lưu".</t>
  </si>
  <si>
    <t>Hệ thống hiển thị lỗi: "Link video không hợp lệ. Vui lòng nhập đúng định dạng URL (http:// hoặc https://)". Không lưu.</t>
  </si>
  <si>
    <t>Kiểm tra lưu với nhiều kênh bán - tạo N records theo N kênh đã chọn [V1.2]</t>
  </si>
  <si>
    <t>1. Đã đăng nhập, có quyền tạo mới.
 2. Gói bán "Gói A" có giá trên 2 kênh: FPT.vn và tongdaiwifi.vn. Cả 2 kênh chưa có nội dung.</t>
  </si>
  <si>
    <t>1. Mở màn hình Tạo mới.
 2. Chọn Gói bán "Gói A".
 3. Chọn Kênh bán: FPT.vn VÀ tongdaiwifi.vn (multi-select).
 4. Điền đủ thông tin bắt buộc.
 5. Nhấn "Lưu".</t>
  </si>
  <si>
    <t>Hệ thống lưu thành công. Tạo 2 records riêng biệt trong DB. Hiển thị thông báo thành công. Chuyển về Danh sách với 2 dòng mới: "Gói A - FPT.vn" và "Gói A - tongdaiwifi.vn".</t>
  </si>
  <si>
    <t>Kiểm tra popup Hủy (Tạo mới) - nhấn "Xác nhận" -&gt; về Danh sách, không lưu [V1.2]</t>
  </si>
  <si>
    <t>1. Đã đăng nhập, có quyền tạo mới.
 2. Đang ở màn hình Tạo mới, đã nhập thông tin.
 3. Popup "Bạn có chắc muốn hủy? Dữ liệu chưa lưu sẽ bị mất." đang hiển thị.</t>
  </si>
  <si>
    <t>1. Mở màn hình Tạo mới.
 2. Nhập một số thông tin.
 3. Nhấn "Hủy" để popup hiện ra.
 4. Nhấn button "Xác nhận".</t>
  </si>
  <si>
    <t>Popup đóng. Dữ liệu không được lưu. Hệ thống quay về màn hình Danh sách. Không có bản ghi mới.</t>
  </si>
  <si>
    <t>Kiểm tra popup Hủy (Tạo mới) - nhấn "Quay lại" -&gt; đóng popup, tiếp tục nhập [V1.2]</t>
  </si>
  <si>
    <t>1. Mở màn hình Tạo mới.
 2. Nhập một số thông tin.
 3. Nhấn "Hủy" để popup hiện ra.
 4. Nhấn button "Quay lại".</t>
  </si>
  <si>
    <t>Popup đóng. Hệ thống quay về form Tạo mới. Tất cả dữ liệu đã nhập trước đó vẫn còn nguyên trong form.</t>
  </si>
  <si>
    <t>CHỈNH SỬA NỘI DUNG GÓI BÁN</t>
  </si>
  <si>
    <t>Kiểm tra truy cập màn hình Chỉnh sửa khi không có quyền</t>
  </si>
  <si>
    <t>1. Đã đăng nhập.
 2. Tài khoản KHÔNG có quyền 'Chỉnh sửa nội dung Gói bán'.
 3. Danh sách có ít nhất 1 bản ghi.</t>
  </si>
  <si>
    <t>1. Truy cập Danh sách.
 2. Nhấn icon '...' → 'Chỉnh sửa'.</t>
  </si>
  <si>
    <t>Hệ thống hiển thị thông báo lỗi phân quyền. Màn hình Chỉnh sửa không được mở.</t>
  </si>
  <si>
    <t>Kiểm tra truy cập màn hình Chỉnh sửa khi có quyền hợp lệ</t>
  </si>
  <si>
    <t>1. Đã đăng nhập, có quyền chỉnh sửa.
 2. Danh sách có ít nhất 1 bản ghi.</t>
  </si>
  <si>
    <t>Hệ thống mở màn hình Chỉnh sửa. Tất cả trường được load sẵn dữ liệu.</t>
  </si>
  <si>
    <t>Kiểm tra load đúng dữ liệu bản ghi vào màn hình Chỉnh sửa theo v1.2</t>
  </si>
  <si>
    <t>1. Đã đăng nhập, có quyền chỉnh sửa.
 2. Bản ghi có đầy đủ thông tin kể cả Đặc quyền, Banner đầu trang, Banner giữa trang.</t>
  </si>
  <si>
    <t>1. Truy cập Danh sách.
 2. Nhấn icon '...' → 'Chỉnh sửa'.
 3. Quan sát từng trường dữ liệu.</t>
  </si>
  <si>
    <t>Màn hình Chỉnh sửa load đúng toàn bộ dữ liệu theo v1.2:
 - Gói bán, Kênh bán (read-only)
 - Bảng line items (Sản phẩm, Tên hiển thị trên kênh, Phương thức hiển thị, Sản phẩm nhận trong gói, Hình ảnh SKU)
 - Tên hiển thị trên kênh (cấp Gói bán)
 - Icon gói bán (hiển thị ảnh đã upload nếu có)
 - Mô tả card gói (text)
 - Mô tả ngắn, Mô tả dài (text editor)
 - Ảnh gói bán
 - Đặc tính gói bán (read-only section)
 - Block Đặc quyền (Tiêu đề chung, Hình ảnh đặc quyền, danh sách đặc quyền)
 - Hình ảnh banner đầu trang
 - Hình ảnh banner giữa trang (bảng STT/Ảnh/Toggle/Xóa)
 - Link video gói bán</t>
  </si>
  <si>
    <t>Kiểm tra Gói bán và Kênh bán hiển thị read-only trong màn hình Chỉnh sửa</t>
  </si>
  <si>
    <t>Đã đăng nhập, có quyền chỉnh sửa.</t>
  </si>
  <si>
    <t>1. Mở màn hình Chỉnh sửa.
 2. Thử thay đổi trường 'Gói bán' hoặc 'Kênh bán'.</t>
  </si>
  <si>
    <t>Trường 'Gói bán' và 'Kênh bán' hiển thị read-only, không cho phép thay đổi.</t>
  </si>
  <si>
    <t>Kiểm tra validate bắt buộc 'Tên hiển thị trên kênh' (cột bảng) khi xóa trắng - Chỉnh sửa</t>
  </si>
  <si>
    <t>1. Mở Chỉnh sửa.
 2. Xóa nội dung 'Tên hiển thị trên kênh' trong bảng.
 3. Nhấn 'Lưu'.</t>
  </si>
  <si>
    <t>Kiểm tra checkbox 'Sản phẩm nhận trong gói' load đúng trạng thái đã lưu - Chỉnh sửa</t>
  </si>
  <si>
    <t>Đã tạo bản ghi với 1 line item Unchecked 'Sản phẩm nhận trong gói'.</t>
  </si>
  <si>
    <t>1. Mở Chỉnh sửa bản ghi đó.
 2. Quan sát checkbox 'Sản phẩm nhận trong gói'.</t>
  </si>
  <si>
    <t>Checkbox load đúng trạng thái đã lưu (Unchecked).</t>
  </si>
  <si>
    <t>Kiểm tra thay đổi checkbox 'Sản phẩm nhận trong gói' và lưu - Chỉnh sửa</t>
  </si>
  <si>
    <t>1. Mở Chỉnh sửa.
 2. Thay đổi trạng thái checkbox 'Sản phẩm nhận trong gói' của 1 line item.
 3. Nhấn 'Lưu'.</t>
  </si>
  <si>
    <t>Hệ thống lưu thành công. Trạng thái mới được ghi nhận.</t>
  </si>
  <si>
    <t>Kiểm tra hiển thị đúng dữ liệu đã nhập tại texteditor Mô tả ngắn, Mô tả dài</t>
  </si>
  <si>
    <t>1. Mở Chỉnh sửa.
 2. Quan sát dữ liệu load tại texteditor Mô tả ngắn, Mô tả dài</t>
  </si>
  <si>
    <t xml:space="preserve">Load đúng thông tin đã nhập </t>
  </si>
  <si>
    <t>Kiểm tra 'Hình ảnh SKU nhận trong gói' load đúng dữ liệu - Chỉnh sửa</t>
  </si>
  <si>
    <t>Đã tạo bản ghi với ảnh SKU đã upload.</t>
  </si>
  <si>
    <t>1. Mở Chỉnh sửa.
 2. Quan sát cột 'Hình ảnh SKU nhận trong gói'.</t>
  </si>
  <si>
    <t>Ảnh SKU đã upload hiển thị đúng.</t>
  </si>
  <si>
    <t>Kiểm tra thay đổi/xóa 'Hình ảnh SKU nhận trong gói' và lưu - Chỉnh sửa</t>
  </si>
  <si>
    <t>1. Mở Chỉnh sửa.
 2. Xóa/thay đổi ảnh SKU.
 3. Nhấn 'Lưu'.</t>
  </si>
  <si>
    <t>Hệ thống lưu thành công với ảnh mới.</t>
  </si>
  <si>
    <t>Kiểm tra block Đặc quyền load đúng dữ liệu - Chỉnh sửa</t>
  </si>
  <si>
    <t>Đã tạo bản ghi có block Đặc quyền với dữ liệu.</t>
  </si>
  <si>
    <t>1. Mở Chỉnh sửa.
 2. Quan sát block Đặc quyền.</t>
  </si>
  <si>
    <t>Block Đặc quyền load đúng: Tiêu đề, Hình ảnh, danh sách đặc quyền (STT, Icon, Tiêu đề, Nội dung).</t>
  </si>
  <si>
    <t>Kiểm tra chỉnh sửa block Đặc quyền và lưu thành công</t>
  </si>
  <si>
    <t>1. Mở Chỉnh sửa.
 2. Thay đổi 'Tiêu đề' hoặc thêm/xóa dòng đặc quyền.
 3. Nhấn 'Lưu'.</t>
  </si>
  <si>
    <t>Hệ thống lưu thành công. Dữ liệu Đặc quyền được cập nhật.</t>
  </si>
  <si>
    <t>Kiểm tra 'Hình ảnh banner đầu trang' load đúng dữ liệu - Chỉnh sửa</t>
  </si>
  <si>
    <t>Đã tạo bản ghi có 'Hình ảnh banner đầu trang'.</t>
  </si>
  <si>
    <t>1. Mở Chỉnh sửa.
 2. Quan sát khu vực 'Hình ảnh banner đầu trang'.</t>
  </si>
  <si>
    <t>Ảnh Banner đầu trang đã upload hiển thị đúng.</t>
  </si>
  <si>
    <t>Kiểm tra thêm/xóa ảnh 'Hình ảnh banner đầu trang' và lưu - Chỉnh sửa</t>
  </si>
  <si>
    <t>1. Mở Chỉnh sửa.
 2. Upload thêm hoặc xóa ảnh Banner đầu trang.
 3. Nhấn 'Lưu'.</t>
  </si>
  <si>
    <t>Hệ thống lưu thành công. Ảnh được cập nhật.</t>
  </si>
  <si>
    <t>Kiểm tra 'Hình ảnh banner giữa trang' load đúng dữ liệu (STT, Ảnh, Toggle, Xóa) - Chỉnh sửa</t>
  </si>
  <si>
    <t>Đã tạo bản ghi có 'Hình ảnh banner giữa trang' với trạng thái toggle.</t>
  </si>
  <si>
    <t>1. Mở Chỉnh sửa.
 2. Quan sát bảng 'Hình ảnh banner giữa trang'.</t>
  </si>
  <si>
    <t>Bảng load đúng: STT, Ảnh, trạng thái Toggle (on/off đã lưu), icon Xóa.</t>
  </si>
  <si>
    <t>Kiểm tra thay đổi toggle Banner giữa trang và lưu - Chỉnh sửa</t>
  </si>
  <si>
    <t>1. Mở Chỉnh sửa.
 2. Thay đổi toggle của 1 dòng Banner giữa trang.
 3. Nhấn 'Lưu'.</t>
  </si>
  <si>
    <t>Hệ thống lưu thành công. Trạng thái toggle mới được ghi nhận.</t>
  </si>
  <si>
    <t>Kiểm tra thêm/xóa ảnh Banner giữa trang và lưu - Chỉnh sửa</t>
  </si>
  <si>
    <t>1. Mở Chỉnh sửa.
 2. Thêm/Xóa ảnh baner giữu trang bất kỳ 
 3. Nhấn 'Lưu'.</t>
  </si>
  <si>
    <t>Hệ thống lưu thành công. Kênh cập nhật đúng thông tin đã thay đổi</t>
  </si>
  <si>
    <t>Kiểm tra trường Mô ngắn/Mô tả dài</t>
  </si>
  <si>
    <t>1. Mở Chỉnh sửa.
 2. Nhập data vào Mô tả ngắn/Mô tả dài
 3. Nhấn 'Lưu'.</t>
  </si>
  <si>
    <t>Có giói hạn ký tự phù hợp
- Mô tả ngắn: khoảng 2000 kí tự 
- Mô tả dài: Khoảng 12000 ký tự</t>
  </si>
  <si>
    <t>Kiểm tra upload Banner gói bán - từ chối vượt 1MB - Chỉnh sửa</t>
  </si>
  <si>
    <t>Đã đăng nhập, có quyền chỉnh sửa. Có file JPG &gt; 1MB.</t>
  </si>
  <si>
    <t>1. Mở Chỉnh sửa.
 2. Upload Banner với file &gt; 1MB.</t>
  </si>
  <si>
    <t>Kiểm tra lưu thành công sau khi chỉnh sửa thông tin</t>
  </si>
  <si>
    <t>1. Mở Chỉnh sửa.
 2. Thay đổi 'Tên hiển thị trên kênh' cấp Gói bán.
 3. Nhấn 'Lưu'.</t>
  </si>
  <si>
    <t>Hiển thị thông báo thành công. Cập nhật 'Thời gian cập nhật' + 'Người cập nhật'. Bản ghi được cập nhật trong Danh sách.</t>
  </si>
  <si>
    <t>Kiểm tra nút 'Hủy' (Chỉnh sửa) hiển thị popup xác nhận hủy đúng nội dung [V1.2]</t>
  </si>
  <si>
    <t>1. Mở màn hình Chỉnh sửa.
 2. Thay đổi 1 trường bất kỳ.
 3. Nhấn nút 'Hủy'.
 4. Quan sát popup hiển thị.</t>
  </si>
  <si>
    <t>Kiểm tra lưu khi không thay đổi field nào - vẫn lưu thành công và ghi audit log (BR-E01)</t>
  </si>
  <si>
    <t>1. Mở Chỉnh sửa.
 2. Không thay đổi field nào.
 3. Nhấn 'Lưu'.</t>
  </si>
  <si>
    <t>Hệ thống vẫn xử lý lưu thành công, hiển thị thông báo thành công, ghi nhận audit log. Nội dung dữ liệu không thay đổi.</t>
  </si>
  <si>
    <t>Kiểm tra 'Thời gian tạo' và 'Người tạo' không thay đổi sau Chỉnh sửa</t>
  </si>
  <si>
    <t>Đã tạo bản ghi, ghi nhận Thời gian tạo và Người tạo.</t>
  </si>
  <si>
    <t>1. Mở Chỉnh sửa.
 2. Thay đổi thông tin.
 3. Nhấn 'Lưu'.
 4. Quan sát cột 'Thời gian tạo' và 'Người tạo' trong Danh sách.</t>
  </si>
  <si>
    <t>Thời gian tạo' và 'Người tạo' không thay đổi. Chỉ 'Thời gian cập nhật' và 'Người cập nhật' được cập nhật.</t>
  </si>
  <si>
    <t>Kiểm tra popup Hủy (Chỉnh sửa) - nhấn "Xác nhận" -&gt; về Danh sách, không lưu [V1.2]</t>
  </si>
  <si>
    <t>1. Đã đăng nhập, có quyền chỉnh sửa.
 2. Đang ở màn hình Chỉnh sửa, đã thay đổi một số field.
 3. Popup "Bạn có chắc muốn hủy? Dữ liệu chưa lưu sẽ bị mất." đang hiển thị.</t>
  </si>
  <si>
    <t>1. Mở màn hình Chỉnh sửa.
 2. Thay đổi 1 trường bất kỳ.
 3. Nhấn "Hủy" để popup hiện ra.
 4. Nhấn button "Xác nhận".</t>
  </si>
  <si>
    <t>Popup đóng. Thay đổi không được lưu. Hệ thống quay về màn hình Danh sách. Dữ liệu bản ghi không bị thay đổi.</t>
  </si>
  <si>
    <t>Kiểm tra popup Hủy (Chỉnh sửa) - nhấn "Quay lại" -&gt; đóng popup, tiếp tục sửa [V1.2]</t>
  </si>
  <si>
    <t>1. Mở màn hình Chỉnh sửa.
 2. Thay đổi 1 trường bất kỳ.
 3. Nhấn "Hủy" để popup hiện ra.
 4. Nhấn button "Quay lại".</t>
  </si>
  <si>
    <t>Popup đóng. Hệ thống quay về form Chỉnh sửa. Tất cả thay đổi vẫn còn nguyên trong form. Người dùng có thể tiếp tục chỉnh sửa.</t>
  </si>
  <si>
    <t>Các dịch vụ cần test</t>
  </si>
  <si>
    <t>AP</t>
  </si>
  <si>
    <t>Smart Home</t>
  </si>
  <si>
    <t>Smart Tivi</t>
  </si>
  <si>
    <t>Màn hình nhập thông tin</t>
  </si>
  <si>
    <t xml:space="preserve">Màn hình nhập thông tin - Header </t>
  </si>
  <si>
    <t>Click vào Logo FPT Telecom</t>
  </si>
  <si>
    <t xml:space="preserve">- Đang ở màn hình nhập thông tin đăng ký/thanh toán </t>
  </si>
  <si>
    <t>1. Click vào logo FPT Telecom</t>
  </si>
  <si>
    <r>
      <rPr>
        <rFont val="Calibri"/>
        <sz val="12.0"/>
      </rPr>
      <t xml:space="preserve">- Truy cập link trực tiếp: Điều hướng vào màn hình Home fpt.vn 
- Truy cập từ tongdaiwifi: Điều hướng về home </t>
    </r>
    <r>
      <rPr>
        <rFont val="Calibri"/>
        <color rgb="FF1155CC"/>
        <sz val="12.0"/>
        <u/>
      </rPr>
      <t>https://staging.tongdaiwifi.vn/</t>
    </r>
    <r>
      <rPr>
        <rFont val="Calibri"/>
        <sz val="12.0"/>
      </rPr>
      <t xml:space="preserve">
</t>
    </r>
  </si>
  <si>
    <t xml:space="preserve">Click vào icon back_ từ Home truy cập trực tiếp link </t>
  </si>
  <si>
    <t>- Có link đăng ký dịch vụ</t>
  </si>
  <si>
    <t>1. Mở trình duyệt 
2. Truy cập trực tiếp link đăng ký dịch vụ 
3. Click vào icon back</t>
  </si>
  <si>
    <r>
      <rPr>
        <rFont val="Calibri"/>
        <sz val="12.0"/>
      </rPr>
      <t xml:space="preserve">Điều hướng vào màn hình Home fpt.vn </t>
    </r>
    <r>
      <rPr>
        <rFont val="Calibri"/>
        <color rgb="FF000000"/>
        <sz val="12.0"/>
      </rPr>
      <t xml:space="preserve">
</t>
    </r>
  </si>
  <si>
    <r>
      <rPr>
        <rFont val="Calibri"/>
        <b/>
        <sz val="12.0"/>
      </rPr>
      <t xml:space="preserve">Click vào icon back_ từ Home </t>
    </r>
    <r>
      <rPr>
        <rFont val="Calibri"/>
        <b/>
        <color rgb="FF1155CC"/>
        <sz val="12.0"/>
        <u/>
      </rPr>
      <t>tongdaiwifi.vn</t>
    </r>
  </si>
  <si>
    <t>1. Mở trình duyệt 
2. Truy cập trang tongdaiwifi.vn
3. Click btn Đăng ký ngay 
4. Click vào icon back</t>
  </si>
  <si>
    <r>
      <rPr>
        <rFont val="Calibri"/>
        <sz val="12.0"/>
      </rPr>
      <t xml:space="preserve"> Điều hướng về home </t>
    </r>
    <r>
      <rPr>
        <rFont val="Calibri"/>
        <color rgb="FF1155CC"/>
        <sz val="12.0"/>
        <u/>
      </rPr>
      <t>https://staging.tongdaiwifi.vn/</t>
    </r>
    <r>
      <rPr>
        <rFont val="Calibri"/>
        <color rgb="FF000000"/>
        <sz val="12.0"/>
      </rPr>
      <t xml:space="preserve">
</t>
    </r>
  </si>
  <si>
    <t xml:space="preserve">Màn hình nhập thông tin - Tiến trình các bước </t>
  </si>
  <si>
    <t xml:space="preserve">Check màu sắc mặc định tại các bước </t>
  </si>
  <si>
    <t>1. Quan sát màu sắc tại các bước tiến trình.</t>
  </si>
  <si>
    <t>Hiển thị đúng màu sắc mặc định tại các bước. Gồm:
+ Bước 1: màu xanh dương
+ Bước 2,3: màu xám</t>
  </si>
  <si>
    <t>Click vào các bước 1,2,3 khi đang ở bước 1</t>
  </si>
  <si>
    <t>- Đang ở màn hình nhập thông tin đăng ký/thanh toán 
- Đang ở bước 1</t>
  </si>
  <si>
    <t>1. Click vào icon của các bước 1,2,3</t>
  </si>
  <si>
    <t>Không có action nào, vẫn ở màn hình hiện tại</t>
  </si>
  <si>
    <t>Click vào bước 1 khi đang ở bước 2</t>
  </si>
  <si>
    <t>- Đang ở màn hình nhập thông tin đăng ký/thanh toán 
- Hiển thị tiến trình 3 bước 
- Đang ở bước 2</t>
  </si>
  <si>
    <t>1. Click vào icon của bước 1</t>
  </si>
  <si>
    <t>Cho phép quay về bước 1 khi click vào icon bước 1</t>
  </si>
  <si>
    <t>Màn hình nhập thông tin - Block Sản phẩm dịch vụ đã chọn</t>
  </si>
  <si>
    <t>Check load Số lượng gói dịch vụ</t>
  </si>
  <si>
    <t>Chọn 1 gói dịch vụ SA ở màn hình Chi tiết dịch vụ</t>
  </si>
  <si>
    <t>1. Truy cập màn hình Thanh toán dịch vụ
2. Tại block Sản phẩm dịch vụ đã chọn
3. Check load Số lượng gói dịch vụ</t>
  </si>
  <si>
    <t>Hiển thị đúng số lượng gói dịch vụ đã chọn</t>
  </si>
  <si>
    <t>Check load data Gói dịch vụ</t>
  </si>
  <si>
    <t>1. Truy cập màn hình Thanh toán dịch vụ 
2. Tại block Sản phẩm dịch vụ đã chọn
3. Check hiển thị các trường trong block Sản phẩm dịch vụ đã chọn</t>
  </si>
  <si>
    <t>Hệ thống hiển thị lại gói khách hàng đã chọn</t>
  </si>
  <si>
    <t>Check load Chu kỳ gói dịch vụ</t>
  </si>
  <si>
    <t>1. Truy cập màn hình Thanh toán dịch vụ 
2. Tại block Sản phẩm dịch vụ đã chọn
3. Check load Chu kỳ gói dịch vụ</t>
  </si>
  <si>
    <t>Hệ thống hiển thị đúng chu kỳ đã chọn, ví dụ: 3 tháng, 6 tháng, 12 tháng.</t>
  </si>
  <si>
    <t>Check load Giá gói dịch vụ</t>
  </si>
  <si>
    <t>1. Truy cập màn hình Thanh toán dịch vụ 
2. Tại block Sản phẩm dịch vụ đã chọn
3. Check load Giá gói dịch vụ</t>
  </si>
  <si>
    <t>Hệ thống hiển thị giá của gói đã chọn. Nếu có ưu đãi, hệ thống hiển thị giá sau ưu đãi.</t>
  </si>
  <si>
    <t>Check load icon Gói dịch vụ</t>
  </si>
  <si>
    <t>1. Truy cập màn hình Thanh toán dịch vụ
2. Tại block Sản phẩm dịch vụ đã chọn
3. Check icon Gói dịch vụ</t>
  </si>
  <si>
    <t>Hiển thị đúng hình ảnh theo config Product Hub</t>
  </si>
  <si>
    <t>Màn hình nhập thông tin - Block Thông tin Cá nhân</t>
  </si>
  <si>
    <t>Họ Tên (NET, ComBo Net)</t>
  </si>
  <si>
    <t>Check khung viền màu xanh khi click chuột vào các trường Họ tên</t>
  </si>
  <si>
    <t>- Đang ở màn hình nhập thông tin đăng ký/thanh toán 
- Đang đăng ký dịch vụ NET/Combo net</t>
  </si>
  <si>
    <t xml:space="preserve">1. Click vào trường Họ tên
2. Check hiển thị viền xanh </t>
  </si>
  <si>
    <t>Hiển thị viền màu xanh của trường</t>
  </si>
  <si>
    <t>Check btn x trong trường Họ tên</t>
  </si>
  <si>
    <t xml:space="preserve">1. Nhập 1 ký tự bất kỳ tại trường Họ tên 
2. Check hiển thị icon x </t>
  </si>
  <si>
    <t>Hiển thị icon X khi nhập ký tự bất kỳ</t>
  </si>
  <si>
    <t>Click btn x trong trường Họ tên</t>
  </si>
  <si>
    <t xml:space="preserve">1. Nhập 1 ký tự bất kỳ tại trường Họ tên 
2. Click icon x </t>
  </si>
  <si>
    <t>Xóa toàn bộ kí tự trong trường Họ tên và ẩn icon X</t>
  </si>
  <si>
    <t>Check trường Họ tên để trống</t>
  </si>
  <si>
    <t>1. Click vào trường Họ tên và không nhập data
2. Click ra ngoài trường Họ tên</t>
  </si>
  <si>
    <t xml:space="preserve">Border đỏ trường họ tên và thông báo " Vui lòng nhập họ và tên."
</t>
  </si>
  <si>
    <t>Check trường Họ tên nhập khoảng trắng</t>
  </si>
  <si>
    <t>1. Click vào trường Họ tên 
2. Nhập khoảng trắng
3. Click ra ngoài trường Họ tên</t>
  </si>
  <si>
    <t>Check nhập Họ tên có khoảng trắng đầu cuối</t>
  </si>
  <si>
    <t>1. Nhập Họ tên có khoảng trắng đầu cuối
2. Nhập các trường bắt buộc khác
3. Btn Tiếp tục</t>
  </si>
  <si>
    <t>Cho phép qua màn hình tiếp theo không báo lỗi (khi submit sẽ trim khoảng trắng đi)</t>
  </si>
  <si>
    <t>Check nhập hoặc copy-paste Họ tên có ký tự đặc biệt', số</t>
  </si>
  <si>
    <t>1. Nhập/copy-paste họ tên có ký tự đặc biệt
2. Nhập các trường bắt buộc khác
3. Btn Tiếp tục</t>
  </si>
  <si>
    <t>Hiển thị thông báo "Họ tên không hợp lệ"
* chỉ được nhận chữ + khoảng trắng</t>
  </si>
  <si>
    <t>Check nhập/copy-paste Họ tên &gt; 100 ký tự</t>
  </si>
  <si>
    <t>1. Nhập/copy-paste Họ tên &gt; 100 ký tự</t>
  </si>
  <si>
    <t>Chỉ cho phép nhập và hiển thị 100 ký tự</t>
  </si>
  <si>
    <t>Số điện thoại (Tất cả dịch vụ)</t>
  </si>
  <si>
    <t>Check btn x trong trường Số điện thoại</t>
  </si>
  <si>
    <t xml:space="preserve">- Đang ở màn hình nhập thông tin đăng ký/thanh toán 
- Đang đăng ký dịch vụ bất kỳ </t>
  </si>
  <si>
    <t xml:space="preserve">1. Nhập 1 số bất kỳ tại trường Số điện thoại
2. Check hiển thị icon x </t>
  </si>
  <si>
    <t>Click btn x trong trường số điện thoại</t>
  </si>
  <si>
    <t xml:space="preserve">1. Nhập số bất kỳ tại trường Số điện thoại
2. Click icon x </t>
  </si>
  <si>
    <t>Xóa toàn bộ kí tự trong trường Số điện thoại và ẩn icon X</t>
  </si>
  <si>
    <t>Check trường Số điện thoại để trống</t>
  </si>
  <si>
    <t>1. Click vào trường Số điện thoại và không nhập data
2. Click ra ngoài trường Số điện thoại</t>
  </si>
  <si>
    <t xml:space="preserve">Border đỏ trường số điện thoại và thông báo "Vui lòng nhập số điện thoại."
</t>
  </si>
  <si>
    <t>Check nhập hoặc copy-paste Số điện thoại có chứa ký tự bất kỳ không phải là số</t>
  </si>
  <si>
    <t>1. Nhập/copy-paste Số điện thoại có ký tự không phải số</t>
  </si>
  <si>
    <t>Hiển thị thông báo "Số điện thoại không hợp lệ"</t>
  </si>
  <si>
    <t>Check nhập Số điện thoại = 10 số nhưng số đầu tiên khác 0</t>
  </si>
  <si>
    <t>1. Nhập Số điện thoại có 10 số nhưng có số đầu tiên khác 0</t>
  </si>
  <si>
    <t>Check nhập hoặc copy-paste Số điện thoại dài hơn &gt;10 chữ số</t>
  </si>
  <si>
    <t>1. Nhập /copy-paste Số điện thoại dài hơn &gt;10 chữ số</t>
  </si>
  <si>
    <t>Chỉ hiển thị 10 chữ số, tự động cắt bỏ từ số 11</t>
  </si>
  <si>
    <t>Email (Hyperfast)</t>
  </si>
  <si>
    <t>Check placeholder tại trường Email</t>
  </si>
  <si>
    <t>- Đang ở màn hình nhập thông tin đăng ký/thanh toán 
- Đăng ký dịch vụ Hyperfast/UltraFast</t>
  </si>
  <si>
    <t>1. Quan sát tại trường Email khi chưa nhập data</t>
  </si>
  <si>
    <r>
      <rPr>
        <rFont val="Calibri"/>
        <color theme="1"/>
        <sz val="12.0"/>
      </rPr>
      <t xml:space="preserve">Placeholder hiển thị "Nhập email" </t>
    </r>
    <r>
      <rPr>
        <rFont val="Calibri"/>
        <strike/>
        <color theme="1"/>
        <sz val="12.0"/>
      </rPr>
      <t>đúng gợi ý nhập email (VD: 'Acb@gmail.com')</t>
    </r>
  </si>
  <si>
    <t>Check btn x trong trường Email</t>
  </si>
  <si>
    <t>1. Nhập 1 ký tự bất kỳ tại trường Email
2. Check hiển thị icon x</t>
  </si>
  <si>
    <t>Click btn x trong trường Email</t>
  </si>
  <si>
    <t>1. Nhập email bất kỳ tại trường Email
2. Click icon x</t>
  </si>
  <si>
    <t>Xóa toàn bộ ký tự trong trường Email và ẩn icon X</t>
  </si>
  <si>
    <t>Check trường Email để trống</t>
  </si>
  <si>
    <t>1. Click vào trường Email nhập khoảng trắng hoặc không nhập data
2. Click ra ngoài trường Email</t>
  </si>
  <si>
    <t>Cho phép để trống trường Email</t>
  </si>
  <si>
    <t>Check nhập Email sai định dạng</t>
  </si>
  <si>
    <t>1. Nhập Email: 'email_sai_format'
2. Click ra ngoài trường Email</t>
  </si>
  <si>
    <t>Hiển thị lỗi: 'Email không hợp lệ'</t>
  </si>
  <si>
    <t>Check nhập Email không có domain (VD: test@)</t>
  </si>
  <si>
    <t>1. Nhập Email: 'test@'
2. Click ra ngoài trường Email</t>
  </si>
  <si>
    <t>Check Email đã nhập hiển thị realtime sang block Thông tin lắp đặt bên phải</t>
  </si>
  <si>
    <t>1. Nhập Email: 'Acb@gmail.com'
2. Check block Thông tin lắp đặt bên phải</t>
  </si>
  <si>
    <t>Email 'Acb@gmail.com' hiển thị đúng trong block Thông tin lắp đặt ngay sau khi nhập</t>
  </si>
  <si>
    <t>Màn hình nhập thông tin - Block Địa chỉ lắp đặt</t>
  </si>
  <si>
    <t>Tỉnh/Thành phố</t>
  </si>
  <si>
    <t>Check dữ liệu mặc định các trường tại Tỉnh thành</t>
  </si>
  <si>
    <t>- Truy cập màn hình đăng ký dịch vụ/thanh toán 
- Block "Địa chỉ lắp đặt" đang hiển thị"</t>
  </si>
  <si>
    <t xml:space="preserve">1. Check dữ liệu mặc định các trường tại Địa chỉ lắp đặt </t>
  </si>
  <si>
    <t xml:space="preserve">Mặc định load Tỉnh/Thành phố là rỗng </t>
  </si>
  <si>
    <t xml:space="preserve">Check placeholder tại tỉnh/thành phố </t>
  </si>
  <si>
    <t>- Truy cập màn hình đăng ký dịch vụ/thanh toán 
- Block "Địa chỉ lắp đặt" đang hiển thị"
- Chưa chọn Tỉnh/thành phố</t>
  </si>
  <si>
    <t>1. Quan sát tại Tỉnh/Thành phố khi chưa chọn data</t>
  </si>
  <si>
    <t>Hiển thị Placeholder là ''Chọn tỉnh/thành phố"</t>
  </si>
  <si>
    <t>Check không chọn trường Tỉnh/ Thành phố</t>
  </si>
  <si>
    <t>1. Click trường Tỉnh/Thành phố 
2. Click trường tỉnh/thành phố và không chọn data 
3. Click ra ngoài trường Tỉnh/thành phố</t>
  </si>
  <si>
    <t>Hiển thị thông báo " Vui lòng chọn tỉnh/thành phố."</t>
  </si>
  <si>
    <t>Check Load data trường Tỉnh/ Thành phố</t>
  </si>
  <si>
    <t>1. Click trường Tỉnh/Thành phố 
 2. Check Load data trường Tỉnh/ Thành phố</t>
  </si>
  <si>
    <t>Hiển thị đúng, đủ thông tin tỉnh thành trên toàn quốc: theo DCHC mới
Ưu tiên HCM, HN, Đà Nẵng load đầu danh sách</t>
  </si>
  <si>
    <t>Check tìm kiếm theo tên Tỉnh/ Thành phố</t>
  </si>
  <si>
    <t>1. Click trường Tỉnh/Thành phố 
2. Nhập Tỉnh/ Thành phố cần tìm</t>
  </si>
  <si>
    <t>Hiển thị danh sách tỉnh/thành phố đúng với dữ liệu đã nhập</t>
  </si>
  <si>
    <t>Check chọn Tỉnh/ Thành phố</t>
  </si>
  <si>
    <t>1. Click trường Tỉnh/Thành phố 
2. Click chọn tỉnh/thành phố bất kỳ</t>
  </si>
  <si>
    <t>Chỉ được chọn 1 và hiển thị đúng giá trị đã chọn</t>
  </si>
  <si>
    <t>Check load thêm các trường khi chọn Tỉnh/ Thành phố</t>
  </si>
  <si>
    <t>1. Click trường Tỉnh/Thành phố 
2. Click chọn tỉnh/thành phố bất kỳ
3. Check hiển thị các trường thông tin tại Địa chỉ lắp đặt</t>
  </si>
  <si>
    <t>Block Địa chỉ lắp đặt hiển thị gồm(note: DCHC 2 cấp): 
- Tỉnh/Thành phố
- Phường/Xã
- Tên đường
- Radio: Nhà riêng | Chung cư
- Số nhà 
- Ghi chú</t>
  </si>
  <si>
    <t>Check Reload thông tin địa chỉ khi thay đổi Tỉnh/Thành phố</t>
  </si>
  <si>
    <t>1. Click trường Tỉnh/Thành phố chọn 1 giá trị bất kỳ 
2. Chọn 1 tỉnh/thành phố khác bước 1</t>
  </si>
  <si>
    <t>Load lại Phường/Xã tương ứng và reset Tên đường, trigger kiểm tra chính sách</t>
  </si>
  <si>
    <t>Phường/Xã</t>
  </si>
  <si>
    <t>Check placeholder tại Phường/Xã</t>
  </si>
  <si>
    <t>- Truy cập màn hình đăng ký dịch vụ/thanh toán 
- Block ""Địa chỉ lắp đặt" đang hiển thị
- Chưa chọn data Phường/Xã</t>
  </si>
  <si>
    <t>1. Quan sát tại Phường/Xã khi chưa chọn data</t>
  </si>
  <si>
    <t>Hiển thị Placeholder là ''Chọn phường/xã"</t>
  </si>
  <si>
    <t>Check không chọn trường Phường/Xã</t>
  </si>
  <si>
    <t>1. Click Phường/Xã và không chọn data
2. Click khỏi trường Phường/Xã</t>
  </si>
  <si>
    <t>Hiển thị thông báo " Vui lòng chọn phường/xã."</t>
  </si>
  <si>
    <t>Check tìm kiếm theo tên Phường/Xã</t>
  </si>
  <si>
    <t>1. Click Phường/Xã
2. Nhập Phường/Xã cần tìm</t>
  </si>
  <si>
    <t>Hiển thị danh sách Phường/Xã đúng với dữ liệu đã nhập</t>
  </si>
  <si>
    <t>Check chọn Phường/Xã</t>
  </si>
  <si>
    <t>1. Click chọn Phường/Xã bất kỳ</t>
  </si>
  <si>
    <t>Check Reload thông tin địa chỉ khi thay đổi Phường/Xã</t>
  </si>
  <si>
    <t>- Truy cập màn hình đăng ký dịch vụ/thanh toán 
- Block "Địa chỉ lắp đặt" đang hiển thị
- Chưa chọn data Phường/Xã</t>
  </si>
  <si>
    <t>1. Click Phường/Xã và thay đổi 1 giá trị khác</t>
  </si>
  <si>
    <t>Hiển thị Phường/Xã đã chọn đồng thời reset Tên đường và trigger kiểm tra chính sách</t>
  </si>
  <si>
    <t xml:space="preserve">Tên đường </t>
  </si>
  <si>
    <t>Check placeholder tại Tên đường</t>
  </si>
  <si>
    <t>- Truy cập màn hình đăng ký dịch vụ/thanh toán 
- Block "Địa chỉ lắp đặt" đang hiển thị
- Chưa chọn data Tên đường</t>
  </si>
  <si>
    <t>1. Quan sát tại Tên đường khi chưa chọn data</t>
  </si>
  <si>
    <t>Hiển thị Placeholder là ''Chọn tên đường"</t>
  </si>
  <si>
    <t>Check không chọn trường Tên đường</t>
  </si>
  <si>
    <t>1. Click Tên đường và không chọn data
2. Click khỏi trường Tên đường</t>
  </si>
  <si>
    <t>Hiển thị thông báo " Vui lòng chọn tên đường."</t>
  </si>
  <si>
    <t>Check tìm kiếm theo tên Tên đường</t>
  </si>
  <si>
    <t>- Truy cập màn hình đăng ký dịch vụ/thanh toán 
- Block "Địa chỉ lắp đặt" đang hiển thị
- Đã chọn Phường/Xã</t>
  </si>
  <si>
    <t>1. Click Tên đường
2. Nhập Tên đường cần tìm</t>
  </si>
  <si>
    <t>Hiển thị danh sách Tên đường đúng với dữ liệu đã nhập
*không trim khoảng cách trước khi thực hiện tìm kiếm</t>
  </si>
  <si>
    <t>Check chọn Tên đường</t>
  </si>
  <si>
    <t>1. Click chọn Tên đường bất kỳ</t>
  </si>
  <si>
    <t>Nhà riêng</t>
  </si>
  <si>
    <t>Click radio Nhà riêng</t>
  </si>
  <si>
    <t>- Truy cập màn hình đăng ký dịch vụ/thanh toán 
- Block "Địa chỉ lắp đặt" đang hiển thị</t>
  </si>
  <si>
    <t>1. Click chọn radio Nhà riêng
2. Check hiển thị các trường thông tin chi tiết bên dưới radio</t>
  </si>
  <si>
    <t>Hiển thị trường thông tin gồm: Số nhà*</t>
  </si>
  <si>
    <t>Check placeholder tại Số nhà*</t>
  </si>
  <si>
    <t>1. Click chọn radio Nhà riêng
2. Quan sát tại Số nhà* khi chưa nhập data</t>
  </si>
  <si>
    <t>Hiển thị Placeholder là ''Nhập số nhà"</t>
  </si>
  <si>
    <t xml:space="preserve">Check không nhập trường Số nhà </t>
  </si>
  <si>
    <t>1. Chọn radio btn Nhà riêng
2. Click Số nhà và không nhập data 
3. Click ra ngoài trường Số nhà</t>
  </si>
  <si>
    <t>Hiển thị thông báo: "Vui lòng nhập địa chỉ/số nhà."</t>
  </si>
  <si>
    <r>
      <rPr>
        <rFont val="Calibri"/>
        <b/>
        <color theme="1"/>
        <sz val="12.0"/>
      </rPr>
      <t xml:space="preserve">Check nhập hoặc copy-paste trên 50 </t>
    </r>
    <r>
      <rPr>
        <rFont val="Calibri"/>
        <b/>
        <strike/>
        <color theme="1"/>
        <sz val="12.0"/>
      </rPr>
      <t xml:space="preserve">100 </t>
    </r>
    <r>
      <rPr>
        <rFont val="Calibri"/>
        <b/>
        <color theme="1"/>
        <sz val="12.0"/>
      </rPr>
      <t xml:space="preserve">kí tự </t>
    </r>
  </si>
  <si>
    <r>
      <rPr>
        <rFont val="Calibri"/>
        <color theme="1"/>
        <sz val="12.0"/>
      </rPr>
      <t xml:space="preserve">1. Chọn radio btn Nhà riêng
2. Nhập hoặc copy-paste Địa chỉ chi tiết trên 50 </t>
    </r>
    <r>
      <rPr>
        <rFont val="Calibri"/>
        <strike/>
        <color theme="1"/>
        <sz val="12.0"/>
      </rPr>
      <t xml:space="preserve">100 </t>
    </r>
    <r>
      <rPr>
        <rFont val="Calibri"/>
        <color theme="1"/>
        <sz val="12.0"/>
      </rPr>
      <t xml:space="preserve">kí tự </t>
    </r>
  </si>
  <si>
    <r>
      <rPr>
        <rFont val="Calibri"/>
        <color theme="1"/>
        <sz val="12.0"/>
      </rPr>
      <t xml:space="preserve">Chỉ cho phép nhập và hiển thi tối đa 50 </t>
    </r>
    <r>
      <rPr>
        <rFont val="Calibri"/>
        <strike/>
        <color theme="1"/>
        <sz val="12.0"/>
      </rPr>
      <t xml:space="preserve">100 </t>
    </r>
    <r>
      <rPr>
        <rFont val="Calibri"/>
        <color theme="1"/>
        <sz val="12.0"/>
      </rPr>
      <t>kí tự</t>
    </r>
  </si>
  <si>
    <t>Chung cư</t>
  </si>
  <si>
    <t>Click radio Chung cư</t>
  </si>
  <si>
    <t>1. Click chọn radio Chung cư
2. Check hiển thị thêm các trường thông tin</t>
  </si>
  <si>
    <t>Hiển thị thêm các trường thông tin gồm: 
+ Tên chung cư
+ Tòa nhà 
+ Số tầng 
+ Số phòng</t>
  </si>
  <si>
    <t>Check dữ liệu load tại Tên chung cư</t>
  </si>
  <si>
    <t>- Truy cập màn hình đăng ký dịch vụ/thanh toán 
- Block "Địa chỉ lắp đặt" đang hiển thị
- Đã chọn Tỉnh/Thành phố và Phường/Xã</t>
  </si>
  <si>
    <t>1. Click btn radio Chung cư
2. Click dropdown list Tên chung cư
3. Check dữ liệu đang load tại Tên chung cư</t>
  </si>
  <si>
    <t>Hiển thị danh sách chung cư thuộc Tỉnh/ Thành + Phường/ Xã đã chọn theo ĐCHC 2 cấp.
Mặc định rỗng</t>
  </si>
  <si>
    <t>Check tìm kiếm theo Tên chung cư</t>
  </si>
  <si>
    <t>1. Click btn radio Chung cư
2. Click dropdown list Tên chung cư
3. Nhập tên chung cư cần tìm kiếm</t>
  </si>
  <si>
    <t>Hiển thị chung cư đang tìm
** không trim khoảng cách trước khi thực hiện tìm kiếm</t>
  </si>
  <si>
    <t>Check placeholder tại Tòa nhà</t>
  </si>
  <si>
    <t>1. Click btn radio Chung cư
2. Quan sát tại Tòa nhà khi chưa nhập data</t>
  </si>
  <si>
    <t>Hiển thị placeholder "Nhập tên toà nhà"</t>
  </si>
  <si>
    <t>Check không nhập Toà nhà</t>
  </si>
  <si>
    <t>1. Click btn radio Chung cư
2. Không nhập Tòa nhà
3. Nhập các trường bắt buộc khác
4 . Click Tiếp tục</t>
  </si>
  <si>
    <t>Cho phép điều hướng qua màn hình thanh toán không báo lỗi (không bắt buộc)</t>
  </si>
  <si>
    <t>Check nhập/copy-paste Tòa nhà quá 10 ký tự</t>
  </si>
  <si>
    <t>1. Click btn radio Chung cư
2. Nhập/copy-paste Tòa nhà &gt; 10 ký tự</t>
  </si>
  <si>
    <t>Chỉ cho phép nhập và hiển thị tối đa 10 ký tự</t>
  </si>
  <si>
    <t>Check placeholder tại Số tầng</t>
  </si>
  <si>
    <t>1. Click btn radio Chung cư
2. Quan sát tại Số tầng khi chưa nhập data</t>
  </si>
  <si>
    <t>Hiển thị placeholder "Nhập số tầng"</t>
  </si>
  <si>
    <t>Check không nhập Số tầng</t>
  </si>
  <si>
    <t>1. Click btn radio Chung cư
2. Click Số tầng và không nhập dữ liệu
3. Click khỏi trường Số tầng</t>
  </si>
  <si>
    <t>Border đỏ Số tầng và hiển thị thông báo: "Vui lòng nhập số tầng."</t>
  </si>
  <si>
    <t>Check nhập/copy-paste Số tầng quá 10 ký tự</t>
  </si>
  <si>
    <t>1. Click btn radio Chung cư
2. Check nhập/copy-paste Số tầng quá 10 ký tự</t>
  </si>
  <si>
    <t>Check placeholder tại Số phòng</t>
  </si>
  <si>
    <t>1. Click btn radio Chung cư
2. Quan sát tại Số phòng khi chưa nhập data</t>
  </si>
  <si>
    <t>Hiển thị placeholder "Nhập số phòng"</t>
  </si>
  <si>
    <t>Check không nhập Số phòng</t>
  </si>
  <si>
    <t>1. Click btn radio Chung cư
2. Click Số phòng và không nhập dữ liệu
3. Click khỏi trường Số phòng</t>
  </si>
  <si>
    <t>Border đỏ Số phòng và hiển thị thông báo: "Vui lòng nhập số phòng."</t>
  </si>
  <si>
    <t>Check nhập/copy-paste Số phòng quá 10 ký tự</t>
  </si>
  <si>
    <t>1. Click btn radio Chung cư
2.Check nhập/copy-paste Số phòng quá 10 ký tự</t>
  </si>
  <si>
    <t>Ghi chú</t>
  </si>
  <si>
    <t>Check placeholder tại Ghi chú</t>
  </si>
  <si>
    <t>1. Quan sát tại Ghi chú khi chưa nhập data</t>
  </si>
  <si>
    <t>Hiển thị Placeholder là ''Gọi cho tôi trước 30 phút nhé!"</t>
  </si>
  <si>
    <t>Check không chọn trường Ghi chú</t>
  </si>
  <si>
    <t>1. Click Ghi chú và không nhâp data
2. Click khỏi trường Ghi chú</t>
  </si>
  <si>
    <t>Không hiển thị thông báo lỗi (không bắt buộc nhập)</t>
  </si>
  <si>
    <t>Check nhập/copy-paste trên 100 kí tự trường ghi chú</t>
  </si>
  <si>
    <t xml:space="preserve">1. Nhập/copy-paste trên 100 kí tự trường ghi chú
</t>
  </si>
  <si>
    <t xml:space="preserve">Chỉ cho phép nhập và hiển thị 100 ký tự </t>
  </si>
  <si>
    <t xml:space="preserve">Check hiển thị popup thông báo khi chọn địa chỉ không có chính sách </t>
  </si>
  <si>
    <t>1. Chọn Tỉnh/Thành phố,Phường/xã bất kỳ không có chính sách
2. Check hiển thị popup thông báo khi chọn địa chỉ không có chính sách</t>
  </si>
  <si>
    <t xml:space="preserve">Hiển thị popup thông báo như sau:
- Title: Chưa hỗ trợ chính sách!
- Nội dung: "Địa chỉ của Quý khách hiện chưa hỗ trợ chính sách cho sản phẩm đang chọn. Nhân viên FPT sẽ liên hệ để tư vấn. Mọi thắc mắc, vui lòng liên hệ 1900 6600 để được giải đáp. Xin cảm ơn!"
Button Đóng </t>
  </si>
  <si>
    <t xml:space="preserve">Check hiển thị popup thông báo khi chọn địa chỉ không có chính sách &gt;&gt; Click bnt Đóng </t>
  </si>
  <si>
    <t>1. Chọn Tỉnh/Thành phố,Phường/xã bất kỳ không có chính sách
2. Click btn Đóng trên popup Chưa hỗ trợ chính sách</t>
  </si>
  <si>
    <t>Đóng popup, disable btn Tiếp tục</t>
  </si>
  <si>
    <t xml:space="preserve">Check đẩy KHTN khi chọn địa chỉ không có chính sách </t>
  </si>
  <si>
    <t>- Truy cập màn hình đăng ký dịch vụ/thanh toán 
- Block "Địa chỉ lắp đặt" đang hiển thị
 - Có thể đẩy KHTN thành công</t>
  </si>
  <si>
    <t>1. Chọn Tỉnh/Thành phố,Phường/xã bất kỳ không có chính sách
2. Click btn Đóng trên popup Chưa hỗ trợ chính sách!
3. Truy cập https://saleplatform-stag.fpt.net/web-admin check thông tin KHTN</t>
  </si>
  <si>
    <t>Đẩy KHTN thành công tương ứng với SĐT đã nhập</t>
  </si>
  <si>
    <t>Popup Địa chỉ hành chính cũ (3 cấp)</t>
  </si>
  <si>
    <t xml:space="preserve">Check UI popup Địa chỉ hành chính cũ </t>
  </si>
  <si>
    <t>1. Click link Địa chỉ hành chính cũ
2. Check UI popup Địa chỉ hành chính cũ</t>
  </si>
  <si>
    <t>Popup Địa chỉ hành chính cũ gồm:
- Title: Địa chỉ hành chính cũ
- Label: Bạn vui lòng xác nhận vị trí lắp đặt để cập nhật vị trí hành chính mới
- droplist Tỉnh/ Thành phố
- droplist Quận/ Huyện
- droplist Phường/ Xã
- droplist Tên đường
- Địa chỉ hành chính mới (hiện khi chọn full thông tin)
- icon x
- btn Xác nhận</t>
  </si>
  <si>
    <t xml:space="preserve">Check Load data trường Tỉnh/ Thành phố _Popup Địa chỉ hành chính cũ </t>
  </si>
  <si>
    <t>1. Click link Địa chỉ hành chính cũ
2. Check Load data trường Tỉnh/ Thành phố</t>
  </si>
  <si>
    <t xml:space="preserve">Hiển thị đúng, đủ thông tin tỉnh thành trên toàn quốc: 63 Tỉnh thành theo ĐCHC 3 cấp 
- Cho phép chọn từng tỉnh thành </t>
  </si>
  <si>
    <t xml:space="preserve">Check không chọn trường Tỉnh/ Thành phố _Popup Địa chỉ hành chính cũ </t>
  </si>
  <si>
    <t>1. Click link Địa chỉ hành chính cũ
2. Click vô trường Tỉnh/Thành phố
3. Click btn Xác nhận</t>
  </si>
  <si>
    <t xml:space="preserve">Disable btn Xác nhận </t>
  </si>
  <si>
    <t xml:space="preserve">Check chọn 1 Tỉnh/ Thành phố _Popup Địa chỉ hành chính cũ </t>
  </si>
  <si>
    <t>1. Click link Địa chỉ hành chính cũ
2. Chọn 1 Tỉnh/ Thành phố</t>
  </si>
  <si>
    <t>Hiện thị đúng giá trị chọn</t>
  </si>
  <si>
    <t xml:space="preserve">Check tìm kiếm theo tên Tỉnh/ Thành phố _Popup Địa chỉ hành chính cũ </t>
  </si>
  <si>
    <t>1 Click link Địa chỉ hành chính cũ
2. Nhập Tỉnh/ Thành phố cần tìm</t>
  </si>
  <si>
    <t>Hiện danh sách gới ý các tỉnh thành phố thoả từ khoá cần tìm</t>
  </si>
  <si>
    <t xml:space="preserve">Check quy tắc tìm kiếm theo tên Tỉnh/ Thành phố _Popup Địa chỉ hành chính cũ </t>
  </si>
  <si>
    <t>1. Click link Địa chỉ hành chính cũ
2. Nhập từ khoá vào droplist Tỉnh/Thành phố
3. Check quy tắc tìm kiếm theo tên Tỉnh/ Thành phố</t>
  </si>
  <si>
    <t>Hệ thống không trim khoảng cách trước khi thực hiện tìm kiếm, tìm kiếm theo quy tắc contains</t>
  </si>
  <si>
    <t xml:space="preserve">Check Load data trường Quận/ Huyện _Popup Địa chỉ hành chính cũ </t>
  </si>
  <si>
    <t>1. Click link Địa chỉ hành chính cũ
2. Chọn 1 Tỉnh/ Thành phố
3. Check Load data trường Quận/ Huyện</t>
  </si>
  <si>
    <t>Hiển thị đúng, đủ thông tin Quận/ Huyện thuộc thành phố đã chọn theo ĐCHC 3 cấp</t>
  </si>
  <si>
    <t xml:space="preserve">Check không chọn trường Quận/ Huyện _Popup Địa chỉ hành chính cũ </t>
  </si>
  <si>
    <t>1. Click link Địa chỉ hành chính cũ
2. Chọn 1 Tỉnh/ Thành phố
3. Để rỗng Quận/ Huyện
4. Click btn Xác nhận</t>
  </si>
  <si>
    <t xml:space="preserve">Check chọn 1 Quận/ Huyện _Popup Địa chỉ hành chính cũ </t>
  </si>
  <si>
    <t>1. Click link Địa chỉ hành chính cũ
2. Chọn 1 Tỉnh/ Thành phố
3. Chọn 1 Quận/ Huyện</t>
  </si>
  <si>
    <t xml:space="preserve">Check quy tắc tìm kiếm theo tên Quận/ Huyện _Popup Địa chỉ hành chính cũ </t>
  </si>
  <si>
    <t>1. Click link Địa chỉ hành chính cũ
2. Chọn 1 Tỉnh/ Thành phố
3. Nhập từ khoá vào droplist Quận/ Huyện
4. Check quy tắc tìm kiếm theo tên Quận/ Huyện</t>
  </si>
  <si>
    <t xml:space="preserve"> tìm kiếm theo quy tắc contains</t>
  </si>
  <si>
    <t xml:space="preserve">Check Load data trường Phường/ Xã _Popup Địa chỉ hành chính cũ </t>
  </si>
  <si>
    <t>1. Click link Địa chỉ hành chính cũ
2. Chọn 1 Tỉnh/ Thành phố + Chọn 1 Quận/ Huyện
3. Check Load data trường Phường/ Xã</t>
  </si>
  <si>
    <t>Hiển thị đúng, đủ thông tin Phường/ Xã thuộc Quận/ huyện đã chọn theo ĐCHC 3 cấp</t>
  </si>
  <si>
    <t xml:space="preserve">Check không chọn trường Phường/ Xã _Popup Địa chỉ hành chính cũ </t>
  </si>
  <si>
    <t>1. Click link Địa chỉ hành chính cũ
2. Chọn 1 Tỉnh/ Thành phố + Chọn 1 Quận/ Huyện
3. Để rỗng Phường/ Xã
4. Click btn Xác nhận</t>
  </si>
  <si>
    <t xml:space="preserve">Check chọn 1 Phường/ Xã _Popup Địa chỉ hành chính cũ </t>
  </si>
  <si>
    <t>1. Click link Địa chỉ hành chính cũ
2. Chọn 1 Tỉnh/ Thành phố + Quận/ Huyện
3. Chọn 1 Phường/ Xã</t>
  </si>
  <si>
    <t>Hiện thị đúng giá trị đã chọn</t>
  </si>
  <si>
    <t xml:space="preserve">Check tìm kiếm theo tên Phường/ Xã _Popup Địa chỉ hành chính cũ </t>
  </si>
  <si>
    <t>1. Click link Địa chỉ hành chính cũ
2. Chọn 1 Tỉnh/ Thành phố + Chọn 1 Quận/ Huyện
3. Nhập Phường/ Xã cần tìm</t>
  </si>
  <si>
    <t>Hiện danh sách gới ý các phường/ xã thoả từ khoá cần tìm
 *tìm kiếm theo quy tắc contains</t>
  </si>
  <si>
    <t xml:space="preserve">Check không chọn trường Tên đường _Popup Địa chỉ hành chính cũ </t>
  </si>
  <si>
    <t>1. Click link Địa chỉ hành chính cũ
2. Chọn 1 Tỉnh/ Thành phố + Quận/ Huyện + Phường/ Xã
3. Để rỗng trường Tên đường
4. Click btn Xác nhận</t>
  </si>
  <si>
    <t xml:space="preserve">Check chọn 1 Tên đường _Popup Địa chỉ hành chính cũ </t>
  </si>
  <si>
    <t>1. Click link Địa chỉ hành chính cũ
2. Chọn 1 Tỉnh/ Thành phố + Quận/ Huyện + Phường/ Xã
3. Chọn 1 Tên đường</t>
  </si>
  <si>
    <t xml:space="preserve">Check tìm kiếm theo tên Tên đường _Popup Địa chỉ hành chính cũ </t>
  </si>
  <si>
    <t>1. Click link Địa chỉ hành chính cũ
2. Chọn 1 Tỉnh/ Thành phố + Quận/ Huyện + Phường/ Xã
3. Nhập Tên đường cần tìm</t>
  </si>
  <si>
    <t>Hiện danh sách gới ý các Tên đường thoả từ khoá cần tìm</t>
  </si>
  <si>
    <t xml:space="preserve">Check quy tắc tìm kiếm theo tên Tên đường _Popup Địa chỉ hành chính cũ </t>
  </si>
  <si>
    <t>1. Click link Địa chỉ hành chính cũ
2. Chọn 1 Tỉnh/ Thành phố + Quận/ Huyện + Phường/ Xã
3. Nhập Tên đường cần tìm 
4. Check quy tắc tìm kiếm</t>
  </si>
  <si>
    <t xml:space="preserve">Check rule hiển thị sau khi chọn Tên đường _Popup Địa chỉ hành chính cũ </t>
  </si>
  <si>
    <t>1. Click link Địa chỉ hành chính cũ
2. Chọn 1 Tỉnh/ Thành phố + Quận/ Huyện + Phường/ Xã
3. Chọn 1 Tên đường
4. Check hiển thị các trường</t>
  </si>
  <si>
    <t>- Hiển thị trường Địa chỉ hành chính mới sau khi đã chọn Tên đường của địa chỉ hành chính cũ
- Enable btn Xác nhận</t>
  </si>
  <si>
    <t xml:space="preserve">Click icon x _Popup Địa chỉ hành chính cũ </t>
  </si>
  <si>
    <t>1. Click link Địa chỉ hành chính cũ
2. Chọn 1 Tỉnh/ Thành phố + Quận/ Huyện + Phường/ Xã
3. Chọn 1 Tên đường
4. Click icon x</t>
  </si>
  <si>
    <t>- Không cập nhật Địa chỉ hành chính mới
- Quay về màn hình form đăng ký</t>
  </si>
  <si>
    <t xml:space="preserve">Check nhấn btn Xác nhận chọn Địa chỉ hành chính _Popup Địa chỉ hành chính cũ </t>
  </si>
  <si>
    <t>1. Click link Địa chỉ hành chính cũ
2. Chọn 1 Tỉnh/ Thành phố + Quận/ Huyện + Phường/ Xã
3. Chọn 1 Tên đường
4. Click btn Xác nhận</t>
  </si>
  <si>
    <t>- Đẩy thông tin Địa chỉ hành chính mới đã chọn ( Tỉnh/ Thành phố, Phường/Xã, Tên đường) vào form đăng ký
- Tắt popup Chọn Địa chỉ hành chính cũ
- Quay về màn hình form đăng ký</t>
  </si>
  <si>
    <t>Check data trường Tỉnh/ thành ; trường Phường/ Xã ; trường Tên đường sau khi Xác nhận ở Địa chỉ hành chính cũ</t>
  </si>
  <si>
    <t>1. Click link Địa chỉ hành chính cũ
2. Chọn 1 Tỉnh/ Thành phố + Quận/ Huyện + Phường/ Xã + Tên đường
3. Click btn Xác nhận
4. Check data Địa chỉ lắp đặt ở form đăng ký</t>
  </si>
  <si>
    <t>Hiển thị dữ liệu Địa chỉ hành chính mới (2 cấp) đúng với Đã chọn ở popup Địa chỉ hành chính cũ (3 cấp)</t>
  </si>
  <si>
    <t>Màn hình nhập thông tin - Block Thông tin khách hàng</t>
  </si>
  <si>
    <t>Click icon Collapse trường thông tin khách hàng</t>
  </si>
  <si>
    <t xml:space="preserve">- Truy cập màn hình đăng ký dịch vụ/thanh toán </t>
  </si>
  <si>
    <t>1. Truy cập màn hình Thanh toán dịch vụ
2. Click icon Collapse</t>
  </si>
  <si>
    <t>Thu gọn các trường thông tin tại Block Thông tin khách hàng và thay đổi thành icon collapse -&gt; expand</t>
  </si>
  <si>
    <t>Click icon Expand trường thông tin khách hàng</t>
  </si>
  <si>
    <t>1. Truy cập màn hình Thanh toán dịch vụ
2. Click icon Collapse
3. Click icon Expand</t>
  </si>
  <si>
    <t xml:space="preserve">Mở rộng các trường thông tin tại Block Thông tin khách hàng và thay đổi thành icon expand-&gt; collapse </t>
  </si>
  <si>
    <t>Check format hiển thị tại địa chỉ là Nhà riêng</t>
  </si>
  <si>
    <t>1. Truy cập màn hình Thanh toán dịch vụ
2. Check format hiển thị tại địa chỉ (Nhà riêng)</t>
  </si>
  <si>
    <t xml:space="preserve"> Hiển thị theo format: Số nhà, Tên đường, Phường xã, Tỉnh thành 
* ghi chú: Load khi chọn full địa chỉ</t>
  </si>
  <si>
    <t>Check format hiển thị tại địa chỉ là Chung cư</t>
  </si>
  <si>
    <t>1. Truy cập màn hình Thanh toán dịch vụ
2. Check format hiển thị tại địa chỉ (Chung cư)</t>
  </si>
  <si>
    <t xml:space="preserve"> Hiển thị theo format: Tòa nhà, Tầng, Phòng, Tên chung cư, Tên đường, Phường xã, Tỉnh thành 
* ghi chú: Load khi chọn full địa chỉ</t>
  </si>
  <si>
    <t>Check người dùng không thể chỉnh sửa thông tin trong dropdown</t>
  </si>
  <si>
    <t>1. Truy cập màn hình Thanh toán dịch vụ
2. Tại Block Thông tin khách hàng
3. Check người dùng không thể chỉnh sửa thông tin trong dropdown</t>
  </si>
  <si>
    <t>Người dùng không thể chỉnh sửa thông tin Họ tên, Số điện thoại, Email, Địa chỉ</t>
  </si>
  <si>
    <t>Màn hình nhập thông tin - Block Phương thức thanh toán</t>
  </si>
  <si>
    <t>Check UI hiển thị của Block Phương thức thanh toán</t>
  </si>
  <si>
    <t>- Truy cập màn hình đăng ký dịch vụ/thanh toán 
- Dịch vụ có ít nhất 1 PTTT trong chính sách</t>
  </si>
  <si>
    <t>1. Quan sát block Phương thức thanh toán</t>
  </si>
  <si>
    <t>Hiển thị UI trong block Phương thức thanh toán
- Ô tick chọn: dạng radio
- Icon PTTT
- Tên PTTT 
- Miêu tả PTTT (tùy chính sách và config)
- Số lượng ưu đãi (tùy chính sách và config) 
- Button Xem thêm/ Rút gọn (tùy số lượng PTTT theo chính sách)</t>
  </si>
  <si>
    <t>Check các option trong phương thức thanh toán khi nhỏ hơn 4 PTTT</t>
  </si>
  <si>
    <t>1. Quan sát các option trong phương thức thanh toán khi nhỏ hơn 4 PTTT</t>
  </si>
  <si>
    <t>Hiển thị tất cả các PTTT đang có , không có btn Xem thêm</t>
  </si>
  <si>
    <t>Check các option trong phương thức thanh toán khi lớn hơn 4 PTTT</t>
  </si>
  <si>
    <t>1. Quan sát các option trong phương thức thanh toán khi lớn hơn 4 PTTT</t>
  </si>
  <si>
    <t>Hiển thị 4 PTTT thanh toán đầu tiên và btn Xem Thêm</t>
  </si>
  <si>
    <t>Check thứ tự option trong block phương thức thanh toán</t>
  </si>
  <si>
    <t>1. Quan sát thứ tự option trong block phương thức thanh toán</t>
  </si>
  <si>
    <t>Ưu tiên hiển thị PTTT có CTKM lên trên: mỗi khi có CTKM cho các PTTT (thứ tự hiển thị có thể thay đổi)</t>
  </si>
  <si>
    <t>Check miêu tả của các option trong PTTT</t>
  </si>
  <si>
    <t>1. Quan sát miêu tả của các option trong PTTT</t>
  </si>
  <si>
    <t>Các miêu tả trong PTTT hiển thị đúng đủ (không mờ chữ, không bể khối,...)</t>
  </si>
  <si>
    <t>Check số lượng ưu đãi của các option trong PTTT</t>
  </si>
  <si>
    <t>1. Quan sát số lượng ưu đãi của các option trong PTTT</t>
  </si>
  <si>
    <t>Hiển thị :""&lt;Số lượng&gt; ưu đãi"" - icon Collapse/Expand
+ Chi tiết số ưu đãi 
Mặc định hiển thị chi tiết số lượng ưu đãi khi chọn PTTT
**Tổng số ưu đãi được tính bằng các đầu mục text</t>
  </si>
  <si>
    <t>Check default option trong Block Phương thức thanh toán</t>
  </si>
  <si>
    <t>1. Quan sát default option trong Block Phương thức thanh toán</t>
  </si>
  <si>
    <t>Default option là option đầu tiên, và không thể bỏ chọn 
Khách hàng có thể thay đổi option theo nhu cầu của khách hàng</t>
  </si>
  <si>
    <t>Check behavior khi người dùng click btn Xem thêm</t>
  </si>
  <si>
    <t>- Truy cập màn hình đăng ký dịch vụ/thanh toán
Khi sp hỗ trợ nhiều hơn 4 PTTT</t>
  </si>
  <si>
    <t>1. Nhấn btn Xem thêm tại Block PTTT</t>
  </si>
  <si>
    <t>Hiển thị hết các PTTT đang có</t>
  </si>
  <si>
    <t>Check behavior khi người dùng click btn Thu gọn</t>
  </si>
  <si>
    <t>1. Nhấn btn Xem thêm tại Block PTTT
2. Nhấn nút Thu gọn</t>
  </si>
  <si>
    <t>List PTTT được rút gọn lại còn 4 option đầu tiên</t>
  </si>
  <si>
    <t>Check người dùng chỉ được chọn 1 option trong PTTT</t>
  </si>
  <si>
    <t>1. Chọn nhiều option trong PTTT</t>
  </si>
  <si>
    <t>User chỉ được chọn 1 option</t>
  </si>
  <si>
    <t>Màn hình nhập thông tin - Block Thông tin thanh toán</t>
  </si>
  <si>
    <t>Click icon Collapse trường Thông tin thanh toán</t>
  </si>
  <si>
    <t>1. Truy cập màn hình Thanh toán dịch vụ
2. Click icon Collapse tại block Thông tin thanh toán</t>
  </si>
  <si>
    <t>Thu gọn các trường tại Thông tin thanh toán</t>
  </si>
  <si>
    <t>Click icon Expand trường Thông tin thanh toán</t>
  </si>
  <si>
    <t>1. Truy cập màn hình Thanh toán dịch vụ
2. Click icon Collapse tại block Thông tin thanh toán
3. Click icon Expand tại block Thông tin thanh toán</t>
  </si>
  <si>
    <t>Mở rộng các trường tại Thông tin thanh toán</t>
  </si>
  <si>
    <t>Click vào hyperlink &lt;điều khoản&gt;</t>
  </si>
  <si>
    <t>1. Truy cập màn hình Thanh toán dịch vụ
2. Input hợp lệ tất cả các trường thông tin
3. Click vào hyperlink &lt;điều khoản&gt;</t>
  </si>
  <si>
    <t>Điều hướng sang màn hình điều khoản của FPT Telecom</t>
  </si>
  <si>
    <t>Check hiển thị đúng tên gói</t>
  </si>
  <si>
    <t>1. Truy cập màn hình Thanh toán dịch vụ
2. Check hiển thị tên gói tại block Thông tin thanh toán</t>
  </si>
  <si>
    <t>Hiển thị đúng tên gói đang đăng ký</t>
  </si>
  <si>
    <t>Check hiển thị giá tiền có Chính sách_ Chung cư</t>
  </si>
  <si>
    <t xml:space="preserve">- Truy cập màn hình đăng ký dịch vụ/thanh toán 
- Có chính sách chung cư </t>
  </si>
  <si>
    <t>1. Truy cập màn hình Thanh toán dịch vụ
2. Check hiển thị giá tiền</t>
  </si>
  <si>
    <t xml:space="preserve">Giá gói hiển thị đúng và đủ theo CS chung cư
 - Mặc định là giá gói 1 tháng </t>
  </si>
  <si>
    <t>Check hiển thị giá tiền có Chính sách _ nhà phố</t>
  </si>
  <si>
    <t>- Truy cập màn hình đăng ký dịch vụ/thanh toán 
- Có chính sách nhà phố</t>
  </si>
  <si>
    <t>Giá gói hiển thị đúng và đủ theo CS nhà phố
 - Mặc định là giá gói 1 tháng</t>
  </si>
  <si>
    <t>Check hiển thị ô nhập mã khuyến mãi và link 'Chọn ưu đãi'</t>
  </si>
  <si>
    <t>1. Truy cập màn hình Thanh toán dịch vụ
2. Check ô nhập mã khuyến mãi tại block Thông tin thanh toán bên phải</t>
  </si>
  <si>
    <t>Hiển thị: ô input (placeholder 'Nhập mã khuyến mãi') + link 'Chọn ưu đãi' (có badge số ưu đãi) + btn 'Áp dụng' (disable mặc định)</t>
  </si>
  <si>
    <t>Check btn 'Áp dụng' chỉ enable khi có nội dung trong ô mã khuyến mãi</t>
  </si>
  <si>
    <t>1. Truy cập màn hình Thanh toán dịch vụ
2. Check btn 'Áp dụng' khi ô mã rỗng
3. Nhập 1 ký tự vào ô mã
4. Check lại btn 'Áp dụng'</t>
  </si>
  <si>
    <t>Khi ô rỗng: btn 'Áp dụng' disable (màu xám)
Khi có ký tự: btn 'Áp dụng' enable (màu xanh)</t>
  </si>
  <si>
    <t>Click link 'Chọn ưu đãi' mở danh sách ưu đãi khả dụng</t>
  </si>
  <si>
    <t>- Truy cập màn hình đăng ký dịch vụ/thanh toán  
- Có ưu đãi đang hoạt động</t>
  </si>
  <si>
    <t>1. Truy cập màn hình Thanh toán dịch vụ
2. Click link 'Chọn ưu đãi'
3. Check màn hình/popup hiển thị</t>
  </si>
  <si>
    <t>Hiển thị danh sách ưu đãi khả dụng
Badge số hiển thị đúng số lượng ưu đãi</t>
  </si>
  <si>
    <t>Check mã khuyến mãi hợp lệ áp dụng giảm giá và cập nhật Sô tiền Cần thanh toán</t>
  </si>
  <si>
    <t>- Truy cập màn hình đăng ký dịch vụ/thanh toán 
- Có mã khuyến mãi hợp lệ đang hoạt động</t>
  </si>
  <si>
    <t>1. Truy cập màn hình Thanh toán dịch vụ
2. Nhập mã khuyến mãi hợp lệ
3. Click btn 'Áp dụng'
4. Check số tiền Cần thanh toán</t>
  </si>
  <si>
    <t>Hiển thị giá trị giảm
Cần thanh toán = giá gốc - giá trị giảm (cập nhật đúng)</t>
  </si>
  <si>
    <t>Check nhập mã khuyến mãi không hợp lệ hoặc hết hạn</t>
  </si>
  <si>
    <t>- Truy cập màn hình đăng ký dịch vụ/thanh toán 
- Mã khuyến mãi không tồn tại hoặc đã hết hạn</t>
  </si>
  <si>
    <t>1. Truy cập màn hình Thanh toán dịch vụ
2. Nhập mã khuyến mãi không hợp lệ
3. Click btn 'Áp dụng'
4. Check thông báo</t>
  </si>
  <si>
    <t>Hiển thị thông báo lỗi: mã không hợp lệ hoặc đã hết hạn
Số tiền Cần thanh toán không thay đổi</t>
  </si>
  <si>
    <t xml:space="preserve">Màn hình nhập thông tin - Luồng thanh toán </t>
  </si>
  <si>
    <t>Click button Thanh toán khi chưa nhập đủ các trường bắt buộc</t>
  </si>
  <si>
    <t>1. Truy cập màn hình Thanh toán dịch vụ
2. Không nhập đủ các trường bắt buộc
3. Click 'Thanh toán'</t>
  </si>
  <si>
    <t>Hệ thống show thông báo lỗi ở các trường bắt buộc nhập, không thực hiện thanh toán đơn hàng</t>
  </si>
  <si>
    <t>Click button Thanh toán khi nhập đủ các trường bắt buộc _ PTTT =COD</t>
  </si>
  <si>
    <t>1. Truy cập màn hình Thanh toán dịch vụ
2. Nhập đầy đủ các trường bắt buộc 
3. Chọn PTTT = COD
4. Click 'Thanh toán'</t>
  </si>
  <si>
    <t>Điều hướng qua đúng màn hình hoàn tất đơn hàng với trạng thái chưa thanh toán (UI chi tiết check riêng ở từng sheet dịch vụ)</t>
  </si>
  <si>
    <t xml:space="preserve">Click button Thanh toán khi nhập đủ các trường bắt buộc _ PTTT = Online </t>
  </si>
  <si>
    <t>1. Truy cập màn hình Thanh toán dịch vụ
2. Nhập đầy đủ các trường bắt buộc 
3. Chọn PTTT = Online (ATM,VISA, QR code)
4. Click 'Thanh toán'</t>
  </si>
  <si>
    <t>Điều hướng qua đúng màn hình thanh toán tương ứng với PTTT đã chọn 
Đúng số tiền cần thanh toán(màn hình này của bên thứ 3 nên ko cần kiểm tra thông tin khác )</t>
  </si>
  <si>
    <t xml:space="preserve">Click double_click button Thanh toán </t>
  </si>
  <si>
    <t xml:space="preserve">1. Truy cập màn hình Thanh toán dịch vụ
2. Nhập đầy đủ các trường bắt buộc 
3. Chọn PTTT = Online (ATM,VISA, QR code)
4. DoubleClick btn 'Thanh toán'
5. Check log tạo đơn hàng </t>
  </si>
  <si>
    <t>Hệ thống chỉ tạo 1 đơn hàng và đúng thông tin đã nhập, không bị double đơn hàng</t>
  </si>
  <si>
    <t>Check click thanh toán khi quá session checkout (20p)</t>
  </si>
  <si>
    <t>1. Truy cập màn hình Thanh toán dịch vụ
2. Nhập đầy đủ các trường bắt buộc 
3. Chọn PTTT = Online (ATM,VISA, QR code)
4. Chờ hơn 20p
5. Click 'Thanh toán'</t>
  </si>
  <si>
    <t>Hiển thị thông báo lỗi hợp lý, và đẩy thông tin KH tiềm năng</t>
  </si>
  <si>
    <t>Check click thanh toán và chờ hết countdown thanh toán ở bên thứ 3</t>
  </si>
  <si>
    <t>1. Truy cập màn hình Thanh toán dịch vụ
2. Nhập đầy đủ các trường bắt buộc 
3. Chọn PTTT = Online (ATM,VISA, QR code)
4. Click 'Thanh toán'
5. Chờ hết thời gian thanh toán của kênh (~15p)</t>
  </si>
  <si>
    <t xml:space="preserve">Quay về tongdaiwifi và hiển thị màn hình không thành công </t>
  </si>
  <si>
    <t xml:space="preserve">Check click thanh toán &gt; Back về </t>
  </si>
  <si>
    <t>1. Truy cập màn hình Thanh toán dịch vụ
2. Nhập đầy đủ các trường bắt buộc 
3. Chọn PTTT = Online (ATM,VISA, QR code)
4. Click 'Thanh toán'
5. Click icon back trên trình duyệt</t>
  </si>
  <si>
    <t>Quay về màn hình dịch vụ và disable các thông tin không cho cập nhật, chỉ được cập nhật PTTT+mã ưu đãi</t>
  </si>
  <si>
    <t>Check click thanh toán &gt; Và thao tác hủy thanh toán từ bên thứ 3</t>
  </si>
  <si>
    <t>1. Truy cập màn hình Thanh toán dịch vụ
2. Nhập đầy đủ các trường bắt buộc 
3. Chọn PTTT = Online (ATM,VISA, QR code)
4. Click 'Thanh toán'
5. Thao tác Hủy/hoặc thanh toán không thành công (sai thông tin thẻ nhiều lần)</t>
  </si>
  <si>
    <t>Quay về tongdaiwifi và hiển thị màn hình không thành công 
- Đẩy KHTN</t>
  </si>
  <si>
    <t>Màn hình Hoàn tất đơn hàng</t>
  </si>
  <si>
    <t>Mã đơn hàng</t>
  </si>
  <si>
    <t xml:space="preserve">Check hiển thị tại Mã đơn hàng </t>
  </si>
  <si>
    <t>- Hiển thị màn hình hoàn tất đơn hàng thành công</t>
  </si>
  <si>
    <t xml:space="preserve">1. Tại bước Hoàn tất đơn hàng
2. Check hiển thị tại Mã đơn hàng </t>
  </si>
  <si>
    <t>Hiển thị đúng thông tin mã đơn hàng: 
Mã đơn hàng: &lt;mã đơn hàng&gt; + hyperlink Theo dõi ĐH</t>
  </si>
  <si>
    <t>Click vào hyperlink Theo dõi đơn hàng</t>
  </si>
  <si>
    <t>1. Tại bước Hoàn tất đơn hàng
2. Click vào hyperlink Theo dõi đơn hàng</t>
  </si>
  <si>
    <t>Hệ thống điều hướng KH đến màn hình theo dõi đơn hàng</t>
  </si>
  <si>
    <t xml:space="preserve">Thông tin khách hàng </t>
  </si>
  <si>
    <t xml:space="preserve">Check hiển thị tại Thông tin khách hàng </t>
  </si>
  <si>
    <t>1. Tại bước Hoàn tất đơn hàng
2. Check hiển thị tại Thông tin khách hàng</t>
  </si>
  <si>
    <t>Hiển thị đúng Thông tin khách hàng đã nhập tại bước thông tin đăng ký</t>
  </si>
  <si>
    <t>Check thu gọn Thông tin khách hàng</t>
  </si>
  <si>
    <t>1. Tại bước Hoàn tất đơn hàng
2. Click icon 'v' tại Thông tin khách hàng 
3. Check thu gọn Thông tin khách hàng</t>
  </si>
  <si>
    <t>Thu gọn block Thông tin khách hàng chỉ hiển thị title Thông tin khách hàng và thay đổi icon 'v' thành icon '^'</t>
  </si>
  <si>
    <t>Check mở rộng Thông tin khách hàng</t>
  </si>
  <si>
    <t>1. Tại bước Hoàn tất đơn hàng
2. Click icon '^' tại Thông tin khách hàng 
3. Check mở rộng Thông tin khách hàng</t>
  </si>
  <si>
    <t>Mở rộng block Thông tin khách hàng hiển thị tất cả các thông tin như mặc định và thay đổi icon '^' thành icon 'v'</t>
  </si>
  <si>
    <t>Thông tin thanh toán</t>
  </si>
  <si>
    <t>Check hiển thị tại Thông tin thanh toán</t>
  </si>
  <si>
    <t xml:space="preserve">1. Tại bước Hoàn tất đơn hàng
2. Check hiển thị tại Thông tin thanh toán </t>
  </si>
  <si>
    <t>Hiển thị đúng Thông tin thanh toán đã nhập tại bước thanh toán</t>
  </si>
  <si>
    <t>Check thu gọn Thông tin thanh toán</t>
  </si>
  <si>
    <t>1. Tại bước Hoàn tất đơn hàng
2. Click icon 'v' tại Thông tin thanh toán 
3. Check thu gọn Thông tin thanh toán</t>
  </si>
  <si>
    <t>Thu gọn block thông tin thanh toán chỉ hiển thị title Thông tin thanh toán và thay đổi icon 'v' thành icon '^'</t>
  </si>
  <si>
    <t>Check mở rộng Thông tin thanh toán</t>
  </si>
  <si>
    <t>1. Tại bước Hoàn tất đơn hàng
2. Click icon '^' tại Thông tin thanh toán
3. Check mở rộng Thông tin thanh toán</t>
  </si>
  <si>
    <t>Mở rộng block Thông tin thanh toán hiển thị tất cả các thông tin như mặc định và thay đổi icon '^' thành icon 'v'</t>
  </si>
  <si>
    <t>Chi tiết dịch vụ SA</t>
  </si>
  <si>
    <t>FPL</t>
  </si>
  <si>
    <t>HyperFast</t>
  </si>
  <si>
    <t>Tổng Quan Màn Hình</t>
  </si>
  <si>
    <t>Kiểm tra layout tổng thể trang chi tiết dịch vụ</t>
  </si>
  <si>
    <t>Đang ở trang chi tiết dịch vụ với URL hợp lệ của 1 gói bán đang active.</t>
  </si>
  <si>
    <t>1. Mở trang chi tiết dịch vụ.
2. Quan sát toàn bộ bố cục màn hình.</t>
  </si>
  <si>
    <r>
      <rPr>
        <rFont val="Calibri"/>
        <color theme="1"/>
        <sz val="12.0"/>
      </rPr>
      <t xml:space="preserve">Trang hiển thị đầy đủ các block theo đúng thứ tự:
(1) Header dùng chung
(2) Breadcrumb
(3) Hình ảnh &amp; Video
(4) Thông tin gói bán (Tên, Mô tả, Chu kỳ, Giá bán)
(5) Block Đặc quyền 
</t>
    </r>
    <r>
      <rPr>
        <rFont val="Calibri"/>
        <strike/>
        <color theme="1"/>
        <sz val="12.0"/>
      </rPr>
      <t>(6) Block Ưu đãi</t>
    </r>
    <r>
      <rPr>
        <rFont val="Calibri"/>
        <color theme="1"/>
        <sz val="12.0"/>
      </rPr>
      <t xml:space="preserve">
</t>
    </r>
    <r>
      <rPr>
        <rFont val="Calibri"/>
        <strike/>
        <color theme="1"/>
        <sz val="12.0"/>
      </rPr>
      <t>(7) Block Khuyến mãi thanh toán</t>
    </r>
    <r>
      <rPr>
        <rFont val="Calibri"/>
        <color theme="1"/>
        <sz val="12.0"/>
      </rPr>
      <t xml:space="preserve">
(8) Button Mua ngay
(9) Block Thông tin sản phẩm
</t>
    </r>
    <r>
      <rPr>
        <rFont val="Calibri"/>
        <strike/>
        <color theme="1"/>
        <sz val="12.0"/>
      </rPr>
      <t>(10) Block Thông tin hay</t>
    </r>
    <r>
      <rPr>
        <rFont val="Calibri"/>
        <color theme="1"/>
        <sz val="12.0"/>
      </rPr>
      <t xml:space="preserve">
(11) Block Đã xem gần đây
(12) Câu hỏi thường gặp
(13) Footer dùng chung
Không có block bị vỡ layout, trùng chèn hoặc hiển thị lỗi.</t>
    </r>
  </si>
  <si>
    <t>GiangDC2</t>
  </si>
  <si>
    <t xml:space="preserve"> </t>
  </si>
  <si>
    <t>Kiểm tra trang chi tiết dịch vụ truy cập tử Homepage</t>
  </si>
  <si>
    <t>User mở trình duyệt.</t>
  </si>
  <si>
    <t>1. Truy cập Homepage Tongdaiwifi
2. Click btn Xem chi tiết tại card dịch vụ SA bất kỳ</t>
  </si>
  <si>
    <t>Điều hướng đúng màn hình chi tiết của dịch vụ, Và load tên gói đúng với card đã chọn</t>
  </si>
  <si>
    <t>Kiểm tra trang chi tiết dịch vụ truy cập trực tiếp từ link</t>
  </si>
  <si>
    <t>1. Nhập URL trang chi tiết dịch vụ với ID sản phẩm hợp lệ vào thanh địa chỉ.
2. Nhấn Enter.</t>
  </si>
  <si>
    <t>Điều hướng đúng màn hình chi tiết của dịch vụ, và load thông tin gói đúng với URL đã nhập</t>
  </si>
  <si>
    <t>Kiểm tra trang chi tiết dịch vụ với URL sản phẩm không tồn tại</t>
  </si>
  <si>
    <t>1. Nhập URL trang chi tiết dịch vụ với ID sản phẩm không tồn tại vào thanh địa chỉ.
2. Nhấn Enter.</t>
  </si>
  <si>
    <t>Hệ thống hiển thị trang lỗi (404) hoặc trang thông báo 'Không tìm thấy sản phẩm'. Không hiển thị trang trắng hoặc crash.</t>
  </si>
  <si>
    <t>Breadcrumb</t>
  </si>
  <si>
    <t>Kiểm tra breadcrumb hiển thị đúng danh mục và tên gói dịch vụ</t>
  </si>
  <si>
    <t>1. Mở trang chi tiết dịch vụ.
2. Quan sát breadcrumb ở đầu trang.</t>
  </si>
  <si>
    <t>Breadcrumb hiển thị đúng chuỗi danh mục sản phẩm dẫn đến gói đang xem. Điểm đến cuối cùng là tên gói bán hiện tại.</t>
  </si>
  <si>
    <t>Kiểm tra breadcrumb điều hướng về trang danh mục cha</t>
  </si>
  <si>
    <t>1. Mở trang chi tiết dịch vụ.
2. Click vào một mục trung gian trong breadcrumb (không phải mục cuối).</t>
  </si>
  <si>
    <t>Hệ thống điều hướng đúng đến trang danh mục tương ứng. URL thay đổi chính xác.</t>
  </si>
  <si>
    <t>Kiểm tra breadcrumb không cho phép click vào điểm cuối (tên gói hiện tại)</t>
  </si>
  <si>
    <t>1. Mở trang chi tiết dịch vụ.
2. Click vào tên gói ở cuối breadcrumb.</t>
  </si>
  <si>
    <t>Giữ nguyên màn hình hiện tại, không điều hướng</t>
  </si>
  <si>
    <t>Hình Ảnh &amp; Video Sản Phẩm</t>
  </si>
  <si>
    <t>Kiểm tra hiển thị hình ảnh và video sản phẩm load từ ProductHub</t>
  </si>
  <si>
    <t>Đang ở trang chi tiết dịch vụ với URL hợp lệ của 1 gói bán đang active. Gói bán có cả ảnh và video trong ProductHub.</t>
  </si>
  <si>
    <t>1. Mở trang chi tiết dịch vụ.
2. Quan sát block Hình ảnh &amp; Video.</t>
  </si>
  <si>
    <t>Hình ảnh và video load đúng từ ProductHub. Ảnh đầu tiên hiển thị ở khung chính. Thumbnail ảnh/video hiển thị phía dưới để chọn.</t>
  </si>
  <si>
    <t xml:space="preserve">hiện tại chưa hỗ trợ đính kèm video </t>
  </si>
  <si>
    <t>Kiểm tra giới hạn tối đa 10 mục hình ảnh &amp; video</t>
  </si>
  <si>
    <t>Đang ở trang chi tiết dịch vụ với URL hợp lệ của 1 gói bán đang active. Gói bán có hơn 10 ảnh/video trong ProductHub.</t>
  </si>
  <si>
    <t>1. Mở trang chi tiết dịch vụ.
2. Đếm số lượng ảnh và video hiển thị trong block.</t>
  </si>
  <si>
    <t>Hệ thống chỉ hiển thị tối đa 10 mục (ảnh + video kết hợp). Các mục từ thứ 11 trở đi không hiển thị.</t>
  </si>
  <si>
    <t>Kiểm tra chuyển ảnh/video bằng nút điều hướng</t>
  </si>
  <si>
    <t>Đang ở trang chi tiết dịch vụ với URL hợp lệ của 1 gói bán đang active. Gói bán có &gt;= 3 ảnh trong ProductHub.</t>
  </si>
  <si>
    <t>1. Mở trang chi tiết dịch vụ.
2. Click nút điều hướng sang phải (Next).</t>
  </si>
  <si>
    <t>Hình ảnh chuyển sang mục tiếp theo. Khung ảnh chính cập nhật đúng ảnh tương ứng.</t>
  </si>
  <si>
    <t>Kiểm tra nút điều hướng khi đang ở vị trí giữa</t>
  </si>
  <si>
    <t>Đang ở trang chi tiết dịch vụ với URL hợp lệ của 1 gói bán đang active. Gói bán có &gt;= 3 ảnh/video trong ProductHub.</t>
  </si>
  <si>
    <t xml:space="preserve">1. Mở trang chi tiết dịch vụ.
2. Click nút Next 
3. Quan sát trạng thái nút Next/Prev </t>
  </si>
  <si>
    <t>Nút Next/Prev không bị disable có thể click được</t>
  </si>
  <si>
    <t>Kiểm tra nút điều hướng bị disabled khi đến giới hạn phải</t>
  </si>
  <si>
    <t>Đang ở trang chi tiết dịch vụ với URL hợp lệ của 1 gói bán đang active. Gói bán có &gt;= 2 ảnh/video trong ProductHub.</t>
  </si>
  <si>
    <t>1. Mở trang chi tiết dịch vụ.
2. Click nút Next liên tục cho đến mục cuối cùng.
3. Quan sát trạng thái nút Next.</t>
  </si>
  <si>
    <t>Nút điều hướng phải (Next) bị disabled (không thể click, thay đổi giao diện thể hiện trạng thái disabled) khi đang ở mục cuối cùng.</t>
  </si>
  <si>
    <t>Kiểm tra nút điều hướng bị disabled khi đang ở mục đầu tiên (giới hạn trái)</t>
  </si>
  <si>
    <t>1. Mở trang chi tiết dịch vụ.
2. Quan sát trạng thái nút điều hướng trái (Prev) ngay khi mở trang.</t>
  </si>
  <si>
    <t>Nút điều hướng trái (Prev) bị disabled khi đang hiển thị mục đầu tiên (không thể click thêm về trái).</t>
  </si>
  <si>
    <t>Kiểm tra cả 2 nút điều hướng đều disabled khi gói bán chỉ có 1 mục ảnh/video</t>
  </si>
  <si>
    <t>Đang ở trang chi tiết dịch vụ với URL hợp lệ của 1 gói bán đang active. Gói bán chỉ có đúng 1 ảnh hoặc 1 video trong ProductHub.</t>
  </si>
  <si>
    <t>1. Mở trang chi tiết dịch vụ.
2. Quan sát trạng thái cả hai nút điều hướng.</t>
  </si>
  <si>
    <t>Cả nút Prev và Next đều ẩn. Không thể click vào bất kỳ nút nào.</t>
  </si>
  <si>
    <t>Kiểm tra video tự động play khi chuyển đến mục video</t>
  </si>
  <si>
    <t>Đang ở trang chi tiết dịch vụ với URL hợp lệ của 1 gói bán đang active. Gói bán có ít nhất 1 video và 1 ảnh trong ProductHub, video không phải mục đầu tiên.</t>
  </si>
  <si>
    <t>1. Mở trang chi tiết dịch vụ.
2. Chuyển điều hướng đến mục là video.</t>
  </si>
  <si>
    <t>Video tự động phát (autoplay) trong khung ảnh chính ngay khi chuyển tới. Không cần người dùng click thêm.</t>
  </si>
  <si>
    <t>chưa hỗ trợ video</t>
  </si>
  <si>
    <t>Kiểm tra click vào video mở popup trình phát video</t>
  </si>
  <si>
    <t>Đang ở trang chi tiết dịch vụ với URL hợp lệ của 1 gói bán đang active. Gói bán có ít nhất 1 video trong ProductHub.</t>
  </si>
  <si>
    <t>1. Mở trang chi tiết dịch vụ.
2. Chuyển đến mục video.
3. Click vào video đang play trong khung chính.</t>
  </si>
  <si>
    <t>Hệ thống mở popup trình phát video ở dạng overlay/lightbox. Video tiếp tục phát trong popup. Nền màn hình bị mờ/dim.</t>
  </si>
  <si>
    <t>Kiểm tra tổng số mục boundary = 10 (đúng giới hạn tối đa)</t>
  </si>
  <si>
    <t>Đang ở trang chi tiết dịch vụ với URL hợp lệ của 1 gói bán đang active. Gói bán có đúng 10 ảnh/video trong ProductHub.</t>
  </si>
  <si>
    <t>1. Mở trang chi tiết dịch vụ.
2. Đếm tổng số mục media hiển thị.
3. Click Next đến mục cuối cùng.</t>
  </si>
  <si>
    <t>Hiển thị đúng 10 mục. Mục thứ 10 là mục cuối. Nút Next disabled ở mục thứ 10.</t>
  </si>
  <si>
    <t>Thông Tin Gói Bán</t>
  </si>
  <si>
    <t>Kiểm tra hiển thị tên gói và mô tả gói từ ProductHub</t>
  </si>
  <si>
    <t>1. Mở trang chi tiết dịch vụ.
2. Quan sát block Thông tin gói bán.</t>
  </si>
  <si>
    <t>Tên gói và mô tả gói hiển thị đúng theo dữ liệu từ ProductHub. Không bị cắt ngắn bất thường, font và layout đúng design.</t>
  </si>
  <si>
    <t>Kiểm tra hiển thị các option chu kỳ của gói</t>
  </si>
  <si>
    <t>Đang ở trang chi tiết dịch vụ với URL hợp lệ của 1 gói bán đang active. Gói bán có nhiều chu kỳ (ví dụ: 1 tháng, 3 tháng, 12 tháng).</t>
  </si>
  <si>
    <t>1. Mở trang chi tiết dịch vụ.
2. Quan sát block Chu kỳ của gói.</t>
  </si>
  <si>
    <t>Tất cả các option chu kỳ của gói hiển thị đúng. Option đầu tiên (hoặc mặc định) được highlight.</t>
  </si>
  <si>
    <t>Kiểm tra chọn chu kỳ → option được highlight</t>
  </si>
  <si>
    <t>Đang ở trang chi tiết dịch vụ với URL hợp lệ của 1 gói bán đang active. Gói bán có &gt;= 2 chu kỳ.</t>
  </si>
  <si>
    <t>1. Mở trang chi tiết dịch vụ.
2. Click chọn một option chu kỳ khác (không phải mặc định).</t>
  </si>
  <si>
    <t xml:space="preserve">Option vừa click được highlight (active state). Các option khác trở về trạng thái không được chọn. </t>
  </si>
  <si>
    <t>Giá Bán</t>
  </si>
  <si>
    <t>Kiểm tra giá bán hiển thị theo location khi user có location</t>
  </si>
  <si>
    <t>User đã chọn Location</t>
  </si>
  <si>
    <t>1. Mở trang chi tiết dịch vụ.
2. Quan sát block Giá bán.</t>
  </si>
  <si>
    <t>Giá bán hiển thị đúng theo location của user (lấy từ ProductHub theo location). Giá đúng định dạng tiền tệ (VND hoặc theo cấu hình).</t>
  </si>
  <si>
    <t>Kiểm tra giá bán hiển thị giá thấp nhất khi user không có location</t>
  </si>
  <si>
    <t>User đã chưa chọn Location</t>
  </si>
  <si>
    <t>Giá bán hiển thị giá thấp nhất hiện có trên ProductHub (không phụ thuộc location). Giá đúng định dạng tiền tệ.</t>
  </si>
  <si>
    <t>Kiểm tra giá bán khi user chọn chu kỳ khác</t>
  </si>
  <si>
    <t>Đang ở trang chi tiết dịch vụ với URL hợp lệ của 1 gói bán đang active. Gói bán có &gt;= 2 chu kỳ</t>
  </si>
  <si>
    <t>1. Mở trang chi tiết dịch vụ.
2. Quan sát giá bán ứng với chu kỳ mặc định.
3. Click chọn chu kỳ khác.</t>
  </si>
  <si>
    <t xml:space="preserve">Giá hiển thị đúng với chu kỳ đã chọn </t>
  </si>
  <si>
    <t>Kiểm tra định dạng hiển thị giá bán (format số, đơn vị tiền tệ)</t>
  </si>
  <si>
    <t>1. Mở trang chi tiết dịch vụ.
2. Quan sát giá trị và định dạng giá bán.</t>
  </si>
  <si>
    <t>Giá hiển thị đúng định dạng: có dấu phân cách hàng nghìn, đơn vị tiền tệ (VNĐ/đ hoặc theo thiết kế). Không hiển thị số raw không định dạng.</t>
  </si>
  <si>
    <t xml:space="preserve">Block Đặc quyền </t>
  </si>
  <si>
    <t>Kiểm tra blockĐặc quyền  load data từ ProductHub</t>
  </si>
  <si>
    <t>1. Mở trang chi tiết dịch vụ.
2. Quan sát block Đặc quyền</t>
  </si>
  <si>
    <t>Block hiển thị đúng nội dung được cấu hình trong ProductHub. Không có nội dung trống hoặc lỗi hiển thị.</t>
  </si>
  <si>
    <t>Kiểm tra hiển thị block khi ProductHub không có data cho block Đặc quyền</t>
  </si>
  <si>
    <t>Đang ở trang chi tiết dịch vụ với URL hợp lệ của 1 gói bán đang active. Gói bán không cấu hình data cho block Đặc quyền trong ProductHub.</t>
  </si>
  <si>
    <t>1. Mở trang chi tiết dịch vụ.
2. Quan sát vị trí của block Đặc quyền</t>
  </si>
  <si>
    <t>Ẩn block không hiển thị</t>
  </si>
  <si>
    <t>Block Ưu Đãi(sprint 12 chưa test)</t>
  </si>
  <si>
    <t>Kiểm tra block Ưu đãi load data từ ProductHub</t>
  </si>
  <si>
    <t>1. Mở trang chi tiết dịch vụ.
2. Quan sát block Ưu đãi.</t>
  </si>
  <si>
    <t>Block Ưu đãi hiển thị đúng nội dung từ ProductHub. Nội dung rõ ràng, đúng layout thiết kế.</t>
  </si>
  <si>
    <t>Kiểm tra hiển thị block khi ProductHub không có data cho block ƯU ĐÃI</t>
  </si>
  <si>
    <t>Đang ở trang chi tiết dịch vụ với URL hợp lệ của 1 gói bán đang active. Gói bán không cấu hình data cho block ƯU ĐÃI trong ProductHub.</t>
  </si>
  <si>
    <t>1. Mở trang chi tiết dịch vụ.
2. Quan sát vị trí của block ƯU ĐÃI</t>
  </si>
  <si>
    <t>Block Khuyến Mãi Thanh Toán(sprint 12 chưa test)</t>
  </si>
  <si>
    <t>Kiểm tra block Khuyến mãi thanh toán load data từ CMS</t>
  </si>
  <si>
    <t>1. Mở trang chi tiết dịch vụ.
2. Quan sát block Khuyến mãi thanh toán.</t>
  </si>
  <si>
    <t>Block hiển thị đúng các option khuyến mãi theo cấu hình CMS. Mỗi option có nội dung đầy đủ.</t>
  </si>
  <si>
    <t>Kiểm tra click vào option khuyến mãi → hiển thị thông tin chi tiết</t>
  </si>
  <si>
    <t>Đang ở trang chi tiết dịch vụ với URL hợp lệ của 1 gói bán đang active. Block Khuyến mãi thanh toán có ít nhất 1 option.</t>
  </si>
  <si>
    <t>1. Mở trang chi tiết dịch vụ.
2. Click vào 1 option trong block Khuyến mãi thanh toán.</t>
  </si>
  <si>
    <t>Hệ thống hiển thị thêm thông tin chi tiết của option vừa click (popup, expand section, hoặc theo design đã xác định). Nội dung chi tiết đúng với option được chọn.</t>
  </si>
  <si>
    <t>Kiểm tra scroll để xem hết thông tin khuyến mãi khi có nhiều data</t>
  </si>
  <si>
    <t>Đang ở trang chi tiết dịch vụ với URL hợp lệ của 1 gói bán đang active. Block Khuyến mãi thanh toán có nhiều option.</t>
  </si>
  <si>
    <t xml:space="preserve">1. Mở trang chi tiết dịch vụ.
2. Scroll tại block thông tin khuyến mãi </t>
  </si>
  <si>
    <t xml:space="preserve">Có thể xem được full tất cả các option thông tin khuyến mãi, không có option nào bị che mất </t>
  </si>
  <si>
    <t>Kiểm tra block Khuyến mãi thanh toán khi CMS không có data</t>
  </si>
  <si>
    <t>Đang ở trang chi tiết dịch vụ với URL hợp lệ của 1 gói bán đang active. CMS không cấu hình data cho block Khuyến mãi thanh toán.</t>
  </si>
  <si>
    <t>1. Mở trang chi tiết dịch vụ.
2. Quan sát vị trí block Khuyến mãi thanh toán.</t>
  </si>
  <si>
    <t>Button Mua Ngay</t>
  </si>
  <si>
    <t>Kiểm tra Button Mua ngay điều hướng đến màn hình đăng ký sản phẩm</t>
  </si>
  <si>
    <t>1. Mở trang chi tiết dịch vụ.
2. Click button Mua ngay.</t>
  </si>
  <si>
    <t>Hệ thống điều hướng đến màn hình đăng ký sản phẩm của dịch vụ đang xem. URL và trang đích đúng.</t>
  </si>
  <si>
    <t>Kiểm tra màn hình đăng ký nhận đúng chu kỳ đã chọn khi click Mua ngay</t>
  </si>
  <si>
    <t>1. Mở trang chi tiết dịch vụ.
2. Click chọn chu kỳ '3 tháng' (hoặc một chu kỳ không phải mặc định).
3. Click button Mua ngay.</t>
  </si>
  <si>
    <t>Màn hình đăng ký load với chu kỳ '3 tháng' đã được chọn sẵn (default load đúng thông tin chu kỳ đã chọn). Người dùng không phải chọn lại chu kỳ.</t>
  </si>
  <si>
    <t>Kiểm tra Button Mua ngay hiển thị và nổi bật theo design</t>
  </si>
  <si>
    <t>1. Mở trang chi tiết dịch vụ.
2. Quan sát button Mua ngay.</t>
  </si>
  <si>
    <t>Button Mua ngay hiển thị đúng màu sắc, kích thước, vị trí theo design. Không bị ẩn hay bị block bởi element khác.</t>
  </si>
  <si>
    <t>Block Thông Tin Sản Phẩm</t>
  </si>
  <si>
    <t>Kiểm tra block Thông tin sản phẩm mặc định hiển thị dạng rút gọn với button Xem thêm</t>
  </si>
  <si>
    <t>1. Mở trang chi tiết dịch vụ.
2. Quan sát block Thông tin sản phẩm.</t>
  </si>
  <si>
    <t>Block Thông tin sản phẩm hiển thị nội dung dạng rút gọn (truncated). Button 'Xem thêm' hiển thị ở cuối phần rút gọn.</t>
  </si>
  <si>
    <t>Kiểm tra click Xem thêm → hiển thị full nội dung và xuất hiện button Thu gọn</t>
  </si>
  <si>
    <t>1. Mở trang chi tiết dịch vụ.
2. Click button 'Xem thêm' trong block Thông tin sản phẩm.</t>
  </si>
  <si>
    <t>Toàn bộ nội dung Thông tin sản phẩm được hiển thị đầy đủ. Button 'Xem thêm' biến mất, button 'Thu gọn' xuất hiện thay thế.</t>
  </si>
  <si>
    <t>Kiểm tra click Thu gọn → nội dung trở về dạng rút gọn</t>
  </si>
  <si>
    <t>1. Mở trang chi tiết dịch vụ.
2. Click button 'Xem thêm' để expand.
3. Click button 'Thu gọn'.</t>
  </si>
  <si>
    <t>Nội dung block Thông tin sản phẩm trở về dạng rút gọn. Button 'Thu gọn' biến mất, button 'Xem thêm' xuất hiện lại.</t>
  </si>
  <si>
    <t>Kiểm tra nội dung block Thông tin sản phẩm load từ CMS</t>
  </si>
  <si>
    <t>1. Mở trang chi tiết dịch vụ.
2. Click Xem thêm để xem full nội dung.
3. Đối chiếu nội dung hiển thị với cấu hình CMS.</t>
  </si>
  <si>
    <t>Nội dung block Thông tin sản phẩm khớp với dữ liệu đã cấu hình trên CMS. Không bị mất nội dung hay hiển thị sai.</t>
  </si>
  <si>
    <t xml:space="preserve">Hiện đang load từ mô tả dài của gói, ko có CMS </t>
  </si>
  <si>
    <t>Block Thông Tin Hay (sprint 12 chưa làm )</t>
  </si>
  <si>
    <t>Kiểm tra block Thông tin hay load tối đa 5 bài đăng từ CMS</t>
  </si>
  <si>
    <t>Đang ở trang chi tiết dịch vụ với URL hợp lệ của 1 gói bán đang active. CMS có &gt;= 6 bài đăng cho block Thông tin hay của dịch vụ này.</t>
  </si>
  <si>
    <t>1. Mở trang chi tiết dịch vụ.
2. Đếm số bài đăng hiển thị trong block Thông tin hay.</t>
  </si>
  <si>
    <t>Hệ thống chỉ hiển thị tối đa 5 bài đăng. Bài thứ 6 trở đi không hiển thị.</t>
  </si>
  <si>
    <t>Kiểm tra mỗi bài đăng hiển thị đủ: thời gian, hình ảnh, tiêu đề</t>
  </si>
  <si>
    <t>Đang ở trang chi tiết dịch vụ với URL hợp lệ của 1 gói bán đang active. Block Thông tin hay có ít nhất 1 bài đăng.</t>
  </si>
  <si>
    <t>1. Mở trang chi tiết dịch vụ.
2. Quan sát từng card bài đăng trong block Thông tin hay.</t>
  </si>
  <si>
    <t>Mỗi bài đăng hiển thị đủ 3 thành phần: (1) Thời gian đăng, (2) Hình ảnh thumbnail, (3) Tiêu đề bài đăng. Không thiếu bất kỳ thành phần nào.</t>
  </si>
  <si>
    <t>Kiểm tra block Thông tin hay khi CMS có đúng 5 bài (boundary)</t>
  </si>
  <si>
    <t>Đang ở trang chi tiết dịch vụ với URL hợp lệ của 1 gói bán đang active. CMS có đúng 5 bài đăng cho block Thông tin hay.</t>
  </si>
  <si>
    <t>Hiển thị đúng 5 bài đăng, không hơn không kém.</t>
  </si>
  <si>
    <t>Kiểm tra block Thông tin hay khi CMS không có bài đăng</t>
  </si>
  <si>
    <t>Đang ở trang chi tiết dịch vụ với URL hợp lệ của 1 gói bán đang active. CMS không có bài đăng nào cho block Thông tin hay của dịch vụ này.</t>
  </si>
  <si>
    <t>1. Mở trang chi tiết dịch vụ.
2. Quan sát vị trí block Thông tin hay.</t>
  </si>
  <si>
    <t>Block Đã Xem Gần Đây</t>
  </si>
  <si>
    <t>Kiểm tra block Đã xem gần đây hiển thị các sản phẩm đã xem trong phiên hiện tại</t>
  </si>
  <si>
    <t>User đã xem ít nhất 2 sản phẩm/dịch vụ khác trước đó trong cùng phiên trình duyệt. Đang ở trang chi tiết dịch vụ.</t>
  </si>
  <si>
    <t>1. Mở trang chi tiết dịch vụ.
2. Quan sát block Đã xem gần đây.</t>
  </si>
  <si>
    <t>Block hiển thị các sản phẩm đã xem trước đó trong phiên hiện tại. Mỗi card hiển thị đúng: Hình ảnh, Tên sản phẩm/dịch vụ, Giá tiền.</t>
  </si>
  <si>
    <t>Kiểm tra thứ tự sản phẩm trong block Đã xem gần đây (mới nhất từ trái sang)</t>
  </si>
  <si>
    <t>User đã xem các sản phẩm theo thứ tự: A → B → C trong cùng phiên. Đang ở trang chi tiết dịch vụ khác.</t>
  </si>
  <si>
    <t>1. Mở trang chi tiết dịch vụ.
2. Quan sát thứ tự hiển thị trong block Đã xem gần đây.</t>
  </si>
  <si>
    <t>Sản phẩm C (xem gần nhất) xuất hiện đầu tiên bên trái, tiếp theo là B, sau đó là A. Thứ tự đúng: mới nhất → cũ hơn từ trái sang phải.</t>
  </si>
  <si>
    <t>Kiểm tra giới hạn tối đa 10 sản phẩm trong block Đã xem gần đây</t>
  </si>
  <si>
    <t>User đã xem hơn 10 sản phẩm/dịch vụ khác nhau trong cùng phiên trình duyệt.</t>
  </si>
  <si>
    <t>1. Mở trang chi tiết dịch vụ.
2. Đếm số card trong block Đã xem gần đây.</t>
  </si>
  <si>
    <t>Block chỉ hiển thị tối đa 10 sản phẩm gần nhất. Các sản phẩm xem cũ hơn không hiển thị.</t>
  </si>
  <si>
    <t>https://foxproject.atlassian.net/browse/EP-891</t>
  </si>
  <si>
    <t>đã recheck OK</t>
  </si>
  <si>
    <t>Kiểm tra block Đã xem gần đây ẩn khi chưa có lịch sử xem (phiên mới)</t>
  </si>
  <si>
    <t>User mở trình duyệt lần đầu (hoặc xóa session). Đang ở trang chi tiết dịch vụ.</t>
  </si>
  <si>
    <t>1. Mở trang chi tiết dịch vụ.
2. Quan sát vị trí block Đã xem gần đây.</t>
  </si>
  <si>
    <t>Kiểm tra trang hiện tại không xuất hiện trong block Đã xem gần đây của chính nó</t>
  </si>
  <si>
    <t>User đã xem sản phẩm X và các sản phẩm khác. Hiện đang ở trang chi tiết sản phẩm X.</t>
  </si>
  <si>
    <t>1. Mở trang chi tiết sản phẩm X.
2. Quan sát block Đã xem gần đây.</t>
  </si>
  <si>
    <t>Sản phẩm X (trang đang xem) không xuất hiện trong danh sách Đã xem gần đây của chính nó. Chỉ các sản phẩm khác mới được liệt kê.</t>
  </si>
  <si>
    <t>Kiểm tra block Đã xem gần đây không lưu sau khi đóng trình duyệt (session-based)</t>
  </si>
  <si>
    <t>User đã xem sản phẩm trong phiên trước.</t>
  </si>
  <si>
    <t>1. Mở trang Home và xem chi tiết dịch vụ bất kỳ
2. Đóng hoàn toàn trình duyệt.
3. Mở lại trình duyệt và điều hướng đến trang chi tiết dịch vụ.
4. Quan sát block Đã xem gần đây.</t>
  </si>
  <si>
    <t>Block Đã xem gần đây không hiển thị các sản phẩm từ phiên trước. Dữ liệu chỉ tồn tại trong phiên trình duyệt hiện tại (session-based, không persist qua session).</t>
  </si>
  <si>
    <t>Kiểm tra click vào gói tại block Đã xem gần đây</t>
  </si>
  <si>
    <t>1. Mở trang chi tiết sản phẩm X.
2. Click vào block của 1 gói bất kỳ tại Block đã Xem gần đây</t>
  </si>
  <si>
    <t xml:space="preserve">Điều hướng qua đúng màn hình chi tiết của gói đó </t>
  </si>
  <si>
    <t>https://foxproject.atlassian.net/browse/EP-899</t>
  </si>
  <si>
    <t>suggest, recheck OK</t>
  </si>
  <si>
    <t>Kiểm tra click vào gói tại block Đã xem gần đây&gt;back về</t>
  </si>
  <si>
    <t xml:space="preserve">1. Mở trang chi tiết sản phẩm X.
2. Click vào gói bất kỳ tại Block đã Xem gần đây
3. Click Back trên trình duyệt </t>
  </si>
  <si>
    <t>Quay về đúng màn hình ban đầu</t>
  </si>
  <si>
    <t>Câu Hỏi Thường Gặp (FAQ)</t>
  </si>
  <si>
    <t>Kiểm tra block FAQ mặc định chỉ hiển thị câu hỏi, ẩn câu trả lời</t>
  </si>
  <si>
    <t>Đang ở trang chi tiết dịch vụ với URL hợp lệ của 1 gói bán đang active. CMS có cấu hình ít nhất 2 câu hỏi FAQ cho dịch vụ này.</t>
  </si>
  <si>
    <t>1. Mở trang chi tiết dịch vụ.
2. Quan sát block Câu hỏi thường gặp.</t>
  </si>
  <si>
    <t>Tất cả các câu hỏi hiển thị. Câu trả lời ẩn hoàn toàn. Icon '+' hiển thị bên cạnh mỗi câu hỏi (trạng thái đóng).</t>
  </si>
  <si>
    <t>Kiểm tra click icon '+' mở rộng câu trả lời và icon chuyển thành '-'</t>
  </si>
  <si>
    <t>Đang ở trang chi tiết dịch vụ với URL hợp lệ của 1 gói bán đang active. Block FAQ có ít nhất 1 câu hỏi.</t>
  </si>
  <si>
    <t>1. Mở trang chi tiết dịch vụ.
2. Click icon '+' của câu hỏi đầu tiên.</t>
  </si>
  <si>
    <t>Nội dung câu trả lời của câu hỏi đó xuất hiện (expand). Icon '+' chuyển thành '-'. Các câu hỏi khác không bị ảnh hưởng.</t>
  </si>
  <si>
    <t>Kiểm tra click icon '-' thu gọn câu trả lời và icon chuyển về '+'</t>
  </si>
  <si>
    <t>Đang ở trang chi tiết dịch vụ với URL hợp lệ của 1 gói bán đang active. Block FAQ có ít nhất 1 câu hỏi đang ở trạng thái mở (đã click '+').</t>
  </si>
  <si>
    <t>1. Mở trang chi tiết dịch vụ.
2. Click icon '+' của câu hỏi đầu tiên để mở.
3. Click icon '-' của câu hỏi đó.</t>
  </si>
  <si>
    <t>Câu trả lời bị ẩn (collapse). Icon '-' chuyển về '+'. Block trở về trạng thái ban đầu.</t>
  </si>
  <si>
    <t>Kiểm tra có thể mở nhiều câu hỏi FAQ đồng thời</t>
  </si>
  <si>
    <t>Đang ở trang chi tiết dịch vụ với URL hợp lệ của 1 gói bán đang active. Block FAQ có &gt;= 2 câu hỏi.</t>
  </si>
  <si>
    <t>1. Mở trang chi tiết dịch vụ.
2. Click '+' mở câu hỏi 1.
3. Click '+' mở câu hỏi 2.
4. Quan sát trạng thái block FAQ.</t>
  </si>
  <si>
    <t>Chỉ mở 1 câu hỏi mới nhất</t>
  </si>
  <si>
    <t>Kiểm tra nội dung FAQ load đúng từ CMS</t>
  </si>
  <si>
    <t>Đang ở trang chi tiết dịch vụ với URL hợp lệ của 1 gói bán đang active. CMS đã cấu hình FAQ cho dịch vụ này.</t>
  </si>
  <si>
    <t>1. Mở trang chi tiết dịch vụ.
2. Click mở từng câu hỏi FAQ.
3. Đối chiếu câu hỏi và câu trả lời với cấu hình CMS.</t>
  </si>
  <si>
    <t>Nội dung câu hỏi và câu trả lời hiển thị đúng theo cấu hình CMS. Không bị thiếu câu hỏi hoặc sai nội dung.</t>
  </si>
  <si>
    <t>Kiểm tra block FAQ khi CMS không có câu hỏi nào</t>
  </si>
  <si>
    <t>Đang ở trang chi tiết dịch vụ với URL hợp lệ của 1 gói bán đang active. CMS không cấu hình FAQ cho dịch vụ này.</t>
  </si>
  <si>
    <t>1. Mở trang chi tiết dịch vụ.
2. Quan sát vị trí block Câu hỏi thường gặp.</t>
  </si>
  <si>
    <t>UI/UX — Trải Nghiệm Người Dùng</t>
  </si>
  <si>
    <t>Kiểm tra trang chi tiết dịch vụ responsive trên thiết bị mobile</t>
  </si>
  <si>
    <t>Mở trang trên thiết bị mobile hoặc DevTools với viewport 375px (iPhone SE).</t>
  </si>
  <si>
    <t>1. Mở trang chi tiết dịch vụ trên viewport mobile (375px).
2. Scroll qua tất cả các block từ trên xuống dưới.
3. Quan sát layout và các thành phần UI.</t>
  </si>
  <si>
    <t>Tất cả block hiển thị đúng trên mobile. Không có element bị tràn ngang (overflow-x). Text không bị cắt. Button Mua ngay dễ dàng tap. Ảnh scale đúng tỷ lệ.</t>
  </si>
  <si>
    <t>Kiểm tra trang chi tiết dịch vụ responsive trên tablet (768px)</t>
  </si>
  <si>
    <t>Mở trang với viewport 768px.</t>
  </si>
  <si>
    <t>1. Mở trang chi tiết dịch vụ trên viewport 768px.
2. Scroll qua tất cả các block.
3. Quan sát layout.</t>
  </si>
  <si>
    <t>Layout hiển thị phù hợp với viewport tablet. Không bị vỡ layout, overlap hay overflow.</t>
  </si>
  <si>
    <t>Kiểm tra loading state khi trang đang tải data từ ProductHub và CMS</t>
  </si>
  <si>
    <t>Đang ở trang chi tiết dịch vụ với URL hợp lệ của 1 gói bán đang active. Mạng chậm (simulate Slow 3G trong DevTools).</t>
  </si>
  <si>
    <t>1. Mở trang chi tiết dịch vụ trong điều kiện mạng chậm.
2. Quan sát trạng thái hiển thị trong khi chờ data load.</t>
  </si>
  <si>
    <t>Trang hiển thị skeleton loader hoặc spinner trong khi data đang tải. Không hiển thị layout trống đột ngột hay lỗi layout trước khi data về.</t>
  </si>
  <si>
    <t>Các loại thiết bị cần test</t>
  </si>
  <si>
    <t>Camera</t>
  </si>
  <si>
    <t>Nhóm 1: Tổng Quan Màn Hình</t>
  </si>
  <si>
    <t>Kiểm tra layout tổng thể trang chi tiết thiết bị</t>
  </si>
  <si>
    <t>Đang ở trang chi tiết thiết bị với URL hợp lệ của 1 thiết bị đang active (non-camera).</t>
  </si>
  <si>
    <t>1. Mở trang chi tiết thiết bị.
2. Quan sát toàn bộ bố cục màn hình.</t>
  </si>
  <si>
    <t>Trang hiển thị đầy đủ các block theo đúng thứ tự:
(1) Header
(2) Breadcrumb
(3) Hình ảnh &amp; Video
(4) Block Thông số kỹ thuật (nếu PDH cấu hình)
(5) Thông tin thiết bị (Tên, Mô tả)
(6) Số lượng
(7) Giá bán
(8) Block Đặc quyền
(9) Block Ưu đãi
(10) Block KMTT
(11) Button Mua ngay
(12) Block Thông tin sản phẩm
(13) Block Thông tin hay
(14) Block Đã xem gần đây
(15) FAQ
(16) Footer
Không có block bị vỡ layout, trùng chèn hoặc lỗi hiển thị.</t>
  </si>
  <si>
    <t>Kiểm tra điều hướng đến trang chi tiết thiết bị từ Homepage</t>
  </si>
  <si>
    <t>User đang ở Homepage, có hiển thị card thiết bị.</t>
  </si>
  <si>
    <t>1. Truy cập Homepage.
2. Click button "Xem chi tiết" tại card thiết bị bất kỳ.</t>
  </si>
  <si>
    <t>Điều hướng đúng màn hình chi tiết của thiết bị. Tên thiết bị load đúng với card đã chọn.</t>
  </si>
  <si>
    <t>Kiểm tra truy cập trực tiếp trang chi tiết thiết bị bằng URL hợp lệ</t>
  </si>
  <si>
    <t>1. Nhập URL trang chi tiết thiết bị với ID sản phẩm hợp lệ vào thanh địa chỉ.
2. Nhấn Enter.</t>
  </si>
  <si>
    <t>Trang chi tiết thiết bị load thành công. Hiển thị đúng thông tin thiết bị tương ứng với URL.</t>
  </si>
  <si>
    <t>Kiểm tra trang chi tiết với URL thiết bị không tồn tại → hiển thị 404</t>
  </si>
  <si>
    <t>1. Nhập URL trang chi tiết thiết bị với ID sản phẩm không tồn tại vào thanh địa chỉ.
2. Nhấn Enter.</t>
  </si>
  <si>
    <t>Hệ thống hiển thị trang lỗi 404 hoặc thông báo "Không tìm thấy sản phẩm". Không hiển thị trang trắng hoặc crash.</t>
  </si>
  <si>
    <t>Nhóm 2: Breadcrumb</t>
  </si>
  <si>
    <t>Kiểm tra breadcrumb hiển thị đúng danh mục và tên thiết bị</t>
  </si>
  <si>
    <t>Đang ở trang chi tiết thiết bị.</t>
  </si>
  <si>
    <t>1. Mở trang chi tiết thiết bị.
2. Quan sát breadcrumb ở đầu trang.</t>
  </si>
  <si>
    <t>Breadcrumb hiển thị đúng chuỗi danh mục dẫn đến thiết bị. Điểm cuối là tên thiết bị hiện tại.</t>
  </si>
  <si>
    <t>Kiểm tra click mục trung gian breadcrumb điều hướng đúng trang danh mục</t>
  </si>
  <si>
    <t>Đang ở trang chi tiết thiết bị. Breadcrumb có ít nhất 2 mục.</t>
  </si>
  <si>
    <t>1. Mở trang chi tiết thiết bị.
2. Click vào mục trung gian trong breadcrumb (không phải mục cuối).</t>
  </si>
  <si>
    <t>Kiểm tra click điểm cuối breadcrumb không điều hướng</t>
  </si>
  <si>
    <t>1. Mở trang chi tiết thiết bị.
2. Click vào tên thiết bị ở cuối breadcrumb.</t>
  </si>
  <si>
    <t>Giữ nguyên màn hình hiện tại, không điều hướng đi nơi khác.</t>
  </si>
  <si>
    <t>Nhóm 3: Hình Ảnh &amp; Video Sản Phẩm</t>
  </si>
  <si>
    <t>Kiểm tra hình ảnh sản phẩm load đúng từ PDH</t>
  </si>
  <si>
    <t>Đang ở trang chi tiết thiết bị. Thiết bị có cấu hình ảnh trong PDH.</t>
  </si>
  <si>
    <t>1. Mở trang chi tiết thiết bị.
2. Quan sát block Hình ảnh &amp; Video.</t>
  </si>
  <si>
    <t>Hình ảnh load đúng từ PDH. Ảnh đầu tiên hiển thị ở khung chính. Thumbnail ảnh hiển thị phía dưới để chọn.</t>
  </si>
  <si>
    <t>Đang ở trang chi tiết thiết bị. Thiết bị có hơn 10 ảnh trong PDH.</t>
  </si>
  <si>
    <t>1. Mở trang chi tiết thiết bị.
2. Đếm số lượng ảnh hiển thị trong block.</t>
  </si>
  <si>
    <t>Hệ thống chỉ hiển thị tối đa 10 mục. Các mục từ thứ 11 trở đi không hiển thị.</t>
  </si>
  <si>
    <t>Kiểm tra chuyển ảnh bằng nút điều hướng Next</t>
  </si>
  <si>
    <t>Đang ở trang chi tiết thiết bị. Thiết bị có &gt;= 3 ảnh trong PDH.</t>
  </si>
  <si>
    <t>1. Mở trang chi tiết thiết bị.
2. Click nút điều hướng sang phải (Next).</t>
  </si>
  <si>
    <t>Kiểm tra nút Next disabled khi đến mục cuối</t>
  </si>
  <si>
    <t>Đang ở trang chi tiết thiết bị. Thiết bị có &gt;= 2 ảnh trong PDH.</t>
  </si>
  <si>
    <t>1. Mở trang chi tiết thiết bị.
2. Click nút Next liên tục đến mục cuối cùng.
3. Quan sát trạng thái nút Next.</t>
  </si>
  <si>
    <t>Nút Next bị disabled (không thể click, giao diện thay đổi trạng thái disabled) khi đang ở mục cuối.</t>
  </si>
  <si>
    <t>Kiểm tra nút Prev disabled khi đang ở mục đầu tiên</t>
  </si>
  <si>
    <t>1. Mở trang chi tiết thiết bị.
2. Quan sát trạng thái nút Prev ngay khi mở trang.</t>
  </si>
  <si>
    <t>Nút Prev bị disabled khi đang hiển thị mục đầu tiên.</t>
  </si>
  <si>
    <t>Kiểm tra cả 2 nút ẩn khi chỉ có 1 mục ảnh</t>
  </si>
  <si>
    <t>Đang ở trang chi tiết thiết bị. Thiết bị chỉ có đúng 1 ảnh trong PDH.</t>
  </si>
  <si>
    <t>1. Mở trang chi tiết thiết bị.
2. Quan sát trạng thái 2 nút điều hướng.</t>
  </si>
  <si>
    <t>Cả nút Prev và Next đều ẩn, không hiển thị.</t>
  </si>
  <si>
    <t>Kiểm tra nút Next/Prev active khi đang ở vị trí giữa</t>
  </si>
  <si>
    <t>1. Mở trang chi tiết thiết bị.
2. Click Next 1 lần để đến mục thứ 2.
3. Quan sát trạng thái cả 2 nút.</t>
  </si>
  <si>
    <t>Cả nút Next và Prev đều active (không disabled), có thể click được.</t>
  </si>
  <si>
    <t>Kiểm tra boundary = 10 mục ảnh (đúng giới hạn tối đa)</t>
  </si>
  <si>
    <t>Đang ở trang chi tiết thiết bị. Thiết bị có đúng 10 ảnh trong PDH.</t>
  </si>
  <si>
    <t>1. Mở trang chi tiết thiết bị.
2. Đếm tổng số mục media hiển thị.
3. Click Next đến mục cuối.</t>
  </si>
  <si>
    <t>Nhóm 4: Thông Tin Thiết Bị &amp; Giá Bán</t>
  </si>
  <si>
    <t>Kiểm tra tên thiết bị và mô tả hiển thị đúng từ PDH</t>
  </si>
  <si>
    <t>1. Mở trang chi tiết thiết bị.
2. Quan sát phần Thông tin thiết bị.</t>
  </si>
  <si>
    <t>Tên thiết bị và mô tả hiển thị đúng theo dữ liệu từ PDH. Không bị cắt ngắn bất thường, font và layout đúng design.</t>
  </si>
  <si>
    <t>Kiểm tra giá bán hiển thị theo location khi user đã chọn location</t>
  </si>
  <si>
    <t>User đã chọn Location.</t>
  </si>
  <si>
    <t>1. Mở trang chi tiết thiết bị.
2. Quan sát block Giá bán.</t>
  </si>
  <si>
    <t>Giá bán hiển thị đúng theo location của user (lấy từ PDH theo location). Đúng định dạng tiền tệ VNĐ.</t>
  </si>
  <si>
    <t>Kiểm tra giá bán hiển thị giá thấp nhất khi user chưa chọn location</t>
  </si>
  <si>
    <t>User chưa chọn Location.</t>
  </si>
  <si>
    <t>Giá bán hiển thị giá thấp nhất hiện có trên PDH (không phụ thuộc location). Đúng định dạng tiền tệ.</t>
  </si>
  <si>
    <t>Kiểm tra định dạng hiển thị giá (dấu phân cách hàng nghìn, đơn vị VNĐ)</t>
  </si>
  <si>
    <t>1. Mở trang chi tiết thiết bị.
2. Quan sát giá trị và định dạng giá bán.</t>
  </si>
  <si>
    <t>Giá hiển thị đúng định dạng: có dấu phân cách hàng nghìn, đơn vị tiền tệ VNĐ/đ. Không hiển thị số raw không định dạng.</t>
  </si>
  <si>
    <t xml:space="preserve">Nhóm 5: Số Lượng </t>
  </si>
  <si>
    <t>Kiểm tra selector Số lượng mặc định = 1 và không hiển thị block Chu kỳ</t>
  </si>
  <si>
    <t>Đang ở trang chi tiết thiết bị non-camera (VD: TV, router, modem). PDH thiết bị đang active.</t>
  </si>
  <si>
    <t>1. Mở trang chi tiết thiết bị non-camera.
2. Quan sát khu vực thông tin mua hàng.</t>
  </si>
  <si>
    <t>Block "Số lượng" hiển thị với giá trị mặc định = 1. Block "Chu kỳ gói" KHÔNG hiển thị. Button Mua Ngay vẫn hiển thị đầy đủ.</t>
  </si>
  <si>
    <t>Kiểm tra tăng số lượng bằng button (+)</t>
  </si>
  <si>
    <t>Đang ở trang chi tiết thiết bị non-camera. Số lượng hiện tại = 1.</t>
  </si>
  <si>
    <t>1. Click button (+) trên selector Số lượng.</t>
  </si>
  <si>
    <t>Số lượng tăng thêm 1, hiển thị = 2. Giao diện selector cập nhật đúng giá trị mới.</t>
  </si>
  <si>
    <t>Kiểm tra giảm số lượng về tối thiểu = 1 và button (–) bị disabled</t>
  </si>
  <si>
    <t>Đang ở trang chi tiết thiết bị non-camera. Số lượng hiện tại = 2.</t>
  </si>
  <si>
    <t>1. Click button (–) trên selector Số lượng.
2. Quan sát giá trị và trạng thái button (–).</t>
  </si>
  <si>
    <t>Số lượng giảm về 1. Button (–) chuyển sang trạng thái disabled (không thể click thêm).</t>
  </si>
  <si>
    <t>Kiểm tra giá bán thay đổi hay không khi thay đổi số lượng</t>
  </si>
  <si>
    <t>Đang ở trang chi tiết thiết bị non-camera. Số lượng = 1.</t>
  </si>
  <si>
    <t>1. Ghi nhớ giá hiển thị khi Số lượng = 1.
2. Click (+) để tăng Số lượng lên 2.
3. Quan sát giá bán.</t>
  </si>
  <si>
    <t>[BLOCKED – cần confirm BA: CLA-CSTHIETBI-005 — Giá bán có thay đổi theo số lượng không? Số lượng có giới hạn tối đa không?]</t>
  </si>
  <si>
    <t>Nhóm 5b: Chu kỳ [Camera only — áp dụng cho thiết bị loại Camera]</t>
  </si>
  <si>
    <t>Kiểm tra block Chu kỳ hiển thị đầy đủ tất cả option cho camera</t>
  </si>
  <si>
    <t>Đã mở trang chi tiết thiết bị Camera (VD: Camera giám sát). 
Thiết bị là Camera</t>
  </si>
  <si>
    <t>1. Quan sát khu vực thông tin mua hàng trên trang chi tiết camera.</t>
  </si>
  <si>
    <t>Block "Chu kỳ" hiển thị với đầy đủ option chu kỳ đã cấu hình trên PDH. Option đầu tiên được highlight/selected mặc định. Block "Số lượng" KHÔNG xuất hiện.</t>
  </si>
  <si>
    <t>Kiểm tra chọn option Chu kỳ khác → option highlight và giá bán cập nhật đúng</t>
  </si>
  <si>
    <t>Đã mở trang chi tiết Camera. Block Chu kỳ hiển thị với ít nhất 2 option. Option mặc định (option đầu tiên) đang được chọn.
Thiết bị là Camera</t>
  </si>
  <si>
    <t>1. Ghi nhận giá bán hiển thị ứng với option chu kỳ mặc định.
2. Click chọn option chu kỳ khác (không phải mặc định, VD: 3 tháng).</t>
  </si>
  <si>
    <t>Option vừa click được highlight (trạng thái selected). Option cũ bỏ highlight. Giá bán cập nhật sang giá tương ứng với chu kỳ mới đã chọn. Không reload toàn trang.</t>
  </si>
  <si>
    <t>Kiểm tra button Mua Ngay truyền đúng chu kỳ đã chọn sang màn hình đặt hàng</t>
  </si>
  <si>
    <t>Đã mở trang chi tiết Camera. Đã chọn option chu kỳ không phải mặc định (VD: 3 tháng).
Thiết bị là Camera</t>
  </si>
  <si>
    <t>1. Click button "Mua Ngay".</t>
  </si>
  <si>
    <t>Chuyển sang màn hình đặt hàng. Chu kỳ được pre-select là option đã chọn trước đó (VD: 3 tháng). Người dùng không cần chọn lại chu kỳ.</t>
  </si>
  <si>
    <t>Kiểm tra block Chu kỳ KHÔNG hiển thị trên thiết bị non-camera</t>
  </si>
  <si>
    <t>Đã mở trang chi tiết thiết bị non-camera (VD: TV Samsung, Router Wifi).</t>
  </si>
  <si>
    <t>1. Quan sát khu vực thông tin mua hàng.</t>
  </si>
  <si>
    <t>Block "Chu kỳ" KHÔNG hiển thị. Chỉ hiển thị block "Số lượng". Không có selector chu kỳ nào.</t>
  </si>
  <si>
    <t>Nhóm 5c: Cloud lưu trữ [Camera only — MỚI, không có trong SA]</t>
  </si>
  <si>
    <t>Kiểm tra block Cloud lưu trữ hiển thị đầy đủ option cho camera</t>
  </si>
  <si>
    <t>Đã mở trang chi tiết thiết bị Camera. PDH đã cấu hình block Cloud lưu trữ với ít nhất 2 option (VD: Không / 7 ngày / 30 ngày).
Thiết bị là Camera</t>
  </si>
  <si>
    <t>1. Quan sát khu vực thông tin mua hàng, tìm block Cloud lưu trữ.</t>
  </si>
  <si>
    <t>Block "Cloud lưu trữ" hiển thị với đầy đủ option đã cấu hình trên PDH. Option mặc định được highlight. Giá bán phản ánh option Cloud mặc định.</t>
  </si>
  <si>
    <t>Kiểm tra chọn option Cloud lưu trữ khác → highlight và giá bán thay đổi</t>
  </si>
  <si>
    <t>Đã mở trang chi tiết Camera. Block Cloud lưu trữ hiển thị với ít nhất 2 option. Option mặc định đang được chọn.
Thiết bị là Camera</t>
  </si>
  <si>
    <t>1. Ghi nhận giá bán hiện tại.
2. Click chọn option Cloud lưu trữ khác (VD: 30 ngày).</t>
  </si>
  <si>
    <t>Option vừa click được highlight. Option cũ bỏ highlight. Giá bán cập nhật phản ánh option Cloud lưu trữ mới. Không reload toàn trang.</t>
  </si>
  <si>
    <t>Kiểm tra giá bán tổng hợp đúng khi chọn kết hợp Chu kỳ + Cloud lưu trữ</t>
  </si>
  <si>
    <t>Đã mở trang chi tiết Camera. Block Chu kỳ và Cloud lưu trữ đều hiển thị. PDH đã cấu hình giá cho các combination.
Thiết bị là Camera</t>
  </si>
  <si>
    <t>1. Chọn option Chu kỳ (VD: 3 tháng).
2. Chọn option Cloud lưu trữ (VD: 30 ngày).
3. Quan sát giá bán hiển thị.</t>
  </si>
  <si>
    <t>[BLOCKED – cần confirm CLA-CSTHIETBI-007: Giá bán hiển thị dưới dạng 1 giá tổng hay 2 dòng giá riêng (Chu kỳ + Cloud)? Formula tính giá là gì?]
Chờ BA</t>
  </si>
  <si>
    <t>Kiểm tra block Cloud lưu trữ KHÔNG hiển thị trên thiết bị non-camera</t>
  </si>
  <si>
    <t>Đã mở trang chi tiết thiết bị non-camera (VD: TV Samsung).</t>
  </si>
  <si>
    <t>Block "Cloud lưu trữ" KHÔNG hiển thị trên thiết bị non-camera. Chỉ có block Số lượng.</t>
  </si>
  <si>
    <t>Nhóm 6: Block Đặc Quyền</t>
  </si>
  <si>
    <t>Kiểm tra block Đặc quyền load data từ PDH</t>
  </si>
  <si>
    <t>Đang ở trang chi tiết thiết bị có cấu hình block Đặc quyền trong PDH.</t>
  </si>
  <si>
    <t>1. Mở trang chi tiết thiết bị.
2. Quan sát block Đặc quyền.</t>
  </si>
  <si>
    <t>Block Đặc quyền hiển thị đúng nội dung được cấu hình trong PDH. Không có nội dung trống hoặc lỗi hiển thị.</t>
  </si>
  <si>
    <t>Kiểm tra block Đặc quyền ẩn khi PDH không có data</t>
  </si>
  <si>
    <t>Đang ở trang chi tiết thiết bị không cấu hình Đặc quyền trong PDH.</t>
  </si>
  <si>
    <t>1. Mở trang chi tiết thiết bị.
2. Quan sát vị trí block Đặc quyền.</t>
  </si>
  <si>
    <t>Block Đặc quyền không hiển thị.</t>
  </si>
  <si>
    <t>Nhóm 7: Block Ưu Đãi [Sprint 12 – chưa test]</t>
  </si>
  <si>
    <t>Kiểm tra block Ưu đãi load data từ PDH</t>
  </si>
  <si>
    <t>Đang ở trang chi tiết thiết bị có cấu hình Ưu đãi trong PDH. (Sprint 12)</t>
  </si>
  <si>
    <t>1. Mở trang chi tiết thiết bị.
2. Quan sát block Ưu đãi.</t>
  </si>
  <si>
    <t>Block Ưu đãi hiển thị đúng nội dung từ PDH, layout đúng design.</t>
  </si>
  <si>
    <t>Kiểm tra block Ưu đãi ẩn khi PDH không có data</t>
  </si>
  <si>
    <t>Đang ở trang chi tiết thiết bị không cấu hình Ưu đãi trong PDH. (Sprint 12)</t>
  </si>
  <si>
    <t>1. Mở trang chi tiết thiết bị.
2. Quan sát vị trí block Ưu đãi.</t>
  </si>
  <si>
    <t>Block Ưu đãi không hiển thị.</t>
  </si>
  <si>
    <t>Nhóm 8: Block Khuyến Mãi Thanh Toán [Sprint 12 – chưa test]</t>
  </si>
  <si>
    <t>CMS có cấu hình Khuyến mãi thanh toán cho thiết bị. (Sprint 12)</t>
  </si>
  <si>
    <t>1. Mở trang chi tiết thiết bị.
2. Quan sát block Khuyến mãi thanh toán.</t>
  </si>
  <si>
    <t>Kiểm tra click option Khuyến mãi thanh toán hiển thị thông tin chi tiết</t>
  </si>
  <si>
    <t>Block Khuyến mãi thanh toán có ít nhất 1 option. (Sprint 12)</t>
  </si>
  <si>
    <t>1. Mở trang chi tiết thiết bị.
2. Click vào 1 option trong block Khuyến mãi thanh toán.</t>
  </si>
  <si>
    <t>Hệ thống hiển thị thêm thông tin chi tiết của option vừa click. Nội dung đúng với option đã chọn.</t>
  </si>
  <si>
    <t>Kiểm tra scroll xem hết thông tin Khuyến mãi thanh toán khi có nhiều option</t>
  </si>
  <si>
    <t>Block Khuyến mãi thanh toán có nhiều option. (Sprint 12)</t>
  </si>
  <si>
    <t>1. Mở trang chi tiết thiết bị.
2. Scroll trong block Khuyến mãi thanh toán.</t>
  </si>
  <si>
    <t>Có thể xem đầy đủ tất cả option KMTT, không có option nào bị che.</t>
  </si>
  <si>
    <t>Kiểm tra block Khuyến mãi thanh toán ẩn khi CMS không có data</t>
  </si>
  <si>
    <t>CMS không cấu hình Khuyến mãi thanh toán cho thiết bị. (Sprint 12)</t>
  </si>
  <si>
    <t>1. Mở trang chi tiết thiết bị.
2. Quan sát vị trí block Khuyến mãi thanh toán.</t>
  </si>
  <si>
    <t>Block Khuyến mãi thanh toán không hiển thị.</t>
  </si>
  <si>
    <t>Nhóm 9: Button Mua Ngay</t>
  </si>
  <si>
    <t>Kiểm tra Button Mua Ngay điều hướng đến màn hình đặt hàng thiết bị</t>
  </si>
  <si>
    <t>1. Mở trang chi tiết thiết bị.
2. Click button Mua Ngay.</t>
  </si>
  <si>
    <t>Hệ thống điều hướng đến màn hình đặt hàng của thiết bị đang xem. URL và trang đích đúng.</t>
  </si>
  <si>
    <t>Kiểm tra Button Mua Ngay hiển thị đúng design</t>
  </si>
  <si>
    <t>1. Mở trang chi tiết thiết bị.
2. Quan sát button Mua Ngay.</t>
  </si>
  <si>
    <t>Button hiển thị đúng màu sắc, kích thước, vị trí theo design. Không bị ẩn hay che bởi element khác.</t>
  </si>
  <si>
    <t>Nhóm 10: Block Thông Tin Sản Phẩm</t>
  </si>
  <si>
    <t>Kiểm tra block Thông Tin Sản Phẩm mặc định dạng rút gọn + button Xem thêm</t>
  </si>
  <si>
    <t>1. Mở trang chi tiết thiết bị.
2. Quan sát block Thông Tin Sản Phẩm.</t>
  </si>
  <si>
    <t>Block hiển thị nội dung dạng rút gọn (truncated). Button "Xem thêm" hiển thị ở cuối phần rút gọn.</t>
  </si>
  <si>
    <t>Kiểm tra click Xem thêm → full content + button Thu gọn xuất hiện</t>
  </si>
  <si>
    <t>Đang ở trang chi tiết thiết bị. Block Thông Tin Sản Phẩm đang ở trạng thái rút gọn.</t>
  </si>
  <si>
    <t>1. Click button "Xem thêm" trong block Thông Tin Sản Phẩm.</t>
  </si>
  <si>
    <t>Toàn bộ nội dung hiển thị đầy đủ. Button "Xem thêm" biến mất. Button "Thu gọn" xuất hiện thay thế.</t>
  </si>
  <si>
    <t>Kiểm tra click Thu gọn → nội dung rút gọn lại + Xem thêm xuất hiện</t>
  </si>
  <si>
    <t>Block Thông Tin Sản Phẩm đang ở trạng thái mở rộng (đã click Xem thêm).</t>
  </si>
  <si>
    <t>1. Click button "Thu gọn".</t>
  </si>
  <si>
    <t>Nội dung trở về dạng rút gọn. Button "Thu gọn" biến mất. Button "Xem thêm" xuất hiện lại.</t>
  </si>
  <si>
    <t>Nhóm 11: Block Thông Tin Hay [Sprint 12 – chưa làm]</t>
  </si>
  <si>
    <t>Kiểm tra block Thông Tin Hay load tối đa 5 bài từ CMS</t>
  </si>
  <si>
    <t>CMS có &gt;= 6 bài đăng cho thiết bị. (Sprint 12)</t>
  </si>
  <si>
    <t>1. Mở trang chi tiết thiết bị.
2. Đếm số bài đăng trong block Thông Tin Hay.</t>
  </si>
  <si>
    <t>Hệ thống chỉ hiển thị tối đa 5 bài. Bài thứ 6 trở đi không hiển thị.</t>
  </si>
  <si>
    <t>Kiểm tra mỗi bài Thông Tin Hay hiển thị đủ: thời gian, hình ảnh, tiêu đề</t>
  </si>
  <si>
    <t>Block Thông Tin Hay có ít nhất 1 bài đăng. (Sprint 12)</t>
  </si>
  <si>
    <t>1. Mở trang chi tiết thiết bị.
2. Quan sát từng card bài trong block.</t>
  </si>
  <si>
    <t>Mỗi bài hiển thị đủ 3 thành phần: (1) Thời gian đăng, (2) Hình ảnh thumbnail, (3) Tiêu đề bài.</t>
  </si>
  <si>
    <t>Kiểm tra boundary = 5 bài đúng giới hạn tối đa Thông Tin Hay</t>
  </si>
  <si>
    <t>CMS có đúng 5 bài đăng cho thiết bị. (Sprint 12)</t>
  </si>
  <si>
    <t>1. Mở trang chi tiết thiết bị.
2. Đếm số bài hiển thị trong block.</t>
  </si>
  <si>
    <t>Hiển thị đúng 5 bài, không hơn không kém.</t>
  </si>
  <si>
    <t>Kiểm tra block Thông Tin Hay ẩn khi CMS không có bài đăng</t>
  </si>
  <si>
    <t>CMS không có bài đăng nào cho thiết bị. (Sprint 12)</t>
  </si>
  <si>
    <t>1. Mở trang chi tiết thiết bị.
2. Quan sát vị trí block Thông Tin Hay.</t>
  </si>
  <si>
    <t>Block Thông Tin Hay không hiển thị.</t>
  </si>
  <si>
    <t>Nhóm 12: Block Đã Xem Gần Đây</t>
  </si>
  <si>
    <t>Kiểm tra block Đã xem gần đây hiển thị thiết bị đã xem trong phiên</t>
  </si>
  <si>
    <t>User đã xem ít nhất 2 SP/thiết bị khác trong cùng phiên. Đang ở trang chi tiết thiết bị.</t>
  </si>
  <si>
    <t>1. Mở trang chi tiết thiết bị.
2. Quan sát block Đã xem gần đây.</t>
  </si>
  <si>
    <t>Block hiển thị các SP đã xem trong phiên. Mỗi card hiển thị đủ: Hình ảnh, Tên SP, Giá.</t>
  </si>
  <si>
    <t>Kiểm tra thứ tự hiển thị: SP mới xem nhất từ trái sang phải</t>
  </si>
  <si>
    <t>User đã xem theo thứ tự A → B → C trong phiên. Đang ở trang chi tiết thiết bị khác.</t>
  </si>
  <si>
    <t>1. Mở trang chi tiết thiết bị.
2. Quan sát thứ tự card trong block.</t>
  </si>
  <si>
    <t>SP C (xem gần nhất) xuất hiện đầu tiên bên trái. Thứ tự: mới nhất → cũ hơn từ trái sang phải.</t>
  </si>
  <si>
    <t>Kiểm tra giới hạn max 10 SP trong block Đã xem gần đây</t>
  </si>
  <si>
    <t>User đã xem hơn 10 SP khác nhau trong phiên.</t>
  </si>
  <si>
    <t>1. Mở trang chi tiết thiết bị.
2. Đếm số card trong block.</t>
  </si>
  <si>
    <t>Block chỉ hiển thị tối đa 10 SP gần nhất.</t>
  </si>
  <si>
    <t>Kiểm tra block Đã xem gần đây ẩn khi chưa có lịch sử xem</t>
  </si>
  <si>
    <t>User mở trình duyệt lần đầu (phiên mới, chưa xem SP nào).</t>
  </si>
  <si>
    <t>1. Mở trang chi tiết thiết bị.
2. Quan sát vị trí block Đã xem gần đây.</t>
  </si>
  <si>
    <t>Block Đã xem gần đây không hiển thị.</t>
  </si>
  <si>
    <t>Kiểm tra trang thiết bị hiện tại không xuất hiện trong block Đã xem gần đây</t>
  </si>
  <si>
    <t>User đã xem SP X và các SP khác. Đang ở trang chi tiết SP X.</t>
  </si>
  <si>
    <t>1. Mở trang chi tiết SP X.
2. Quan sát block Đã xem gần đây.</t>
  </si>
  <si>
    <t>SP X không xuất hiện trong danh sách Đã xem gần đây của chính nó.</t>
  </si>
  <si>
    <t>Kiểm tra block Đã xem gần đây không lưu sau khi đóng trình duyệt</t>
  </si>
  <si>
    <t>User đã xem SP trong phiên trước.</t>
  </si>
  <si>
    <t>1. Xem chi tiết thiết bị bất kỳ.
2. Đóng hoàn toàn trình duyệt.
3. Mở lại trình duyệt và truy cập trang chi tiết thiết bị.
4. Quan sát block Đã xem gần đây.</t>
  </si>
  <si>
    <t>Block không hiển thị SP từ phiên trước. Dữ liệu chỉ tồn tại trong phiên hiện tại (session-based).</t>
  </si>
  <si>
    <t>Kiểm tra click SP trong block Đã xem gần đây điều hướng đúng trang chi tiết</t>
  </si>
  <si>
    <t>Đang ở trang chi tiết thiết bị. Block Đã xem gần đây có ít nhất 1 SP.</t>
  </si>
  <si>
    <t>1. Click vào card SP bất kỳ trong block Đã xem gần đây.</t>
  </si>
  <si>
    <t>Điều hướng đến đúng trang chi tiết của SP đó.</t>
  </si>
  <si>
    <t>Kiểm tra Back sau khi click SP trong block → quay về trang chi tiết thiết bị</t>
  </si>
  <si>
    <t>User đã click vào SP trong block Đã xem gần đây, đang ở trang chi tiết SP đó.</t>
  </si>
  <si>
    <t>1. Click Back trên trình duyệt.</t>
  </si>
  <si>
    <t>Quay về đúng trang chi tiết thiết bị ban đầu.</t>
  </si>
  <si>
    <t>Nhóm 13: Câu Hỏi Thường Gặp (FAQ)</t>
  </si>
  <si>
    <t>Kiểm tra FAQ mặc định ẩn câu trả lời và hiển thị icon '+'</t>
  </si>
  <si>
    <t>CMS đã cấu hình ít nhất 2 câu hỏi FAQ cho thiết bị.</t>
  </si>
  <si>
    <t>1. Mở trang chi tiết thiết bị.
2. Quan sát block Câu hỏi thường gặp.</t>
  </si>
  <si>
    <t>Tất cả câu hỏi hiển thị. Câu trả lời ẩn hoàn toàn. Icon '+' hiển thị bên cạnh mỗi câu hỏi.</t>
  </si>
  <si>
    <t>Kiểm tra click icon '+' mở rộng câu trả lời và icon chuyển thành '–'</t>
  </si>
  <si>
    <t>Block FAQ có ít nhất 1 câu hỏi.</t>
  </si>
  <si>
    <t>1. Mở trang chi tiết thiết bị.
2. Click icon '+' của câu hỏi đầu tiên.</t>
  </si>
  <si>
    <t>Câu trả lời của câu hỏi đó hiển thị (expand). Icon '+' chuyển thành '–'. Các câu hỏi khác không bị ảnh hưởng.</t>
  </si>
  <si>
    <t>Kiểm tra click icon '–' thu gọn câu trả lời và chuyển về '+'</t>
  </si>
  <si>
    <t>Một câu hỏi FAQ đang ở trạng thái mở (đã click '+').</t>
  </si>
  <si>
    <t>1. Click icon '–' của câu hỏi đang mở.</t>
  </si>
  <si>
    <t>Câu trả lời ẩn lại. Icon '–' chuyển về '+'. Block về trạng thái ban đầu.</t>
  </si>
  <si>
    <t>Kiểm tra chỉ mở 1 câu hỏi tại 1 thời điểm (accordion behavior)</t>
  </si>
  <si>
    <t>Block FAQ có &gt;= 2 câu hỏi.</t>
  </si>
  <si>
    <t>1. Click '+' mở câu hỏi 1.
2. Click '+' mở câu hỏi 2.
3. Quan sát trạng thái block FAQ.</t>
  </si>
  <si>
    <t>Chỉ câu hỏi 2 được mở. Câu hỏi 1 tự động đóng lại (accordion behavior).</t>
  </si>
  <si>
    <t>CMS đã cấu hình FAQ cho thiết bị.</t>
  </si>
  <si>
    <t>1. Mở trang chi tiết thiết bị.
2. Click mở từng câu hỏi FAQ.
3. Đối chiếu nội dung với cấu hình CMS.</t>
  </si>
  <si>
    <t>Nội dung câu hỏi và câu trả lời khớp với cấu hình CMS. Không thiếu câu hỏi hoặc sai nội dung.</t>
  </si>
  <si>
    <t>Kiểm tra block FAQ ẩn khi CMS không có câu hỏi nào</t>
  </si>
  <si>
    <t>CMS không cấu hình FAQ cho thiết bị này.</t>
  </si>
  <si>
    <t>1. Mở trang chi tiết thiết bị.
2. Quan sát vị trí block Câu hỏi thường gặp.</t>
  </si>
  <si>
    <t>Block FAQ không hiển thị.</t>
  </si>
  <si>
    <t>Nhóm 14: Thông Số Kỹ Thuật [MỚI – không có trong SA service]</t>
  </si>
  <si>
    <t>Kiểm tra block Thông số kỹ thuật ẩn khi PDH không cấu hình</t>
  </si>
  <si>
    <t>PDH không cấu hình thông số kỹ thuật cho thiết bị này.</t>
  </si>
  <si>
    <t>1. Mở trang chi tiết thiết bị.
2. Quan sát layout sau block Hình Ảnh &amp; Video.</t>
  </si>
  <si>
    <t>Block Thông số kỹ thuật và cả 2 button ("Xem tất cả thông số", "Thông số kỹ thuật") không hiển thị. Không có vùng trống bất thường trong layout.</t>
  </si>
  <si>
    <t>Kiểm tra click 'Xem tất cả thông số' mở popup Thông số kỹ thuật</t>
  </si>
  <si>
    <t>Đang ở trang chi tiết thiết bị. PDH đã cấu hình thông số kỹ thuật. Button "Xem tất cả thông số" hiển thị trong section Thông số kỹ thuật (nằm dưới block Hình Ảnh &amp; Video).</t>
  </si>
  <si>
    <t>1. Click button "Xem tất cả thông số".</t>
  </si>
  <si>
    <t>Popup Thông số kỹ thuật mở ra. Nội dung load đúng từ PDH. Nền màn hình phía sau bị dim/mờ.</t>
  </si>
  <si>
    <t>Kiểm tra click entry point 'Thông số kỹ thuật' mở cùng popup</t>
  </si>
  <si>
    <t>Đang ở trang chi tiết thiết bị. PDH đã cấu hình thông số kỹ thuật. Thấy link/entry point "Thông số kỹ thuật" ở vị trí khác với button "Xem tất cả thông số".</t>
  </si>
  <si>
    <t>1. Click "Thông số kỹ thuật".</t>
  </si>
  <si>
    <t>Cùng popup Thông số kỹ thuật mở ra. Nội dung giống hệt khi click từ "Xem tất cả thông số".</t>
  </si>
  <si>
    <t>Kiểm tra popup hiển thị hình ảnh kỹ thuật khi PDH có cấu hình ảnh</t>
  </si>
  <si>
    <t>PDH đã cấu hình 1–5 hình ảnh kỹ thuật cho thiết bị. Popup Thông số kỹ thuật đang mở.</t>
  </si>
  <si>
    <t>1. Mở popup Thông số kỹ thuật.
2. Quan sát phần hình ảnh kỹ thuật trong popup.</t>
  </si>
  <si>
    <t>Hình ảnh kỹ thuật hiển thị đúng số lượng và nội dung theo dữ liệu PDH.</t>
  </si>
  <si>
    <t>Kiểm tra popup không hiển thị section ảnh khi PDH không cấu hình ảnh kỹ thuật</t>
  </si>
  <si>
    <t>PDH không cấu hình hình ảnh kỹ thuật (field optional) nhưng có cấu hình thông số text. Popup đang mở.</t>
  </si>
  <si>
    <t>1. Mở popup Thông số kỹ thuật.
2. Quan sát phần hình ảnh trong popup.</t>
  </si>
  <si>
    <t>Section hình ảnh không hiển thị. Phần thông số text vẫn load bình thường. Không crash hay lỗi layout.</t>
  </si>
  <si>
    <t>Kiểm tra boundary = 5 ảnh kỹ thuật (đúng giới hạn tối đa)</t>
  </si>
  <si>
    <t>PDH cấu hình đúng 5 hình ảnh kỹ thuật cho thiết bị. Popup đang mở.</t>
  </si>
  <si>
    <t>1. Mở popup Thông số kỹ thuật.
2. Đếm số ảnh hiển thị.</t>
  </si>
  <si>
    <t>Hiển thị đúng 5 ảnh kỹ thuật, không hơn không kém.</t>
  </si>
  <si>
    <t>Kiểm tra chỉ hiển thị tối đa 5 ảnh kỹ thuật khi PDH cấu hình hơn 5</t>
  </si>
  <si>
    <t>PDH cấu hình 6+ hình ảnh kỹ thuật cho thiết bị. Popup đang mở.</t>
  </si>
  <si>
    <t>Hệ thống chỉ hiển thị 5 ảnh. Các ảnh từ thứ 6 không hiển thị.</t>
  </si>
  <si>
    <t>Kiểm tra popup hiển thị thông số kỹ thuật đúng 2 cột (nội dung + thông số)</t>
  </si>
  <si>
    <t>PDH đã cấu hình thông số kỹ thuật chi tiết. Popup đang mở.</t>
  </si>
  <si>
    <t>1. Mở popup Thông số kỹ thuật.
2. Quan sát phần thông số chi tiết trong popup.</t>
  </si>
  <si>
    <t>Dữ liệu thông số hiển thị dạng 2 cột: cột "nội dung" và cột "thông số". Dữ liệu đúng theo PDH. Không vỡ layout, đặc biệt trên mobile.</t>
  </si>
  <si>
    <t>Kiểm tra đóng popup Thông số kỹ thuật bằng cách tap vào vùng ngoài</t>
  </si>
  <si>
    <t>Popup Thông số kỹ thuật đang mở. Nền màn hình đang bị dim.</t>
  </si>
  <si>
    <t>1. Tap/click vào vùng dim bên ngoài popup.</t>
  </si>
  <si>
    <t>Popup đóng lại. Màn hình chi tiết thiết bị trở về trạng thái bình thường. Không mất data trang.</t>
  </si>
  <si>
    <t>Kiểm tra đóng popup Thông số kỹ thuật bằng button X</t>
  </si>
  <si>
    <t>Popup Thông số kỹ thuật đang mở. Button X hiển thị trong popup.</t>
  </si>
  <si>
    <t>1. Click button X trên popup.</t>
  </si>
  <si>
    <t>Popup đóng lại. Màn hình chi tiết thiết bị trở về trạng thái bình thường.</t>
  </si>
  <si>
    <t>Nhóm 15: UI/UX &amp; Responsive</t>
  </si>
  <si>
    <t>Kiểm tra trang chi tiết thiết bị responsive trên mobile (375px)</t>
  </si>
  <si>
    <t>Trình duyệt mở với viewport 375px (iPhone SE) hoặc thiết bị mobile thực.</t>
  </si>
  <si>
    <t>1. Mở trang chi tiết thiết bị với viewport 375px.
2. Scroll qua tất cả blocks từ trên xuống dưới.
3. Quan sát layout và UI components.</t>
  </si>
  <si>
    <t>Tất cả blocks hiển thị đúng. Không overflow-x. Text không bị cắt. Button Mua Ngay dễ tap. Popup Thông số kỹ thuật và selector Số lượng hiển thị đúng trên mobile.</t>
  </si>
  <si>
    <t>Kiểm tra trang chi tiết thiết bị responsive trên tablet (768px)</t>
  </si>
  <si>
    <t>Trình duyệt mở với viewport 768px.</t>
  </si>
  <si>
    <t>1. Mở trang chi tiết thiết bị với viewport 768px.
2. Scroll qua tất cả blocks.
3. Quan sát layout.</t>
  </si>
  <si>
    <t>Layout hiển thị phù hợp viewport tablet. Không vỡ layout, overlap hay overflow.</t>
  </si>
  <si>
    <t>Kiểm tra loading skeleton/spinner khi data đang tải từ PDH</t>
  </si>
  <si>
    <t>Trình duyệt được cấu hình mạng chậm (Slow 3G trong DevTools).</t>
  </si>
  <si>
    <t>1. Mở trang chi tiết thiết bị với điều kiện mạng chậm.
2. Quan sát trạng thái trong khi chờ data load.</t>
  </si>
  <si>
    <t>Kiểm tra ẩn block FAQ khi CMS không có câu hỏi nào</t>
  </si>
  <si>
    <t>Đang ở trang chi tiết thiết bị với URL hợp lệ của 1 gói thiết bị đang active. CMS không cấu hình FAQ cho thiết bị này.</t>
  </si>
  <si>
    <t>Block Câu hỏi thường gặp ẩn hoàn toàn, không chiếm không gian layout.</t>
  </si>
  <si>
    <t>Kiểm tra trang chi tiết thiết bị responsive trên thiết bị mobile</t>
  </si>
  <si>
    <t>1. Mở trang chi tiết thiết bị trên viewport mobile (375px).
2. Scroll qua tất cả các block từ trên xuống dưới.
3. Quan sát layout và các thành phần UI.</t>
  </si>
  <si>
    <t>Tất cả block hiển thị đúng trên mobile. Không có element bị tràn ngang (overflow-x). Text không bị cắt. Button Mua ngay dễ dàng tap. Ảnh scale đúng tỷ lệ. Popup Thông số kỹ thuật hiển thị đúng trên mobile.</t>
  </si>
  <si>
    <t>1. Mở trang chi tiết thiết bị trên viewport 768px.
2. Scroll qua tất cả các block.
3. Quan sát layout.</t>
  </si>
  <si>
    <t>Đang ở trang chi tiết thiết bị với URL hợp lệ của 1 gói thiết bị đang active. Mạng chậm (simulate Slow 3G trong DevTools).</t>
  </si>
  <si>
    <t>1. Mở trang chi tiết thiết bị trong điều kiện mạng chậm.
2. Quan sát trạng thái hiển thị trong khi chờ data load.</t>
  </si>
  <si>
    <t>Checkout AP</t>
  </si>
  <si>
    <t>Điều hướng màn hình</t>
  </si>
  <si>
    <t>Check điều hướng vào màn hình Checkout AP + verify URL</t>
  </si>
  <si>
    <t>1. Truy cập trang chi tiết sản phẩm Access Point AX8000C
2. Click btn Mua ngay
3. Check URL và giao diện trang Checkout AP</t>
  </si>
  <si>
    <t>Điều hướng vào trang Checkout AP đúng URL. Hiển thị đủ các block: Sản phẩm đã chọn, Thông tin cá nhân, Địa chỉ lắp đặt, Phương thức thanh toán, Panel thông tin KH + thanh toán.</t>
  </si>
  <si>
    <t>Check GUI tổng thể màn hình Checkout AP</t>
  </si>
  <si>
    <t>Đang ở màn hình Checkout AP</t>
  </si>
  <si>
    <t>1. Truy cập màn hình Checkout AP
2. Check GUI toàn trang</t>
  </si>
  <si>
    <t>Hiển thị UI đầy đủ gồm:
- Progress bar 2 bước: Thanh toán → Hoàn tất đơn hàng
- Block Sản phẩm dịch vụ đã chọn
- Block Thông tin cá nhân
- Block Địa chỉ lắp đặt
- Block Phương thức thanh toán
- Block Thông tin khách hàng
- Block Thông tin thanh toán 
- Button Thanh toán
- Button Quay lại</t>
  </si>
  <si>
    <t>Màn hình Thông tin thanh toán</t>
  </si>
  <si>
    <t>Block Sản phẩm dịch vụ đã chọn</t>
  </si>
  <si>
    <t>Check hiển thị các trường trong block Sản phẩm dịch vụ đã chọn</t>
  </si>
  <si>
    <t>Chọn thiết bị AP từ màn hình Chi tiết sản phẩm</t>
  </si>
  <si>
    <t>1. Truy cập màn hình Checkout AP
2. Check hiển thị các trường trong block Sản phẩm dịch vụ đã chọn</t>
  </si>
  <si>
    <t>Block hiển thị thông tin gồm:
- Title Sản phẩm dịch vụ đã chọn (Số lượng)
- Icon/Hình ảnh sản phẩm
- Tên sản phẩm: thiết bị AP
- Số lượng: x1
- Giá gốc: &lt;giá gốc&gt; (gạch ngang)
- Giá ưu đãi: &lt;giá ưu đãi&gt; (màu xanh nổi bật)
Không có nút chỉnh sửa số lượng tại màn hình này.</t>
  </si>
  <si>
    <t>Block Thông tin cá nhân</t>
  </si>
  <si>
    <t>Check hiển thị các trường trong block Thông tin cá nhân</t>
  </si>
  <si>
    <t>1. Truy cập màn hình Checkout AP
2. Check UI block Thông tin cá nhân</t>
  </si>
  <si>
    <t>Block hiển thị 2 trường bắt buộc:
- Họ và tên (*)
- Số điện thoại (*)</t>
  </si>
  <si>
    <t>Block Địa chỉ lắp đặt</t>
  </si>
  <si>
    <t>Check hiển thị block Địa chỉ lắp đặt mặc định</t>
  </si>
  <si>
    <t>1. Truy cập màn hình Checkout AP
2. Check block Địa chỉ lắp đặt</t>
  </si>
  <si>
    <t>Block Địa chỉ lắp đặt hiển thị mặc định. Gồm các trường bắt buộc:
- Tỉnh/Thành phố (*)
- Phường/Xã (*)
- Tên đường (*)
- Radio Nhà riêng / Chung cư
- Số nhà (*)
- Ghi chú (không bắt buộc)</t>
  </si>
  <si>
    <t>Check hiển thị label thời gian giao hàng dự kiến</t>
  </si>
  <si>
    <t>1. Truy cập màn hình Checkout AP
2. Check label thông tin trong block Địa chỉ lắp đặt</t>
  </si>
  <si>
    <t>Hiển thị text: 'Thời gian giao hàng dự kiến từ 3 đến 7 ngày'.</t>
  </si>
  <si>
    <t>Block Thông tin khách hàng</t>
  </si>
  <si>
    <t>Check hiển thị tại Block Thông tin khách hàng</t>
  </si>
  <si>
    <t>1. Truy cập màn hình Checkout AP
2. Check hiển thị tại Block Thông tin khách hàng</t>
  </si>
  <si>
    <t>Hiển thị các trường thông tin gồm:
- Họ và tên
- Số điện thoại
- Địa chỉ (Số nhà + Tên đường + Phường/Xã + Tỉnh/TP)
- Icon collapse (mặc định)</t>
  </si>
  <si>
    <t>Check mặc định hiển thị tại block Thông tin thanh toán</t>
  </si>
  <si>
    <t>1. Truy cập màn hình Thanh toán dịch vụ Ultra Fast
2 . Check hiển thị tại block Thông tin thanh toán</t>
  </si>
  <si>
    <t>Hiển thị các thông tin gồm 
+ Tên gói - 1 tháng - giá tiền
+ Textbox Nhập ưu đãi - hyperlink Chọn ưu đãi - Button Áp dụng
+ Cần thanh toán - Giá tiền
+ Button Thanh toán
+ icon collapse (mặc định)
+ Text (Bằng việc nhấn vào nút Thanh toán bạn đã đồng ý với các &lt;linktext&gt; điều khoản của FPT Telecom</t>
  </si>
  <si>
    <t>Check click button Thanh toán khi chính sách gói bán đã hết hiệu lực</t>
  </si>
  <si>
    <t>Gói bán có ít nhất 1 chính sách đã hết hiệu lực trên QLCS</t>
  </si>
  <si>
    <t>1. Điều hướng vào trang thanh toán dịch vụ Ultra Fast thành công
2. Chọn PTTT
3. Check click button Thanh toán khi chính sách gói bán đã hết hiệu lực</t>
  </si>
  <si>
    <t>Hệ thống show thông báo lỗi, không lên đơn hàng</t>
  </si>
  <si>
    <t xml:space="preserve">Check click button Thanh toán khi chính sách gói bán còn hiệu lực </t>
  </si>
  <si>
    <t>Gói bán có chính sách còn hiệu lực trên QLCS</t>
  </si>
  <si>
    <t>1. Điều hướng vào trang thanh toán dịch vụ Ultra Fast thành công
2. Chọn PTTT
3. Check click button Thanh toán khi chính sách gói bán còn hiệu lực</t>
  </si>
  <si>
    <t xml:space="preserve">Hệ thống lên đơn hàng, điều hướng qua màn hình thanh toán của PTTT đã chọn và hiển thị đúng số tiền cần thanh toán </t>
  </si>
  <si>
    <t>Check giao diện bước Hoàn tất đơn hàng_Đã thanh toán</t>
  </si>
  <si>
    <t>- Thanh toán COD</t>
  </si>
  <si>
    <t xml:space="preserve">1. Hoàn tất đơn hàng thanh toán COD
2. Check giao diện bước hoàn tất </t>
  </si>
  <si>
    <t>Hiển thị giao diện hoàn tất đơn hàng như sau:
- Logo FPT Telecom
- Các bước: Đăng ký |Thanh toán|Hoàn tất màu xanh lá 
- Label: 
Hoàn tất đơn hàng 
Chưa thanh toán
Đơn hàng đã đăng ký thành công. Kỹ thuật viên FPT  sẽ liên hệ triển khai dịch vụ trong 8h - 12h. Mọi thắc mắc, vui lòng liên hệ 1900 6600 để được giải đáp. Xin cảm ơn. 
- Block Thông tin đơn hàng(ref: sheet Thông tin chung)</t>
  </si>
  <si>
    <t>- Thanh toán khác COD</t>
  </si>
  <si>
    <t xml:space="preserve">1. Hoàn tất đơn hàng thanh toán khác COD
2. Check giao diện bước hoàn tất </t>
  </si>
  <si>
    <t>Hiển thị giao diện hoàn tất đơn hàng như sau:
- Logo FPT Telecom
- Các bước: Đăng ký |Thanh toán|Hoàn tất màu xanh lá 
- Label: 
Hoàn tất đơn hàng 
Thanh toán thành công
Đơn hàng đã đăng ký thành công. Kỹ thuật viên FPT  sẽ liên hệ triển khai dịch vụ trong 8h - 12h. Mọi thắc mắc, vui lòng liên hệ 1900 6600 để được giải đáp. Xin cảm ơn. 
- Block Thông tin đơn hàng(ref: sheet Thông tin chung)</t>
  </si>
  <si>
    <t xml:space="preserve">Check thông tin đơn hàng sau khi thanh toán thành công </t>
  </si>
  <si>
    <t xml:space="preserve">- Đã thanh toán thành công </t>
  </si>
  <si>
    <t xml:space="preserve">- Tại bước Hoàn tất 
1. Truy cập webadmin 
2. Check lại thông tin đơn hàng đã thanh toán </t>
  </si>
  <si>
    <t xml:space="preserve">Đơn hàng ghi nhận đúng thông tin đã nhập </t>
  </si>
  <si>
    <t xml:space="preserve">Check thông tin Hợp đồng sau khi thanh toán thành công </t>
  </si>
  <si>
    <t xml:space="preserve">- Tại bước Hoàn tất 
1. Truy cập inside 
2. Check lại thông tin hợp đồng </t>
  </si>
  <si>
    <t>Hợp đồng ghi nhận đúng các thông tin đơn hàng</t>
  </si>
  <si>
    <t>Checkout Smart Home</t>
  </si>
  <si>
    <t>Check điều hướng vào màn hình Checkout Smart Home + verify URL</t>
  </si>
  <si>
    <t>1. Truy cập trang chi tiết sản phẩm Access Point AX8000C
2. Click btn Mua ngay
3. Check URL và giao diện trang Checkout Smart Home</t>
  </si>
  <si>
    <t>Điều hướng vào trang Checkout Smart Home đúng URL. Hiển thị đủ các block: Sản phẩm đã chọn, Thông tin cá nhân, Địa chỉ lắp đặt, Phương thức thanh toán, Panel thông tin KH + thanh toán.</t>
  </si>
  <si>
    <t>Check GUI tổng thể màn hình Checkout Smart Home</t>
  </si>
  <si>
    <t>Đang ở màn hình Checkout Smart Home</t>
  </si>
  <si>
    <t>1. Truy cập màn hình Checkout Smart Home
2. Check GUI toàn trang</t>
  </si>
  <si>
    <t>Chọn thiết bị Smart Home từ màn hình Chi tiết sản phẩm</t>
  </si>
  <si>
    <t>1. Truy cập màn hình Checkout Smart Home
2. Check hiển thị các trường trong block Sản phẩm dịch vụ đã chọn</t>
  </si>
  <si>
    <t>Block hiển thị thông tin gồm:
- Title Sản phẩm dịch vụ đã chọn (Số lượng)
- Icon/Hình ảnh sản phẩm
- Tên sản phẩm: thiết bị Smart Home
- Số lượng: x1
- Giá gốc: &lt;giá gốc&gt; (gạch ngang)
- Giá ưu đãi: &lt;giá ưu đãi&gt; (màu xanh nổi bật)
Không có nút chỉnh sửa số lượng tại màn hình này.</t>
  </si>
  <si>
    <t>1. Truy cập màn hình Checkout Smart Home
2. Check UI block Thông tin cá nhân</t>
  </si>
  <si>
    <t>1. Truy cập màn hình Checkout Smart Home
2. Check block Địa chỉ lắp đặt</t>
  </si>
  <si>
    <t>1. Truy cập màn hình Checkout Smart Home
2. Check label thông tin trong block Địa chỉ lắp đặt</t>
  </si>
  <si>
    <t>1. Truy cập màn hình Checkout Smart Home
2. Check hiển thị tại Block Thông tin khách hàng</t>
  </si>
  <si>
    <t>Hiển thị các trường thông tin gồm:
- Họ và tên
- Số điện thoại
- Địa chỉ (Số nhà + Tên đường + Phường/Xã + Tỉnh/TP)
- Icon collSmart Homese (mặc định)</t>
  </si>
  <si>
    <t>Hiển thị các thông tin gồm 
+ Tên gói - 1 tháng - giá tiền
+ Textbox Nhập ưu đãi - hyperlink Chọn ưu đãi - Button Áp dụng
+ Cần thanh toán - Giá tiền
+ Button Thanh toán
+ icon collSmart Homese (mặc định)
+ Text (Bằng việc nhấn vào nút Thanh toán bạn đã đồng ý với các &lt;linktext&gt; điều khoản của FPT Telecom</t>
  </si>
  <si>
    <t>Checkout Smart Tivi</t>
  </si>
  <si>
    <t>Check điều hướng vào màn hình Checkout Smart Tivi + verify URL</t>
  </si>
  <si>
    <t>1. Truy cập trang chi tiết sản phẩm Access Point AX8000C
2. Click btn Mua ngay
3. Check URL và giao diện trang Checkout Smart Tivi</t>
  </si>
  <si>
    <t>Điều hướng vào trang Checkout Smart Tivi đúng URL. Hiển thị đủ các block: Sản phẩm đã chọn, Thông tin cá nhân, Địa chỉ lắp đặt, Phương thức thanh toán, Panel thông tin KH + thanh toán.</t>
  </si>
  <si>
    <t>Check GUI tổng thể màn hình Checkout Smart Tivi</t>
  </si>
  <si>
    <t>Đang ở màn hình Checkout Smart Tivi</t>
  </si>
  <si>
    <t>1. Truy cập màn hình Checkout Smart Tivi
2. Check GUI toàn trang</t>
  </si>
  <si>
    <t>Chọn thiết bị Smart Tivi từ màn hình Chi tiết sản phẩm</t>
  </si>
  <si>
    <t>1. Truy cập màn hình Checkout Smart Tivi
2. Check hiển thị các trường trong block Sản phẩm dịch vụ đã chọn</t>
  </si>
  <si>
    <t>Block hiển thị thông tin gồm:
- Title Sản phẩm dịch vụ đã chọn (Số lượng)
- Icon/Hình ảnh sản phẩm
- Tên sản phẩm: thiết bị Smart Tivi
- Số lượng: x1
- Giá gốc: &lt;giá gốc&gt; (gạch ngang)
- Giá ưu đãi: &lt;giá ưu đãi&gt; (màu xanh nổi bật)
Không có nút chỉnh sửa số lượng tại màn hình này.</t>
  </si>
  <si>
    <t>1. Truy cập màn hình Checkout Smart Tivi
2. Check UI block Thông tin cá nhân</t>
  </si>
  <si>
    <t>1. Truy cập màn hình Checkout Smart Tivi
2. Check block Địa chỉ lắp đặt</t>
  </si>
  <si>
    <t>1. Truy cập màn hình Checkout Smart Tivi
2. Check label thông tin trong block Địa chỉ lắp đặt</t>
  </si>
  <si>
    <t>1. Truy cập màn hình Checkout Smart Tivi
2. Check hiển thị tại Block Thông tin khách hàng</t>
  </si>
  <si>
    <t>Hiển thị các trường thông tin gồm:
- Họ và tên
- Số điện thoại
- Địa chỉ (Số nhà + Tên đường + Phường/Xã + Tỉnh/TP)
- Icon collSmart Tivise (mặc định)</t>
  </si>
  <si>
    <t>Hiển thị các thông tin gồm 
+ Tên gói - 1 tháng - giá tiền
+ Textbox Nhập ưu đãi - hyperlink Chọn ưu đãi - Button Áp dụng
+ Cần thanh toán - Giá tiền
+ Button Thanh toán
+ icon collSmart Tivise (mặc định)
+ Text (Bằng việc nhấn vào nút Thanh toán bạn đã đồng ý với các &lt;linktext&gt; điều khoản của FPT Telecom</t>
  </si>
  <si>
    <t>Tổng quan màn hình</t>
  </si>
  <si>
    <t>Check tổng quan trang Danh mục sản phẩm SKU_Camera hiển thị đủ các block theo thứ tự</t>
  </si>
  <si>
    <t>Trang Danh mục sản phẩm đã được cấu hình đầy đủ trên CMS</t>
  </si>
  <si>
    <t>1. Truy cập trang danh mục thiết bị 
2. Scroll từ trên xuống dưới quan sát toàn bộ trang 
3. Check các block hiển thị theo thứ tự</t>
  </si>
  <si>
    <t>Trang hiển thị đầy đủ các block theo thứ tự: 
- Header / Navigation 
- Breadcrumb (Danh mục sản phẩm) 
- Banner Slider 
- Tab Menu danh mục (Camera | Smart home | Access Point | Smart Tivi | Medicare)
- Block Thiết bị tiện ích bán chạy nhất
- Block Thiết bị Camera FPT
- Block Smart Home
- Block Access Point
- Block Smart Tivi
- Block Medicare
- Block Dữ liệu tĩnh
- Footer</t>
  </si>
  <si>
    <t>Check trang Danh mục sản phẩm hiển thị đúng khi truy cập bằng URL trực tiếp</t>
  </si>
  <si>
    <t>URL trang danh mục đã có; trang đang hoạt động bình thường</t>
  </si>
  <si>
    <t>1. Nhập trực tiếp URL danh mục Camera vào thanh địa chỉ browser 2. Check trang render 3. Check đủ các block hiển thị</t>
  </si>
  <si>
    <t>Trang render đầy đủ khi truy cập URL trực tiếp; tất cả block hiển thị đúng không bị lỗi layout</t>
  </si>
  <si>
    <t>Check trang danh mục sản phẩm hiển thị đầy đủ cho user chưa đăng nhập (anonymous)</t>
  </si>
  <si>
    <t>User không có phiên đăng nhập; session/cookie đã xóa</t>
  </si>
  <si>
    <t>1. Xóa cookie/session 2. Truy cập trang danh mục thiết bị 3. Check các block hiển thị 4. Check nút 'Mua ngay' hoạt động</t>
  </si>
  <si>
    <t>Trang hiển thị đầy đủ tất cả block và sản phẩm cho user ẩn danh; nút 'Mua ngay' hoạt động</t>
  </si>
  <si>
    <t>Check trang danh mục sản phẩm hiển thị đầy đủ cho user đã đăng nhập (authenticated user)</t>
  </si>
  <si>
    <t>User đã đăng nhập với tài khoản hợp lệ</t>
  </si>
  <si>
    <t>1. Đăng nhập với tài khoản khách hàng 2. Truy cập trang danh mục thiết bị 3. Check các block hiển thị 4. Check nút 'Mua ngay'</t>
  </si>
  <si>
    <t>Trang hiển thị đầy đủ giống user ẩn danh; nút 'Mua ngay' điều hướng đến flow mua hàng (không yêu cầu login lại)</t>
  </si>
  <si>
    <t>Check truy cập trang với URL sai/không tồn tại trả về trang 404 phù hợp</t>
  </si>
  <si>
    <t>URL sai, ví dụ thêm ký tự ngẫu nhiên vào path</t>
  </si>
  <si>
    <t>1. Nhập URL sai vào browser (VD: /danh-muc-san-pham-xyz) 2. Check response</t>
  </si>
  <si>
    <t>Hiển thị trang 404 có thiết kế phù hợp với thương hiệu FPT; không hiển thị lỗi server raw</t>
  </si>
  <si>
    <t>Header / Navigation</t>
  </si>
  <si>
    <t>TC_06.12</t>
  </si>
  <si>
    <t>Check hiển thị 2 tab khách hàng: Cá nhân và Doanh nghiệp trên top bar</t>
  </si>
  <si>
    <t>Trang danh mục sản phẩm Camera đang hoạt động bình thường</t>
  </si>
  <si>
    <t>1. Truy cập trang danh mục thiết bị
2. Quan sát top bar phía trên cùng 
3. Check 2 tab hiển thị</t>
  </si>
  <si>
    <t>Hiển thị đúng 2 tab: 'Khách hàng cá nhân' và 'Khách hàng doanh nghiệp'</t>
  </si>
  <si>
    <t>TC_06.13</t>
  </si>
  <si>
    <t>Check hiển thị icon vị trí (Location) và nút Đăng nhập trên top bar</t>
  </si>
  <si>
    <t>1. Truy cập trang danh mục thiết bị 
2. Quan sát góc phải top bar 
3. Check icon vị trí và nút đăng nhập</t>
  </si>
  <si>
    <t>Hiển thị icon/text vị trí và nút 'Đăng nhập' đúng vị trí góc phải top bar</t>
  </si>
  <si>
    <t>TC_06.14</t>
  </si>
  <si>
    <t>Check menu navigation chính hiển thị đủ các mục: Logo, Sản phẩm dịch vụ, Tin tức, Đặc quyền hội viên, Thanh toán &amp; hỗ trợ, Tìm kiếm</t>
  </si>
  <si>
    <t>Trang danh mục sản phẩm Camera đang hiển thị</t>
  </si>
  <si>
    <t>1. Truy cập trang danh mục thiết bị 
2. Quan sát thanh navigation chính 
3. Check tên và số mục menu</t>
  </si>
  <si>
    <t>Navigation hiển thị đủ: Logo FPT Telecom, Sản phẩm dịch vụ, Tin tức, Đặc quyền hội viên, Thanh toán &amp; hỗ trợ, Ô tìm kiếm</t>
  </si>
  <si>
    <t>TC_06.15</t>
  </si>
  <si>
    <t>Check click logo FPT Telecom trên header điều hướng về trang chủ</t>
  </si>
  <si>
    <t>Người dùng đang ở trang danh mục sản phẩm Camera</t>
  </si>
  <si>
    <t>1. Truy cập trang danh mục thiết bị 
2. Click logo FPT Telecom trên header 
3. Check điều hướng</t>
  </si>
  <si>
    <t>Trang chuyển về trang chủ FPT Telecom</t>
  </si>
  <si>
    <t>TC_06.16</t>
  </si>
  <si>
    <t>Check menu item 'Sản phẩm dịch vụ' có dropdown mở khi hover/click</t>
  </si>
  <si>
    <t>Header đang hiển thị trên trang danh mục sản phẩm</t>
  </si>
  <si>
    <t>1. Truy cập trang danh mục thiết bị 
2. Hover hoặc click menu 'Sản phẩm dịch vụ' 
3. Check dropdown mở ra</t>
  </si>
  <si>
    <t>Dropdown hiển thị danh sách sản phẩm/dịch vụ con; không bị lỗi layout</t>
  </si>
  <si>
    <t>TC_06.17</t>
  </si>
  <si>
    <t>Check click tab Khách hàng doanh nghiệp redirect đúng</t>
  </si>
  <si>
    <t>User click tab 'Khách hàng doanh nghiệp' trên top bar</t>
  </si>
  <si>
    <t>1. Truy cập trang danh mục thiết bị 
2. Click tab 'Khách hàng doanh nghiệp' trên top bar 
3. Check điều hướng</t>
  </si>
  <si>
    <t>Trang chuyển sang trang bán hàng cho Khách hàng doanh nghiệp</t>
  </si>
  <si>
    <t>Check breadcrumb hiển thị đúng path: Trang chủ &gt; Danh mục sản phẩm</t>
  </si>
  <si>
    <t>1. Truy cập trang danh mục thiết bị
2. Quan sát khu vực breadcrumb
3. Check text hiển thị</t>
  </si>
  <si>
    <t>Breadcrumb hiển thị đúng: 'Trang chủ &gt; Danh mục sản phẩm'</t>
  </si>
  <si>
    <t>Check click 'Trang chủ' trên breadcrumb điều hướng về trang chủ</t>
  </si>
  <si>
    <t>1. Truy cập trang danh mục thiết bị
2. Click link 'Trang chủ' trên breadcrumb
3. Check điều hướng</t>
  </si>
  <si>
    <t>Check level cuối (Danh mục sản phẩm) trên breadcrumb không thể click (không có link)</t>
  </si>
  <si>
    <t>1. Truy cập trang danh mục thiết bị
2. Click text 'Danh mục sản phẩm' trên breadcrumb
3. Check hành vi</t>
  </si>
  <si>
    <t>Text 'Danh mục sản phẩm' không điều hướng; không có cursor pointer; trang không thay đổi</t>
  </si>
  <si>
    <t>Check điều hướng qua breadcrumb kết hợp với nút Back browser: state trang đúng</t>
  </si>
  <si>
    <t>User đang ở trang danh mục sau khi đã điều hướng vào từ trang chủ</t>
  </si>
  <si>
    <t>1. Từ trang chủ, click vào trang danh mục sản phẩm
2. Trên trang danh mục, click Trang chủ qua breadcrumb
3. Click nút Back của browser
4. Check trang hiển thị</t>
  </si>
  <si>
    <t>Trang danh mục restore lại đúng (không bị 404 hoặc blank); scroll position không bắt buộc giữ nguyên</t>
  </si>
  <si>
    <t>Banner Slider</t>
  </si>
  <si>
    <t>Check banner Slider hiển thị đúng hình ảnh và nội dung theo cấu hình CMS</t>
  </si>
  <si>
    <t>Banner đã được cấu hình trên CMS với ít nhất 1 banner active</t>
  </si>
  <si>
    <t>1. Truy cập trang danh mục thiết bị
2. Quan sát khu vực banner slider
3. Check hình ảnh và nội dung hiển thị</t>
  </si>
  <si>
    <t>Banner hiển thị đúng hình ảnh, nội dung khuyến mãi theo cấu hình CMS; không bị lỗi ảnh hoặc placeholder</t>
  </si>
  <si>
    <t>Check slider banner chạy tự động (auto-slide) sang slide tiếp theo</t>
  </si>
  <si>
    <t>Banner slider được cấu hình với ít nhất 2 banner; tính năng auto-slide được bật</t>
  </si>
  <si>
    <t>1. Truy cập trang danh mục thiết bị
2. Quan sát banner slider không thao tác
3. Check slide tự động chuyển</t>
  </si>
  <si>
    <t>Banner tự động chuyển sang slide tiếp theo sau khoảng thời gian cấu hình; chạy lặp vòng</t>
  </si>
  <si>
    <t>Check slider banner scroll sang phải bằng mũi tên '&gt;'</t>
  </si>
  <si>
    <t>Banner slider hiển thị với ít nhất 2 banner</t>
  </si>
  <si>
    <t>1. Truy cập trang danh mục thiết bị
2. Click mũi tên '&gt;' trên banner slider
3. Check banner thay đổi</t>
  </si>
  <si>
    <t>Banner chuyển sang slide kế tiếp; dot indicator cập nhật active đúng</t>
  </si>
  <si>
    <t>Check slider banner scroll sang trái bằng mũi tên '&lt;'</t>
  </si>
  <si>
    <t>Banner slider đang hiển thị slide thứ 2 trở đi</t>
  </si>
  <si>
    <t>1. Truy cập trang danh mục thiết bị
2. Chuyển đến slide thứ 2
3. Click mũi tên '&lt;'
4. Check banner thay đổi</t>
  </si>
  <si>
    <t>Banner chuyển về slide trước đó; dot indicator cập nhật active đúng</t>
  </si>
  <si>
    <t>Check dot indicator hiển thị đúng số lượng item và active đúng slide hiện tại</t>
  </si>
  <si>
    <t>Banner slider có ít nhất 2 banner được cấu hình</t>
  </si>
  <si>
    <t>1. Truy cập trang danh mục thiết bị
2. Quan sát dot indicator dưới banner
3. Click lần lượt các dot
4. Check dot active thay đổi theo</t>
  </si>
  <si>
    <t>Số dot bằng số banner; dot của slide hiện tại có style active (khác màu/kích thước); click dot chuyển đúng slide</t>
  </si>
  <si>
    <t>Check click trên banner điều hướng đúng URL được cấu hình trên CMS</t>
  </si>
  <si>
    <t>Banner được cấu hình với URL redirect cụ thể</t>
  </si>
  <si>
    <t>1. Truy cập trang danh mục thiết bị
2. Click vào banner
3. Check URL điều hướng</t>
  </si>
  <si>
    <t>Trình duyệt điều hướng đến URL đã cấu hình trên CMS cho banner đó</t>
  </si>
  <si>
    <t>Check scroll ngang banner slider khi chỉ có đúng 1 banner</t>
  </si>
  <si>
    <t>Banner slider được cấu hình với đúng 1 banner</t>
  </si>
  <si>
    <t>1. Truy cập trang danh mục thiết bị
2. Truy cập trang danh mục thiết bị
3. Check slider</t>
  </si>
  <si>
    <t>Slider hiển thị đúng 1 banner; nút mũi tên '&lt; &gt;' ẩn hoặc disabled; dot indicator hiển thị 1 dot active</t>
  </si>
  <si>
    <t>Check cập nhật ảnh banner slider trên CMS: ảnh mới hiển thị trên trang sau reload</t>
  </si>
  <si>
    <t>Có quyền quản lý CMS; banner slider được thêm 1 ảnh mới</t>
  </si>
  <si>
    <t>1. Truy cập trang danh mục thiết bị
2. Check banner</t>
  </si>
  <si>
    <t>Banner hiển thị ảnh mới đã upload; không còn hiển thị ảnh cũ; ảnh mới load đúng resolution</t>
  </si>
  <si>
    <t>Tab Menu Danh Mục (Camera | Smart home | Access Point | Smart Tivi | Medicare)</t>
  </si>
  <si>
    <t>Check tổng quan Tab Menu danh mục — liệt kê đủ 5 tab theo thứ tự đúng</t>
  </si>
  <si>
    <t>1. Truy cập trang danh mục thiết bị
2. Quan sát khu vực tab menu danh mục
3. Check số lượng và tên tab</t>
  </si>
  <si>
    <t>Hiển thị đúng 5 tab theo thứ tự: Camera | Smart home | Access Point | Smart Tivi | Medicare</t>
  </si>
  <si>
    <t>Check tab 'Camera' active mặc định khi vào trang Danh mục sản phẩm Camera</t>
  </si>
  <si>
    <t>Người dùng truy cập trang danh mục sản phẩm Camera lần đầu</t>
  </si>
  <si>
    <t>1. Truy cập trang danh mục thiết bị qua URL
2. Quan sát tab menu
3. Check tab nào đang active</t>
  </si>
  <si>
    <t>Tab 'Camera' được active mặc định; có visual style khác biệt so với các tab còn lại</t>
  </si>
  <si>
    <t>Check click tab 'Smart home' scroll đến block Smart home và highlight tab</t>
  </si>
  <si>
    <t>Trang danh mục sản phẩm Camera đang hiển thị đầy đủ các block</t>
  </si>
  <si>
    <t>1. Truy cập trang danh mục thiết bị
2. Click tab 'Smart home' trên tab menu
3. Check trang scroll và tab active</t>
  </si>
  <si>
    <t>Trang scroll đến block Smart home; tab 'Smart home' active (highlight); URL cập nhật anchor nếu có</t>
  </si>
  <si>
    <t>Check click tab 'Access Point' scroll đến block Access Point và highlight tab</t>
  </si>
  <si>
    <t>1. Truy cập trang danh mục thiết bị
2. Click tab 'Access Point' trên tab menu
3. Check trang scroll và tab active</t>
  </si>
  <si>
    <t>Trang scroll đến block Access Point; tab 'Access Point' active</t>
  </si>
  <si>
    <t>Check click tab 'Smart Tivi' scroll đến block Smart Tivi và highlight tab</t>
  </si>
  <si>
    <t>1. Truy cập trang danh mục thiết bị
2. Click tab 'Smart Tivi' trên tab menu
3. Check trang scroll và tab active</t>
  </si>
  <si>
    <t>Trang scroll đến block Smart Tivi; tab 'Smart Tivi' active</t>
  </si>
  <si>
    <t>Check click tab 'Medicare' scroll đến block Medicare và highlight tab</t>
  </si>
  <si>
    <t>1. Truy cập trang danh mục thiết bị
2. Click tab 'Medicare' trên tab menu
3. Check trang scroll và tab active</t>
  </si>
  <si>
    <t>Trang scroll đến block Medicare; tab 'Medicare' active</t>
  </si>
  <si>
    <t>Check tab menu sticky dưới header khi scroll xuống qua vị trí ban đầu của tab</t>
  </si>
  <si>
    <t>Trang danh mục sản phẩm Camera đang hiển thị trên desktop</t>
  </si>
  <si>
    <t>1. Truy cập trang danh mục thiết bị
2. Scroll xuống qua khu vực banner
3. Check vị trí tab menu</t>
  </si>
  <si>
    <t>Tab menu sticky (dính) dưới header khi scroll xuống; tab menu không bị ẩn</t>
  </si>
  <si>
    <t>Check tab menu auto-highlight khi scroll tay đến block tương ứng</t>
  </si>
  <si>
    <t>1. Truy cập trang danh mục thiết bị
2. Scroll tay xuống lần lượt qua các block
3. Check tab active thay đổi theo block hiện tại</t>
  </si>
  <si>
    <t>Tab tương ứng với block đang hiển thị trong viewport được auto-highlight</t>
  </si>
  <si>
    <t>Check tab active có visual style khác biệt rõ so với tab không active</t>
  </si>
  <si>
    <t>Tab menu đang hiển thị với ít nhất 1 tab active</t>
  </si>
  <si>
    <t>1. Truy cập trang danh mục thiết bị
2. Quan sát tab menu
3. So sánh tab active và tab thường</t>
  </si>
  <si>
    <t>Tab active có màu sắc/font/border khác biệt rõ ràng so với tab không active</t>
  </si>
  <si>
    <t>[Mobile] Check Tab Menu danh mục hiển thị dạng scroll ngang trên mobile</t>
  </si>
  <si>
    <t>Người dùng truy cập trang trên thiết bị mobile</t>
  </si>
  <si>
    <t>1. Truy cập trang danh mục thiết bị trên mobile
2. Quan sát khu vực tab menu
3. Swipe ngang tab menu
4. Check tất cả 5 tab</t>
  </si>
  <si>
    <t>Tab menu hiển thị dạng scroll ngang (horizontal scroll); có thể swipe để xem đủ 5 tab; không bị overflow che khuất</t>
  </si>
  <si>
    <t>Check click tab menu sticky kết hợp với vị trí scroll hiện tại: trang scroll đến đúng block</t>
  </si>
  <si>
    <t>Người dùng đã scroll xuống giữa trang; tab menu đang sticky</t>
  </si>
  <si>
    <t>1. Truy cập trang danh mục
2. Scroll xuống giữa trang (đang ở block Smart home)
3. Click tab 'Medicare' trên sticky tab menu
4. Check trang scroll</t>
  </si>
  <si>
    <t>Trang scroll smooth đến block Medicare; tab 'Medicare' active; scroll position dừng đúng tại block đó</t>
  </si>
  <si>
    <t>Check trạng thái tab menu sticky: xuất hiện khi scroll xuống, biến mất đúng khi scroll lên đầu trang</t>
  </si>
  <si>
    <t>Trang danh mục đang hiển thị trên desktop với tab menu ban đầu không sticky</t>
  </si>
  <si>
    <t>1. Truy cập trang danh mục (tab menu ở vị trí bình thường)
2. Scroll xuống qua banner → tab menu chuyển sticky
3. Scroll lên trên đầu trang
4. Check tab menu trở về vị trí bình thường</t>
  </si>
  <si>
    <t>Tab menu: không sticky khi ở đầu trang → chuyển sticky khi scroll qua ngưỡng → trả về bình thường khi scroll lên đầu; transition smooth</t>
  </si>
  <si>
    <t>Check trạng thái tab active trên tab menu khi scroll từ block đầu xuống block cuối và ngược lại</t>
  </si>
  <si>
    <t>Trang danh mục đang hiển thị trên desktop</t>
  </si>
  <si>
    <t>1. Truy cập trang danh mục
2. Scroll chậm từ đầu xuống cuối trang
3. Ghi nhận tab nào active theo từng block
4. Scroll ngược từ cuối lên đầu
5. Check tab active thay đổi theo chiều ngược lại</t>
  </si>
  <si>
    <t>Tab auto-highlight đúng với block đang trong viewport khi scroll cả 2 chiều; không có state sai khi scroll ngược</t>
  </si>
  <si>
    <t>Block Thiết bị tiện ích bán chạy nhất</t>
  </si>
  <si>
    <t>Check tổng quan block 'Thiết bị tiện ích bán chạy nhất' — hiển thị tiêu đề, banner trái và danh sách sản phẩm</t>
  </si>
  <si>
    <t>Block bán chạy đã được cấu hình trên CMS với ít nhất 1 sản phẩm</t>
  </si>
  <si>
    <t>1. Truy cập trang danh mục thiết bị 
2. Quan sát block 'Thiết bị tiện ích bán chạy nhất' 
3. Check các thành phần hiển thị</t>
  </si>
  <si>
    <t>Block hiển thị: tiêu đề 'Thiết bị tiện ích bán chạy nhất', banner trái (quảng cáo), danh sách card sản phẩm bán chạy</t>
  </si>
  <si>
    <t xml:space="preserve">[Mobile] Check tổng quan block 'Thiết bị tiện ích bán chạy nhất' </t>
  </si>
  <si>
    <t>Block hiển thị: tiêu đề 'Thiết bị tiện ích bán chạy nhất', danh sách card sản phẩm bán chạy, banner (quảng cáo), Button Xem thêm</t>
  </si>
  <si>
    <t>Check banner trong block bán chạy nhất hiển thị đúng hình ảnh và nội dung</t>
  </si>
  <si>
    <t>Banner đã được cấu hình trên CMS</t>
  </si>
  <si>
    <t>1. Truy cập trang danh mục thiết bị 
2. Quan sát banner block bán chạy 
3. Check hình ảnh và text</t>
  </si>
  <si>
    <t>Banne hiển thị đúng hình ảnh, text khuyến mãi; không bị lỗi ảnh hoặc vỡ layout</t>
  </si>
  <si>
    <t>Check card thiết bị tiện ích bán chạy nhất hiển thị đầy đủ các trường thông tin</t>
  </si>
  <si>
    <t>Block Thiết bị tiện ích bán chạy nhất có sản phẩm được cấu hình đầy đủ giá và hình ảnh</t>
  </si>
  <si>
    <t>1. Truy cập Trang danh mục thiết bị
2. Scroll đến block Thiết bị tiện ích bán chạy nhất
3. Quan sát từng card sản phẩm
4. Check từng thành phần trên card</t>
  </si>
  <si>
    <t>Card hiển thị đủ mỗi card gồm:
   + Ảnh banner gói (Image)
   + Title Tên thiết bị Camera 
   + Giá bán
   + Giá gốc - badge % giảm
   + Button Mua ngay</t>
  </si>
  <si>
    <t xml:space="preserve">Check hiển thị card thiết bị tiện ích bán chạy nhất theo thứ tự của config trên CMS </t>
  </si>
  <si>
    <t xml:space="preserve">1. Truy cập Trang danh mục thiết bị
2. Scroll đến block Thiết bị tiện ích bán chạy nhất
3. Check hiển thị card thiết bị tiện ích bán chạy nhất theo thứ tự của config trên CMS </t>
  </si>
  <si>
    <t>Hiển thị đúng danh sách card theo thứ tự card mới nhất sẽ hiển thị đầu tiên từ trái sang phải</t>
  </si>
  <si>
    <t>Check banner card thiết bị tiện ích bán chạy nhất</t>
  </si>
  <si>
    <t>1. Truy cập Trang danh mục thiết bị
2. Scroll đến block Thiết bị tiện ích bán chạy nhất
3. Quan sát một card bất kỳ
4. Check banner card thiết bị tiện ích bán chạy nhất</t>
  </si>
  <si>
    <t>Banner card gói hiển thị đúng hình ảnh, không vỡ, đúng tỉ lệ. Hiển thị đúng theo config trên Product hub</t>
  </si>
  <si>
    <t>Check title Tên card thiết bị Thiết bị tiện ích bán chạy nhất</t>
  </si>
  <si>
    <t>1. Truy cập Trang danh mục thiết bị
2. Scroll đến block Thiết bị tiện ích bán chạy nhất
3. Quan sát một card bất kỳ
4. Check title Tên card thiết bị tiện ích bán chạy nhất</t>
  </si>
  <si>
    <t>Hiển thị tên sản phẩm/dịch vụ theo cấu hình trên ProductHub</t>
  </si>
  <si>
    <t>Check giá tại card thiết bị Thiết bị tiện ích bán chạy nhất cập nhật theo khu vực sau khi chọn location</t>
  </si>
  <si>
    <t>1. Truy cập Trang danh mục thiết bị
2. Chọn địa chỉ khu vực trên header
3. Scroll đến block Thiết bị tiện ích bán chạy nhất
4. Check giá hiển thị trên card</t>
  </si>
  <si>
    <t>Giá card Thiết bị tiện ích bán chạy nhất cập nhật đúng theo chính sách giá config trên Producthub của khu vực đã chọn</t>
  </si>
  <si>
    <t>Check giá tại card thiết bị Thiết bị tiện ích bán chạy nhất khi chưa chọn location</t>
  </si>
  <si>
    <t>1. Truy cập Trang danh mục thiết bị 
2. Không chọn Location
3. Scroll đến block  Thiết bị tiện ích bán chạy nhất
4. Check giá hiển thị trên card</t>
  </si>
  <si>
    <t>Giá card Thiết bị tiện ích bán chạy nhất hiển thị đúng theo chính sách giá đã config trên ProductHub</t>
  </si>
  <si>
    <t>Check ẩn card thiết bị Thiết bị tiện ích bán chạy nhất khi khu vực không có chính sách giá tương ứng</t>
  </si>
  <si>
    <t>1. Truy cập Trang danh mục thiết bị 
2. Chọn khu vực không có chính sách Thiết bị tiện ích bán chạy nhất
3. Scroll đến vị trí block Thiết bị tiện ích bán chạy nhất
4. Check card hiển thị</t>
  </si>
  <si>
    <t>Card gói không hiển thị trên block Thiết bị tiện ích bán chạy nhất</t>
  </si>
  <si>
    <t>Check hiển thị giá Gốc - badge % giảm giá trên card thiết bị tiện ích bán chạy nhất</t>
  </si>
  <si>
    <t>1. Truy cập Trang danh mục thiết bị
2. Chọn địa chỉ khu vực trên header
3. Scroll đến blockThiết bị tiện ích bán chạy nhất
4. Check giá gốc - badge % giảm giá hiển thị trên card</t>
  </si>
  <si>
    <t>urd chưa mô tả rule load giá ở đâu</t>
  </si>
  <si>
    <t>Check click nút 'Mua ngay' trên card sản phẩm bán chạy điều hướng đến trang chi tiết sản phẩm</t>
  </si>
  <si>
    <t>Card sản phẩm hiển thị với nút 'Mua ngay' active</t>
  </si>
  <si>
    <t>1. Truy cập trang danh mục thiết bị 
2. Click nút 'Mua ngay' trên bất kỳ card sản phẩm bán chạy 
3. Check điều hướng</t>
  </si>
  <si>
    <t>Trình duyệt điều hướng đến trang chi tiết sản phẩm tương ứng</t>
  </si>
  <si>
    <t xml:space="preserve">[Mobile] Check click 'Xem thêm' trên card sản phẩm bán chạy </t>
  </si>
  <si>
    <t>Card sản phẩm hiển thị với nút 'Xem thêm' active
Block bán chạy được cấu hình với hơn 4 sản phẩm</t>
  </si>
  <si>
    <t xml:space="preserve">1. Truy cập trang danh mục thiết bị 
2. Check click nút 'Xem thêm' ở block Thiết bị tiện ích bán chạy </t>
  </si>
  <si>
    <t>Hiển thị toàn bộ card thiết bị tiện ích</t>
  </si>
  <si>
    <t xml:space="preserve">[Mobile] Check ẩn button 'Xem thêm' trên card sản phẩm bán chạy khi có ít hơn 4 card sản phẩm </t>
  </si>
  <si>
    <t>Block bán chạy được cấu hình ít hơn 4 sản phẩm</t>
  </si>
  <si>
    <t xml:space="preserve">1. Truy cập trang danh mục thiết bị 
2. Check ẩn button 'Xem thêm' trên card sản phẩm bán chạy khi có ít hơn 4 card sản phẩm </t>
  </si>
  <si>
    <t>Hệ thống ẩn button Xem thêm</t>
  </si>
  <si>
    <t>Check scroll ngang danh sách sản phẩm bán chạy khi số card vượt quá 1 hàng</t>
  </si>
  <si>
    <t>Block bán chạy được cấu hình với hơn 4 sản phẩm</t>
  </si>
  <si>
    <t>1. Truy cập trang danh mục thiết bị 
2. Quan sát block bán chạy 
3. Thực hiện scroll ngang danh sách sản phẩm</t>
  </si>
  <si>
    <t>Danh sách có thể scroll ngang; các card không bị tràn ra ngoài hoặc bị che khuất</t>
  </si>
  <si>
    <t>Check sản phẩm bán chạy hiển thị đúng thứ tự ưu tiên theo cấu hình CMS</t>
  </si>
  <si>
    <t>CMS đã cấu hình thứ tự ưu tiên sản phẩm bán chạy</t>
  </si>
  <si>
    <t>1. Truy cập CMS và ghi nhận thứ tự sản phẩm 
2. Truy cập trang danh mục thiết bị 
3. Check thứ tự card sản phẩm hiển thị</t>
  </si>
  <si>
    <t>Thứ tự card sản phẩm hiển thị khớp với thứ tự cấu hình trên CMS</t>
  </si>
  <si>
    <t>Check block "Thiết bị bán chạy nhất" ẩn hoàn toàn khi số card gói &lt; 1</t>
  </si>
  <si>
    <t>Block "Thiết bị bán chạy nhất" được cấu hình trên CMS với 0 card gói active</t>
  </si>
  <si>
    <t>1. Truy cập trang danh mục thiết bị
2. Check block "Thiết bị bán chạy nhất"</t>
  </si>
  <si>
    <t xml:space="preserve">Block "Thiết bị bán chạy nhất" ẩn hoàn toàn </t>
  </si>
  <si>
    <t>Block Thiết bị Camera FPT</t>
  </si>
  <si>
    <t>Check tổng quan block 'Thiết bị Camera FPT' — hiển thị tiêu đề, filter tabs và danh sách sản phẩm</t>
  </si>
  <si>
    <t>Block Camera FPT đã được cấu hình trên CMS với ít nhất 1 sản phẩm</t>
  </si>
  <si>
    <t>1. Truy cập trang danh mục thiết bị
2. Scroll đến block 'Thiết bị Camera FPT'
3. Check các thành phần hiển thị</t>
  </si>
  <si>
    <t>Block hiển thị: tiêu đề 'Thiết bị Camera FPT', filter tabs (Khuyến mãi / Mới nhất / Giá tăng dần / Giá giảm dần), danh sách card sản phẩm, nút 'Xem tất cả'</t>
  </si>
  <si>
    <t>Check filter tab 'Khuyến mãi' hiển thị đúng sản phẩm đang có khuyến mãi trong block Camera FPT</t>
  </si>
  <si>
    <t>Block Camera FPT có sản phẩm được gắn tag khuyến mãi</t>
  </si>
  <si>
    <t>1. Truy cập trang danh mục thiết bị
2. Scroll đến block 'Thiết bị Camera FPT'
3. Click tab filter 'Khuyến mãi'
4. Check danh sách sản phẩm hiển thị</t>
  </si>
  <si>
    <t>Danh sách chỉ hiển thị sản phẩm có khuyến mãi; sản phẩm không có KM bị ẩn; tab 'Khuyến mãi' active
Nếu gói có % giảm bằng nhau thì ưu tiên theo thời gian CMS mới nhất lên đầu</t>
  </si>
  <si>
    <t>Check filter tab 'Mới nhất' sắp xếp sản phẩm theo ngày mới nhất trong block Camera FPT</t>
  </si>
  <si>
    <t>Block Camera FPT có nhiều sản phẩm với ngày thêm vào khác nhau</t>
  </si>
  <si>
    <t>1. Truy cập trang danh mục thiết bị
2. Scroll đến block 'Thiết bị Camera FPT'
3. Click tab filter 'Mới nhất'
4. Check thứ tự sản phẩm</t>
  </si>
  <si>
    <t>Sản phẩm được sắp xếp theo thứ tự mới nhất (ngày thêm/cập nhật gần nhất lên đầu)</t>
  </si>
  <si>
    <t>Check filter tab 'Giá tăng dần' sắp xếp sản phẩm theo giá từ thấp đến cao trong block Camera FPT</t>
  </si>
  <si>
    <t>Block Camera FPT có nhiều sản phẩm với mức giá khác nhau</t>
  </si>
  <si>
    <t>1. Truy cập trang danh mục thiết bị
2. Scroll đến block 'Thiết bị Camera FPT'
3. Click tab filter 'Giá tăng dần'
4. Check thứ tự giá sản phẩm</t>
  </si>
  <si>
    <t>Sản phẩm được sắp xếp từ giá thấp nhất đến cao nhất; thứ tự giá hiển thị đúng
Nếu gói có giá bằng nhau thì ưu tiên theo thời gian CMS mới nhất</t>
  </si>
  <si>
    <t>Check filter tab 'Giá giảm dần' sắp xếp sản phẩm theo giá từ cao đến thấp trong block Camera FPT</t>
  </si>
  <si>
    <t>1. Truy cập trang danh mục thiết bị
2. Scroll đến block 'Thiết bị Camera FPT'
3. Click tab filter 'Giá giảm dần'
4. Check thứ tự giá sản phẩm</t>
  </si>
  <si>
    <t>Sản phẩm được sắp xếp từ giá cao nhất đến thấp nhất
Nếu gói có giá bằng nhau thì ưu tiên theo thời gian CMS mới nhất</t>
  </si>
  <si>
    <t>Check chuyển trạng thái filter tab: từ 'Khuyến mãi' → 'Giá tăng dần' → 'Mới nhất' → 'Giá giảm dần' hoạt động đúng liên tiếp</t>
  </si>
  <si>
    <t>Block Camera FPT có sản phẩm đủ dữ liệu cho tất cả filter</t>
  </si>
  <si>
    <t>1. Truy cập trang danh mục thiết bị
2. Scroll đến block 'Thiết bị Camera FPT'
3. Click tab 'Khuyến mãi' → ghi nhận kết quả
4. Click tab 'Giá tăng dần' → ghi nhận kết quả
5. Click tab 'Mới nhất' → ghi nhận kết quả
6. Click tab 'Giá giảm dần' → ghi nhận kết quả
7. Check mỗi lần danh sách đúng</t>
  </si>
  <si>
    <t>Mỗi lần chuyển tab: danh sách cập nhật đúng theo filter; tab active thay đổi; không có state tồn đọng từ filter trước</t>
  </si>
  <si>
    <t>Check nút sort "Khuyến mãi" bị ẩn khi block Camera FPT không có sản phẩm nào đang có ưu đãi</t>
  </si>
  <si>
    <t>Block Camera FPT không có sản phẩm nào đang áp dụng khuyến mãi</t>
  </si>
  <si>
    <t>1. Cấu hình tất cả sản phẩm trong block Camera FPT không có KM
2. Truy cập trang danh mục thiết bị
3. Scroll đến block 'Thiết bị Camera FPT'
4. Check hiển thị các tab sort</t>
  </si>
  <si>
    <t>Tab "Khuyến mãi" bị ẩn; chỉ hiển thị: Mới nhất, Giá tăng dần, Giá giảm dần</t>
  </si>
  <si>
    <t>Check filter 'Khuyến mãi' kết hợp sau khi đã xem qua tab 'Mới nhất': trạng thái reset đúng</t>
  </si>
  <si>
    <t>Block Camera FPT đang hiển thị với nhiều sản phẩm</t>
  </si>
  <si>
    <t>1. Truy cập trang danh mục thiết bị
2. Scroll đến block 'Thiết bị Camera FPT'
3 Click tab 'Mới nhất'
4. Quan sát danh sách
5. Click tab 'Khuyến mãi'
6. Check danh sách thay đổi</t>
  </si>
  <si>
    <t>Khi chuyển tab, danh sách reset về đúng filter mới; không giữ kết quả filter cũ; tab active cập nhật đúng</t>
  </si>
  <si>
    <t>Check filter tab không trả về kết quả khi không có sản phẩm nào thỏa điều kiện lọc</t>
  </si>
  <si>
    <t>Block Camera FPT không có sản phẩm nào đang có khuyến mãi</t>
  </si>
  <si>
    <t>1. Truy cập trang danh mục thiết bị
2. Scroll đến block 'Thiết bị Camera FPT'
3. Click tab filter 'Khuyến mãi'
4. Check kết quả danh sách</t>
  </si>
  <si>
    <t>Danh sách hiển thị trống hoặc thông báo 'Không có sản phẩm' phù hợp</t>
  </si>
  <si>
    <t>Check card thiết bị Camera FPT hiển thị đầy đủ các trường thông tin</t>
  </si>
  <si>
    <t>Block Camera FPT có sản phẩm được cấu hình đầy đủ giá và hình ảnh</t>
  </si>
  <si>
    <t>1. Truy cập Trang danh mục thiết bị
2. Scroll đến block 'Thiết bị Camera FPT'
3. Quan sát từng card sản phẩm
4. Check từng thành phần trên card</t>
  </si>
  <si>
    <t xml:space="preserve">Check hiển thị card thiết bị Camera FPT theo thứ tự của config trên CMS </t>
  </si>
  <si>
    <t xml:space="preserve">1. Truy cập Trang danh mục thiết bị
2. Scroll đến block 'Thiết bị Camera FPT'
3. Check hiển thị  card thiết bị Camera FPT theo thứ tự của config trên CMS </t>
  </si>
  <si>
    <t>Check banner  card thiết bị Camera FPT</t>
  </si>
  <si>
    <t>1. Truy cập Trang danh mục thiết bị
2. Scroll đến block 'Thiết bị Camera FPT'
3. Quan sát một card bất kỳ
4. Check banner card thiết bị Camera FPT</t>
  </si>
  <si>
    <t>Check title Tên card thiết bị Camera FPT</t>
  </si>
  <si>
    <t>1. Truy cập Trang danh mục thiết bị
2. Scroll đến block 'Thiết bị Camera FPT'
3. Quan sát một card bất kỳ
4. Check title Tên card thiết bị Camera FPT</t>
  </si>
  <si>
    <t>Check giá tại card thiết bị Camera FPT cập nhật theo khu vực sau khi chọn location</t>
  </si>
  <si>
    <t>1. Truy cập Trang danh mục thiết bị
2. Chọn địa chỉ khu vực trên header
3. Scroll đến block 'Thiết bị Camera FPT'
4. Check giá hiển thị trên card</t>
  </si>
  <si>
    <t>Giá card Camera FPT cập nhật đúng theo chính sách giá config trên Producthub của khu vực đã chọn</t>
  </si>
  <si>
    <t>Check giá tại card thiết bị Camera FPT khi chưa chọn location</t>
  </si>
  <si>
    <t>1. Truy cập Trang danh mục thiết bị 
2. Không chọn Location
3. Scroll đến block  'Thiết bị Camera FPT'
4. Check giá hiển thị trên card</t>
  </si>
  <si>
    <t>Giá card Camera FPT hiển thị đúng theo chính sách giá đã config trên ProductHub</t>
  </si>
  <si>
    <t>Check ẩn card thiết bị Camera FPT khi khu vực không có chính sách giá tương ứng</t>
  </si>
  <si>
    <t>1. Truy cập Trang danh mục thiết bị 
2. Chọn khu vực không có chính sách Thiết bị Camera FPT
3. Scroll đến vị trí block  'Thiết bị Camera FPT'
4. Check card hiển thị</t>
  </si>
  <si>
    <t>Card gói không hiển thị trên block  'Thiết bị Camera FPT'</t>
  </si>
  <si>
    <t>Check hiển thị giá Gốc - badge % giảm giá trên card thiết bị Camera FPT</t>
  </si>
  <si>
    <t>1. Truy cập Trang danh mục thiết bị
2. Chọn địa chỉ khu vực trên header
3. Scroll đến block 'Thiết bị Camera FPT'
4. Check giá gốc - badge % giảm giá hiển thị trên card</t>
  </si>
  <si>
    <t>Check click nút 'Mua ngay' trên card Camera FPT điều hướng đến trang chi tiết sản phẩm</t>
  </si>
  <si>
    <t>Card sản phẩm Camera FPT đang hiển thị</t>
  </si>
  <si>
    <t>1. Truy cập trang danh mục thiết bị
2. Scroll đến block 'Thiết bị Camera FPT'
3. Click nút 'Mua ngay' trên bất kỳ card
4. Check điều hướng</t>
  </si>
  <si>
    <t>Check click 'Xem tất cả' trong block Camera FPT điều hướng đến trang danh sách đầy đủ Camera</t>
  </si>
  <si>
    <t>Block Camera FPT có nút 'Xem tất cả' hiển thị</t>
  </si>
  <si>
    <t>1. Truy cập trang danh mục thiết bị
2. Scroll đến block 'Thiết bị Camera FPT'
3. Click nút/link 'Xem tất cả'
4. Check điều hướng</t>
  </si>
  <si>
    <t>Điều hướng đến trang Landing page FPT Camera</t>
  </si>
  <si>
    <t>Check scroll ngang danh sách sản phẩm Camera FPT khi số card vượt quá số hiển thị mặc định</t>
  </si>
  <si>
    <t>Block Camera FPT có hơn 5 sản phẩm được cấu hình</t>
  </si>
  <si>
    <t>1. Truy cập trang danh mục thiết bị
2. Scroll đến block 'Thiết bị Camera FPT'
3. Scroll ngang danh sách sản phẩm
4. Check có thể xem thêm sản phẩm</t>
  </si>
  <si>
    <t>Có thể scroll ngang để xem thêm sản phẩm; mũi tên điều hướng '&lt; &gt;' hoạt động đúng</t>
  </si>
  <si>
    <t>Check block Thiết bị Camera FPT rỗng khi không có card thiết bị</t>
  </si>
  <si>
    <t>Cấu hình block Camea FPT không có card thiết bị</t>
  </si>
  <si>
    <t>1. Truy cập trang danh mục thiết bị
2. Scroll đến block 'Thiết bị Camera FPT'
3. Truy cập trang danh mục
4. Check block Thiết bị Camera FPT</t>
  </si>
  <si>
    <t>Block Thiết bị Camera FPT không hiển thị gói sản phẩm nào</t>
  </si>
  <si>
    <t>Check hiển thị block sản phẩm khi có &lt;= 5 sản phẩm được cấu hình</t>
  </si>
  <si>
    <t>Block Camera FPT có &lt;= 5 sản phẩm active trên CMS</t>
  </si>
  <si>
    <t>1. Cấu hình block Camera FPT &lt;= 5 sản phẩm
2. Truy cập trang danh mục thiết bị
3. Scroll đến block 'Thiết bị Camera FPT'
4. Check block Camera FPT</t>
  </si>
  <si>
    <t>Block hiển thị đúng các card đã cấu hình; không có nút scroll ngang</t>
  </si>
  <si>
    <t xml:space="preserve">Check scroll ngang xuất hiện khi số card &gt; 5 </t>
  </si>
  <si>
    <t>Block được cấu hình &gt; 6 sản phẩm</t>
  </si>
  <si>
    <t>1. Cấu hình block Camera FPT &gt; 6 sản phẩm
2. Truy cập trang danh mục thiết bị
3. Scroll đến block 'Thiết bị Camera FPT'
4. Check block Thiết bị Camera</t>
  </si>
  <si>
    <t>5 card hiển thị; card thứ 6 ẩn một phần tạo hint scroll; scroll ngang hoạt động để xem card thứ 6</t>
  </si>
  <si>
    <t>Check thêm sản phẩm mới vào block Camera FPT trên CMS: sản phẩm hiển thị đúng trên trang</t>
  </si>
  <si>
    <t>Có quyền quản lý CMS; Thêm sản phẩm mới vào block Camera FPT trên CMS block Camera FPT đang có N sản phẩm</t>
  </si>
  <si>
    <t>1. Truy cập trang danh mục thiết bị
2. Scroll đến block 'Thiết bị Camera FPT'
3. Check hiển thị sản phẩm mới ở block Thiết bị Camera</t>
  </si>
  <si>
    <t>Sản phẩm mới xuất hiện trong block Camera FPT theo đúng thứ tự cấu hình; tổng số card tăng 1</t>
  </si>
  <si>
    <t>Check xóa sản phẩm khỏi block trên CMS: sản phẩm biến mất khỏi trang ngay sau reload</t>
  </si>
  <si>
    <t>Có quyền quản lý CMS; Xóa 1 sản phẩm ở block Camera FPT trên CMS block Camera FPT đang có N sản phẩm</t>
  </si>
  <si>
    <t>1. Truy cập trang danh mục thiết bị
2. Scroll đến block 'Thiết bị Camera FPT'
3. Check block Thiết bị Camera FPT sau khi đã xóa sản phẩm</t>
  </si>
  <si>
    <t>Sản phẩm bị xóa không còn hiển thị; tổng số card giảm 1; layout các card còn lại không bị vỡ</t>
  </si>
  <si>
    <t>Block Smart home</t>
  </si>
  <si>
    <t>Check tổng quan block Smart home — hiển thị tiêu đề, filter tabs và danh sách sản phẩm</t>
  </si>
  <si>
    <t>Block Smart Home đã được cấu hình trên CMS với ít nhất 1 sản phẩm</t>
  </si>
  <si>
    <t>1. Truy cập Trang danh mục thiết bị
2. Scroll đến block Smart home
3. Check các thành phần hiển thị</t>
  </si>
  <si>
    <t>Block hiển thị: tiêu đề Thiết bị Smart home, filter tabs (Khuyến mãi / Mới nhất / Giá tăng dần / Giá giảm dần), danh sách card sản phẩm, nút 'Xem tất cả'</t>
  </si>
  <si>
    <t>Check filter tab 'Khuyến mãi' hiển thị đúng sản phẩm đang có khuyến mãi trong Block Smart Home</t>
  </si>
  <si>
    <t>Block Smart Home có sản phẩm được gắn tag khuyến mãi</t>
  </si>
  <si>
    <t>1. Truy cập Trang danh mục thiết bị
2. Scroll đến block Smart home
3. Click tab filter 'Khuyến mãi'
4. Check danh sách sản phẩm hiển thị</t>
  </si>
  <si>
    <t>Check filter tab 'Mới nhất' sắp xếp sản phẩm theo ngày mới nhất trong Block Smart Home</t>
  </si>
  <si>
    <t>Block Smart Home có nhiều sản phẩm với ngày thêm vào khác nhau</t>
  </si>
  <si>
    <t>1. Truy cập Trang danh mục thiết bị
2. Scroll đến block Smart home
3. Click tab filter 'Mới nhất'
4. Check thứ tự sản phẩm</t>
  </si>
  <si>
    <t>Check filter tab 'Giá tăng dần' sắp xếp sản phẩm theo giá từ thấp đến cao trong Block Smart Home</t>
  </si>
  <si>
    <t>Block Smart Home có nhiều sản phẩm với mức giá khác nhau</t>
  </si>
  <si>
    <t>1. Truy cập Trang danh mục thiết bị
2. Scroll đến block Smart home
3. Click tab filter 'Giá tăng dần'
4. Check thứ tự giá sản phẩm</t>
  </si>
  <si>
    <t>Check filter tab 'Giá giảm dần' sắp xếp sản phẩm theo giá từ cao đến thấp trong Block Smart Home</t>
  </si>
  <si>
    <t>1. Truy cập Trang danh mục thiết bị
2. Scroll đến block Smart home
3. Click tab filter 'Giá giảm dần'
4. Check thứ tự giá sản phẩm</t>
  </si>
  <si>
    <t>Block Smart Home có sản phẩm đủ dữ liệu cho tất cả filter</t>
  </si>
  <si>
    <t>1. Truy cập Trang danh mục thiết bị
2. Scroll đến block Smart home
3. Click tab 'Khuyến mãi' → ghi nhận kết quả
4. Click tab 'Giá tăng dần' → ghi nhận kết quả
5. Click tab 'Mới nhất' → ghi nhận kết quả
6. Click tab 'Giá giảm dần' → ghi nhận kết quả
7. Check mỗi lần danh sách đúng</t>
  </si>
  <si>
    <t>Check nút sort "Khuyến mãi" bị ẩn khi Block Smart Home không có sản phẩm nào đang có ưu đãi</t>
  </si>
  <si>
    <t>Block Smart Home không có sản phẩm nào đang áp dụng khuyến mãi</t>
  </si>
  <si>
    <t>1. Cấu hình tất cả sản phẩm trong Block Smart Home không có KM
2. Truy cập trang danh mục thiết bị
3. Scroll đến block Smart home
4. Check hiển thị các tab sort</t>
  </si>
  <si>
    <t>Block Smart Home đang hiển thị với nhiều sản phẩm</t>
  </si>
  <si>
    <t>1. Truy cập Trang danh mục thiết bị
2. Scroll đến block Smart home
3. Click tab 'Mới nhất'
4. Quan sát danh sách
5. Click tab 'Khuyến mãi'
6. Check danh sách thay đổi</t>
  </si>
  <si>
    <t>Block Smart Home không có sản phẩm nào đang có khuyến mãi</t>
  </si>
  <si>
    <t>1. Truy cập Trang danh mục thiết bị
2. Scroll đến block Smart home
3. Click tab filter 'Khuyến mãi'
4. Check kết quả danh sách</t>
  </si>
  <si>
    <t>Check card thiết bị Smart Home hiển thị đầy đủ các trường thông tin</t>
  </si>
  <si>
    <t>Block Smart Home có sản phẩm được cấu hình đầy đủ giá và hình ảnh</t>
  </si>
  <si>
    <t>1. Truy cập Trang danh mục thiết bị
2. Scroll đến block Smart home
3. Quan sát từng card sản phẩm
4. Check từng thành phần trên card</t>
  </si>
  <si>
    <t>Card hiển thị đủ mỗi card gồm:
   + Ảnh banner gói (Image)
   + Title Tên thiết bị Smart Home
   + Giá bán
   + Giá gốc - badge % giảm
   + Button Mua ngay</t>
  </si>
  <si>
    <t xml:space="preserve">Check hiển thị card thiết bị Smart Home theo thứ tự của config trên CMS </t>
  </si>
  <si>
    <t xml:space="preserve">1. Truy cập Trang danh mục thiết bị
2. Scroll đến block Smart home
3. Check hiển thị  card thiết bị Smart Home theo thứ tự của config trên CMS </t>
  </si>
  <si>
    <t>Check banner  card thiết bị Smart Home</t>
  </si>
  <si>
    <t>1. Truy cập Trang danh mục thiết bị
2. Scroll đến block Smart home
3. Quan sát một card bất kỳ
4. Check banner card thiết bị Smart Home</t>
  </si>
  <si>
    <t>Check title Tên card thiết bị Smart Home</t>
  </si>
  <si>
    <t>1. Truy cập Trang danh mục thiết bị
2. Scroll đến block Smart home
3. Quan sát một card bất kỳ
4. Check title Tên card thiết bị Smart Home</t>
  </si>
  <si>
    <t>Check giá tại card thiết bị Smart Home cập nhật theo khu vực sau khi chọn location</t>
  </si>
  <si>
    <t>1. Truy cập Trang danh mục thiết bị
2. Chọn địa chỉ khu vực trên header
3. Scroll đến block Smart home
4. Check giá hiển thị trên card</t>
  </si>
  <si>
    <t>Giá card thiết bị Smart Home cập nhật đúng theo chính sách giá config trên Producthub của khu vực đã chọn</t>
  </si>
  <si>
    <t>Check giá tại card thiết bị Smart Home khi chưa chọn location</t>
  </si>
  <si>
    <t>1. Truy cập Trang danh mục thiết bị 
2. Không chọn Location
3. Scroll đến block  Thiết bị Smart home
4. Check giá hiển thị trên card</t>
  </si>
  <si>
    <t>Giá card thiết bị Smart Home hiển thị đúng theo chính sách giá đã config trên ProductHub</t>
  </si>
  <si>
    <t>Check ẩn card thiết bị Smart Home khi khu vực không có chính sách giá tương ứng</t>
  </si>
  <si>
    <t>1. Truy cập Trang danh mục thiết bị 
2. Chọn khu vực không có chính sách Thiết bị Smart home
3. Scroll đến vị trí block  Thiết bị Smart home
4. Check card hiển thị</t>
  </si>
  <si>
    <t>Card gói không hiển thị trên block  Thiết bị Smart home</t>
  </si>
  <si>
    <t>Check hiển thị giá Gốc - badge % giảm giá trên card thiết bị Smart Home</t>
  </si>
  <si>
    <t>1. Truy cập Trang danh mục thiết bị
2. Chọn địa chỉ khu vực trên header
3. Scroll đến block Smart home
4. Check giá gốc - badge % giảm giá hiển thị trên card</t>
  </si>
  <si>
    <t>Check click nút 'Mua ngay' trên card thiết bị Smart Home điều hướng đến trang chi tiết sản phẩm</t>
  </si>
  <si>
    <t>Card sản phẩm Smart Home đang hiển thị</t>
  </si>
  <si>
    <t>1. Truy cập Trang danh mục thiết bị
2. Scroll đến block Smart home
3. Click nút 'Mua ngay' trên bất kỳ card
4. Check điều hướng</t>
  </si>
  <si>
    <t>Check click 'Xem tất cả' trong Block Smart Home điều hướng đến trang danh sách đầy đủ thiết bị</t>
  </si>
  <si>
    <t>Block Smart Home có nút 'Xem tất cả' hiển thị</t>
  </si>
  <si>
    <t>1. Truy cập Trang danh mục thiết bị
2. Scroll đến block Smart home
3. Click nút/link 'Xem tất cả'
4. Check điều hướng</t>
  </si>
  <si>
    <t>Điều hướng đến trang Landing page Smart Home</t>
  </si>
  <si>
    <t>Check scroll ngang danh sách sản phẩm Smart Home khi số card vượt quá số hiển thị mặc định</t>
  </si>
  <si>
    <t>Block Smart Home có hơn 5 sản phẩm được cấu hình</t>
  </si>
  <si>
    <t>1. Truy cập Trang danh mục thiết bị
2. Scroll đến block Smart home
3. Scroll ngang danh sách sản phẩm
4. Check có thể xem thêm sản phẩm</t>
  </si>
  <si>
    <t>Check block Thiết bị Smart Home rỗng khi không có card thiết bị</t>
  </si>
  <si>
    <t>Cấu hình block Smart Home không có card thiết bị</t>
  </si>
  <si>
    <t>1. Truy cập Trang danh mục thiết bị
2. Scroll đến block Smart home
3. Truy cập trang danh mục
4. Check block Smart home</t>
  </si>
  <si>
    <t>Block Thiết bị Smart Home không hiển thị gói sản phẩm nào</t>
  </si>
  <si>
    <t>1. Cấu hình block Smart Home &lt;= 5 sản phẩm
2. Truy cập trang danh mục thiết bị
3. Scroll đến block Smart home
4.  Check block Smart home</t>
  </si>
  <si>
    <t>1. Cấu hình block Smart Home &gt; 6 sản phẩm
2. Truy cập trang danh mục thiết bị
3. Scroll đến block Smart home
4.  Check block Smart home</t>
  </si>
  <si>
    <t>Check thêm sản phẩm mới vào block Smart Home trên CMS: sản phẩm hiển thị đúng trên trang</t>
  </si>
  <si>
    <t>Có quyền quản lý CMS; Thêm sản phẩm mới vào block Smart Home trên CMS block Camera FPT Smart Home đang có N sản phẩm</t>
  </si>
  <si>
    <t>1. Truy cập trang danh mục thiết bị
2. Scroll đến block Smart home
3. Check hiển thị sản phẩm mới ở block Smart Home</t>
  </si>
  <si>
    <t>Có quyền quản lý CMS; Xóa 1 sản phẩm ở block Smart Home trên CMS block Smart Home đang có N sản phẩm</t>
  </si>
  <si>
    <t>1. Truy cập trang danh mục thiết bị
2. Scroll đến block Smart home
3. Check block Thiết bị Smart home sau khi đã xóa sản phẩm</t>
  </si>
  <si>
    <t>Block Access Point</t>
  </si>
  <si>
    <t>Check tổng quan block Access Point — hiển thị tiêu đề, filter tabs và danh sách sản phẩm</t>
  </si>
  <si>
    <t>Block Access Point đã được cấu hình trên CMS với ít nhất 1 sản phẩm</t>
  </si>
  <si>
    <t>1. Truy cập Trang danh mục thiết bị
2. Scroll đến block Access Point
3. Check các thành phần hiển thị</t>
  </si>
  <si>
    <t>Block hiển thị: tiêu đề Thiết bị Access Point, filter tabs (Khuyến mãi / Mới nhất / Giá tăng dần / Giá giảm dần), danh sách card sản phẩm, nút 'Xem tất cả'</t>
  </si>
  <si>
    <t>Check filter tab 'Khuyến mãi' hiển thị đúng sản phẩm đang có khuyến mãi trong Block Access Point</t>
  </si>
  <si>
    <t>Block Access Point có sản phẩm được gắn tag khuyến mãi</t>
  </si>
  <si>
    <t>1. Truy cập Trang danh mục thiết bị
2. Scroll đến block Access Point
3. Click tab filter 'Khuyến mãi'
4. Check danh sách sản phẩm hiển thị</t>
  </si>
  <si>
    <t>Check filter tab 'Mới nhất' sắp xếp sản phẩm theo ngày mới nhất trong Block Access Point</t>
  </si>
  <si>
    <t>Block Access Point có nhiều sản phẩm với ngày thêm vào khác nhau</t>
  </si>
  <si>
    <t>1. Truy cập Trang danh mục thiết bị
2. Scroll đến block Access Point
3. Click tab filter 'Mới nhất'
4. Check thứ tự sản phẩm</t>
  </si>
  <si>
    <t>Check filter tab 'Giá tăng dần' sắp xếp sản phẩm theo giá từ thấp đến cao trong Block Access Point</t>
  </si>
  <si>
    <t>Block Access Point có nhiều sản phẩm với mức giá khác nhau</t>
  </si>
  <si>
    <t>1. Truy cập Trang danh mục thiết bị
2. Scroll đến block Access Point
3. Click tab filter 'Giá tăng dần'
4. Check thứ tự giá sản phẩm</t>
  </si>
  <si>
    <t>Check filter tab 'Giá giảm dần' sắp xếp sản phẩm theo giá từ cao đến thấp trong Block Access Point</t>
  </si>
  <si>
    <t>1. Truy cập Trang danh mục thiết bị
2. Scroll đến block Access Point
3. Click tab filter 'Giá giảm dần'
4. Check thứ tự giá sản phẩm</t>
  </si>
  <si>
    <t>Block Access Point có sản phẩm đủ dữ liệu cho tất cả filter</t>
  </si>
  <si>
    <t>1. Truy cập Trang danh mục thiết bị
2. Scroll đến block Access Point
3. Click tab 'Khuyến mãi' → ghi nhận kết quả
4. Click tab 'Giá tăng dần' → ghi nhận kết quả
5. Click tab 'Mới nhất' → ghi nhận kết quả
6. Click tab 'Giá giảm dần' → ghi nhận kết quả
7. Check mỗi lần danh sách đúng</t>
  </si>
  <si>
    <t>Check nút sort "Khuyến mãi" bị ẩn khi Block Access Point không có sản phẩm nào đang có ưu đãi</t>
  </si>
  <si>
    <t>Block Access Point không có sản phẩm nào đang áp dụng khuyến mãi</t>
  </si>
  <si>
    <t>1. Cấu hình tất cả sản phẩm trong Block Access Point không có KM
2. Truy cập trang danh mục thiết bị
3. Scroll đến block Access Point
4. Check hiển thị các tab sort</t>
  </si>
  <si>
    <t>Block Access Point đang hiển thị với nhiều sản phẩm</t>
  </si>
  <si>
    <t>1. Truy cập Trang danh mục thiết bị
2. Scroll đến block Access Point
3. Click tab 'Mới nhất'
4. Quan sát danh sách
5. Click tab 'Khuyến mãi'
6. Check danh sách thay đổi</t>
  </si>
  <si>
    <t>Block Access Point không có sản phẩm nào đang có khuyến mãi</t>
  </si>
  <si>
    <t>1. Truy cập Trang danh mục thiết bị
2. Scroll đến block Access Point
3. Click tab filter 'Khuyến mãi'
4. Check kết quả danh sách</t>
  </si>
  <si>
    <t>Check card thiết bị Access Point hiển thị đầy đủ các trường thông tin</t>
  </si>
  <si>
    <t>Block Access Point có sản phẩm được cấu hình đầy đủ giá và hình ảnh</t>
  </si>
  <si>
    <t>1. Truy cập Trang danh mục thiết bị
2. Scroll đến block Access Point
3. Quan sát từng card sản phẩm
4. Check từng thành phần trên card</t>
  </si>
  <si>
    <t>Card hiển thị đủ mỗi card gồm:
   + Ảnh banner gói (Image)
   + Title Tên thiết bị Access Point
   + Giá bán
   + Giá gốc - badge % giảm
   + Button Mua ngay</t>
  </si>
  <si>
    <t xml:space="preserve">Check hiển thị card thiết bị Access Point theo thứ tự của config trên CMS </t>
  </si>
  <si>
    <t xml:space="preserve">1. Truy cập Trang danh mục thiết bị
2. Scroll đến block Access Point
3. Check hiển thị  card thiết bị Access Point theo thứ tự của config trên CMS </t>
  </si>
  <si>
    <t>Check banner  card thiết bị Access Point</t>
  </si>
  <si>
    <t>1. Truy cập Trang danh mục thiết bị
2. Scroll đến block Access Point
3. Quan sát một card bất kỳ
4. Check banner card thiết bị Access Point</t>
  </si>
  <si>
    <t>Check title Tên card thiết bị Access Point</t>
  </si>
  <si>
    <t>1. Truy cập Trang danh mục thiết bị
2. Scroll đến block Access Point
3. Quan sát một card bất kỳ
4. Check title Tên card thiết bị Access Point</t>
  </si>
  <si>
    <t>Check giá tại card thiết bị Access Point cập nhật theo khu vực sau khi chọn location</t>
  </si>
  <si>
    <t>1. Truy cập Trang danh mục thiết bị
2. Chọn địa chỉ khu vực trên header
3. Scroll đến block Access Point
4. Check giá hiển thị trên card</t>
  </si>
  <si>
    <t>Giá card thiết bị Access Point cập nhật đúng theo chính sách giá config trên Producthub của khu vực đã chọn</t>
  </si>
  <si>
    <t>Check giá tại card thiết bị Access Point khi chưa chọn location</t>
  </si>
  <si>
    <t>1. Truy cập Trang danh mục thiết bị 
2. Không chọn Location
3. Scroll đến block  Thiết bị Access Point
4. Check giá hiển thị trên card</t>
  </si>
  <si>
    <t>Giá card thiết bị Access Point hiển thị đúng theo chính sách giá đã config trên ProductHub</t>
  </si>
  <si>
    <t>Check ẩn card thiết bị Access Point khi khu vực không có chính sách giá tương ứng</t>
  </si>
  <si>
    <t>1. Truy cập Trang danh mục thiết bị 
2. Chọn khu vực không có chính sách Thiết bị Access Point
3. Scroll đến vị trí block  Thiết bị Access Point
4. Check card hiển thị</t>
  </si>
  <si>
    <t>Card gói không hiển thị trên block  Thiết bị Access Point</t>
  </si>
  <si>
    <t>Check hiển thị giá Gốc - badge % giảm giá trên card thiết bị Access Point</t>
  </si>
  <si>
    <t>1. Truy cập Trang danh mục thiết bị
2. Chọn địa chỉ khu vực trên header
3. Scroll đến block Access Point
4. Check giá gốc - badge % giảm giá hiển thị trên card</t>
  </si>
  <si>
    <t>Check click nút 'Mua ngay' trên card thiết bị Access Point điều hướng đến trang chi tiết sản phẩm</t>
  </si>
  <si>
    <t>Card sản phẩm Access Point đang hiển thị</t>
  </si>
  <si>
    <t>1. Truy cập Trang danh mục thiết bị
2. Scroll đến block Access Point
3. Click nút 'Mua ngay' trên bất kỳ card
4. Check điều hướng</t>
  </si>
  <si>
    <t>Check click 'Xem tất cả' trong Block Access Point điều hướng đến trang danh sách đầy đủ thiết bị</t>
  </si>
  <si>
    <t>Block Access Point có nút 'Xem tất cả' hiển thị</t>
  </si>
  <si>
    <t>1. Truy cập Trang danh mục thiết bị
2. Scroll đến block Access Point
3. Click nút/link 'Xem tất cả'
4. Check điều hướng</t>
  </si>
  <si>
    <t>Điều hướng đến trang Landing page Access Point</t>
  </si>
  <si>
    <t>Check scroll ngang danh sách sản phẩm Access Point khi số card vượt quá số hiển thị mặc định</t>
  </si>
  <si>
    <t>Block Access Point có hơn 5 sản phẩm được cấu hình</t>
  </si>
  <si>
    <t>1. Truy cập Trang danh mục thiết bị
2. Scroll đến block Access Point
3. Scroll ngang danh sách sản phẩm
4. Check có thể xem thêm sản phẩm</t>
  </si>
  <si>
    <t>Check block Thiết bị Access Point rỗng khi không có card thiết bị</t>
  </si>
  <si>
    <t>Cấu hình block Access Point không có card thiết bị</t>
  </si>
  <si>
    <t>1. Truy cập Trang danh mục thiết bị
2. Scroll đến block Access Point
3. Truy cập trang danh mục
4. Check block Access Point</t>
  </si>
  <si>
    <t>Block Thiết bị Access Point không hiển thị gói sản phẩm nào</t>
  </si>
  <si>
    <t>1. Cấu hình block Access Point &lt;= 5 sản phẩm
2. Truy cập trang danh mục thiết bị
3. Scroll đến block Access Point
4.  Check block Access Point</t>
  </si>
  <si>
    <t>1. Cấu hình block Access Point &gt; 6 sản phẩm
2. Truy cập trang danh mục thiết bị
3. Scroll đến block Access Point
4.  Check block Access Point</t>
  </si>
  <si>
    <t>Check thêm sản phẩm mới vào block Access Point trên CMS: sản phẩm hiển thị đúng trên trang</t>
  </si>
  <si>
    <t>Có quyền quản lý CMS; Thêm sản phẩm mới vào block Access Point trên CMS block Camera FPT Access Point đang có N sản phẩm</t>
  </si>
  <si>
    <t>1. Truy cập trang danh mục thiết bị
2. Scroll đến block Access Point
3. Check hiển thị sản phẩm mới ở block Access Point</t>
  </si>
  <si>
    <t>Có quyền quản lý CMS; Xóa 1 sản phẩm ở block Access Point trên CMS block Access Point đang có N sản phẩm</t>
  </si>
  <si>
    <t>1. Truy cập trang danh mục thiết bị
2. Scroll đến block Access Point
3. Check block Thiết bị Access Point sau khi đã xóa sản phẩm</t>
  </si>
  <si>
    <t>Block Smart Tivi</t>
  </si>
  <si>
    <t>Check tổng quan block Smart Tivi — hiển thị tiêu đề, filter tabs và danh sách sản phẩm</t>
  </si>
  <si>
    <t>Block Smart Tivi đã được cấu hình trên CMS với ít nhất 1 sản phẩm</t>
  </si>
  <si>
    <t>1. Truy cập Trang danh mục thiết bị
2. Scroll đến block Smart Tivi
3. Check các thành phần hiển thị</t>
  </si>
  <si>
    <t>Block hiển thị: tiêu đề Thiết bị Smart Tivi, filter tabs (Khuyến mãi / Mới nhất / Giá tăng dần / Giá giảm dần), danh sách card sản phẩm, nút 'Xem tất cả'</t>
  </si>
  <si>
    <t>Check filter tab 'Khuyến mãi' hiển thị đúng sản phẩm đang có khuyến mãi trong Block Smart Tivi</t>
  </si>
  <si>
    <t>Block Smart Tivi có sản phẩm được gắn tag khuyến mãi</t>
  </si>
  <si>
    <t>1. Truy cập Trang danh mục thiết bị
2. Scroll đến block Smart Tivi
3. Click tab filter 'Khuyến mãi'
4. Check danh sách sản phẩm hiển thị</t>
  </si>
  <si>
    <t>Check filter tab 'Mới nhất' sắp xếp sản phẩm theo ngày mới nhất trong Block Smart Tivi</t>
  </si>
  <si>
    <t>Block Smart Tivi có nhiều sản phẩm với ngày thêm vào khác nhau</t>
  </si>
  <si>
    <t>1. Truy cập Trang danh mục thiết bị
2. Scroll đến block Smart Tivi
3. Click tab filter 'Mới nhất'
4. Check thứ tự sản phẩm</t>
  </si>
  <si>
    <t>Check filter tab 'Giá tăng dần' sắp xếp sản phẩm theo giá từ thấp đến cao trong Block Smart Tivi</t>
  </si>
  <si>
    <t>Block Smart Tivi có nhiều sản phẩm với mức giá khác nhau</t>
  </si>
  <si>
    <t>1. Truy cập Trang danh mục thiết bị
2. Scroll đến block Smart Tivi
3. Click tab filter 'Giá tăng dần'
4. Check thứ tự giá sản phẩm</t>
  </si>
  <si>
    <t>Check filter tab 'Giá giảm dần' sắp xếp sản phẩm theo giá từ cao đến thấp trong Block Smart Tivi</t>
  </si>
  <si>
    <t>1. Truy cập Trang danh mục thiết bị
2. Scroll đến block Smart Tivi
3. Click tab filter 'Giá giảm dần'
4. Check thứ tự giá sản phẩm</t>
  </si>
  <si>
    <t>Block Smart Tivi có sản phẩm đủ dữ liệu cho tất cả filter</t>
  </si>
  <si>
    <t>1. Truy cập Trang danh mục thiết bị
2. Scroll đến block Smart Tivi
3. Click tab 'Khuyến mãi' → ghi nhận kết quả
4. Click tab 'Giá tăng dần' → ghi nhận kết quả
5. Click tab 'Mới nhất' → ghi nhận kết quả
6. Click tab 'Giá giảm dần' → ghi nhận kết quả
7. Check mỗi lần danh sách đúng</t>
  </si>
  <si>
    <t>Check nút sort "Khuyến mãi" bị ẩn khi Block Smart Tivi không có sản phẩm nào đang có ưu đãi</t>
  </si>
  <si>
    <t>Block Smart Tivi không có sản phẩm nào đang áp dụng khuyến mãi</t>
  </si>
  <si>
    <t>1. Cấu hình tất cả sản phẩm trong Block Smart Tivi không có KM
2. Truy cập trang danh mục thiết bị
3. Scroll đến block Smart Tivi
4. Check hiển thị các tab sort</t>
  </si>
  <si>
    <t>Block Smart Tivi đang hiển thị với nhiều sản phẩm</t>
  </si>
  <si>
    <t>1. Truy cập Trang danh mục thiết bị
2. Scroll đến block Smart Tivi
3. Click tab 'Mới nhất'
4. Quan sát danh sách
5. Click tab 'Khuyến mãi'
6. Check danh sách thay đổi</t>
  </si>
  <si>
    <t>Block Smart Tivi không có sản phẩm nào đang có khuyến mãi</t>
  </si>
  <si>
    <t>1. Truy cập Trang danh mục thiết bị
2. Scroll đến block Smart Tivi
3. Click tab filter 'Khuyến mãi'
4. Check kết quả danh sách</t>
  </si>
  <si>
    <t>Check card thiết bị Smart Tivi hiển thị đầy đủ các trường thông tin</t>
  </si>
  <si>
    <t>Block Smart Tivi có sản phẩm được cấu hình đầy đủ giá và hình ảnh</t>
  </si>
  <si>
    <t>1. Truy cập Trang danh mục thiết bị
2. Scroll đến block Smart Tivi
3. Quan sát từng card sản phẩm
4. Check từng thành phần trên card</t>
  </si>
  <si>
    <t>Card hiển thị đủ mỗi card gồm:
   + Ảnh banner gói (Image)
   + Title Tên thiết bị Smart Tivi
   + Giá bán
   + Giá gốc - badge % giảm
   + Button Mua ngay</t>
  </si>
  <si>
    <t xml:space="preserve">Check hiển thị card thiết bị Smart Tivi theo thứ tự của config trên CMS </t>
  </si>
  <si>
    <t xml:space="preserve">1. Truy cập Trang danh mục thiết bị
2. Scroll đến block Smart Tivi
3. Check hiển thị  card thiết bị Smart Tivi theo thứ tự của config trên CMS </t>
  </si>
  <si>
    <t>Check banner  card thiết bị Smart Tivi</t>
  </si>
  <si>
    <t>1. Truy cập Trang danh mục thiết bị
2. Scroll đến block Smart Tivi
3. Quan sát một card bất kỳ
4. Check banner card thiết bị Smart Tivi</t>
  </si>
  <si>
    <t>Check title Tên card thiết bị Smart Tivi</t>
  </si>
  <si>
    <t>1. Truy cập Trang danh mục thiết bị
2. Scroll đến block Smart Tivi
3. Quan sát một card bất kỳ
4. Check title Tên card thiết bị Smart Tivi</t>
  </si>
  <si>
    <t>Check giá tại card thiết bị Smart Tivi cập nhật theo khu vực sau khi chọn location</t>
  </si>
  <si>
    <t>1. Truy cập Trang danh mục thiết bị
2. Chọn địa chỉ khu vực trên header
3. Scroll đến block Smart Tivi
4. Check giá hiển thị trên card</t>
  </si>
  <si>
    <t>Giá card thiết bị Smart Tivi cập nhật đúng theo chính sách giá config trên Producthub của khu vực đã chọn</t>
  </si>
  <si>
    <t>Check giá tại card thiết bị Smart Tivi khi chưa chọn location</t>
  </si>
  <si>
    <t>1. Truy cập Trang danh mục thiết bị 
2. Không chọn Location
3. Scroll đến block  Thiết bị Smart Tivi
4. Check giá hiển thị trên card</t>
  </si>
  <si>
    <t>Giá card thiết bị Smart Tivi hiển thị đúng theo chính sách giá đã config trên ProductHub</t>
  </si>
  <si>
    <t>Check ẩn card thiết bị Smart Tivi khi khu vực không có chính sách giá tương ứng</t>
  </si>
  <si>
    <t>1. Truy cập Trang danh mục thiết bị 
2. Chọn khu vực không có chính sách Thiết bị Smart Tivi
3. Scroll đến vị trí block  Thiết bị Smart Tivi
4. Check card hiển thị</t>
  </si>
  <si>
    <t>Card gói không hiển thị trên block  Thiết bị Smart Tivi</t>
  </si>
  <si>
    <t>Check hiển thị giá Gốc - badge % giảm giá trên card thiết bị Smart Tivi</t>
  </si>
  <si>
    <t>1. Truy cập Trang danh mục thiết bị
2. Chọn địa chỉ khu vực trên header
3. Scroll đến block Smart Tivi
4. Check giá gốc - badge % giảm giá hiển thị trên card</t>
  </si>
  <si>
    <t>Check click nút 'Mua ngay' trên card thiết bị Smart Tivi điều hướng đến trang chi tiết sản phẩm</t>
  </si>
  <si>
    <t>Card sản phẩm Smart Tivi đang hiển thị</t>
  </si>
  <si>
    <t>1. Truy cập Trang danh mục thiết bị
2. Scroll đến block Smart Tivi
3. Click nút 'Mua ngay' trên bất kỳ card
4. Check điều hướng</t>
  </si>
  <si>
    <t>Check click 'Xem tất cả' trong Block Smart Tivi điều hướng đến trang danh sách đầy đủ thiết bị</t>
  </si>
  <si>
    <t>Block Smart Tivi có nút 'Xem tất cả' hiển thị</t>
  </si>
  <si>
    <t>1. Truy cập Trang danh mục thiết bị
2. Scroll đến block Smart Tivi
3. Click nút/link 'Xem tất cả'
4. Check điều hướng</t>
  </si>
  <si>
    <t>Điều hướng đến trang Landing page Smart Tivi</t>
  </si>
  <si>
    <t>Check scroll ngang danh sách sản phẩm Smart Tivi khi số card vượt quá số hiển thị mặc định</t>
  </si>
  <si>
    <t>Block Smart Tivi có hơn 5 sản phẩm được cấu hình</t>
  </si>
  <si>
    <t>1. Truy cập Trang danh mục thiết bị
2. Scroll đến block Smart Tivi
3. Scroll ngang danh sách sản phẩm
4. Check có thể xem thêm sản phẩm</t>
  </si>
  <si>
    <t>Check block Thiết bị Smart Tivi rỗng khi không có card thiết bị</t>
  </si>
  <si>
    <t>Cấu hình block Smart Tivi không có card thiết bị</t>
  </si>
  <si>
    <t>1. Truy cập Trang danh mục thiết bị
2. Scroll đến block Smart Tivi
3. Truy cập trang danh mục
4. Check block Smart Tivi</t>
  </si>
  <si>
    <t>Block Thiết bị Smart Tivi không hiển thị gói sản phẩm nào</t>
  </si>
  <si>
    <t>1. Cấu hình block Smart Tivi &lt;= 5 sản phẩm
2. Truy cập trang danh mục thiết bị
3. Scroll đến block Smart Tivi
4.  Check block Smart Tivi</t>
  </si>
  <si>
    <t>1. Cấu hình block Smart Tivi &gt; 6 sản phẩm
2. Truy cập trang danh mục thiết bị
3. Scroll đến block Smart Tivi
4.  Check block Smart Tivi</t>
  </si>
  <si>
    <t>Check thêm sản phẩm mới vào block Smart Tivi trên CMS: sản phẩm hiển thị đúng trên trang</t>
  </si>
  <si>
    <t>Có quyền quản lý CMS; Thêm sản phẩm mới vào block Smart Tivi trên CMS block Camera FPT Smart Tivi đang có N sản phẩm</t>
  </si>
  <si>
    <t>1. Truy cập trang danh mục thiết bị
2. Scroll đến block Smart Tivi
3. Check hiển thị sản phẩm mới ở block Smart Tivi</t>
  </si>
  <si>
    <t>Có quyền quản lý CMS; Xóa 1 sản phẩm ở block Smart Tivi trên CMS block Smart Tivi đang có N sản phẩm</t>
  </si>
  <si>
    <t>1. Truy cập trang danh mục thiết bị
2. Scroll đến block Smart Tivi
3. Check block Thiết bị Smart Tivi sau khi đã xóa sản phẩm</t>
  </si>
  <si>
    <t>Block Medicare</t>
  </si>
  <si>
    <t>Check tổng quan block Medicare — hiển thị tiêu đề, filter tabs và danh sách sản phẩm</t>
  </si>
  <si>
    <t>Block Medicare đã được cấu hình trên CMS với ít nhất 1 sản phẩm</t>
  </si>
  <si>
    <t>1. Truy cập Trang danh mục thiết bị
2. Scroll đến block Medicare
3. Check các thành phần hiển thị</t>
  </si>
  <si>
    <t>Block hiển thị: tiêu đề Thiết bị Medicare, filter tabs (Khuyến mãi / Mới nhất / Giá tăng dần / Giá giảm dần), danh sách card sản phẩm, nút 'Xem tất cả'</t>
  </si>
  <si>
    <t>Check filter tab 'Khuyến mãi' hiển thị đúng sản phẩm đang có khuyến mãi trong Block Medicare</t>
  </si>
  <si>
    <t>Block Medicare có sản phẩm được gắn tag khuyến mãi</t>
  </si>
  <si>
    <t>1. Truy cập Trang danh mục thiết bị
2. Scroll đến block Medicare
3. Click tab filter 'Khuyến mãi'
4. Check danh sách sản phẩm hiển thị</t>
  </si>
  <si>
    <t>Check filter tab 'Mới nhất' sắp xếp sản phẩm theo ngày mới nhất trong Block Medicare</t>
  </si>
  <si>
    <t>Block Medicare có nhiều sản phẩm với ngày thêm vào khác nhau</t>
  </si>
  <si>
    <t>1. Truy cập Trang danh mục thiết bị
2. Scroll đến block Medicare
3. Click tab filter 'Mới nhất'
4. Check thứ tự sản phẩm</t>
  </si>
  <si>
    <t>Check filter tab 'Giá tăng dần' sắp xếp sản phẩm theo giá từ thấp đến cao trong Block Medicare</t>
  </si>
  <si>
    <t>Block Medicare có nhiều sản phẩm với mức giá khác nhau</t>
  </si>
  <si>
    <t>1. Truy cập Trang danh mục thiết bị
2. Scroll đến block Medicare
3. Click tab filter 'Giá tăng dần'
4. Check thứ tự giá sản phẩm</t>
  </si>
  <si>
    <t>Check filter tab 'Giá giảm dần' sắp xếp sản phẩm theo giá từ cao đến thấp trong Block Medicare</t>
  </si>
  <si>
    <t>1. Truy cập Trang danh mục thiết bị
2. Scroll đến block Medicare
3. Click tab filter 'Giá giảm dần'
4. Check thứ tự giá sản phẩm</t>
  </si>
  <si>
    <t>Block Medicare có sản phẩm đủ dữ liệu cho tất cả filter</t>
  </si>
  <si>
    <t>1. Truy cập Trang danh mục thiết bị
2. Scroll đến block Medicare
3. Click tab 'Khuyến mãi' → ghi nhận kết quả
4. Click tab 'Giá tăng dần' → ghi nhận kết quả
5. Click tab 'Mới nhất' → ghi nhận kết quả
6. Click tab 'Giá giảm dần' → ghi nhận kết quả
7. Check mỗi lần danh sách đúng</t>
  </si>
  <si>
    <t>Check nút sort "Khuyến mãi" bị ẩn khi Block Medicare không có sản phẩm nào đang có ưu đãi</t>
  </si>
  <si>
    <t>Block Medicare không có sản phẩm nào đang áp dụng khuyến mãi</t>
  </si>
  <si>
    <t>1. Cấu hình tất cả sản phẩm trong Block Medicare không có KM
2. Truy cập trang danh mục thiết bị
3. Scroll đến block Medicare
4. Check hiển thị các tab sort</t>
  </si>
  <si>
    <t>Block Medicare đang hiển thị với nhiều sản phẩm</t>
  </si>
  <si>
    <t>1. Truy cập Trang danh mục thiết bị
2. Scroll đến block Medicare
3. Click tab 'Mới nhất'
4. Quan sát danh sách
5. Click tab 'Khuyến mãi'
6. Check danh sách thay đổi</t>
  </si>
  <si>
    <t>Block Medicare không có sản phẩm nào đang có khuyến mãi</t>
  </si>
  <si>
    <t>1. Truy cập Trang danh mục thiết bị
2. Scroll đến block Medicare
3. Click tab filter 'Khuyến mãi'
4. Check kết quả danh sách</t>
  </si>
  <si>
    <t>Check card thiết bị Medicare hiển thị đầy đủ các trường thông tin</t>
  </si>
  <si>
    <t>Block Medicare có sản phẩm được cấu hình đầy đủ giá và hình ảnh</t>
  </si>
  <si>
    <t>1. Truy cập Trang danh mục thiết bị
2. Scroll đến block Medicare
3. Quan sát từng card sản phẩm
4. Check từng thành phần trên card</t>
  </si>
  <si>
    <t>Card hiển thị đủ mỗi card gồm:
   + Ảnh banner gói (Image)
   + Title Tên thiết bị Medicare
   + Giá bán
   + Giá gốc - badge % giảm
   + Button Mua ngay</t>
  </si>
  <si>
    <t xml:space="preserve">Check hiển thị card thiết bị Medicare theo thứ tự của config trên CMS </t>
  </si>
  <si>
    <t xml:space="preserve">1. Truy cập Trang danh mục thiết bị
2. Scroll đến block Medicare
3. Check hiển thị  card thiết bị Medicare theo thứ tự của config trên CMS </t>
  </si>
  <si>
    <t>Check banner  card thiết bị Medicare</t>
  </si>
  <si>
    <t>1. Truy cập Trang danh mục thiết bị
2. Scroll đến block Medicare
3. Quan sát một card bất kỳ
4. Check banner card thiết bị Medicare</t>
  </si>
  <si>
    <t>Check title Tên card thiết bị Medicare</t>
  </si>
  <si>
    <t>1. Truy cập Trang danh mục thiết bị
2. Scroll đến block Medicare
3. Quan sát một card bất kỳ
4. Check title Tên card thiết bị Medicare</t>
  </si>
  <si>
    <t>Check giá tại card thiết bị Medicare cập nhật theo khu vực sau khi chọn location</t>
  </si>
  <si>
    <t>1. Truy cập Trang danh mục thiết bị
2. Chọn địa chỉ khu vực trên header
3. Scroll đến block Medicare
4. Check giá hiển thị trên card</t>
  </si>
  <si>
    <t>Giá card thiết bị Medicare cập nhật đúng theo chính sách giá config trên Producthub của khu vực đã chọn</t>
  </si>
  <si>
    <t>Check giá tại card thiết bị Medicare khi chưa chọn location</t>
  </si>
  <si>
    <t>1. Truy cập Trang danh mục thiết bị 
2. Không chọn Location
3. Scroll đến block  Thiết bị Medicare
4. Check giá hiển thị trên card</t>
  </si>
  <si>
    <t>Giá card thiết bị Medicare hiển thị đúng theo chính sách giá đã config trên ProductHub</t>
  </si>
  <si>
    <t>Check ẩn card thiết bị Medicare khi khu vực không có chính sách giá tương ứng</t>
  </si>
  <si>
    <t>1. Truy cập Trang danh mục thiết bị 
2. Chọn khu vực không có chính sách Thiết bị Medicare
3. Scroll đến vị trí block  Thiết bị Medicare
4. Check card hiển thị</t>
  </si>
  <si>
    <t>Card gói không hiển thị trên block  Thiết bị Medicare</t>
  </si>
  <si>
    <t>Check hiển thị giá Gốc - badge % giảm giá trên card thiết bị Medicare</t>
  </si>
  <si>
    <t>1. Truy cập Trang danh mục thiết bị
2. Chọn địa chỉ khu vực trên header
3. Scroll đến block Medicare
4. Check giá gốc - badge % giảm giá hiển thị trên card</t>
  </si>
  <si>
    <t>Check click nút 'Mua ngay' trên card thiết bị Medicare điều hướng đến trang chi tiết sản phẩm</t>
  </si>
  <si>
    <t>Card sản phẩm Medicare đang hiển thị</t>
  </si>
  <si>
    <t>1. Truy cập Trang danh mục thiết bị
2. Scroll đến block Medicare
3. Click nút 'Mua ngay' trên bất kỳ card
4. Check điều hướng</t>
  </si>
  <si>
    <t>Check click 'Xem tất cả' trong Block Medicare điều hướng đến trang danh sách đầy đủ thiết bị</t>
  </si>
  <si>
    <t>Block Medicare có nút 'Xem tất cả' hiển thị</t>
  </si>
  <si>
    <t>1. Truy cập Trang danh mục thiết bị
2. Scroll đến block Medicare
3. Click nút/link 'Xem tất cả'
4. Check điều hướng</t>
  </si>
  <si>
    <t>Điều hướng đến trang Landing page Medicare</t>
  </si>
  <si>
    <t>Check scroll ngang danh sách sản phẩm Medicare khi số card vượt quá số hiển thị mặc định</t>
  </si>
  <si>
    <t>Block Medicare có hơn 5 sản phẩm được cấu hình</t>
  </si>
  <si>
    <t>1. Truy cập Trang danh mục thiết bị
2. Scroll đến block Medicare
3. Scroll ngang danh sách sản phẩm
4. Check có thể xem thêm sản phẩm</t>
  </si>
  <si>
    <t>Check block Thiết bị Medicare rỗng khi không có card thiết bị</t>
  </si>
  <si>
    <t>Cấu hình block Medicare không có card thiết bị</t>
  </si>
  <si>
    <t>1. Truy cập Trang danh mục thiết bị
2. Scroll đến block Medicare
3. Truy cập trang danh mục
4. Check block Medicare</t>
  </si>
  <si>
    <t>Block Thiết bị Medicare không hiển thị gói sản phẩm nào</t>
  </si>
  <si>
    <t>1. Cấu hình block Medicare &lt;= 5 sản phẩm
2. Truy cập trang danh mục thiết bị
3. Scroll đến block Medicare
4.  Check block Medicare</t>
  </si>
  <si>
    <t>1. Cấu hình block Medicare &gt; 6 sản phẩm
2. Truy cập trang danh mục thiết bị
3. Scroll đến block Medicare
4.  Check block Medicare</t>
  </si>
  <si>
    <t>Check thêm sản phẩm mới vào block Medicare trên CMS: sản phẩm hiển thị đúng trên trang</t>
  </si>
  <si>
    <t>Có quyền quản lý CMS; Thêm sản phẩm mới vào block Medicare trên CMS block Camera FPT Medicare đang có N sản phẩm</t>
  </si>
  <si>
    <t>1. Truy cập trang danh mục thiết bị
2. Scroll đến block Medicare
3. Check hiển thị sản phẩm mới ở block Medicare</t>
  </si>
  <si>
    <t>Có quyền quản lý CMS; Xóa 1 sản phẩm ở block Medicare trên CMS block Medicare đang có N sản phẩm</t>
  </si>
  <si>
    <t>1. Truy cập trang danh mục thiết bị
2. Scroll đến block Medicare
3. Check block Thiết bị Medicare sau khi đã xóa sản phẩm</t>
  </si>
  <si>
    <t>Block Thông tin dữ liệu tĩnh</t>
  </si>
  <si>
    <t>Check block thông tin tĩnh hiển thị đúng vị trí cuối trang, phía trên footer</t>
  </si>
  <si>
    <t>Trang danh mục sản phẩm SKU đang hoạt động bình thường</t>
  </si>
  <si>
    <t>1. Truy cập trang danh mục sản phẩm 
2. Scroll xuống cuối trang
3. Check vị trí block thông tin tĩnh</t>
  </si>
  <si>
    <t>Block thông tin tĩnh hiển thị ở cuối trang, ngay phía trên footer; vị trí cố định không thay đổi</t>
  </si>
  <si>
    <t>Check block thông tin tĩnh hiển thị đủ 4 mục với icon, tiêu đề, mô tả đúng nội dung</t>
  </si>
  <si>
    <t>Trang danh mục đang hoạt động; block thông tin tĩnh hiển thị</t>
  </si>
  <si>
    <t>1. Truy cập trang danh mục sản phẩm 
2. Scroll đến block thông tin tĩnh
3. Quan sát 4 mục
4. Check icon, tiêu đề, mô tả từng mục</t>
  </si>
  <si>
    <t>Hiển thị đủ 4 mục đúng nội dung cố định: (1) Thương hiệu đảm bảo - Nhập khẩu bảo hành chính hãng; (2) Đổi trả dễ dàng - Theo chính sách đổi trả tại FPT Telecom; (3) Giao hàng tận nơi - Trên toàn quốc, miễn phí; (4) Sản phẩm chất lượng - Đảm bảo tương thích và độ bền cao</t>
  </si>
  <si>
    <t>Check icon của 4 mục trong block thông tin tĩnh hiển thị đúng và không bị vỡ ảnh</t>
  </si>
  <si>
    <t>1. Scroll đến block thông tin tĩnh
2. Quan sát icon của từng mục
3. Check icon có load đúng không</t>
  </si>
  <si>
    <t>Cả 4 icon hiển thị đúng hình ảnh, không bị ảnh lỗi (broken image), kích thước icon đồng nhất</t>
  </si>
  <si>
    <t xml:space="preserve">Check block thông tin tĩnh có thể chỉnh sửa nội dung từ CMS </t>
  </si>
  <si>
    <t>Trang danh mục đang hoạt động; Vào CMS kiểm tra block thông tin tĩnh
và thay đổi nội dung block</t>
  </si>
  <si>
    <t>1. Truy cập trang danh mục sản phẩm 
2. Scroll đến block thông tin tĩnh
3. Check sau khi reload trang</t>
  </si>
  <si>
    <t>Nội dung block Thôn tin tĩnh có thay đổi theo nội dung đã chỉnh sửa trên CMS</t>
  </si>
  <si>
    <t>Footer</t>
  </si>
  <si>
    <t>Check tổng quan Footer hiển thị đầy đủ: social links, navigation links, thông tin công ty, hotline</t>
  </si>
  <si>
    <t>1. Truy cập trang danh mục thiết bị
2. Scroll đến Footer
3. Check các thành phần footer</t>
  </si>
  <si>
    <t xml:space="preserve">Footer hiển thị đúng và đầy đủ các trường:
- Logo FPT Telecom
- Social icons: HiFPT | YouTube | Instagram | Zalo | Facebook
- Hotline: 1900 6600
- Text: Tongdaiwifi.vn - Website chính thức thuộc Công Ty Cổ Phần Viễn Thông FPT
- Thông tin công ty: Tên, số ĐKKD, địa chỉ trụ sở, email, người đại diện
- Navigation links cột 'Về FPT Telecom'
-  Navigation links cột 'Khách hàng FPT Telecom'
- Navigation links cột 'Sản phẩm dịch vụ'
- Logo chứng nhận / đảm bảo </t>
  </si>
  <si>
    <t>Check click icon mạng xã hội (HiFPT, Youtube, Instagram, Zalo, Facebook) trong footer mở đúng trang</t>
  </si>
  <si>
    <t>Footer đang hiển thị với các icon mạng xã hội</t>
  </si>
  <si>
    <t>1. Scroll đến Footer
2. Lần lượt click từng icon mạng xã hội
3. Check URL trang được mở</t>
  </si>
  <si>
    <t>Mỗi icon mở tab mới với URL tương ứng: HiFPT → hi.fpt.vn, Youtube → youtube FPT Telecom, Instagram, Zalo, Facebook</t>
  </si>
  <si>
    <t>Check hotline 1900 6600 hiển thị đúng và click gọi được trên mobile</t>
  </si>
  <si>
    <t>Footer đang hiển thị trên thiết bị mobile</t>
  </si>
  <si>
    <t>1. Truy cập trang trên mobile
2. Scroll đến Footer
3. Click hotline 1900 6600
4. Check hành vi</t>
  </si>
  <si>
    <t>Hotline hiển thị đúng '1900 6600'; click trên mobile kích hoạt cuộc gọi (tel: link)</t>
  </si>
  <si>
    <t>Check các navigation links trong footer điều hướng đến đúng trang đích</t>
  </si>
  <si>
    <t>Footer hiển thị với navigation links đầy đủ</t>
  </si>
  <si>
    <t>1. Scroll đến Footer
2. Click từng navigation link trong các cột
3. Check điều hướng</t>
  </si>
  <si>
    <t>Mỗi link điều hướng đúng trang đích tương ứng; không có link 404 hoặc điều hướng sai</t>
  </si>
  <si>
    <t>Check thông tin công ty trong footer hiển thị đầy đủ và chính xác</t>
  </si>
  <si>
    <t>Footer đang hiển thị đầy đủ</t>
  </si>
  <si>
    <t>1. Scroll đến Footer
2. Quan sát thông tin công ty
3. Check tính đầy đủ</t>
  </si>
  <si>
    <t>Hiển thị đầy đủ: Giấy phép ĐKKD số, Địa chỉ văn phòng, Email, Điện thoại, Người đại diện</t>
  </si>
  <si>
    <t>UI/UX — Responsive &amp; Cross-browser</t>
  </si>
  <si>
    <t>[Mobile] Check layout trang danh mục sản phẩm responsive đúng trên thiết bị mobile (&lt; 768px)</t>
  </si>
  <si>
    <t>Thiết bị mobile hoặc browser resize &lt; 768px; trang đang hoạt động bình thường</t>
  </si>
  <si>
    <t>1. Truy cập trang danh mục thiết bị trên mobile
2. Scroll toàn bộ trang
3. Check layout từng block</t>
  </si>
  <si>
    <t>Trang hiển thị responsive: không bị overflow ngang, text không bị cắt, card sản phẩm xếp theo cột đơn hoặc 2 cột phù hợp màn hình mobile</t>
  </si>
  <si>
    <t>Check trang hiển thị nhất quán trên các trình duyệt: Chrome, Firefox, Safari, Edge</t>
  </si>
  <si>
    <t>1. Mở trang danh mục sản phẩm Camera trên Chrome
2. Kiểm tra layout và chức năng
3. Lặp lại trên Firefox, Safari, Edge
4. So sánh kết quả</t>
  </si>
  <si>
    <t>Layout và chức năng hiển thị nhất quán trên tất cả 4 trình duyệt; không có lỗi UI đặc thù</t>
  </si>
  <si>
    <t>Check hành vi khi user scroll rất nhanh từ đầu trang đến cuối (fast scroll)</t>
  </si>
  <si>
    <t>Trang danh mục đang hiển thị đầy đủ trên desktop</t>
  </si>
  <si>
    <t>1. Truy cập trang danh mục
2. Cuộn trang thật nhanh từ đầu đến cuối bằng chuột/trackpad
3. Check tab menu sticky và lazy load ảnh</t>
  </si>
  <si>
    <t>Tab menu sticky hoạt động đúng khi fast scroll; ảnh sản phẩm lazy load không bị stuck ở trạng thái loading</t>
  </si>
  <si>
    <t>Danh mục thiết bị Camera</t>
  </si>
  <si>
    <t>Check tổng quan trang Danh mục thiết bị Camera hiển thị đủ các block theo thứ tự</t>
  </si>
  <si>
    <t>Trang Danh mục sản phẩm Camera đã được cấu hình đầy đủ trên CMS</t>
  </si>
  <si>
    <t>1. Truy cập trang danh mục Camera Camera
2. Scroll từ trên xuống dưới quan sát toàn bộ trang 
3. Check các block hiển thị theo thứ tự</t>
  </si>
  <si>
    <t>Trang hiển thị đầy đủ các block theo thứ tự: 
- Banner Slider 
- Tab Menu danh mục (FPT Camera | FPT Smart Home)
- Block Gói Internet kèm Camera quan sát
- Block Sản phẩm Camera AI thông minh
- Block Vì sao nên chọn FPT Camera
- Block Theo dõi dễ dàng — Ứng dụng FPT Camera
- Block Công nghệ nổi bật
- Block  Vinh danh Chất lượng và Công nghệ</t>
  </si>
  <si>
    <t>Check trang Danh mục thiết bị Camera hiển thị đúng khi truy cập bằng URL trực tiếp</t>
  </si>
  <si>
    <t>URL trang danh mục Camera đã có; trang đang hoạt động bình thường</t>
  </si>
  <si>
    <t>1. Nhập trực tiếp URL danh mục Camera vào thanh địa chỉ browser 
2. Check trang render 
3. Check đủ các block hiển thị</t>
  </si>
  <si>
    <t xml:space="preserve">Banner </t>
  </si>
  <si>
    <t>Check hiển thị block Banner hero đầu trang</t>
  </si>
  <si>
    <t>Trang danh mục Camera đã được cấu hình đầy đủ trên CMS</t>
  </si>
  <si>
    <t>1. Truy cập trang danh mục Camera Camera
2. Click "FPT Camera" từ menu Thiết bị thông minh
3. Check block banner hero đầu trang</t>
  </si>
  <si>
    <t>Block banner hero hiển thị đúng ảnh/nội dung đã cấu hình trên CMS
Text promo (VD: "7 Triệu 3 Cam") hiển thị đúng theo CMS</t>
  </si>
  <si>
    <t>Block Gói Internet kèm Camera quan sát (Combo Internet Camera)</t>
  </si>
  <si>
    <t>Check hiển thị block Gói Internet kèm Camera quan sát khi chưa chọn location</t>
  </si>
  <si>
    <t>Trang Camera đã load xong; người dùng chưa chọn location; PDH hoạt động bình thường</t>
  </si>
  <si>
    <t>1. Truy cập trang danh mục Camera
2. Xác nhận chưa có location được chọn
3. Check block "Gói Internet kèm Camera quan sát"</t>
  </si>
  <si>
    <t>Block hiển thị đủ: title, sub-title, danh sách gói
Giá hiển thị dạng "Chỉ từ [X] đ/tháng" theo PDH mặc định
Layout 4 items/hàng</t>
  </si>
  <si>
    <t>Check title và sub-title block Gói Internet kèm Camera quan sát theo CMS</t>
  </si>
  <si>
    <t>CMS đã cấu hình title và sub-title cho block Gói Internet kèm Camera quan sát</t>
  </si>
  <si>
    <t>1. Truy cập trang danh mục Camera
2. Check title và sub-title của block Gói Internet kèm Camera quan sát</t>
  </si>
  <si>
    <t>Title hiển thị: "Gói Internet kèm Camera quan sát" (hoặc theo CMS)
Sub-title hiển thị: "Giám sát an ninh mọi lúc, lưu trữ mọi hình ảnh" (hoặc theo CMS)</t>
  </si>
  <si>
    <t>Check nội dung từng item trong block Gói Internet kèm Camera quan sát</t>
  </si>
  <si>
    <t>CMS cấu hình ít nhất 1 gói combo; PDH hoạt động bình thường</t>
  </si>
  <si>
    <t>1. Truy cập trang danh mục Camera
2. Check chi tiết từng item trong block Gói Internet kèm Camera quan sát</t>
  </si>
  <si>
    <t>Mỗi item hiển thị: tên gói, giá "Chỉ từ X đ/tháng"
Thông tin đúng với cấu hình CMS và PDH</t>
  </si>
  <si>
    <t>Check layout scroll ngang khi block Gói Internet kèm Camera quan sát có hơn 4 items</t>
  </si>
  <si>
    <t>CMS cấu hình block Gói Internet kèm Camera quan sát có số lượng gói &gt; 4</t>
  </si>
  <si>
    <t>1. Truy cập trang danh mục Camera
2. Check block Gói Internet kèm Camera quan sát
3. Thử scroll ngang trong block Gói Internet kèm Camera quan sát</t>
  </si>
  <si>
    <t>Hiển thị 4 items/hàng đầu tiên
Hiển thị mũi tên điều hướng '&lt; &gt;' hoạt động đúng
Có thể scroll ngang để xem các items còn lại</t>
  </si>
  <si>
    <t>Check layout khi block Gói Internet kèm Camera quan sát có đúng 4 items</t>
  </si>
  <si>
    <t>CMS cấu hình block Gói Internet kèm Camera quan sát có đúng 4 gói</t>
  </si>
  <si>
    <t>1. Truy cập trang danh mục Camera
2. Check block Gói Internet kèm Camera quan sát</t>
  </si>
  <si>
    <t>4 items hiển thị đủ trong một hàng
Không xuất hiện scroll ngang</t>
  </si>
  <si>
    <t>Check card gói dịch vụ hiển thị đầy đủ các trường thông tin</t>
  </si>
  <si>
    <t>block Gói Internet kèm Camera quan sát có sản phẩm được cấu hình đầy đủ giá và hình ảnh</t>
  </si>
  <si>
    <t>1. Truy cập trang danh mục Camera
2. Scroll đến block Gói Internet kèm Camera quan sát
3. Quan sát từng card sản phẩm
4. Check từng thành phần trên card</t>
  </si>
  <si>
    <t>Card hiển thị đủ mỗi card gồm:
   + Ảnh banner gói (Image)
   + Title Tên thiết bị Smart Home
   + Text 'Chỉ từ' - icon !
   + Giá bán
   + Content Mô tả
   + Button Xem chi tiết
   + Button Đăng ký</t>
  </si>
  <si>
    <t xml:space="preserve">Check hiển thị card gói dịch vụ theo thứ tự của config trên CMS </t>
  </si>
  <si>
    <t xml:space="preserve">1. Truy cập trang danh mục Camera
2. Scroll đến block Gói Internet kèm Camera quan sát
3. Check hiển thị  card gói dịch vụ theo thứ tự của config trên CMS </t>
  </si>
  <si>
    <t>Check banner card gói dịch vụ</t>
  </si>
  <si>
    <t>1. Truy cập trang danh mục Camera
2. Scroll đến block Gói Internet kèm Camera quan sát
3. Quan sát một card bất kỳ
4. Check banner card gói dịch vụ</t>
  </si>
  <si>
    <t>Check title Tên card gói dịch vụ</t>
  </si>
  <si>
    <t>1. Truy cập trang danh mục Camera
2. Scroll đến block Gói Internet kèm Camera quan sát
3. Quan sát một card bất kỳ
4. Check title Tên card gói dịch vụ</t>
  </si>
  <si>
    <t>Check giá tại card gói dịch vụ cập nhật theo khu vực sau khi chọn location</t>
  </si>
  <si>
    <t>1. Truy cập trang danh mục Camera
2. Chọn địa chỉ khu vực trên header
3. Scroll đến block Gói Internet kèm Camera quan sát
4. Check giá hiển thị trên card</t>
  </si>
  <si>
    <t>Giá card gói dịch vụ cập nhật đúng theo chính sách giá config trên Producthub của khu vực đã chọn</t>
  </si>
  <si>
    <t>Check giá tại card gói dịch vụ khi chưa chọn location</t>
  </si>
  <si>
    <t>1. Truy cập trang danh mục Camera 
2. Không chọn Location
3. Scroll đến  block Gói Internet kèm Camera quan sát
4. Check giá hiển thị trên card</t>
  </si>
  <si>
    <t>Giá card gói dịch vụ hiển thị đúng theo chính sách giá đã config trên ProductHub</t>
  </si>
  <si>
    <t>Check ẩn card gói dịch vụ khi khu vực không có chính sách giá tương ứng</t>
  </si>
  <si>
    <t>1. Truy cập trang danh mục Camera 
2. Chọn khu vực không có chính sách gói Internet kèm Camera quan sát
3. Scroll đến vị trí  block Gói Internet kèm Camera quan sát
4. Check card hiển thị</t>
  </si>
  <si>
    <t>Check click button 'Xem chi tiết' trên card</t>
  </si>
  <si>
    <t>Card sản phẩm Gói Internet kèm Camera quan sát đang hiển thị</t>
  </si>
  <si>
    <t>1. Truy cập Trang danh mục Camera
2. Scroll đến vị trí  block Gói Internet kèm Camera quan sát
3. Click nút 'Xem chi tiết' trên 1 card bất kỳ 
4. Check điều hướng</t>
  </si>
  <si>
    <t>Điều hướng đến trang chi tiết gói sản phẩm tương ứng</t>
  </si>
  <si>
    <t>Check click button 'Đăng ký ngay' trên card</t>
  </si>
  <si>
    <t>1. Truy cập Trang danh mục Camera
2. Scroll đến vị trí  block Gói Internet kèm Camera quan sát
3. Click button Đăng ký ngay
4. Check điều hướng</t>
  </si>
  <si>
    <t>Block Sản phẩm Camera AI thông minh (Camera nổi bật)</t>
  </si>
  <si>
    <t>Check hiển thị Block Sản phẩm Camera AI nổi bật khi chưa chọn location</t>
  </si>
  <si>
    <t>CMS và PDH đã cấu hình sản phẩm camera; người dùng chưa chọn location</t>
  </si>
  <si>
    <t>1. Truy cập trang danh mục Camera
2. Scroll đến block "Sản phẩm Camera AI thông minh"
3. Check toàn bộ nội dung block</t>
  </si>
  <si>
    <t>Block hiển thị đủ: title, sub-title, danh sách sản phẩm camera
Giá hiển thị dạng "Chỉ từ [X] đ/tháng" theo PDH mặc định
Layout 4 items/hàng</t>
  </si>
  <si>
    <t>Check nội dung từng item sản phẩm Camera AI nổi bật</t>
  </si>
  <si>
    <t>CMS cấu hình ít nhất 1 sản phẩm; PDH có mô tả ngắn cho sản phẩm đó</t>
  </si>
  <si>
    <t>1. Truy cập trang danh mục Camera
2. Scroll đến block Sản phẩm Camera nổi bật
3. Check chi tiết từng item sản phẩm</t>
  </si>
  <si>
    <t>Mỗi item hiển thị: Banner ảnh (từ CMS), tên sản phẩm,  Chỉ từ GIá tiền X đ/tháng"</t>
  </si>
  <si>
    <t>Check card thiết bị hiển thị đầy đủ các trường thông tin</t>
  </si>
  <si>
    <t>PDH có cấu hình chính sách giá theo location cho sản phẩm camera</t>
  </si>
  <si>
    <t>1. Truy cập trang danh mục Camera
2. Scroll đến block Sản phẩm Camera nổi bật
3. Quan sát từng card sản phẩm
4. Check từng thành phần trên card</t>
  </si>
  <si>
    <t>Card hiển thị đủ mỗi card gồm:
   + Ảnh banner gói (Image)
   + Title Tên thiết bị Smart Home
   + Text 'Chỉ từ' - icon !
   + Giá bán</t>
  </si>
  <si>
    <t xml:space="preserve">Check banner card  thiết bị Camera </t>
  </si>
  <si>
    <t>block Sản phẩm Camera nổi bật có sản phẩm được cấu hình đầy đủ giá và hình ảnh</t>
  </si>
  <si>
    <t>1. Truy cập trang danh mục Camera
2. Scroll đến block Sản phẩm Camera nổi bật
3. Quan sát một card bất kỳ
4. Check banner card thiết bị Camera</t>
  </si>
  <si>
    <t>Check title Tên card thiết bị Camera</t>
  </si>
  <si>
    <t>1. Truy cập trang danh mục Camera
2. Scroll đến block Sản phẩm Camera nổi bật
3. Quan sát một card bất kỳ
4. Check title Tên card thiết bị Camera</t>
  </si>
  <si>
    <t>Check hiển thị giá Camera nổi bật khi đã chọn location có chính sách giá</t>
  </si>
  <si>
    <t>1. Truy cập trang danh mục Camera
2. Chọn location có chính sách giá trong PDH
3. Check giá hiển thị trong block Sản phẩm Camera nổi bật</t>
  </si>
  <si>
    <t>Giá hiển thị theo chính sách location đã cấu hình trong PDH
Định dạng: "Chỉ từ 000.000 đ/tháng"</t>
  </si>
  <si>
    <t>Check ẩn item Camera nổi bật khi location không có chính sách giá</t>
  </si>
  <si>
    <t>PDH không có chính sách giá cho một số sản phẩm camera tại location được chọn</t>
  </si>
  <si>
    <t>1. Truy cập trang danh mục Camera
2. Chọn location không có chính sách giá cho sản phẩm camera cụ thể
3. Check danh sách items trong block Sản phẩm Camera nổi bật</t>
  </si>
  <si>
    <t>Item không có giá theo location bị ẩn khỏi danh sách
Block "Sản phẩm Camera AI thông minh" vẫn hiển thị bình thường</t>
  </si>
  <si>
    <t>Check block Camera nổi bật khi tất cả items đều không có giá theo location</t>
  </si>
  <si>
    <t>PDH không cấu hình bất kỳ chính sách giá nào cho tất cả sản phẩm camera tại location được chọn</t>
  </si>
  <si>
    <t>1. Truy cập trang danh mục Camera
2. Chọn location không có chính sách giá cho toàn bộ sản phẩm camera
3. Check block "Sản phẩm Camera AI thông minh"</t>
  </si>
  <si>
    <t>Tất cả items trong block đều bị ẩn
Block container vẫn hiển thị bình thường</t>
  </si>
  <si>
    <t>Block Vì sao nên chọn FPT Camera</t>
  </si>
  <si>
    <t>Check hiển thị block Vì sao nên chọn FPT Camera</t>
  </si>
  <si>
    <t>CMS đã cấu hình nội dung block "Vì sao nên chọn FPT Camera"</t>
  </si>
  <si>
    <t>1. Truy cập trang danh mục Camera
2. Scroll đến block "Vì sao nên chọn FPT Camera"
3. Check toàn bộ nội dung block</t>
  </si>
  <si>
    <t>Block hiển thị: title, video, danh sách card (ảnh + card title + sub title)
Nội dung đúng theo cấu hình CMS</t>
  </si>
  <si>
    <t>Check danh sách card lý do trong block Vì sao nên chọn FPT Camera</t>
  </si>
  <si>
    <t>CMS đã cấu hình ít nhất 1 card trong block "Vì sao nên chọn FPT Camera"</t>
  </si>
  <si>
    <t>1. Truy cập trang danh mục Camera
2. Scroll đến block "Vì sao nên chọn FPT Camera"
3. Check từng card trong danh sách</t>
  </si>
  <si>
    <t>Mỗi card hiển thị: ảnh card, card title, sub title
Nội dung đúng với cấu hình CMS</t>
  </si>
  <si>
    <t>Check video không tự phát (autoplay off) khi trang load</t>
  </si>
  <si>
    <t>CMS đã cấu hình video cho block "Vì sao nên chọn FPT Camera"</t>
  </si>
  <si>
    <t>1. Truy cập trang danh mục Camera
2. Scroll đến block "Vì sao nên chọn FPT Camera"
3. Check trạng thái video ngay sau khi block hiển thị</t>
  </si>
  <si>
    <t>Video không tự phát
Video hiển thị ở trạng thái dừng (pause), có nút Play</t>
  </si>
  <si>
    <t>Check video phát khi user bấm Play</t>
  </si>
  <si>
    <t>Video đang ở trạng thái pause; CMS đã cấu hình URL video hợp lệ</t>
  </si>
  <si>
    <t>1. Truy cập trang danh mục Camera
2. Scroll đến block "Vì sao nên chọn FPT Camera"
3. Click nút Play trên video
4. Check video có phát không</t>
  </si>
  <si>
    <t>Video bắt đầu phát sau khi click Play
Video phát ở trạng thái muted (tắt tiếng) mặc định</t>
  </si>
  <si>
    <t>Check video muted mặc định khi phát</t>
  </si>
  <si>
    <t>Video đang ở trạng thái pause</t>
  </si>
  <si>
    <t>1. Truy cập trang danh mục Camera
2. Scroll đến block "Vì sao nên chọn FPT Camera"
3. Click Play để phát video
4. Check trạng thái âm thanh của video</t>
  </si>
  <si>
    <t>Video phát không có tiếng (muted)
Icon âm lượng hiển thị ở trạng thái muted</t>
  </si>
  <si>
    <t>Block Theo dõi dễ dàng — Ứng dụng FPT Camera</t>
  </si>
  <si>
    <t>Check hiển thị block Theo dõi dễ dàng - ứng dụng FPT Camera</t>
  </si>
  <si>
    <t>CMS đã cấu hình nội dung block "Theo dõi dễ dàng"</t>
  </si>
  <si>
    <t>1. Truy cập trang danh mục Camera
2. Scroll đến block "Theo dõi dễ dàng"
3. Check toàn bộ nội dung block</t>
  </si>
  <si>
    <t>Block hiển thị: title, banner ảnh, content mô tả, nút tải app Android và iOS
Nội dung đúng theo cấu hình CMS</t>
  </si>
  <si>
    <t>Check nút tải app Android điều hướng đúng Google Play Store</t>
  </si>
  <si>
    <t>Block "Theo dõi dễ dàng" đã hiển thị đầy đủ</t>
  </si>
  <si>
    <t>1. Truy cập trang danh mục Camera
2. Scroll đến block "Theo dõi dễ dàng"
3. Click nút/link tải app Android
4. Check URL đích</t>
  </si>
  <si>
    <t>Hệ thống điều hướng đến Google Play Store hoặc trang tải app Android của FPT Camera</t>
  </si>
  <si>
    <t>Check nút tải app iOS điều hướng đúng Apple App Store</t>
  </si>
  <si>
    <t>1. Truy cập trang danh mục Camera
2. Scroll đến block "Theo dõi dễ dàng"
3. Click nút/link tải app iOS
4. Check URL đích</t>
  </si>
  <si>
    <t>Hệ thống điều hướng đến Apple App Store hoặc trang tải app iOS của FPT Camera</t>
  </si>
  <si>
    <t>[CẦN BA CONFIRM] Check hiển thị nút tải app khi truy cập từ web desktop</t>
  </si>
  <si>
    <t>[CẦN BA CONFIRM] Chưa xác nhận behavior khi user truy cập từ web desktop</t>
  </si>
  <si>
    <t>1. Truy cập trang danh mục Camera từ trình duyệt web desktop
2. Scroll đến block "Theo dõi dễ dàng"
3. Check hiển thị nút tải app Android/iOS</t>
  </si>
  <si>
    <t>[CẦN BA CONFIRM] Cần BA/PO xác nhận: nút tải app có ẩn trên web desktop không, hay vẫn hiển thị và mở store tương ứng?</t>
  </si>
  <si>
    <t>Block Công nghệ nổi bật</t>
  </si>
  <si>
    <t>Check hiển thị block Công nghệ nổi bật</t>
  </si>
  <si>
    <t>CMS đã cấu hình nội dung block "Công nghệ nổi bật"</t>
  </si>
  <si>
    <t>1. Truy cập trang danh mục Camera
2. Scroll đến block "Công nghệ nổi bật"
3. Check toàn bộ nội dung block</t>
  </si>
  <si>
    <t>Block hiển thị: title, sub-title, các card công nghệ dạng 4 card
Mỗi card có: icon, title, content
Nội dung đúng theo cấu hình CMS</t>
  </si>
  <si>
    <t>Check layout 4 card của block Công nghệ nổi bật</t>
  </si>
  <si>
    <t>CMS đã cấu hình ít nhất 4 card công nghệ</t>
  </si>
  <si>
    <t>1. Truy cập trang danh mục Camera
2. Scroll đến block "Công nghệ nổi bật"
3. Check layout hiển thị các card</t>
  </si>
  <si>
    <t>Các card hiển thị dạng 4 card
Mỗi card gồm: icon, title, content
Không có link điều hướng trên các card</t>
  </si>
  <si>
    <t>Check không có link điều hướng trên card trong block Công nghệ nổi bật</t>
  </si>
  <si>
    <t>Block "Công nghệ nổi bật" đã hiển thị với ít nhất 1 card</t>
  </si>
  <si>
    <t>1. Truy cập trang danh mục Camera
2. Scroll đến block "Công nghệ nổi bật"
3. Click vào từng card công nghệ
4. Check có điều hướng không</t>
  </si>
  <si>
    <t>Click vào card không có phản hồi điều hướng (không mở trang mới, không redirect)</t>
  </si>
  <si>
    <t>Block Vinh danh Chất lượng và Công nghệ</t>
  </si>
  <si>
    <t>Check hiển thị block Vinh danh Chất lượng và Công nghệ</t>
  </si>
  <si>
    <t>CMS đã cấu hình nội dung tĩnh cho block Vinh danh</t>
  </si>
  <si>
    <t>1. Truy cập trang danh mục Camera
2. Scroll đến block "Vinh danh Chất lượng và Công nghệ"
3. Check toàn bộ nội dung block</t>
  </si>
  <si>
    <t>Block hiển thị đúng nội dung (logo giải thưởng, chứng chỉ...) đã cấu hình trên CMS</t>
  </si>
  <si>
    <t>[Mobile] Check hiển thị block Vinh danh Chất lượng và Công nghệ</t>
  </si>
  <si>
    <t>1. Truy cập trang danh mục Camera trên Mobile
2. Scroll đến block "Vinh danh Chất lượng và Công nghệ"
3. Check toàn bộ nội dung block</t>
  </si>
  <si>
    <t>Block hiển thị đúng nội dung (logo giải thưởng, chứng chỉ...) đã cấu hình trên CMS
- Button Xem tất cả giải thưởng - Hiển thị khi CMS cấu hình nhiều hơn 4 giải thưởng</t>
  </si>
  <si>
    <t>Check layout 5 card của block Công nghệ nổi bật</t>
  </si>
  <si>
    <t>CMS đã cấu hình ít nhất 5 card công nghệ</t>
  </si>
  <si>
    <t>Các card hiển thị dạng 5 card
Không có link điều hướng trên các card</t>
  </si>
  <si>
    <t>[Mobile] Check click button Xem tất cả giải thưởng</t>
  </si>
  <si>
    <t>CMS đã cấu hình &gt;  4 card công nghệ</t>
  </si>
  <si>
    <t>1. Truy cập trang danh mục Camera trên Mobile
2. Scroll đến block "Vinh danh Chất lượng và Công nghệ"
3. Check click button Xem tất cả giải thưởng</t>
  </si>
  <si>
    <t>Hiển thị tất cả giải thưởng
Button Xem tất cả giải thưởng đổi tên sang Thu gọn</t>
  </si>
  <si>
    <t>[Mobile] Check click button Thu gọn</t>
  </si>
  <si>
    <t>1. Truy cập trang danh mục Camera trên Mobile
2. Scroll đến block "Vinh danh Chất lượng và Công nghệ"
3. Click button Xem tất cả giải thưởng
4. Check click button Thu gọn</t>
  </si>
  <si>
    <t xml:space="preserve">Thu gọn danh sách giải thưởng, hiển thị 4 card đầu tiền
Button Thu gọn đổi tên sang  Xem tất cả giải thưởng </t>
  </si>
  <si>
    <t xml:space="preserve">UI/UX — Responsive </t>
  </si>
  <si>
    <t>Trang hiển thị đầy đủ các block theo thứ tự: 
- Banner Slider 
- Block Thiết bị tiện ích bán chạy nhất        
- Block Danh sách sản phẩm Camera                                        
- Block Dữ liệu SEO tĩnh (Thương hiệu / Đổi trả / Giao hàng / Chất lượng)</t>
  </si>
  <si>
    <t>Điều hướng &amp; Breadcrumb</t>
  </si>
  <si>
    <t>Check breadcrumb hiển thị đúng "Trang chủ &gt; Danh mục sản phẩm &gt; Camera"</t>
  </si>
  <si>
    <t>Đang ở trang Danh mục sản phẩm &gt; Camera</t>
  </si>
  <si>
    <t>1. Truy cập trang Danh mục sản phẩm &gt; Camera
2. Check breadcrumb phía trên banner</t>
  </si>
  <si>
    <t>Breadcrumb hiển thị đúng: Trang chủ &gt; Danh mục sản phẩm &gt; Camera.
Mỗi node có thể click để điều hướng.</t>
  </si>
  <si>
    <t>Check click "Trang chủ" trên breadcrumb điều hướng đúng</t>
  </si>
  <si>
    <t>1. Truy cập trang Danh mục sản phẩm &gt; Camera
2. Click "Trang chủ" trong breadcrumb
3. Check điều hướng</t>
  </si>
  <si>
    <t>Hệ thống điều hướng về trang chủ fpt.vn.
URL thay đổi về domain root.</t>
  </si>
  <si>
    <t>Check điều hướng từ menu header "Thiết bị thông minh" &gt; "FPT Camera"</t>
  </si>
  <si>
    <t>Đang ở trang chủ fpt.vn; menu header hiển thị</t>
  </si>
  <si>
    <t>1. Truy cập trang chủ fpt.vn
2. Hover/Click vào "Sản phẩm dịch vụ" trên menu header
3. Tìm mục "Thiết bị thông minh" &gt; "FPT Camera"
4. Click vào "FPT Camera"
5. Check điều hướng</t>
  </si>
  <si>
    <t>Hệ thống điều hướng đúng đến trang danh mục Camera.
URL đúng pattern /danh-muc-san-pham/camera (hoặc tương đương).</t>
  </si>
  <si>
    <t>Check hiển thị banner hero khi truy cập trang danh mục Camera</t>
  </si>
  <si>
    <t>Trang danh mục Camera đã được cấu hình ít nhất 1 banner trên CMS</t>
  </si>
  <si>
    <t>1. Truy cập trang Danh mục sản phẩm &gt; Camera
2. Check banner hero hiển thị đầu trang</t>
  </si>
  <si>
    <t>Banner hiển thị đúng hình ảnh, đủ thông tin text (tiêu đề ưu đãi, điều kiện áp dụng).
Banner không bị vỡ layout, ảnh load thành công.</t>
  </si>
  <si>
    <t>Check nút CTA "Đăng ký ngay" hiển thị trên banner hero</t>
  </si>
  <si>
    <t>Banner hero Camera đã được cấu hình CTA button trên CMS</t>
  </si>
  <si>
    <t>1. Truy cập trang Danh mục sản phẩm &gt; Camera
2. Check vùng banner hero
3. Check nút "Đăng ký ngay"</t>
  </si>
  <si>
    <t>Nút "Đăng ký ngay" hiển thị đúng vị trí trên banner.
Nút có màu sắc nổi bật (xanh lá), text rõ ràng, clickable.</t>
  </si>
  <si>
    <t>Check click CTA "Đăng ký ngay" điều hướng đúng trang đích</t>
  </si>
  <si>
    <t>Banner hero hiển thị với nút "Đăng ký ngay"</t>
  </si>
  <si>
    <t>1. Truy cập trang Danh mục sản phẩm &gt; Camera
2. Click nút "Đăng ký ngay" trên banner
3. Check điều hướng</t>
  </si>
  <si>
    <t>Click "Đăng ký ngay" điều hướng đến trang ký Camera</t>
  </si>
  <si>
    <t>Check text ưu đãi và thời hạn hiển thị đúng trên banner</t>
  </si>
  <si>
    <t>Banner cấu hình có text ưu đãi và ngày hết hạn</t>
  </si>
  <si>
    <t>1. Truy cập trang Danh mục sản phẩm &gt; Camera
2. Check nội dung text trên banner hero</t>
  </si>
  <si>
    <t>Text ưu đãi hiển thị đúng (VD: "GIẢM NGAY 50K", điều kiện áp dụng, ngày hết hạn).
Text không bị cắt, font size hiển thị đủ rõ.</t>
  </si>
  <si>
    <t>Check banner hero hiển thị đúng trên mobile (responsive)</t>
  </si>
  <si>
    <t>Thiết bị mobile viewport ≤ 480px</t>
  </si>
  <si>
    <t>1. Truy cập trang Danh mục sản phẩm &gt; Camera trên thiết bị mobile
2. Check banner hero và nút CTA</t>
  </si>
  <si>
    <t>Banner co giãn đúng theo màn hình mobile, text và nút CTA không bị cắt.
Nút "Đăng ký ngay" vẫn hiển thị và clickable trên mobile.</t>
  </si>
  <si>
    <t>Check tính năng slideshow banner (next/prev)</t>
  </si>
  <si>
    <t>Có ít nhất 2 banner được cấu hình trên CMS</t>
  </si>
  <si>
    <t>1. Truy cập trang Danh mục sản phẩm &gt; Camera
2. Click nút mũi tên "Next" (&gt;)
3. Check banner chuyển sang slide tiếp theo
4. Click nút mũi tên "Prev" (&lt;)
5. Check banner quay về slide trước</t>
  </si>
  <si>
    <t>Banner chuyển đúng slide khi click next/prev.
Dot indicator cập nhật đúng vị trí slide hiện tại.</t>
  </si>
  <si>
    <t>Check banner tự động chạy slideshow (auto-play)</t>
  </si>
  <si>
    <t>Có ít nhất 2 banner cấu hình; không tương tác gì</t>
  </si>
  <si>
    <t>1. Truy cập trang Danh mục sản phẩm &gt; Camera
2. Để trang idle, quan sát banner
3. Check slideshow tự chuyển slide sau khoảng thời gian</t>
  </si>
  <si>
    <t>Banner tự động chuyển slide theo chu kỳ</t>
  </si>
  <si>
    <t>Check hiển thị banner khi chỉ cấu hình 1 banner trên CMS</t>
  </si>
  <si>
    <t>CMS chỉ có đúng 1 banner active cho danh mục Camera</t>
  </si>
  <si>
    <t>1. Truy cập trang Danh mục sản phẩm &gt; Camera
2. Check vùng banner hero</t>
  </si>
  <si>
    <t>Hiển thị 1 banner tĩnh, không có nút next/prev, không có dot indicator.
Không báo lỗi.</t>
  </si>
  <si>
    <t xml:space="preserve">Block Thiết bị tiện ích bán chạy nhất				</t>
  </si>
  <si>
    <t>Check hiển thị đúng block "Thiết bị tiện ích bán chạy nhất" với đầy đủ card sản phẩm Camera</t>
  </si>
  <si>
    <t>Block được cấu hình trên CMS với ít nhất 4 sản phẩm Camera</t>
  </si>
  <si>
    <t>1. Truy cập trang Danh mục sản phẩm &gt; Camera
2. Scroll đến block "Thiết bị tiện ích bán chạy nhất"
3. Check hiển thị block</t>
  </si>
  <si>
    <t>Block hiển thị đúng title "Thiết bị tiện ích bán chạy nhất".
Hiển thị banner trái + các card sản phẩm Camera.
Mỗi card có: tên sản phẩm, ảnh, giá bán, giá gốc, % giảm, nút "Mua ngay".</t>
  </si>
  <si>
    <t>Check thông tin card sản phẩm Camera trong block bán chạy nhất hiển thị đúng</t>
  </si>
  <si>
    <t>Block cấu hình với sản phẩm có đầy đủ: tên, ảnh, giá bán, giá gốc, % giảm</t>
  </si>
  <si>
    <t>1. Truy cập trang Danh mục sản phẩm &gt; Camera
2. Scroll đến block "Thiết bị tiện ích bán chạy nhất"
3. Check từng trường thông tin trên card sản phẩm</t>
  </si>
  <si>
    <t>Card hiển thị: tên sản phẩm, ảnh sản phẩm, giá bán (màu cam/xanh), giá gốc (gạch ngang), badge % giảm giá.
Nút "Mua ngay" hiển thị và clickable.</t>
  </si>
  <si>
    <t>block Block Thiết bị tiện ích bán chạy nhất có sản phẩm được cấu hình đầy đủ giá và hình ảnh</t>
  </si>
  <si>
    <t xml:space="preserve">1. Truy cập trang danh mục Camera
2. Scroll đến block Block Thiết bị tiện ích bán chạy nhất
3. Check hiển thị  card gói dịch vụ theo thứ tự của config trên CMS </t>
  </si>
  <si>
    <t>1. Truy cập trang danh mục Camera
2. Scroll đến block Block Thiết bị tiện ích bán chạy nhất
3. Quan sát một card bất kỳ
4. Check banner card gói dịch vụ</t>
  </si>
  <si>
    <t>1. Truy cập trang danh mục Camera
2. Scroll đến block Block Thiết bị tiện ích bán chạy nhất
3. Quan sát một card bất kỳ
4. Check title Tên card gói dịch vụ</t>
  </si>
  <si>
    <t>1. Truy cập trang danh mục Camera
2. Chọn địa chỉ khu vực trên header
3. Scroll đến block Block Thiết bị tiện ích bán chạy nhất
4. Check giá hiển thị trên card</t>
  </si>
  <si>
    <t>1. Truy cập trang danh mục Camera 
2. Không chọn Location
3. Scroll đến  block Block Thiết bị tiện ích bán chạy nhất
4. Check giá hiển thị trên card</t>
  </si>
  <si>
    <t>1. Truy cập trang danh mục Camera 
2. Chọn khu vực không có chính sách Block Thiết bị tiện ích bán chạy nhất
3. Scroll đến vị trí  block Block Thiết bị tiện ích bán chạy nhất
4. Check card hiển thị</t>
  </si>
  <si>
    <t>Card gói không hiển thị trên Block Thiết bị tiện ích bán chạy nhất</t>
  </si>
  <si>
    <t>Check click "Mua ngay" trên card sản phẩm trong block bán chạy</t>
  </si>
  <si>
    <t>Block bán chạy nhất hiển thị với ít nhất 1 card sản phẩm Camera</t>
  </si>
  <si>
    <t>1. Truy cập trang Danh mục sản phẩm &gt; Camera
2. Scroll đến block bán chạy nhất
3. Click nút "Mua ngay" trên 1 card sản phẩm
4. Check điều hướng</t>
  </si>
  <si>
    <t>Click "Mua ngay" điều hướng đến trang thanh toán</t>
  </si>
  <si>
    <t>Check slideshow card trong block bán chạy nhất (next/prev)</t>
  </si>
  <si>
    <t>Block có nhiều hơn số lượng card hiển thị tối đa trên 1 màn hình</t>
  </si>
  <si>
    <t>1. Truy cập trang Danh mục sản phẩm &gt; Camera
2. Scroll đến block bán chạy nhất
3. Click nút next (&gt;) trong block
4. Check card dịch chuyển
5. Click nút prev (&lt;)
6. Check card quay lại</t>
  </si>
  <si>
    <t>Card trong block dịch chuyển đúng hướng khi click next/prev.
Không bị lỗi layout khi chuyển.</t>
  </si>
  <si>
    <t>Check hiển thị block bán chạy nhất trên mobile</t>
  </si>
  <si>
    <t>1. Truy cập trang danh mục Camera trên mobile
2. Scroll đến block bán chạy nhất
3. Check layout block</t>
  </si>
  <si>
    <t>Block hiển thị đúng theo layout mobile (dạng lưới 2 cột hoặc scroll ngang).
Card không bị tràn/cắt nội dung.</t>
  </si>
  <si>
    <t>Block Danh sách sản phẩm Camera</t>
  </si>
  <si>
    <t>Check hiển thị mặc định danh sách Camera với tối đa 10 sản phẩm (2 hàng × 5 cột)</t>
  </si>
  <si>
    <t>Có ít nhất 10 sản phẩm Camera active trên CMS</t>
  </si>
  <si>
    <t>1. Truy cập trang Danh mục sản phẩm &gt; Camera
2. Scroll đến block danh sách sản phẩm
3. Check số lượng sản phẩm hiển thị lần đầu</t>
  </si>
  <si>
    <t>Hiển thị tối đa 10 sản phẩm (2 hàng × 5 sản phẩm/hàng) trong lần tải đầu tiên.
Nhãn "Hiện thị X/Y kết quả" hiển thị đúng số.</t>
  </si>
  <si>
    <t>Check hiển thị tối đa 5 sản phẩm trên 1 hàng trên desktop</t>
  </si>
  <si>
    <t>Có ít nhất 5 sản phẩm Camera active; truy cập trên desktop</t>
  </si>
  <si>
    <t>1. Truy cập trang Danh mục sản phẩm &gt; Camera trên desktop
2. Scroll đến block danh sách sản phẩm
3. Đếm số sản phẩm trên 1 hàng</t>
  </si>
  <si>
    <t>Mỗi hàng hiển thị tối đa 5 sản phẩm.
Không hiển thị quá 5 sản phẩm trên 1 hàng dù màn hình rộng.</t>
  </si>
  <si>
    <t>Check thông tin hiển thị trên card sản phẩm Camera trong danh sách</t>
  </si>
  <si>
    <t>Có sản phẩm Camera với đầy đủ thông tin: tên, ảnh, giá bán, giá gốc, % giảm</t>
  </si>
  <si>
    <t>1. Truy cập trang Danh mục sản phẩm &gt; Camera
2. Scroll đến block danh sách sản phẩm
3. Check chi tiết 1 card sản phẩm</t>
  </si>
  <si>
    <t>Card hiển thị: ảnh sản phẩm, tên sản phẩm, giá bán (giá ưu đãi), giá gốc (gạch ngang), badge % giảm, nút "Mua ngay".
Thông tin khớp dữ liệu CMS.</t>
  </si>
  <si>
    <t>Chức năng Sort (Sắp xếp sản phẩm Camera)</t>
  </si>
  <si>
    <t>Check sort "Khuyến mãi" — Camera có % giảm cao nhất lên đầu</t>
  </si>
  <si>
    <t>Có ít nhất 3 sản phẩm Camera với % giảm giá khác nhau</t>
  </si>
  <si>
    <t>1. Truy cập trang Danh mục sản phẩm &gt; Camera
2. Click tab sort "Khuyến mãi"
3. Check thứ tự sản phẩm hiển thị</t>
  </si>
  <si>
    <t>Sản phẩm Camera có % giảm cao nhất xuất hiện đầu tiên.
Cùng % giảm → sắp xếp theo thời gian cập nhật CMS mới nhất lên trước.</t>
  </si>
  <si>
    <t>Check tab "Khuyến mãi" ẩn khi không có Camera nào đang ưu đãi</t>
  </si>
  <si>
    <t>Tất cả sản phẩm Camera không có khuyến mãi (% giảm = 0)</t>
  </si>
  <si>
    <t>1. Truy cập trang Danh mục sản phẩm &gt; Camera
2. Check các tab sort hiển thị</t>
  </si>
  <si>
    <t>Tab "Khuyến mãi" không hiển thị trong danh sách sort khi không có sản phẩm Camera nào có ưu đãi.</t>
  </si>
  <si>
    <t>Check sort "Mới nhất" — Camera có thời gian tạo gần nhất lên đầu</t>
  </si>
  <si>
    <t>Có ít nhất 3 sản phẩm Camera với ngày tạo khác nhau</t>
  </si>
  <si>
    <t>1. Truy cập trang Danh mục sản phẩm &gt; Camera
2. Click tab sort "Mới nhất"
3. Check thứ tự sản phẩm</t>
  </si>
  <si>
    <t>Sản phẩm Camera có ngày tạo gần nhất trên hệ thống xuất hiện đầu tiên.
Thứ tự giảm dần theo ngày tạo.</t>
  </si>
  <si>
    <t>Check sort "Giá tăng dần" — Camera giá thấp nhất lên đầu</t>
  </si>
  <si>
    <t>Có ít nhất 3 sản phẩm Camera với giá khác nhau</t>
  </si>
  <si>
    <t>1. Truy cập trang Danh mục sản phẩm &gt; Camera
2. Click tab sort "Giá tăng dần"
3. Check thứ tự sản phẩm</t>
  </si>
  <si>
    <t>Sản phẩm Camera có giá thấp nhất xuất hiện đầu tiên, sắp xếp tăng dần.
Cùng giá → sắp xếp theo thời gian cập nhật CMS mới nhất lên trước.</t>
  </si>
  <si>
    <t>Check sort "Giá giảm dần" — Camera giá cao nhất lên đầu</t>
  </si>
  <si>
    <t>1. Truy cập trang Danh mục sản phẩm &gt; Camera
2. Click tab sort "Giá giảm dần"
3. Check thứ tự sản phẩm</t>
  </si>
  <si>
    <t>Sản phẩm Camera có giá cao nhất xuất hiện đầu tiên, sắp xếp giảm dần.
Cùng giá → sắp xếp theo thời gian cập nhật CMS mới nhất lên trước.</t>
  </si>
  <si>
    <t>Check tie-breaker sort "Giá tăng dần" khi nhiều Camera cùng mức giá</t>
  </si>
  <si>
    <t>Có ít nhất 2 sản phẩm Camera cùng mức giá bán</t>
  </si>
  <si>
    <t>1. Truy cập trang Danh mục sản phẩm &gt; Camera
2. Click tab sort "Giá tăng dần"
3. Quan sát thứ tự các sản phẩm có giá bằng nhau</t>
  </si>
  <si>
    <t>Các Camera cùng giá được sắp xếp theo thời gian cập nhật CMS mới nhất lên trước (tie-breaker rule).</t>
  </si>
  <si>
    <t>Check trạng thái active của tab sort sau khi click</t>
  </si>
  <si>
    <t>Trang danh mục Camera hiển thị đủ 4 tab sort</t>
  </si>
  <si>
    <t>1. Truy cập trang Danh mục sản phẩm &gt; Camera
2. Click lần lượt từng tab sort
3. Check trạng thái hiển thị tab được chọn</t>
  </si>
  <si>
    <t>Tab đang chọn hiển thị trạng thái active (highlight/underline).
Chỉ có 1 tab active tại 1 thời điểm.</t>
  </si>
  <si>
    <t>Chức năng Xem thêm sản phẩm</t>
  </si>
  <si>
    <t>Check click "Xem thêm sản phẩm" tải thêm tối đa 10 Camera tiếp theo</t>
  </si>
  <si>
    <t>Tổng số sản phẩm Camera active &gt; 10 trên CMS</t>
  </si>
  <si>
    <t>1. Truy cập trang Danh mục sản phẩm &gt; Camera
2. Xác nhận hiển thị 10 sản phẩm ban đầu
3. Click button "Xem thêm sản phẩm"
4. Check số sản phẩm sau khi tải thêm</t>
  </si>
  <si>
    <t>Hệ thống tải thêm tối đa 10 sản phẩm Camera, hiển thị nối tiếp.
Nhãn "Hiện thị X/Y kết quả" cập nhật đúng.
Sản phẩm mới không trùng với sản phẩm đã hiển thị.</t>
  </si>
  <si>
    <t>Check button "Xem thêm sản phẩm" ẩn khi đã hiển thị hết toàn bộ Camera</t>
  </si>
  <si>
    <t>Đã load hết toàn bộ sản phẩm Camera (hoặc tổng ≤ 10)</t>
  </si>
  <si>
    <t>1. Truy cập trang Danh mục sản phẩm &gt; Camera
2. Click "Xem thêm sản phẩm" cho đến khi hết
3. Check trạng thái button</t>
  </si>
  <si>
    <t>Button "Xem thêm sản phẩm" ẩn sau khi load hết tất cả sản phẩm Camera.
Không hiển thị button khi không còn sản phẩm để tải thêm.</t>
  </si>
  <si>
    <t>Check "Xem thêm sản phẩm" không hiển thị khi tổng Camera ≤ 10</t>
  </si>
  <si>
    <t>CMS cấu hình ≤ 10 sản phẩm Camera active</t>
  </si>
  <si>
    <t>1. Truy cập trang Danh mục sản phẩm &gt; Camera
2. Scroll đến cuối block danh sách sản phẩm
3. Check button "Xem thêm sản phẩm"</t>
  </si>
  <si>
    <t>Button "Xem thêm sản phẩm" không hiển thị khi tổng sản phẩm Camera ≤ 10.</t>
  </si>
  <si>
    <t>Check "Xem thêm sản phẩm" duy trì bộ lọc sort hiện tại</t>
  </si>
  <si>
    <t>Đang sort theo "Giá tăng dần"; có &gt; 10 sản phẩm Camera</t>
  </si>
  <si>
    <t>1. Truy cập trang Danh mục sản phẩm &gt; Camera
2. Click sort "Giá tăng dần"
3. Click "Xem thêm sản phẩm"
4. Check thứ tự sản phẩm tải thêm</t>
  </si>
  <si>
    <t>Sản phẩm Camera tải thêm tiếp tục tuân theo sort "Giá tăng dần".
Không bị reset về sort mặc định sau khi xem thêm.</t>
  </si>
  <si>
    <t>Check hiển thị "Xem thêm sản phẩm" trên mobile — layout 2 cột</t>
  </si>
  <si>
    <t>Thiết bị mobile viewport ≤ 480px; có &gt; 10 sản phẩm Camera</t>
  </si>
  <si>
    <t>1. Truy cập trang danh mục Camera trên mobile
2. Scroll đến block danh sách sản phẩm
3. Check layout sản phẩm
4. Click "Xem thêm sản phẩm"
5. Check sản phẩm tải thêm</t>
  </si>
  <si>
    <t>Trên mobile, danh sách hiển thị dạng lưới 2 cột.
"Xem thêm sản phẩm" tải thêm sản phẩm hiển thị nối tiếp đúng layout.</t>
  </si>
  <si>
    <t>Check nhãn "Hiện thị X/Y kết quả" cập nhật chính xác sau mỗi lần xem thêm</t>
  </si>
  <si>
    <t>Tổng sản phẩm Camera = 25; lần đầu hiện 10</t>
  </si>
  <si>
    <t>1. Truy cập trang Danh mục sản phẩm &gt; Camera
2. Check nhãn số lượng ban đầu
3. Click "Xem thêm sản phẩm" lần 1
4. Check nhãn cập nhật
5. Click "Xem thêm sản phẩm" lần 2
6. Check nhãn cập nhật lần 2</t>
  </si>
  <si>
    <t>Nhãn hiển thị đúng: "Hiện thị 10/25 kết quả" → "Hiện thị 20/25 kết quả" → "Hiện thị 25/25 kết quả".
Số tổng Y không thay đổi giữa các lần load.</t>
  </si>
  <si>
    <t xml:space="preserve">Block Dữ liệu SEO tĩnh (Thương hiệu / Đổi trả / Giao hàng / Chất lượng)						</t>
  </si>
  <si>
    <t>Check hiển thị đầy đủ 4 mục trong block SEO tĩnh</t>
  </si>
  <si>
    <t>Block SEO tĩnh được cấu hình với 4 mục trên CMS</t>
  </si>
  <si>
    <t>1. Truy cập trang Danh mục sản phẩm &gt; Camera
2. Scroll đến block SEO tĩnh ở cuối trang
3. Check các mục hiển thị</t>
  </si>
  <si>
    <t>Hiển thị đủ 4 mục: Thương hiệu đảm bảo, Đổi trả dễ dàng, Giao hàng tận nơi, Sản phẩm chất lượng.
Mỗi mục có: icon, tiêu đề, mô tả.</t>
  </si>
  <si>
    <t>Check nội dung từng mục SEO tĩnh đúng theo spec</t>
  </si>
  <si>
    <t>Block SEO tĩnh hiển thị đầy đủ 4 mục</t>
  </si>
  <si>
    <t>1. Truy cập trang Danh mục sản phẩm &gt; Camera
2. Scroll đến block SEO tĩnh
3. Check nội dung từng mục</t>
  </si>
  <si>
    <t>Mục 1 – Thương hiệu đảm bảo: "Nhập khẩu bảo hành chính hãng".
Mục 2 – Đổi trả dễ dàng: "Theo chính sách đổi trả tại FPT Telecom".
Mục 3 – Giao hàng tận nơi: "Trên toàn quốc, miễn phí".
Mục 4 – Sản phẩm chất lượng: "Đảm bảo tương thích và độ bền cao".</t>
  </si>
  <si>
    <t>Check icon hiển thị đúng cho từng mục SEO tĩnh</t>
  </si>
  <si>
    <t>Block SEO tĩnh được cấu hình với icon cho từng mục</t>
  </si>
  <si>
    <t>1. Truy cập trang Danh mục sản phẩm &gt; Camera
2. Scroll đến block SEO tĩnh
3. Check icon của từng mục</t>
  </si>
  <si>
    <t>Mỗi mục có icon đúng, ảnh load thành công, không bị vỡ/placeholder.</t>
  </si>
  <si>
    <t>Check block SEO tĩnh có thể cập nhật nội dung từ CMS</t>
  </si>
  <si>
    <t>Admin có quyền chỉnh sửa block SEO tĩnh trên CMS</t>
  </si>
  <si>
    <t>1. Đăng nhập CMS
2. Chỉnh sửa nội dung 1 mục SEO tĩnh (VD: đổi mô tả)
3. Publish thay đổi
4. Truy cập trang Danh mục sản phẩm &gt; Camera
5. Check block SEO tĩnh</t>
  </si>
  <si>
    <t>Nội dung cập nhật trên CMS phản ánh chính xác trên trang front-end.</t>
  </si>
  <si>
    <t>Check block SEO tĩnh hiển thị đúng trên mobile</t>
  </si>
  <si>
    <t>1. Truy cập trang Danh mục sản phẩm &gt; Camera trên mobile
2. Scroll đến block SEO tĩnh
3. Check layout</t>
  </si>
  <si>
    <t>Block SEO tĩnh hiển thị 2 cột hoặc 1 cột trên mobile.
Icon, tiêu đề, mô tả không bị tràn/cắt chữ.</t>
  </si>
  <si>
    <t>TC_07</t>
  </si>
  <si>
    <t>Danh mục thiết bị Access Point</t>
  </si>
  <si>
    <t>Block Tổng quan màn hình</t>
  </si>
  <si>
    <t>TC_07.1</t>
  </si>
  <si>
    <t>Check tổng quan trang Danh mục thiết bị Access Point hiển thị đủ các block theo thứ tự</t>
  </si>
  <si>
    <t>Trang Danh mục thiết bị Access Point đã được cấu hình đầy đủ trên CMS</t>
  </si>
  <si>
    <t>1. Truy cập trang danh mục thiết bị Access Point
2. Scroll từ trên xuống dưới quan sát toàn bộ trang
3. Check các block hiển thị theo thứ tự</t>
  </si>
  <si>
    <t>Trang hiển thị đầy đủ các block theo thứ tự:
- Banner 
- Tab Menu danh mục (Access Point)
- Block Thiết bị Access Point
- Block Ưu điểm vượt trội, công nghệ mới, trải nghiệm đỉnh cao</t>
  </si>
  <si>
    <t>TC_07.2</t>
  </si>
  <si>
    <t>Check trang Danh mục thiết bị Access Point hiển thị đúng khi truy cập bằng URL trực tiếp</t>
  </si>
  <si>
    <t>URL trang danh mục Access Point đã có; trang đang hoạt động bình thường</t>
  </si>
  <si>
    <t>1. Nhập trực tiếp URL danh mục Access Point vào thanh địa chỉ browser
2. Check trang render
3. Check đủ các block hiển thị</t>
  </si>
  <si>
    <t>TC_07.3</t>
  </si>
  <si>
    <t>Check trang danh mục thiết bị Access Point hiển thị đầy đủ cho user chưa đăng nhập (anonymous)</t>
  </si>
  <si>
    <t>1. Xóa cookie/session
2. Truy cập trang danh mục thiết bị Access Point
3. Check các block hiển thị</t>
  </si>
  <si>
    <t>Trang hiển thị đầy đủ tất cả block và sản phẩm cho user ẩn danh</t>
  </si>
  <si>
    <t>TC_07.4</t>
  </si>
  <si>
    <t>1. Nhập URL sai vào browser (VD: /danh-muc-access-point-xyz)
2. Check response</t>
  </si>
  <si>
    <t>Banner</t>
  </si>
  <si>
    <t>TC_07.5</t>
  </si>
  <si>
    <t>Trang danh mục Access Point đã được cấu hình đầy đủ trên CMS</t>
  </si>
  <si>
    <t>1. Truy cập trang danh mục Access Point
2. Check block banner đầu trang</t>
  </si>
  <si>
    <t>Block banner hero hiển thị đúng ảnh nền xanh, title "HỆ THỐNG ACCESS POINT PHỦ SÓNG RỘNG"
Ảnh các model sản phẩm (AX8000C, AX1800AZ, AX3000AZ, AX3000C) hiển thị đúng theo cấu hình CMS</t>
  </si>
  <si>
    <t>Tab Menu danh mục</t>
  </si>
  <si>
    <t>TC_07.6</t>
  </si>
  <si>
    <t>Check hiển thị tab sub-menu bên dưới banner</t>
  </si>
  <si>
    <t>CMS đã cấu hình danh sách tab Access Point</t>
  </si>
  <si>
    <t>1. Truy cập trang danh mục Access Point
2. Check khu vực tab sub-menu bên dưới banner</t>
  </si>
  <si>
    <t>Tab sub-menu hiển thị đúng danh sách tabs theo cấu hình CMS
Tab "Access Point" được highlight active</t>
  </si>
  <si>
    <t>TC_07.7</t>
  </si>
  <si>
    <t>Check tab "Access Point" được highlight active khi đang ở trang Access Point</t>
  </si>
  <si>
    <t>Người dùng đang ở trang danh mục Access Point</t>
  </si>
  <si>
    <t>1. Truy cập trang danh mục Access Point
2. Check trạng thái hiển thị của tab "Access Point" trong sub-menu</t>
  </si>
  <si>
    <t>Tab "Access Point" hiển thị trạng thái active (highlight)
Các tab còn lại không ở trạng thái active</t>
  </si>
  <si>
    <t>TC_07.8</t>
  </si>
  <si>
    <t>Check click tab sub-menu điều hướng đúng theo link cấu hình CMS</t>
  </si>
  <si>
    <t>CMS đã cấu hình link điều hướng cho từng tab</t>
  </si>
  <si>
    <t>1. Truy cập trang danh mục Access Point
2. Click tab "Smart Home" trong sub-menu
3. Check URL và trang vừa điều hướng đến</t>
  </si>
  <si>
    <t>Hệ thống điều hướng đúng theo URL đã cấu hình trong CMS cho tab đó</t>
  </si>
  <si>
    <t>Block Thiết bị Access Point (danh sách sản phẩm)</t>
  </si>
  <si>
    <t>TC_07.10</t>
  </si>
  <si>
    <t>Check hiển thị block Thiết bị Access Point khi chưa chọn location</t>
  </si>
  <si>
    <t>Trang Access Point đã load xong; người dùng chưa chọn location; PDH hoạt động bình thường</t>
  </si>
  <si>
    <t>1. Truy cập trang danh mục Access Point
2. Xác nhận chưa có location được chọn
3. Check block "Thiết bị Access Point"</t>
  </si>
  <si>
    <t>Block hiển thị đủ: title, sub-title, danh sách sản phẩm
Giá hiển thị dạng "Chỉ từ [X]đ" theo PDH mặc định
8 items mặc định, layout 4 items/hàng</t>
  </si>
  <si>
    <t>TC_07.11</t>
  </si>
  <si>
    <t>Check title và sub-title block Thiết bị Access Point theo CMS</t>
  </si>
  <si>
    <t>CMS đã cấu hình title và sub-title cho block</t>
  </si>
  <si>
    <t>1. Truy cập trang danh mục Access Point
2. Check title và sub-title của block Thiết bị Access Point</t>
  </si>
  <si>
    <t>Title hiển thị: "Thiết bị Access Point" (hoặc theo CMS)
Sub-title hiển thị: "Hệ thống phủ sóng rộng mọi nơi bạn muốn" (hoặc theo CMS)</t>
  </si>
  <si>
    <t>TC_07.12</t>
  </si>
  <si>
    <t>Block Thiết bị Access Point có sản phẩm được cấu hình đầy đủ giá và hình ảnh</t>
  </si>
  <si>
    <t>1. Truy cập trang danh mục Access Point
2. Scroll đến block Thiết bị Access Point
3. Quan sát từng card sản phẩm
4. Check từng thành phần trên card</t>
  </si>
  <si>
    <t>Mỗi card hiển thị đủ:
  + Ảnh sản phẩm (Image từ CMS)
  + Tên thiết bị (VD: Access Point AX8000C)
  + Text 'Chỉ từ' + Giá bán</t>
  </si>
  <si>
    <t>TC_07.13</t>
  </si>
  <si>
    <t>Check hiển thị card thiết bị theo thứ tự config trên CMS</t>
  </si>
  <si>
    <t>Block Thiết bị Access Point có sản phẩm được cấu hình đầy đủ</t>
  </si>
  <si>
    <t>1. Truy cập trang danh mục Access Point
2. Scroll đến block Thiết bị Access Point
3. Check thứ tự card hiển thị so với config CMS</t>
  </si>
  <si>
    <t>Hiển thị đúng danh sách card theo thứ tự đã cấu hình trên CMS
Card mới nhất hiển thị đầu tiên từ trái sang phải</t>
  </si>
  <si>
    <t>TC_07.14</t>
  </si>
  <si>
    <t>Check banner card thiết bị Access Point</t>
  </si>
  <si>
    <t>1. Truy cập trang danh mục Access Point
2. Scroll đến block Thiết bị Access Point
3. Quan sát một card bất kỳ
4. Check ảnh sản phẩm trên card</t>
  </si>
  <si>
    <t>Ảnh sản phẩm hiển thị đúng hình ảnh, không vỡ, đúng tỉ lệ
Hiển thị đúng theo config trên CMS</t>
  </si>
  <si>
    <t>TC_07.15</t>
  </si>
  <si>
    <t>Check title tên card thiết bị Access Point</t>
  </si>
  <si>
    <t>1. Truy cập trang danh mục Access Point
2. Scroll đến block Thiết bị Access Point
3. Quan sát một card bất kỳ
4. Check title tên card</t>
  </si>
  <si>
    <t>Hiển thị tên thiết bị đúng theo cấu hình trên CMS/ProductHub</t>
  </si>
  <si>
    <t>TC_07.16</t>
  </si>
  <si>
    <t>Check giá tại card thiết bị cập nhật theo khu vực sau khi chọn location</t>
  </si>
  <si>
    <t>1. Truy cập trang danh mục Access Point
2. Chọn địa chỉ khu vực trên header
3. Scroll đến block Thiết bị Access Point
4. Check giá hiển thị trên card</t>
  </si>
  <si>
    <t>Giá card thiết bị cập nhật đúng theo chính sách giá config trên ProductHub của khu vực đã chọn</t>
  </si>
  <si>
    <t>TC_07.17</t>
  </si>
  <si>
    <t>Check giá tại card thiết bị khi chưa chọn location</t>
  </si>
  <si>
    <t>1. Truy cập trang danh mục Access Point
2. Không chọn Location
3. Scroll đến block Thiết bị Access Point
4. Check giá hiển thị trên card</t>
  </si>
  <si>
    <t>Giá card thiết bị hiển thị đúng theo chính sách giá mặc định đã config trên ProductHub</t>
  </si>
  <si>
    <t>TC_07.18</t>
  </si>
  <si>
    <t>Check ẩn card thiết bị khi khu vực không có chính sách giá tương ứng</t>
  </si>
  <si>
    <t>1. Truy cập trang danh mục Access Point
2. Chọn khu vực không có chính sách giá cho thiết bị Access Point
3. Scroll đến block Thiết bị Access Point
4. Check card hiển thị</t>
  </si>
  <si>
    <t>Card thiết bị không có chính sách giá theo khu vực bị ẩn khỏi block
Block Thiết bị Access Point vẫn hiển thị bình thường</t>
  </si>
  <si>
    <t>TC_07.19</t>
  </si>
  <si>
    <t>Check hiển thị mặc định 8 items khi tổng sản phẩm &gt; 8</t>
  </si>
  <si>
    <t>CMS/PDH cấu hình hơn 8 sản phẩm Access Point</t>
  </si>
  <si>
    <t>1. Truy cập trang danh mục Access Point
2. Scroll đến block Thiết bị Access Point
3. Check số lượng items hiển thị</t>
  </si>
  <si>
    <t>Chỉ hiển thị đúng 8 items đầu tiên
Button "Xem thêm" xuất hiện bên dưới danh sách</t>
  </si>
  <si>
    <t>TC_07.20</t>
  </si>
  <si>
    <t>Check click button "Xem thêm" hiển thị toàn bộ sản phẩm còn lại</t>
  </si>
  <si>
    <t>Block đang hiển thị 8 items; còn sản phẩm chưa hiển thị</t>
  </si>
  <si>
    <t>1. Truy cập trang danh mục Access Point
2. Scroll đến block Thiết bị Access Point
3. Click button "Xem thêm"
4. Check danh sách sản phẩm sau khi click</t>
  </si>
  <si>
    <t>Toàn bộ sản phẩm còn lại được hiển thị bên dưới 8 items ban đầu
Button "Xem thêm" ẩn đi sau khi đã load hết
Không giới hạn số lượng items hiển thị</t>
  </si>
  <si>
    <t>TC_07.21</t>
  </si>
  <si>
    <t>Check button "Xem thêm" không hiển thị khi tổng sản phẩm ≤ 8</t>
  </si>
  <si>
    <t>CMS/PDH cấu hình tổng cộng ≤ 8 sản phẩm Access Point</t>
  </si>
  <si>
    <t>1. Truy cập trang danh mục Access Point
2. Scroll đến block Thiết bị Access Point
3. Check sự xuất hiện của button "Xem thêm"</t>
  </si>
  <si>
    <t>Tất cả sản phẩm hiển thị đầy đủ
Button "Xem thêm" không xuất hiện</t>
  </si>
  <si>
    <t>TC_07.22</t>
  </si>
  <si>
    <t>Check block Thiết bị Access Point khi tất cả items đều không có giá theo location</t>
  </si>
  <si>
    <t>PDH không cấu hình chính sách giá cho tất cả thiết bị tại location được chọn</t>
  </si>
  <si>
    <t>1. Truy cập trang danh mục Access Point
2. Chọn location không có chính sách giá cho toàn bộ thiết bị
3. Check block Thiết bị Access Point</t>
  </si>
  <si>
    <t>Block Ưu điểm vượt trội, công nghệ mới, trải nghiệm đỉnh cao</t>
  </si>
  <si>
    <t>TC_07.23</t>
  </si>
  <si>
    <t>Check hiển thị block Ưu điểm vượt trội</t>
  </si>
  <si>
    <t>CMS đã cấu hình nội dung block Ưu điểm vượt trội</t>
  </si>
  <si>
    <t>1. Truy cập trang danh mục Access Point
2. Scroll đến block "Ưu điểm vượt trội, công nghệ mới, trải nghiệm đỉnh cao"
3. Check toàn bộ nội dung block</t>
  </si>
  <si>
    <t>Block hiển thị: title, sub-content intro, danh sách ưu điểm (icon + tiêu đề + mô tả), ảnh minh họa cột phải
Nội dung đúng theo cấu hình CMS</t>
  </si>
  <si>
    <t>TC_07.24</t>
  </si>
  <si>
    <t>Check layout 2 cột của block Ưu điểm vượt trội trên desktop</t>
  </si>
  <si>
    <t>Đang xem trang Access Point từ desktop</t>
  </si>
  <si>
    <t>1. Truy cập trang danh mục Access Point từ desktop
2. Scroll đến block Ưu điểm vượt trội
3. Check layout hiển thị</t>
  </si>
  <si>
    <t>Hiển thị đúng 2 cột: cột trái (danh sách ưu điểm), cột phải (ảnh minh họa)
Layout không bị vỡ</t>
  </si>
  <si>
    <t>TC_07.25</t>
  </si>
  <si>
    <t>Check danh sách ưu điểm hiển thị đúng icon + tiêu đề + mô tả chi tiết</t>
  </si>
  <si>
    <t>CMS đã cấu hình ít nhất 1 ưu điểm</t>
  </si>
  <si>
    <t>1. Truy cập trang danh mục Access Point
2. Scroll đến block Ưu điểm vượt trội
3. Check từng item ưu điểm</t>
  </si>
  <si>
    <t>Mỗi ưu điểm hiển thị: icon, tiêu đề, mô tả chi tiết
Nội dung đúng theo cấu hình CMS</t>
  </si>
  <si>
    <t>TC_07.26</t>
  </si>
  <si>
    <t>Check ẩn block Ưu điểm khi CMS không cấu hình nội dung</t>
  </si>
  <si>
    <t>CMS không cấu hình nội dung cho block Ưu điểm</t>
  </si>
  <si>
    <t>1. Xóa hoặc để trống cấu hình block Ưu điểm trên CMS
2. Truy cập trang danh mục Access Point
3. Check vị trí block Ưu điểm</t>
  </si>
  <si>
    <t>Block Ưu điểm ẩn hoàn toàn, không hiển thị placeholder hay empty state</t>
  </si>
  <si>
    <t>TC_07.27</t>
  </si>
  <si>
    <t>[CẦN BA CONFIRM] Check hành vi button "Đăng ký tư vấn"</t>
  </si>
  <si>
    <t>[CẦN BA CONFIRM] Chưa xác nhận hành vi button Đăng ký tư vấn trong URD</t>
  </si>
  <si>
    <t>1. Truy cập trang danh mục Access Point
2. Scroll đến block Ưu điểm vượt trội
3. Click button "Đăng ký tư vấn"
4. Check kết quả</t>
  </si>
  <si>
    <t>[CẦN BA CONFIRM] Cần xác nhận: button điều hướng đến form tư vấn, trang riêng hay hotline?</t>
  </si>
  <si>
    <t>UI/UX — Responsive</t>
  </si>
  <si>
    <t>TC_07.28</t>
  </si>
  <si>
    <t>[Mobile] Check layout trang danh mục Access Point responsive đúng trên thiết bị mobile (&lt; 768px)</t>
  </si>
  <si>
    <t>1. Truy cập trang danh mục Access Point trên mobile
2. Scroll toàn bộ trang
3. Check layout từng block</t>
  </si>
  <si>
    <t>Trang hiển thị responsive: không bị overflow ngang, text không bị cắt
Block danh sách thiết bị hiển thị dạng grid, 8 items mặc định</t>
  </si>
  <si>
    <t>TC_07.29</t>
  </si>
  <si>
    <t>[Mobile] Check hiển thị block Thiết bị Access Point trên mobile</t>
  </si>
  <si>
    <t>Đang truy cập trang Access Point từ mobile</t>
  </si>
  <si>
    <t>1. Truy cập trang danh mục Access Point từ mobile
2. Scroll đến block Thiết bị Access Point
3. Check layout grid</t>
  </si>
  <si>
    <t>Items hiển thị dạng grid trên mobile
8 items mặc định giống desktop
Button "Xem thêm" hoạt động đúng</t>
  </si>
  <si>
    <t>TC_07.30</t>
  </si>
  <si>
    <t>Trang danh mục Access Point đang hoạt động bình thường</t>
  </si>
  <si>
    <t>1. Mở trang danh mục Access Point trên Chrome
2. Kiểm tra layout và chức năng
3. Lặp lại trên Firefox, Safari, Edge
4. So sánh kết quả</t>
  </si>
  <si>
    <t>TC_07.31</t>
  </si>
  <si>
    <t>Trang danh mục Access Point đang hiển thị đầy đủ trên desktop</t>
  </si>
  <si>
    <t>1. Truy cập trang danh mục Access Point
2. Cuộn trang thật nhanh từ đầu đến cuối
3. Check tab menu sticky và lazy load ảnh</t>
  </si>
  <si>
    <t>Tab menu sticky hoạt động đúng khi fast scroll
Ảnh sản phẩm lazy load không bị stuck ở trạng thái loading</t>
  </si>
  <si>
    <t>Trang hiển thị đầy đủ các block theo thứ tự:
- Banner 
- Block Thiết bị tiện ích bán chạy nhất
- Block Dữ liệu SEO tĩnh (Thương hiệu đảm bảo / Đổi trả / Giao hàng / Chất lượng)</t>
  </si>
  <si>
    <t xml:space="preserve">Điều hướng &amp; Breadcrumb						</t>
  </si>
  <si>
    <t>Check breadcrumb hiển thị đúng "Trang chủ &gt; Danh mục sản phẩm &gt; Access Point"</t>
  </si>
  <si>
    <t>Đang ở trang Danh mục sản phẩm &gt; Access Point</t>
  </si>
  <si>
    <t>1. Truy cập trang Danh mục sản phẩm &gt; Access Point
2. Check breadcrumb phía trên banner</t>
  </si>
  <si>
    <t>Breadcrumb hiển thị đúng thứ tự: Trang chủ &gt; Danh mục sản phẩm &gt; Access Point.
Mỗi node breadcrumb có thể click để điều hướng.</t>
  </si>
  <si>
    <t>Check click Trang chủ trên breadcrumb điều hướng đúng</t>
  </si>
  <si>
    <t>1. Truy cập trang Danh mục sản phẩm &gt; Access Point
2. Click "Trang chủ" trong breadcrumb
3. Check điều hướng</t>
  </si>
  <si>
    <t>Check điều hướng từ menu header "Thiết bị thông minh" &gt; "Access Point"</t>
  </si>
  <si>
    <t>1. Truy cập trang chủ fpt.vn
2. Hover/Click vào "Sản phẩm dịch vụ" trên menu header
3. Tìm mục "Thiết bị thông minh" &gt; "Access Point"
4. Click vào "Access Point"
5. Check điều hướng</t>
  </si>
  <si>
    <t>Hệ thống điều hướng đúng đến trang danh mục Access Point.
URL đúng pattern /danh-muc-san-pham/access-point (hoặc tương đương).</t>
  </si>
  <si>
    <t>Check hiển thị banner hero khi truy cập trang danh mục Access Point</t>
  </si>
  <si>
    <t>Trang danh mục Access Point đã được cấu hình ít nhất 1 banner trên CMS</t>
  </si>
  <si>
    <t>1. Truy cập trang Danh mục sản phẩm &gt; Access Point
2. Check banner hero hiển thị đầu trang</t>
  </si>
  <si>
    <t>Banner hiển thị đúng hình ảnh, đủ thông tin text (tên thiết bị, tagline, icon tính năng).
Banner không bị vỡ layout, ảnh load thành công.</t>
  </si>
  <si>
    <t>Check banner hiển thị đúng trên mobile (responsive)</t>
  </si>
  <si>
    <t>Trình duyệt mobile hoặc thiết bị có viewport ≤ 480px</t>
  </si>
  <si>
    <t>1. Truy cập trang Danh mục sản phẩm &gt; Access Point trên thiết bị mobile
2. Check banner hero hiển thị</t>
  </si>
  <si>
    <t>Banner co giãn đúng theo màn hình mobile, không bị cắt xén nội dung.
Text và icon vẫn hiển thị rõ ràng.</t>
  </si>
  <si>
    <t>1. Truy cập trang Danh mục sản phẩm &gt; Access Point
2. Click nút mũi tên "Next" (&gt;)
3. Check banner chuyển sang slide tiếp theo
4. Click nút mũi tên "Prev" (&lt;)
5. Check banner quay về slide trước</t>
  </si>
  <si>
    <t>1. Truy cập trang Danh mục sản phẩm &gt; Access Point
2. Để trang idle, quan sát banner
3. Check slideshow tự chuyển slide sau khoảng thời gian</t>
  </si>
  <si>
    <t>CMS chỉ có đúng 1 banner được active cho danh mục này</t>
  </si>
  <si>
    <t>1. Truy cập trang Danh mục sản phẩm &gt; Access Point
2. Check vùng banner hero</t>
  </si>
  <si>
    <t>Check hiển thị đúng block "Thiết bị tiện ích bán chạy nhất" với đầy đủ card sản phẩm</t>
  </si>
  <si>
    <t>Block được cấu hình trên CMS với ít nhất 4 sản phẩm</t>
  </si>
  <si>
    <t>1. Truy cập trang Danh mục sản phẩm &gt; Access Point
2. Scroll đến block "Thiết bị tiện ích bán chạy nhất"
3. Check hiển thị block</t>
  </si>
  <si>
    <t>Block hiển thị đúng title "Thiết bị tiện ích bán chạy nhất".
Hiển thị banner trái + các card sản phẩm.
Mỗi card hiển thị: tên sản phẩm, ảnh, giá bán, giá gốc, % giảm, nút "Mua ngay".</t>
  </si>
  <si>
    <t>Check thông tin card sản phẩm trong block bán chạy nhất hiển thị đúng</t>
  </si>
  <si>
    <t>Block được cấu hình với sản phẩm có đủ thông tin: tên, ảnh, giá bán, giá gốc, % giảm</t>
  </si>
  <si>
    <t>1. Truy cập trang Danh mục sản phẩm &gt; Access Point
2. Scroll đến block "Thiết bị tiện ích bán chạy nhất"
3. Check từng trường thông tin trên card sản phẩm</t>
  </si>
  <si>
    <t>Card hiển thị: tên sản phẩm, ảnh sản phẩm, giá bán (màu xanh/cam), giá gốc (gạch ngang), badge % giảm giá.
Nút "Mua ngay" hiển thị và clickable.</t>
  </si>
  <si>
    <t>1. Truy cập trang Danh mục sản phẩm &gt; Access Point2. Scroll đến block Block Thiết bị tiện ích bán chạy nhất
3. Quan sát một card bất kỳ
4. Check banner card gói dịch vụ</t>
  </si>
  <si>
    <t>1. Truy cập trang Danh mục sản phẩm &gt; Access Point
2. Scroll đến block Block Thiết bị tiện ích bán chạy nhất
3. Quan sát một card bất kỳ
4. Check title Tên card gói dịch vụ</t>
  </si>
  <si>
    <t>1. Truy cập trang Danh mục sản phẩm &gt; Access Point
2. Chọn địa chỉ khu vực trên header
3. Scroll đến block Block Thiết bị tiện ích bán chạy nhất
4. Check giá hiển thị trên card</t>
  </si>
  <si>
    <t>1. Truy cập trang Danh mục sản phẩm &gt; Access Point 
2. Không chọn Location
3. Scroll đến  block Block Thiết bị tiện ích bán chạy nhất
4. Check giá hiển thị trên card</t>
  </si>
  <si>
    <t>1. Truy cập trang Danh mục sản phẩm &gt; Access Point 
2. Chọn khu vực không có chính sách Block Thiết bị tiện ích bán chạy nhất
3. Scroll đến vị trí  block Block Thiết bị tiện ích bán chạy nhất
4. Check card hiển thị</t>
  </si>
  <si>
    <t>Block bán chạy nhất hiển thị với ít nhất 1 card sản phẩm</t>
  </si>
  <si>
    <t>1. Truy cập trang Danh mục sản phẩm &gt; Access Point
2. Scroll đến block "Thiết bị tiện ích bán chạy nhất"
3. Click nút "Mua ngay" trên 1 card sản phẩm
4. Check điều hướng</t>
  </si>
  <si>
    <t>Click "Mua ngay" điều hướng đến trang trang thanh toán</t>
  </si>
  <si>
    <t>1. Truy cập trang Danh mục sản phẩm &gt; Access Point
2. Scroll đến block bán chạy nhất
3. Click nút next (&gt;) trong block
4. Check card dịch chuyển
5. Click nút prev (&lt;)
6. Check card quay lại</t>
  </si>
  <si>
    <t>1. Truy cập trang danh mục Access Point trên mobile
2. Scroll đến block bán chạy nhất
3. Check layout block</t>
  </si>
  <si>
    <t xml:space="preserve">Block Danh sách sản phẩm (Sort &amp; Xem thêm)						</t>
  </si>
  <si>
    <t>Check hiển thị mặc định danh sách sản phẩm với tối đa 10 sản phẩm (2 hàng × 5 cột)</t>
  </si>
  <si>
    <t>Có ít nhất 10 sản phẩm Access Point active trên CMS</t>
  </si>
  <si>
    <t>1. Truy cập trang Danh mục sản phẩm &gt; Access Point
2. Scroll đến block danh sách sản phẩm
3. Check số lượng sản phẩm hiển thị lần đầu</t>
  </si>
  <si>
    <t>Hiển thị tối đa 10 sản phẩm (2 hàng × 5 sản phẩm/hàng) trong lần tải đầu tiên.
Hiển thị nhãn "Hiện thị X/Y kết quả".</t>
  </si>
  <si>
    <t>Check hiển thị tối đa 5 sản phẩm trên 1 hàng</t>
  </si>
  <si>
    <t>Có ít nhất 5 sản phẩm Access Point active</t>
  </si>
  <si>
    <t>1. Truy cập trang danh mục Access Point
2. Check layout grid sản phẩm trên desktop
3. Đếm số sản phẩm trên 1 hàng</t>
  </si>
  <si>
    <t>Check thông tin hiển thị trên card sản phẩm trong danh sách</t>
  </si>
  <si>
    <t>Có sản phẩm Access Point với đầy đủ thông tin</t>
  </si>
  <si>
    <t>1. Truy cập trang Danh mục sản phẩm &gt; Access Point
2. Scroll đến block danh sách sản phẩm
3. Check chi tiết 1 card sản phẩm</t>
  </si>
  <si>
    <t>Card hiển thị: ảnh sản phẩm, tên sản phẩm, giá bán (giá ưu đãi), giá gốc (gạch ngang), badge % giảm, nút "Mua ngay".
Các thông tin đúng với dữ liệu CMS.</t>
  </si>
  <si>
    <t xml:space="preserve">Chức năng Sort (Sắp xếp sản phẩm)						</t>
  </si>
  <si>
    <t>Check sort "Khuyến mãi" — sản phẩm % giảm cao nhất lên đầu</t>
  </si>
  <si>
    <t>Có ít nhất 3 sản phẩm với % giảm giá khác nhau</t>
  </si>
  <si>
    <t>1. Truy cập trang Danh mục sản phẩm &gt; Access Point
2. Click tab sort "Khuyến mãi"
3. Check thứ tự sản phẩm hiển thị</t>
  </si>
  <si>
    <t>Sản phẩm có % giảm cao nhất xuất hiện đầu tiên.
Sản phẩm có cùng % giảm → sắp xếp theo thời gian cập nhật CMS mới nhất lên trước.</t>
  </si>
  <si>
    <t>Check tab "Khuyến mãi" ẩn khi không có sản phẩm đang ưu đãi</t>
  </si>
  <si>
    <t>Tất cả sản phẩm Access Point không có khuyến mãi (% giảm = 0)</t>
  </si>
  <si>
    <t>1. Truy cập trang Danh mục sản phẩm &gt; Access Point
2. Check các tab sort hiển thị</t>
  </si>
  <si>
    <t>Tab "Khuyến mãi" không hiển thị trong danh sách sort khi không có sản phẩm ưu đãi.</t>
  </si>
  <si>
    <t>Check sort "Mới nhất" — sản phẩm có thời gian tạo gần nhất lên đầu</t>
  </si>
  <si>
    <t>Có ít nhất 3 sản phẩm với ngày tạo khác nhau</t>
  </si>
  <si>
    <t>1. Truy cập trang Danh mục sản phẩm &gt; Access Point
2. Click tab sort "Mới nhất"
3. Check thứ tự sản phẩm</t>
  </si>
  <si>
    <t>Sản phẩm có ngày tạo gần nhất trên hệ thống xuất hiện đầu tiên.
Thứ tự giảm dần theo ngày tạo.</t>
  </si>
  <si>
    <t>Check sort "Giá tăng dần" — sản phẩm giá thấp nhất lên đầu</t>
  </si>
  <si>
    <t>Có ít nhất 3 sản phẩm với giá khác nhau</t>
  </si>
  <si>
    <t>1. Truy cập trang Danh mục sản phẩm &gt; Access Point
2. Click tab sort "Giá tăng dần"
3. Check thứ tự sản phẩm</t>
  </si>
  <si>
    <t>Sản phẩm có giá thấp nhất xuất hiện đầu tiên, sắp xếp tăng dần.
Các sản phẩm cùng giá → sắp xếp theo thời gian cập nhật CMS mới nhất lên trước.</t>
  </si>
  <si>
    <t>Check sort "Giá giảm dần" — sản phẩm giá cao nhất lên đầu</t>
  </si>
  <si>
    <t>1. Truy cập trang Danh mục sản phẩm &gt; Access Point
2. Click tab sort "Giá giảm dần"
3. Check thứ tự sản phẩm</t>
  </si>
  <si>
    <t>Sản phẩm có giá cao nhất xuất hiện đầu tiên, sắp xếp giảm dần.
Các sản phẩm cùng giá → sắp xếp theo thời gian cập nhật CMS mới nhất lên trước.</t>
  </si>
  <si>
    <t>Check sort "Giá tăng dần" khi có nhiều sản phẩm cùng mức giá</t>
  </si>
  <si>
    <t>Có ít nhất 2 sản phẩm cùng mức giá bán</t>
  </si>
  <si>
    <t>1. Truy cập trang Danh mục sản phẩm &gt; Access Point
2. Click tab sort "Giá tăng dần"
3. Quan sát thứ tự các sản phẩm có giá bằng nhau</t>
  </si>
  <si>
    <t>Các sản phẩm có cùng giá được sắp xếp theo thời gian cập nhật CMS mới nhất lên trước (tie-breaker rule).</t>
  </si>
  <si>
    <t>Trang danh mục Access Point hiển thị đủ 4 tab sort</t>
  </si>
  <si>
    <t>1. Truy cập trang Danh mục sản phẩm &gt; Access Point
2. Click lần lượt từng tab sort
3. Check trạng thái hiển thị của tab được chọn</t>
  </si>
  <si>
    <t>Tab đang được chọn hiển thị trạng thái active (highlight/underline).
Chỉ có 1 tab active tại 1 thời điểm.</t>
  </si>
  <si>
    <t xml:space="preserve">Chức năng Xem thêm sản phẩm					</t>
  </si>
  <si>
    <t>Check click "Xem thêm sản phẩm" tải thêm tối đa 10 sản phẩm tiếp theo</t>
  </si>
  <si>
    <t>Tổng số sản phẩm Access Point &gt; 10 (có sản phẩm chưa hiển thị)</t>
  </si>
  <si>
    <t>1. Truy cập trang Danh mục sản phẩm &gt; Access Point
2. Đếm số sản phẩm đang hiển thị (10 sản phẩm)
3. Click button "Xem thêm sản phẩm"
4. Check số sản phẩm sau khi tải thêm</t>
  </si>
  <si>
    <t>Hệ thống tải thêm tối đa 10 sản phẩm, hiển thị nối tiếp bên dưới.
Nhãn "Hiện thị X/Y kết quả" cập nhật đúng số lượng.
Sản phẩm mới không bị trùng với sản phẩm đã hiển thị.</t>
  </si>
  <si>
    <t>Check button "Xem thêm sản phẩm" ẩn khi đã hiển thị hết toàn bộ sản phẩm</t>
  </si>
  <si>
    <t>Tổng số sản phẩm Access Point ≤ 10 (hoặc sau khi đã xem hết)</t>
  </si>
  <si>
    <t>1. Truy cập trang Danh mục sản phẩm &gt; Access Point
2. Click "Xem thêm sản phẩm" cho đến khi hết
3. Check trạng thái button</t>
  </si>
  <si>
    <t>Button "Xem thêm sản phẩm" ẩn đi sau khi đã load toàn bộ sản phẩm.
Không hiển thị button khi không còn sản phẩm để tải thêm.</t>
  </si>
  <si>
    <t>Check "Xem thêm sản phẩm" khi tổng số sản phẩm ≤ 10 — không hiển thị button</t>
  </si>
  <si>
    <t>CMS cấu hình ≤ 10 sản phẩm Access Point active</t>
  </si>
  <si>
    <t>1. Truy cập trang Danh mục sản phẩm &gt; Access Point
2. Scroll đến cuối block danh sách sản phẩm
3. Check button "Xem thêm sản phẩm"</t>
  </si>
  <si>
    <t>Button "Xem thêm sản phẩm" không hiển thị khi tổng số sản phẩm ≤ 10.</t>
  </si>
  <si>
    <t>Đang sort theo "Giá tăng dần"; có &gt; 10 sản phẩm</t>
  </si>
  <si>
    <t>1. Truy cập trang Danh mục sản phẩm &gt; Access Point
2. Click sort "Giá tăng dần"
3. Click "Xem thêm sản phẩm"
4. Check thứ tự sản phẩm vừa tải thêm</t>
  </si>
  <si>
    <t>Sản phẩm tải thêm tiếp tục tuân theo thứ tự sort "Giá tăng dần" đã chọn.
Không bị reset về sort mặc định.</t>
  </si>
  <si>
    <t>Check hiển thị trên mobile — "Xem thêm sản phẩm" và layout 2 cột</t>
  </si>
  <si>
    <t>Thiết bị mobile viewport ≤ 480px; có &gt; 10 sản phẩm</t>
  </si>
  <si>
    <t>1. Truy cập trang danh mục Access Point trên mobile
2. Scroll đến block danh sách sản phẩm
3. Check layout sản phẩm
4. Click "Xem thêm sản phẩm"
5. Check sản phẩm tải thêm</t>
  </si>
  <si>
    <t>Trên mobile, danh sách hiển thị dạng lưới 2 cột.
"Xem thêm sản phẩm" tải thêm tối đa 10 sản phẩm (2 hàng × 2 cột trên mobile</t>
  </si>
  <si>
    <t>Tổng số sản phẩm Access Point = 25; lần đầu hiện 10</t>
  </si>
  <si>
    <t>1. Truy cập trang Danh mục sản phẩm &gt; Access Point
2. Check nhãn số lượng ban đầu
3. Click "Xem thêm sản phẩm" lần 1
4. Check nhãn cập nhật
5. Click "Xem thêm sản phẩm" lần 2
6. Check nhãn cập nhật lần 2</t>
  </si>
  <si>
    <t>Nhãn hiển thị đúng: "Hiện thị 10/25 kết quả" → "Hiện thị 20/25 kết quả" → "Hiện thị 25/25 kết quả".
Số Y (tổng) không thay đổi.</t>
  </si>
  <si>
    <t xml:space="preserve">Block Dữ liệu SEO tĩnh (Thương hiệu đảm bảo / Đổi trả / Giao hàng / Chất lượng)						</t>
  </si>
  <si>
    <t>Block SEO tĩnh được cấu hình trên CMS với 4 mục</t>
  </si>
  <si>
    <t>1. Truy cập trang Danh mục sản phẩm &gt; Access Point
2. Scroll đến block SEO tĩnh ở cuối trang
3. Check hiển thị các mục</t>
  </si>
  <si>
    <t>Check nội dung từng mục trong block SEO tĩnh đúng với spec</t>
  </si>
  <si>
    <t>1. Truy cập trang Danh mục sản phẩm &gt; Access Point
2. Scroll đến block SEO tĩnh
3. Check nội dung từng mục</t>
  </si>
  <si>
    <t>Mục 1 – Thương hiệu đảm bảo: mô tả "Nhập khẩu bảo hành chính hãng".
Mục 2 – Đổi trả dễ dàng: mô tả "Theo chính sách đổi trả tại FPT Telecom".
Mục 3 – Giao hàng tận nơi: mô tả "Trên toàn quốc, miễn phí".
Mục 4 – Sản phẩm chất lượng: mô tả "Đảm bảo tương thích và độ bền cao".</t>
  </si>
  <si>
    <t>1. Truy cập trang Danh mục sản phẩm &gt; Access Point
2. Scroll đến block SEO tĩnh
3. Check icon của từng mục</t>
  </si>
  <si>
    <t>Mỗi mục trong block SEO tĩnh có icon đúng, ảnh load thành công, không bị vỡ/placeholder.</t>
  </si>
  <si>
    <t>1. Đăng nhập CMS
2. Chỉnh sửa nội dung 1 mục trong block SEO tĩnh (VD: đổi mô tả)
3. Publish thay đổi
4. Truy cập trang Danh mục sản phẩm &gt; Access Point
5. Check block SEO tĩnh</t>
  </si>
  <si>
    <t>Nội dung vừa cập nhật trên CMS phản ánh chính xác trên trang front-end.</t>
  </si>
  <si>
    <t>1. Truy cập trang Danh mục sản phẩm &gt; Access Point trên mobile
2. Scroll đến block SEO tĩnh
3. Check layout</t>
  </si>
  <si>
    <t>Block SEO tĩnh hiển thị dạng 2 cột hoặc 1 cột trên mobile.
Icon, tiêu đề, mô tả không bị tràn/cắt chữ.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</si>
</sst>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3">
    <font>
      <sz val="11.0"/>
      <color theme="1"/>
      <name val="Arial"/>
      <scheme val="minor"/>
    </font>
    <font>
      <sz val="10.0"/>
      <color theme="1"/>
      <name val="Calibri"/>
    </font>
    <font>
      <sz val="11.0"/>
      <color theme="1"/>
      <name val="Calibri"/>
    </font>
    <font>
      <b/>
      <sz val="12.0"/>
      <color theme="1"/>
      <name val="Calibri"/>
    </font>
    <font>
      <i/>
      <sz val="14.0"/>
      <color rgb="FF800000"/>
      <name val="Calibri"/>
    </font>
    <font>
      <b/>
      <sz val="32.0"/>
      <color rgb="FFED7D31"/>
      <name val="Calibri"/>
    </font>
    <font/>
    <font>
      <b/>
      <sz val="36.0"/>
      <color theme="8"/>
      <name val="Calibri"/>
    </font>
    <font>
      <b/>
      <sz val="14.0"/>
      <color theme="0"/>
      <name val="Calibri"/>
    </font>
    <font>
      <b/>
      <sz val="10.0"/>
      <color rgb="FF2F5496"/>
      <name val="Calibri"/>
    </font>
    <font>
      <sz val="13.0"/>
      <color rgb="FF000000"/>
      <name val="Calibri"/>
    </font>
    <font>
      <b/>
      <sz val="36.0"/>
      <color rgb="FFED7D31"/>
      <name val="Calibri"/>
    </font>
    <font>
      <sz val="12.0"/>
      <color rgb="FF000000"/>
      <name val="Calibri"/>
    </font>
    <font>
      <b/>
      <sz val="12.0"/>
      <color rgb="FFFFFFFF"/>
      <name val="Calibri"/>
    </font>
    <font>
      <sz val="12.0"/>
      <color theme="1"/>
      <name val="Calibri"/>
    </font>
    <font>
      <i/>
      <sz val="12.0"/>
      <color theme="1"/>
      <name val="Calibri"/>
    </font>
    <font>
      <sz val="12.0"/>
      <color rgb="FF2F5496"/>
      <name val="Calibri"/>
    </font>
    <font>
      <i/>
      <sz val="12.0"/>
      <color rgb="FFFF0000"/>
      <name val="Calibri"/>
    </font>
    <font>
      <i/>
      <sz val="12.0"/>
      <color rgb="FF4472C4"/>
      <name val="Calibri"/>
    </font>
    <font>
      <sz val="36.0"/>
      <color rgb="FF000000"/>
      <name val="Calibri"/>
    </font>
    <font>
      <sz val="36.0"/>
      <color theme="1"/>
      <name val="Calibri"/>
    </font>
    <font>
      <b/>
      <sz val="36.0"/>
      <color theme="5"/>
      <name val="Calibri"/>
    </font>
    <font>
      <b/>
      <i/>
      <sz val="13.0"/>
      <color theme="5"/>
      <name val="Calibri"/>
    </font>
    <font>
      <sz val="36.0"/>
      <color theme="5"/>
      <name val="Calibri"/>
    </font>
    <font>
      <b/>
      <sz val="32.0"/>
      <color rgb="FFFF6600"/>
      <name val="Calibri"/>
    </font>
    <font>
      <b/>
      <sz val="14.0"/>
      <color rgb="FFED7D31"/>
      <name val="Calibri"/>
    </font>
    <font>
      <b/>
      <sz val="32.0"/>
      <color theme="5"/>
      <name val="Calibri"/>
    </font>
    <font>
      <b/>
      <sz val="16.0"/>
      <color theme="1"/>
      <name val="Calibri"/>
    </font>
    <font>
      <sz val="14.0"/>
      <color theme="1"/>
      <name val="Calibri"/>
    </font>
    <font>
      <b/>
      <sz val="14.0"/>
      <color rgb="FFFFFFFF"/>
      <name val="Calibri"/>
    </font>
    <font>
      <b/>
      <sz val="14.0"/>
      <color theme="1"/>
      <name val="Calibri"/>
    </font>
    <font>
      <b/>
      <sz val="11.0"/>
      <color rgb="FFFF6600"/>
      <name val="Calibri"/>
    </font>
    <font>
      <b/>
      <sz val="20.0"/>
      <color rgb="FFFF6600"/>
      <name val="Calibri"/>
    </font>
    <font>
      <b/>
      <sz val="11.0"/>
      <color rgb="FFFFFFFF"/>
      <name val="Calibri"/>
    </font>
    <font>
      <b/>
      <sz val="11.0"/>
      <color rgb="FF2F5496"/>
      <name val="Calibri"/>
    </font>
    <font>
      <b/>
      <sz val="11.0"/>
      <color theme="1"/>
      <name val="Calibri"/>
    </font>
    <font>
      <b/>
      <sz val="11.0"/>
      <color rgb="FF006100"/>
      <name val="Calibri"/>
    </font>
    <font>
      <b/>
      <sz val="11.0"/>
      <color rgb="FF000000"/>
      <name val="Calibri"/>
    </font>
    <font>
      <b/>
      <sz val="12.0"/>
      <color rgb="FF4472C4"/>
      <name val="Calibri"/>
    </font>
    <font>
      <b/>
      <sz val="12.0"/>
      <color theme="0"/>
      <name val="Calibri"/>
    </font>
    <font>
      <u/>
      <sz val="11.0"/>
      <color rgb="FF0000FF"/>
      <name val="Calibri"/>
    </font>
    <font>
      <sz val="11.0"/>
      <color theme="1"/>
      <name val="Arial"/>
    </font>
    <font>
      <b/>
      <sz val="11.0"/>
      <color theme="1"/>
      <name val="Arial"/>
    </font>
    <font>
      <color theme="1"/>
      <name val="Arial"/>
      <scheme val="minor"/>
    </font>
    <font>
      <sz val="11.0"/>
      <color rgb="FF000000"/>
      <name val="Calibri"/>
    </font>
    <font>
      <sz val="11.0"/>
      <color rgb="FFFF0000"/>
      <name val="Arial"/>
    </font>
    <font>
      <sz val="11.0"/>
      <color rgb="FFFFFFFF"/>
      <name val="Calibri"/>
    </font>
    <font>
      <sz val="12.0"/>
      <color rgb="FFFFFFFF"/>
      <name val="Calibri"/>
    </font>
    <font>
      <sz val="12.0"/>
      <color rgb="FF0000FF"/>
      <name val="Calibri"/>
    </font>
    <font>
      <b/>
      <u/>
      <sz val="12.0"/>
      <color rgb="FF0000FF"/>
      <name val="Calibri"/>
    </font>
    <font>
      <sz val="12.0"/>
      <color rgb="FFCCCCCC"/>
      <name val="Calibri"/>
    </font>
    <font>
      <strike/>
      <sz val="12.0"/>
      <color rgb="FFCCCCCC"/>
      <name val="Calibri"/>
    </font>
    <font>
      <b/>
      <strike/>
      <sz val="12.0"/>
      <color theme="1"/>
      <name val="Calibri"/>
    </font>
    <font>
      <strike/>
      <sz val="12.0"/>
      <color rgb="FF000000"/>
      <name val="Calibri"/>
    </font>
    <font>
      <sz val="12.0"/>
      <color rgb="FF434343"/>
      <name val="Calibri"/>
    </font>
    <font>
      <b/>
      <sz val="12.0"/>
      <color rgb="FF434343"/>
      <name val="Calibri"/>
    </font>
    <font>
      <b/>
      <color rgb="FF1F3864"/>
      <name val="Calibri"/>
    </font>
    <font>
      <b/>
      <sz val="12.0"/>
      <color rgb="FF1F3864"/>
      <name val="Calibri"/>
    </font>
    <font>
      <b/>
      <sz val="12.0"/>
      <color rgb="FF7D4E00"/>
      <name val="Calibri"/>
    </font>
    <font>
      <b/>
      <sz val="12.0"/>
      <color rgb="FF375623"/>
      <name val="Calibri"/>
    </font>
    <font>
      <u/>
      <sz val="12.0"/>
      <color rgb="FF0000FF"/>
      <name val="Calibri"/>
    </font>
    <font>
      <u/>
      <sz val="12.0"/>
      <color rgb="FF0000FF"/>
      <name val="Calibri"/>
    </font>
    <font>
      <b/>
      <color theme="1"/>
      <name val="Calibri"/>
    </font>
    <font>
      <b/>
      <color rgb="FFC00000"/>
      <name val="Calibri"/>
    </font>
    <font>
      <color theme="1"/>
      <name val="Calibri"/>
    </font>
    <font>
      <color rgb="FF7F7F7F"/>
      <name val="Calibri"/>
    </font>
    <font>
      <i/>
      <color rgb="FFFF0000"/>
      <name val="Calibri"/>
    </font>
    <font>
      <b/>
      <sz val="13.0"/>
      <color theme="1"/>
      <name val="Calibri"/>
    </font>
    <font>
      <color theme="1"/>
      <name val="Arial"/>
    </font>
    <font>
      <u/>
      <color rgb="FF0000FF"/>
      <name val="Arial"/>
    </font>
    <font>
      <b/>
      <sz val="12.0"/>
      <color rgb="FFFF0000"/>
      <name val="Calibri"/>
    </font>
    <font>
      <u/>
      <sz val="12.0"/>
      <color rgb="FF0563C1"/>
      <name val="Calibri"/>
    </font>
    <font>
      <u/>
      <sz val="12.0"/>
      <color rgb="FF0563C1"/>
      <name val="Calibri"/>
    </font>
  </fonts>
  <fills count="27">
    <fill>
      <patternFill patternType="none"/>
    </fill>
    <fill>
      <patternFill patternType="lightGray"/>
    </fill>
    <fill>
      <patternFill patternType="solid">
        <fgColor theme="0"/>
        <bgColor theme="0"/>
      </patternFill>
    </fill>
    <fill>
      <patternFill patternType="solid">
        <fgColor theme="8"/>
        <bgColor theme="8"/>
      </patternFill>
    </fill>
    <fill>
      <patternFill patternType="solid">
        <fgColor rgb="FFFFFFFF"/>
        <bgColor rgb="FFFFFFFF"/>
      </patternFill>
    </fill>
    <fill>
      <patternFill patternType="solid">
        <fgColor rgb="FF4472C4"/>
        <bgColor rgb="FF4472C4"/>
      </patternFill>
    </fill>
    <fill>
      <patternFill patternType="solid">
        <fgColor rgb="FF6FAC46"/>
        <bgColor rgb="FF6FAC46"/>
      </patternFill>
    </fill>
    <fill>
      <patternFill patternType="solid">
        <fgColor theme="9"/>
        <bgColor theme="9"/>
      </patternFill>
    </fill>
    <fill>
      <patternFill patternType="solid">
        <fgColor rgb="FFFF3300"/>
        <bgColor rgb="FFFF3300"/>
      </patternFill>
    </fill>
    <fill>
      <patternFill patternType="solid">
        <fgColor rgb="FF808080"/>
        <bgColor rgb="FF808080"/>
      </patternFill>
    </fill>
    <fill>
      <patternFill patternType="solid">
        <fgColor rgb="FFFFE598"/>
        <bgColor rgb="FFFFE598"/>
      </patternFill>
    </fill>
    <fill>
      <patternFill patternType="solid">
        <fgColor theme="5"/>
        <bgColor theme="5"/>
      </patternFill>
    </fill>
    <fill>
      <patternFill patternType="solid">
        <fgColor rgb="FF9CC2E5"/>
        <bgColor rgb="FF9CC2E5"/>
      </patternFill>
    </fill>
    <fill>
      <patternFill patternType="solid">
        <fgColor rgb="FFF7CAAC"/>
        <bgColor rgb="FFF7CAAC"/>
      </patternFill>
    </fill>
    <fill>
      <patternFill patternType="solid">
        <fgColor rgb="FFA9D08E"/>
        <bgColor rgb="FFA9D08E"/>
      </patternFill>
    </fill>
    <fill>
      <patternFill patternType="solid">
        <fgColor rgb="FFB6D7A8"/>
        <bgColor rgb="FFB6D7A8"/>
      </patternFill>
    </fill>
    <fill>
      <patternFill patternType="solid">
        <fgColor rgb="FFFFF2CC"/>
        <bgColor rgb="FFFFF2CC"/>
      </patternFill>
    </fill>
    <fill>
      <patternFill patternType="solid">
        <fgColor rgb="FF93C47D"/>
        <bgColor rgb="FF93C47D"/>
      </patternFill>
    </fill>
    <fill>
      <patternFill patternType="solid">
        <fgColor rgb="FF9FC5E8"/>
        <bgColor rgb="FF9FC5E8"/>
      </patternFill>
    </fill>
    <fill>
      <patternFill patternType="solid">
        <fgColor rgb="FFA4C2F4"/>
        <bgColor rgb="FFA4C2F4"/>
      </patternFill>
    </fill>
    <fill>
      <patternFill patternType="solid">
        <fgColor rgb="FFD0E0E3"/>
        <bgColor rgb="FFD0E0E3"/>
      </patternFill>
    </fill>
    <fill>
      <patternFill patternType="solid">
        <fgColor rgb="FFCCCCCC"/>
        <bgColor rgb="FFCCCCCC"/>
      </patternFill>
    </fill>
    <fill>
      <patternFill patternType="solid">
        <fgColor rgb="FF6FA8DC"/>
        <bgColor rgb="FF6FA8DC"/>
      </patternFill>
    </fill>
    <fill>
      <patternFill patternType="solid">
        <fgColor rgb="FFD6E4F0"/>
        <bgColor rgb="FFD6E4F0"/>
      </patternFill>
    </fill>
    <fill>
      <patternFill patternType="solid">
        <fgColor rgb="FFF2F2F2"/>
        <bgColor rgb="FFF2F2F2"/>
      </patternFill>
    </fill>
    <fill>
      <patternFill patternType="solid">
        <fgColor rgb="FFD6E4F7"/>
        <bgColor rgb="FFD6E4F7"/>
      </patternFill>
    </fill>
    <fill>
      <patternFill patternType="solid">
        <fgColor rgb="FFFFFF00"/>
        <bgColor rgb="FFFFFF00"/>
      </patternFill>
    </fill>
  </fills>
  <borders count="66">
    <border/>
    <border>
      <left/>
      <right/>
      <top/>
      <bottom/>
    </border>
    <border>
      <left style="double">
        <color rgb="FF4472C4"/>
      </left>
      <right/>
      <top style="double">
        <color rgb="FF4472C4"/>
      </top>
      <bottom/>
    </border>
    <border>
      <left/>
      <right/>
      <top style="double">
        <color rgb="FF4472C4"/>
      </top>
      <bottom/>
    </border>
    <border>
      <left/>
      <right style="double">
        <color rgb="FF4472C4"/>
      </right>
      <top style="double">
        <color rgb="FF4472C4"/>
      </top>
      <bottom/>
    </border>
    <border>
      <left style="double">
        <color rgb="FF4472C4"/>
      </left>
      <right/>
      <top/>
      <bottom/>
    </border>
    <border>
      <left/>
      <right style="double">
        <color rgb="FF4472C4"/>
      </right>
      <top/>
      <bottom/>
    </border>
    <border>
      <left style="double">
        <color rgb="FF4472C4"/>
      </left>
      <top/>
      <bottom/>
    </border>
    <border>
      <top/>
      <bottom/>
    </border>
    <border>
      <right style="double">
        <color rgb="FF4472C4"/>
      </right>
      <top/>
      <bottom/>
    </border>
    <border>
      <left style="double">
        <color theme="6"/>
      </left>
      <top style="double">
        <color theme="6"/>
      </top>
      <bottom style="double">
        <color theme="6"/>
      </bottom>
    </border>
    <border>
      <top style="double">
        <color theme="6"/>
      </top>
      <bottom style="double">
        <color theme="6"/>
      </bottom>
    </border>
    <border>
      <right style="double">
        <color theme="6"/>
      </right>
      <top style="double">
        <color theme="6"/>
      </top>
      <bottom style="double">
        <color theme="6"/>
      </bottom>
    </border>
    <border>
      <left style="double">
        <color rgb="FF4472C4"/>
      </left>
      <right/>
      <top/>
      <bottom style="double">
        <color rgb="FF4472C4"/>
      </bottom>
    </border>
    <border>
      <left/>
      <right/>
      <top/>
      <bottom style="double">
        <color rgb="FF4472C4"/>
      </bottom>
    </border>
    <border>
      <left/>
      <right style="double">
        <color rgb="FF4472C4"/>
      </right>
      <top/>
      <bottom style="double">
        <color rgb="FF4472C4"/>
      </bottom>
    </border>
    <border>
      <left/>
      <top/>
      <bottom/>
    </border>
    <border>
      <left/>
      <right/>
      <top/>
    </border>
    <border>
      <left style="hair">
        <color rgb="FF666666"/>
      </left>
      <right style="hair">
        <color rgb="FF666666"/>
      </right>
      <top style="hair">
        <color rgb="FF666666"/>
      </top>
      <bottom style="hair">
        <color rgb="FF666666"/>
      </bottom>
    </border>
    <border>
      <right/>
      <top/>
      <bottom/>
    </border>
    <border>
      <left style="hair">
        <color rgb="FF666666"/>
      </left>
      <right style="hair">
        <color rgb="FF666666"/>
      </right>
      <top style="hair">
        <color rgb="FF666666"/>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hair">
        <color rgb="FF666666"/>
      </left>
      <right style="hair">
        <color rgb="FF666666"/>
      </right>
      <bottom style="hair">
        <color rgb="FF666666"/>
      </bottom>
    </border>
    <border>
      <left/>
      <right/>
      <bottom/>
    </border>
    <border>
      <left style="hair">
        <color rgb="FF666666"/>
      </left>
      <top style="hair">
        <color rgb="FF666666"/>
      </top>
      <bottom style="hair">
        <color rgb="FF666666"/>
      </bottom>
    </border>
    <border>
      <top style="hair">
        <color rgb="FF666666"/>
      </top>
      <bottom style="hair">
        <color rgb="FF666666"/>
      </bottom>
    </border>
    <border>
      <right style="hair">
        <color rgb="FF666666"/>
      </right>
      <top style="hair">
        <color rgb="FF666666"/>
      </top>
      <bottom style="hair">
        <color rgb="FF666666"/>
      </bottom>
    </border>
    <border>
      <left style="hair">
        <color theme="1"/>
      </left>
      <right style="hair">
        <color theme="1"/>
      </right>
      <bottom style="hair">
        <color theme="1"/>
      </bottom>
    </border>
    <border>
      <left style="hair">
        <color theme="1"/>
      </left>
      <bottom style="hair">
        <color theme="1"/>
      </bottom>
    </border>
    <border>
      <bottom style="hair">
        <color theme="1"/>
      </bottom>
    </border>
    <border>
      <right style="hair">
        <color theme="1"/>
      </right>
      <bottom style="hair">
        <color theme="1"/>
      </bottom>
    </border>
    <border>
      <left style="thin">
        <color rgb="FF2F5496"/>
      </left>
      <top style="thin">
        <color rgb="FF2F5496"/>
      </top>
    </border>
    <border>
      <top style="thin">
        <color rgb="FF2F5496"/>
      </top>
    </border>
    <border>
      <right style="thin">
        <color rgb="FF2F5496"/>
      </right>
      <top style="thin">
        <color rgb="FF2F5496"/>
      </top>
    </border>
    <border>
      <left style="thin">
        <color rgb="FF2F5496"/>
      </left>
    </border>
    <border>
      <right style="thin">
        <color rgb="FF2F5496"/>
      </right>
    </border>
    <border>
      <left style="thin">
        <color rgb="FF2F5496"/>
      </left>
      <bottom style="thin">
        <color rgb="FF2F5496"/>
      </bottom>
    </border>
    <border>
      <bottom style="thin">
        <color rgb="FF2F5496"/>
      </bottom>
    </border>
    <border>
      <right style="thin">
        <color rgb="FF2F5496"/>
      </right>
      <bottom style="thin">
        <color rgb="FF2F5496"/>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rder>
    <border>
      <top/>
    </border>
    <border>
      <right/>
      <top/>
    </border>
    <border>
      <right style="thin">
        <color rgb="FF000000"/>
      </right>
      <bottom style="thin">
        <color rgb="FF000000"/>
      </bottom>
    </border>
    <border>
      <left/>
      <right style="thin">
        <color rgb="FF000000"/>
      </right>
      <top/>
      <bottom style="thin">
        <color rgb="FF000000"/>
      </bottom>
    </border>
    <border>
      <left/>
      <right style="thin">
        <color rgb="FF000000"/>
      </right>
      <top/>
      <bottom/>
    </border>
    <border>
      <right style="thin">
        <color rgb="FF000000"/>
      </right>
    </border>
    <border>
      <left style="thin">
        <color rgb="FF000000"/>
      </left>
      <right/>
      <top style="thin">
        <color rgb="FF000000"/>
      </top>
      <bottom style="thin">
        <color rgb="FF000000"/>
      </bottom>
    </border>
    <border>
      <left style="thin">
        <color rgb="FF000000"/>
      </left>
      <bottom style="thin">
        <color rgb="FF000000"/>
      </bottom>
    </border>
    <border>
      <right style="thin">
        <color rgb="FF000000"/>
      </right>
      <top style="thin">
        <color rgb="FF000000"/>
      </top>
    </border>
    <border>
      <left/>
      <right style="thin">
        <color rgb="FF000000"/>
      </right>
      <bottom style="thin">
        <color rgb="FF000000"/>
      </bottom>
    </border>
    <border>
      <right/>
      <top style="thin">
        <color rgb="FF000000"/>
      </top>
      <bottom style="thin">
        <color rgb="FF000000"/>
      </bottom>
    </border>
  </borders>
  <cellStyleXfs count="1">
    <xf borderId="0" fillId="0" fontId="0" numFmtId="0" applyAlignment="1" applyFont="1"/>
  </cellStyleXfs>
  <cellXfs count="60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1" fillId="2" fontId="3" numFmtId="0" xfId="0" applyBorder="1" applyFont="1"/>
    <xf borderId="1" fillId="2" fontId="4" numFmtId="0" xfId="0" applyAlignment="1" applyBorder="1" applyFont="1">
      <alignment horizontal="center"/>
    </xf>
    <xf borderId="7" fillId="2" fontId="5" numFmtId="0" xfId="0" applyAlignment="1" applyBorder="1" applyFont="1">
      <alignment horizontal="center" readingOrder="0" shrinkToFit="0" vertical="center" wrapText="1"/>
    </xf>
    <xf borderId="8" fillId="0" fontId="6" numFmtId="0" xfId="0" applyBorder="1" applyFont="1"/>
    <xf borderId="9" fillId="0" fontId="6" numFmtId="0" xfId="0" applyBorder="1" applyFont="1"/>
    <xf borderId="7" fillId="2" fontId="7" numFmtId="0" xfId="0" applyAlignment="1" applyBorder="1" applyFont="1">
      <alignment horizontal="center" shrinkToFit="0" vertical="center" wrapText="1"/>
    </xf>
    <xf borderId="10" fillId="3" fontId="8" numFmtId="0" xfId="0" applyAlignment="1" applyBorder="1" applyFill="1" applyFont="1">
      <alignment horizontal="center" vertical="center"/>
    </xf>
    <xf borderId="11" fillId="0" fontId="6" numFmtId="0" xfId="0" applyBorder="1" applyFont="1"/>
    <xf borderId="12" fillId="0" fontId="6" numFmtId="0" xfId="0" applyBorder="1" applyFont="1"/>
    <xf borderId="10" fillId="2" fontId="9" numFmtId="0" xfId="0" applyAlignment="1" applyBorder="1" applyFont="1">
      <alignment horizontal="center" vertical="center"/>
    </xf>
    <xf quotePrefix="1" borderId="10" fillId="2" fontId="9" numFmtId="49" xfId="0" applyAlignment="1" applyBorder="1" applyFont="1" applyNumberFormat="1">
      <alignment horizontal="center" vertical="center"/>
    </xf>
    <xf borderId="10" fillId="2" fontId="9" numFmtId="49" xfId="0" applyAlignment="1" applyBorder="1" applyFont="1" applyNumberFormat="1">
      <alignment horizontal="center" vertical="center"/>
    </xf>
    <xf borderId="1" fillId="2" fontId="1" numFmtId="0" xfId="0" applyAlignment="1" applyBorder="1" applyFont="1">
      <alignment vertical="center"/>
    </xf>
    <xf borderId="13" fillId="2" fontId="1" numFmtId="0" xfId="0" applyBorder="1" applyFont="1"/>
    <xf borderId="14" fillId="2" fontId="1" numFmtId="0" xfId="0" applyBorder="1" applyFont="1"/>
    <xf borderId="15" fillId="2" fontId="1" numFmtId="0" xfId="0" applyBorder="1" applyFont="1"/>
    <xf borderId="1" fillId="2" fontId="10" numFmtId="0" xfId="0" applyBorder="1" applyFont="1"/>
    <xf borderId="1" fillId="4" fontId="10" numFmtId="0" xfId="0" applyBorder="1" applyFill="1" applyFont="1"/>
    <xf borderId="16" fillId="4" fontId="11" numFmtId="0" xfId="0" applyAlignment="1" applyBorder="1" applyFont="1">
      <alignment horizontal="center" vertical="center"/>
    </xf>
    <xf borderId="0" fillId="0" fontId="10" numFmtId="0" xfId="0" applyFont="1"/>
    <xf borderId="1" fillId="4" fontId="10" numFmtId="0" xfId="0" applyAlignment="1" applyBorder="1" applyFont="1">
      <alignment horizontal="center"/>
    </xf>
    <xf borderId="17" fillId="4" fontId="10" numFmtId="0" xfId="0" applyBorder="1" applyFont="1"/>
    <xf borderId="17" fillId="4" fontId="10" numFmtId="0" xfId="0" applyAlignment="1" applyBorder="1" applyFont="1">
      <alignment horizontal="center"/>
    </xf>
    <xf borderId="16" fillId="2" fontId="12" numFmtId="0" xfId="0" applyBorder="1" applyFont="1"/>
    <xf borderId="18" fillId="5" fontId="13" numFmtId="0" xfId="0" applyAlignment="1" applyBorder="1" applyFill="1" applyFont="1">
      <alignment horizontal="center" shrinkToFit="0" vertical="center" wrapText="1"/>
    </xf>
    <xf borderId="18" fillId="5" fontId="13" numFmtId="14" xfId="0" applyAlignment="1" applyBorder="1" applyFont="1" applyNumberFormat="1">
      <alignment horizontal="center" shrinkToFit="0" vertical="center" wrapText="1"/>
    </xf>
    <xf borderId="19" fillId="4" fontId="12" numFmtId="0" xfId="0" applyBorder="1" applyFont="1"/>
    <xf borderId="1" fillId="4" fontId="12" numFmtId="0" xfId="0" applyBorder="1" applyFont="1"/>
    <xf borderId="0" fillId="0" fontId="12" numFmtId="0" xfId="0" applyFont="1"/>
    <xf borderId="16" fillId="2" fontId="12" numFmtId="0" xfId="0" applyAlignment="1" applyBorder="1" applyFont="1">
      <alignment horizontal="left"/>
    </xf>
    <xf borderId="20" fillId="6" fontId="13" numFmtId="0" xfId="0" applyAlignment="1" applyBorder="1" applyFill="1" applyFont="1">
      <alignment horizontal="left" shrinkToFit="0" vertical="center" wrapText="1"/>
    </xf>
    <xf borderId="20" fillId="6" fontId="13" numFmtId="14" xfId="0" applyAlignment="1" applyBorder="1" applyFont="1" applyNumberFormat="1">
      <alignment horizontal="left" shrinkToFit="0" vertical="center" wrapText="1"/>
    </xf>
    <xf borderId="19" fillId="4" fontId="12" numFmtId="0" xfId="0" applyAlignment="1" applyBorder="1" applyFont="1">
      <alignment horizontal="left"/>
    </xf>
    <xf borderId="1" fillId="4" fontId="12" numFmtId="0" xfId="0" applyAlignment="1" applyBorder="1" applyFont="1">
      <alignment horizontal="left"/>
    </xf>
    <xf borderId="0" fillId="0" fontId="12" numFmtId="0" xfId="0" applyAlignment="1" applyFont="1">
      <alignment horizontal="left"/>
    </xf>
    <xf borderId="21" fillId="0" fontId="3" numFmtId="0" xfId="0" applyAlignment="1" applyBorder="1" applyFont="1">
      <alignment horizontal="center" readingOrder="0" shrinkToFit="0" vertical="center" wrapText="1"/>
    </xf>
    <xf borderId="21" fillId="0" fontId="14" numFmtId="0" xfId="0" applyAlignment="1" applyBorder="1" applyFont="1">
      <alignment horizontal="center" readingOrder="0" vertical="center"/>
    </xf>
    <xf borderId="21" fillId="0" fontId="15" numFmtId="0" xfId="0" applyAlignment="1" applyBorder="1" applyFont="1">
      <alignment horizontal="left" readingOrder="0" shrinkToFit="0" vertical="center" wrapText="1"/>
    </xf>
    <xf borderId="21" fillId="0" fontId="14" numFmtId="0" xfId="0" applyAlignment="1" applyBorder="1" applyFont="1">
      <alignment horizontal="left" readingOrder="0" shrinkToFit="0" vertical="center" wrapText="1"/>
    </xf>
    <xf borderId="19" fillId="4" fontId="16" numFmtId="0" xfId="0" applyBorder="1" applyFont="1"/>
    <xf borderId="1" fillId="4" fontId="16" numFmtId="0" xfId="0" applyBorder="1" applyFont="1"/>
    <xf borderId="22" fillId="0" fontId="3" numFmtId="0" xfId="0" applyAlignment="1" applyBorder="1" applyFont="1">
      <alignment horizontal="center" readingOrder="0" shrinkToFit="0" vertical="center" wrapText="1"/>
    </xf>
    <xf borderId="22" fillId="0" fontId="14" numFmtId="14" xfId="0" applyAlignment="1" applyBorder="1" applyFont="1" applyNumberFormat="1">
      <alignment horizontal="center" readingOrder="0" vertical="center"/>
    </xf>
    <xf borderId="22" fillId="0" fontId="14" numFmtId="0" xfId="0" applyAlignment="1" applyBorder="1" applyFont="1">
      <alignment horizontal="center" readingOrder="0" vertical="center"/>
    </xf>
    <xf borderId="0" fillId="0" fontId="2"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23" fillId="0" fontId="14" numFmtId="0" xfId="0" applyAlignment="1" applyBorder="1" applyFont="1">
      <alignment horizontal="left" readingOrder="0" shrinkToFit="0" vertical="center" wrapText="1"/>
    </xf>
    <xf borderId="24" fillId="0" fontId="6" numFmtId="0" xfId="0" applyBorder="1" applyFont="1"/>
    <xf borderId="25" fillId="0" fontId="6" numFmtId="0" xfId="0" applyBorder="1" applyFont="1"/>
    <xf borderId="26" fillId="0" fontId="15" numFmtId="0" xfId="0" applyAlignment="1" applyBorder="1" applyFont="1">
      <alignment horizontal="left" readingOrder="0" shrinkToFit="0" vertical="center" wrapText="1"/>
    </xf>
    <xf borderId="20" fillId="6" fontId="13" numFmtId="0" xfId="0" applyAlignment="1" applyBorder="1" applyFont="1">
      <alignment horizontal="left" readingOrder="0" shrinkToFit="0" vertical="center" wrapText="1"/>
    </xf>
    <xf borderId="21" fillId="0" fontId="14" numFmtId="14" xfId="0" applyAlignment="1" applyBorder="1" applyFont="1" applyNumberFormat="1">
      <alignment horizontal="center" vertical="center"/>
    </xf>
    <xf borderId="21" fillId="0" fontId="14" numFmtId="0" xfId="0" applyAlignment="1" applyBorder="1" applyFont="1">
      <alignment horizontal="left" shrinkToFit="0" vertical="center" wrapText="1"/>
    </xf>
    <xf borderId="21" fillId="0" fontId="3" numFmtId="0" xfId="0" applyAlignment="1" applyBorder="1" applyFont="1">
      <alignment horizontal="center" shrinkToFit="0" vertical="center" wrapText="1"/>
    </xf>
    <xf borderId="27" fillId="0" fontId="3" numFmtId="0" xfId="0" applyAlignment="1" applyBorder="1" applyFont="1">
      <alignment horizontal="center" shrinkToFit="0" vertical="center" wrapText="1"/>
    </xf>
    <xf borderId="27" fillId="0" fontId="14" numFmtId="14" xfId="0" applyAlignment="1" applyBorder="1" applyFont="1" applyNumberFormat="1">
      <alignment horizontal="center" vertical="center"/>
    </xf>
    <xf borderId="27" fillId="0" fontId="15" numFmtId="0" xfId="0" applyAlignment="1" applyBorder="1" applyFont="1">
      <alignment horizontal="left" shrinkToFit="0" vertical="center" wrapText="1"/>
    </xf>
    <xf borderId="27" fillId="0" fontId="14" numFmtId="0" xfId="0" applyAlignment="1" applyBorder="1" applyFont="1">
      <alignment horizontal="left" shrinkToFit="0" vertical="center" wrapText="1"/>
    </xf>
    <xf borderId="18" fillId="0" fontId="3" numFmtId="0" xfId="0" applyAlignment="1" applyBorder="1" applyFont="1">
      <alignment horizontal="center" shrinkToFit="0" vertical="center" wrapText="1"/>
    </xf>
    <xf borderId="18" fillId="0" fontId="14" numFmtId="14" xfId="0" applyAlignment="1" applyBorder="1" applyFont="1" applyNumberFormat="1">
      <alignment horizontal="center" vertical="center"/>
    </xf>
    <xf borderId="18" fillId="0" fontId="15" numFmtId="0" xfId="0" applyAlignment="1" applyBorder="1" applyFont="1">
      <alignment horizontal="left" shrinkToFit="0" vertical="center" wrapText="1"/>
    </xf>
    <xf borderId="18" fillId="0" fontId="14" numFmtId="0" xfId="0" applyAlignment="1" applyBorder="1" applyFont="1">
      <alignment horizontal="left" shrinkToFit="0" vertical="center" wrapText="1"/>
    </xf>
    <xf borderId="18" fillId="0" fontId="17" numFmtId="0" xfId="0" applyAlignment="1" applyBorder="1" applyFont="1">
      <alignment horizontal="left" shrinkToFit="0" vertical="center" wrapText="1"/>
    </xf>
    <xf borderId="18" fillId="0" fontId="18" numFmtId="0" xfId="0" applyAlignment="1" applyBorder="1" applyFont="1">
      <alignment horizontal="left" shrinkToFit="0" vertical="center" wrapText="1"/>
    </xf>
    <xf borderId="28" fillId="4" fontId="10" numFmtId="0" xfId="0" applyBorder="1" applyFont="1"/>
    <xf borderId="1" fillId="2" fontId="19" numFmtId="0" xfId="0" applyAlignment="1" applyBorder="1" applyFont="1">
      <alignment vertical="center"/>
    </xf>
    <xf borderId="1" fillId="2" fontId="20" numFmtId="14" xfId="0" applyAlignment="1" applyBorder="1" applyFont="1" applyNumberFormat="1">
      <alignment vertical="center"/>
    </xf>
    <xf borderId="1" fillId="2" fontId="21" numFmtId="0" xfId="0" applyAlignment="1" applyBorder="1" applyFont="1">
      <alignment readingOrder="0" vertical="center"/>
    </xf>
    <xf borderId="1" fillId="2" fontId="21" numFmtId="0" xfId="0" applyAlignment="1" applyBorder="1" applyFont="1">
      <alignment vertical="center"/>
    </xf>
    <xf borderId="1" fillId="2" fontId="20" numFmtId="0" xfId="0" applyAlignment="1" applyBorder="1" applyFont="1">
      <alignment vertical="center"/>
    </xf>
    <xf borderId="1" fillId="4" fontId="19" numFmtId="0" xfId="0" applyAlignment="1" applyBorder="1" applyFont="1">
      <alignment vertical="center"/>
    </xf>
    <xf borderId="1" fillId="2" fontId="22" numFmtId="14" xfId="0" applyBorder="1" applyFont="1" applyNumberFormat="1"/>
    <xf borderId="1" fillId="2" fontId="22" numFmtId="0" xfId="0" applyBorder="1" applyFont="1"/>
    <xf borderId="1" fillId="2" fontId="22" numFmtId="0" xfId="0" applyAlignment="1" applyBorder="1" applyFont="1">
      <alignment horizontal="center"/>
    </xf>
    <xf borderId="17" fillId="2" fontId="22" numFmtId="14" xfId="0" applyBorder="1" applyFont="1" applyNumberFormat="1"/>
    <xf borderId="17" fillId="2" fontId="22" numFmtId="0" xfId="0" applyBorder="1" applyFont="1"/>
    <xf borderId="17" fillId="2" fontId="22" numFmtId="0" xfId="0" applyAlignment="1" applyBorder="1" applyFont="1">
      <alignment horizontal="center"/>
    </xf>
    <xf borderId="16" fillId="2" fontId="10" numFmtId="0" xfId="0" applyBorder="1" applyFont="1"/>
    <xf borderId="29" fillId="5" fontId="13" numFmtId="0" xfId="0" applyAlignment="1" applyBorder="1" applyFont="1">
      <alignment horizontal="center" shrinkToFit="0" vertical="center" wrapText="1"/>
    </xf>
    <xf borderId="30" fillId="0" fontId="6" numFmtId="0" xfId="0" applyBorder="1" applyFont="1"/>
    <xf borderId="31" fillId="0" fontId="6" numFmtId="0" xfId="0" applyBorder="1" applyFont="1"/>
    <xf borderId="19" fillId="4" fontId="10" numFmtId="0" xfId="0" applyBorder="1" applyFont="1"/>
    <xf borderId="18" fillId="0" fontId="14" numFmtId="0" xfId="0" applyAlignment="1" applyBorder="1" applyFont="1">
      <alignment horizontal="center" shrinkToFit="0" vertical="center" wrapText="1"/>
    </xf>
    <xf borderId="29" fillId="0" fontId="14" numFmtId="0" xfId="0" applyAlignment="1" applyBorder="1" applyFont="1">
      <alignment horizontal="left" shrinkToFit="0" vertical="center" wrapText="1"/>
    </xf>
    <xf borderId="29" fillId="0" fontId="15" numFmtId="0" xfId="0" applyAlignment="1" applyBorder="1" applyFont="1">
      <alignment horizontal="left" shrinkToFit="0" vertical="center" wrapText="1"/>
    </xf>
    <xf borderId="18" fillId="0" fontId="14" numFmtId="14" xfId="0" applyAlignment="1" applyBorder="1" applyFont="1" applyNumberFormat="1">
      <alignment horizontal="center" shrinkToFit="0" vertical="center" wrapText="1"/>
    </xf>
    <xf borderId="32" fillId="0" fontId="14" numFmtId="14" xfId="0" applyAlignment="1" applyBorder="1" applyFont="1" applyNumberFormat="1">
      <alignment shrinkToFit="0" vertical="center" wrapText="1"/>
    </xf>
    <xf borderId="32" fillId="0" fontId="3" numFmtId="0" xfId="0" applyAlignment="1" applyBorder="1" applyFont="1">
      <alignment horizontal="center" shrinkToFit="0" vertical="center" wrapText="1"/>
    </xf>
    <xf borderId="32" fillId="0" fontId="14" numFmtId="0" xfId="0" applyAlignment="1" applyBorder="1" applyFont="1">
      <alignment horizontal="center" shrinkToFit="0" vertical="center" wrapText="1"/>
    </xf>
    <xf borderId="33" fillId="0" fontId="15" numFmtId="0" xfId="0" applyAlignment="1" applyBorder="1" applyFont="1">
      <alignment horizontal="left" shrinkToFit="0" vertical="center" wrapText="1"/>
    </xf>
    <xf borderId="34" fillId="0" fontId="6" numFmtId="0" xfId="0" applyBorder="1" applyFont="1"/>
    <xf borderId="35" fillId="0" fontId="6" numFmtId="0" xfId="0" applyBorder="1" applyFont="1"/>
    <xf borderId="0" fillId="0" fontId="14" numFmtId="0" xfId="0" applyFont="1"/>
    <xf borderId="16" fillId="2" fontId="21" numFmtId="0" xfId="0" applyAlignment="1" applyBorder="1" applyFont="1">
      <alignment horizontal="center"/>
    </xf>
    <xf borderId="1" fillId="2" fontId="23" numFmtId="0" xfId="0" applyBorder="1" applyFont="1"/>
    <xf borderId="36" fillId="0" fontId="24" numFmtId="0" xfId="0" applyAlignment="1" applyBorder="1" applyFont="1">
      <alignment horizontal="center"/>
    </xf>
    <xf borderId="37" fillId="0" fontId="6" numFmtId="0" xfId="0" applyBorder="1" applyFont="1"/>
    <xf borderId="38" fillId="0" fontId="6" numFmtId="0" xfId="0" applyBorder="1" applyFont="1"/>
    <xf quotePrefix="1" borderId="39" fillId="0" fontId="3" numFmtId="0" xfId="0" applyAlignment="1" applyBorder="1" applyFont="1">
      <alignment readingOrder="0" shrinkToFit="0" wrapText="1"/>
    </xf>
    <xf borderId="40" fillId="0" fontId="6" numFmtId="0" xfId="0" applyBorder="1" applyFont="1"/>
    <xf quotePrefix="1" borderId="39" fillId="0" fontId="25" numFmtId="0" xfId="0" applyAlignment="1" applyBorder="1" applyFont="1">
      <alignment shrinkToFit="0" wrapText="1"/>
    </xf>
    <xf borderId="39" fillId="0" fontId="14" numFmtId="0" xfId="0" applyAlignment="1" applyBorder="1" applyFont="1">
      <alignment readingOrder="0"/>
    </xf>
    <xf borderId="39" fillId="0" fontId="3" numFmtId="0" xfId="0" applyAlignment="1" applyBorder="1" applyFont="1">
      <alignment readingOrder="0"/>
    </xf>
    <xf quotePrefix="1" borderId="39" fillId="0" fontId="3" numFmtId="0" xfId="0" applyAlignment="1" applyBorder="1" applyFont="1">
      <alignment shrinkToFit="0" wrapText="1"/>
    </xf>
    <xf quotePrefix="1" borderId="39" fillId="0" fontId="14" numFmtId="0" xfId="0" applyAlignment="1" applyBorder="1" applyFont="1">
      <alignment shrinkToFit="0" wrapText="1"/>
    </xf>
    <xf quotePrefix="1" borderId="41" fillId="0" fontId="14" numFmtId="0" xfId="0" applyAlignment="1" applyBorder="1" applyFont="1">
      <alignment shrinkToFit="0" wrapText="1"/>
    </xf>
    <xf borderId="42" fillId="0" fontId="6" numFmtId="0" xfId="0" applyBorder="1" applyFont="1"/>
    <xf borderId="43" fillId="0" fontId="6" numFmtId="0" xfId="0" applyBorder="1" applyFont="1"/>
    <xf borderId="0" fillId="0" fontId="26" numFmtId="0" xfId="0" applyAlignment="1" applyFont="1">
      <alignment horizontal="center" vertical="center"/>
    </xf>
    <xf borderId="0" fillId="0" fontId="27" numFmtId="0" xfId="0" applyAlignment="1" applyFont="1">
      <alignment horizontal="center" vertical="center"/>
    </xf>
    <xf borderId="0" fillId="0" fontId="28" numFmtId="0" xfId="0" applyFont="1"/>
    <xf borderId="44" fillId="5" fontId="29" numFmtId="0" xfId="0" applyAlignment="1" applyBorder="1" applyFont="1">
      <alignment horizontal="center" shrinkToFit="0" vertical="center" wrapText="1"/>
    </xf>
    <xf borderId="45" fillId="5" fontId="29" numFmtId="0" xfId="0" applyAlignment="1" applyBorder="1" applyFont="1">
      <alignment horizontal="center" shrinkToFit="0" vertical="center" wrapText="1"/>
    </xf>
    <xf borderId="46" fillId="0" fontId="6" numFmtId="0" xfId="0" applyBorder="1" applyFont="1"/>
    <xf borderId="47" fillId="0" fontId="6" numFmtId="0" xfId="0" applyBorder="1" applyFont="1"/>
    <xf borderId="44" fillId="0" fontId="30" numFmtId="0" xfId="0" applyAlignment="1" applyBorder="1" applyFont="1">
      <alignment horizontal="center" shrinkToFit="0" vertical="center" wrapText="1"/>
    </xf>
    <xf borderId="45" fillId="0" fontId="14" numFmtId="0" xfId="0" applyAlignment="1" applyBorder="1" applyFont="1">
      <alignment horizontal="left" shrinkToFit="0" vertical="center" wrapText="1"/>
    </xf>
    <xf borderId="44" fillId="7" fontId="8" numFmtId="0" xfId="0" applyAlignment="1" applyBorder="1" applyFill="1" applyFont="1">
      <alignment horizontal="center" shrinkToFit="0" vertical="center" wrapText="1"/>
    </xf>
    <xf borderId="44" fillId="8" fontId="8" numFmtId="0" xfId="0" applyAlignment="1" applyBorder="1" applyFill="1" applyFont="1">
      <alignment horizontal="center" shrinkToFit="0" vertical="center" wrapText="1"/>
    </xf>
    <xf borderId="44" fillId="9" fontId="30" numFmtId="0" xfId="0" applyAlignment="1" applyBorder="1" applyFill="1" applyFont="1">
      <alignment horizontal="center" shrinkToFit="0" vertical="center" wrapText="1"/>
    </xf>
    <xf borderId="44" fillId="10" fontId="30" numFmtId="0" xfId="0" applyAlignment="1" applyBorder="1" applyFill="1" applyFont="1">
      <alignment horizontal="center" shrinkToFit="0" vertical="center" wrapText="1"/>
    </xf>
    <xf quotePrefix="1" borderId="45" fillId="0" fontId="14" numFmtId="0" xfId="0" applyAlignment="1" applyBorder="1" applyFont="1">
      <alignment horizontal="left" shrinkToFit="0" vertical="center" wrapText="1"/>
    </xf>
    <xf borderId="0" fillId="0" fontId="2" numFmtId="0" xfId="0" applyFont="1"/>
    <xf borderId="0" fillId="0" fontId="27" numFmtId="0" xfId="0" applyAlignment="1" applyFont="1">
      <alignment horizontal="center"/>
    </xf>
    <xf borderId="44" fillId="0" fontId="3" numFmtId="0" xfId="0" applyAlignment="1" applyBorder="1" applyFont="1">
      <alignment horizontal="center" shrinkToFit="0" vertical="center" wrapText="1"/>
    </xf>
    <xf borderId="0" fillId="0" fontId="31" numFmtId="0" xfId="0" applyAlignment="1" applyFont="1">
      <alignment vertical="center"/>
    </xf>
    <xf borderId="0" fillId="0" fontId="32" numFmtId="0" xfId="0" applyAlignment="1" applyFont="1">
      <alignment horizontal="right" vertical="center"/>
    </xf>
    <xf borderId="0" fillId="0" fontId="31" numFmtId="0" xfId="0" applyAlignment="1" applyFont="1">
      <alignment horizontal="center" vertical="center"/>
    </xf>
    <xf borderId="29" fillId="5" fontId="33" numFmtId="0" xfId="0" applyAlignment="1" applyBorder="1" applyFont="1">
      <alignment horizontal="left" vertical="center"/>
    </xf>
    <xf borderId="18" fillId="2" fontId="34" numFmtId="0" xfId="0" applyAlignment="1" applyBorder="1" applyFont="1">
      <alignment readingOrder="0" shrinkToFit="0" vertical="center" wrapText="1"/>
    </xf>
    <xf borderId="18" fillId="5" fontId="33" numFmtId="0" xfId="0" applyAlignment="1" applyBorder="1" applyFont="1">
      <alignment horizontal="left" shrinkToFit="0" vertical="center" wrapText="1"/>
    </xf>
    <xf borderId="18" fillId="2" fontId="34" numFmtId="0" xfId="0" applyAlignment="1" applyBorder="1" applyFont="1">
      <alignment readingOrder="0" vertical="center"/>
    </xf>
    <xf borderId="0" fillId="0" fontId="35" numFmtId="0" xfId="0" applyFont="1"/>
    <xf borderId="0" fillId="0" fontId="36" numFmtId="0" xfId="0" applyAlignment="1" applyFont="1">
      <alignment vertical="center"/>
    </xf>
    <xf borderId="16" fillId="2" fontId="34" numFmtId="0" xfId="0" applyAlignment="1" applyBorder="1" applyFont="1">
      <alignment horizontal="center" vertical="center"/>
    </xf>
    <xf borderId="29" fillId="5" fontId="33" numFmtId="0" xfId="0" applyAlignment="1" applyBorder="1" applyFont="1">
      <alignment horizontal="left" shrinkToFit="0" vertical="center" wrapText="1"/>
    </xf>
    <xf borderId="0" fillId="0" fontId="37" numFmtId="0" xfId="0" applyAlignment="1" applyFont="1">
      <alignment horizontal="center"/>
    </xf>
    <xf borderId="0" fillId="0" fontId="14" numFmtId="0" xfId="0" applyAlignment="1" applyFont="1">
      <alignment vertical="center"/>
    </xf>
    <xf borderId="22" fillId="5" fontId="13" numFmtId="0" xfId="0" applyAlignment="1" applyBorder="1" applyFont="1">
      <alignment horizontal="center" shrinkToFit="0" vertical="center" wrapText="1"/>
    </xf>
    <xf borderId="48" fillId="5" fontId="13" numFmtId="0" xfId="0" applyAlignment="1" applyBorder="1" applyFont="1">
      <alignment horizontal="center" readingOrder="0" vertical="center"/>
    </xf>
    <xf borderId="49" fillId="0" fontId="6" numFmtId="0" xfId="0" applyBorder="1" applyFont="1"/>
    <xf borderId="50" fillId="5" fontId="38" numFmtId="0" xfId="0" applyAlignment="1" applyBorder="1" applyFont="1">
      <alignment horizontal="center" readingOrder="0" shrinkToFit="0" vertical="center" wrapText="1"/>
    </xf>
    <xf borderId="50" fillId="5" fontId="38" numFmtId="0" xfId="0" applyAlignment="1" applyBorder="1" applyFont="1">
      <alignment horizontal="center" shrinkToFit="0" vertical="center" wrapText="1"/>
    </xf>
    <xf borderId="21" fillId="11" fontId="39" numFmtId="0" xfId="0" applyAlignment="1" applyBorder="1" applyFill="1" applyFont="1">
      <alignment horizontal="center" shrinkToFit="0" vertical="center" wrapText="1"/>
    </xf>
    <xf borderId="21" fillId="7" fontId="39" numFmtId="0" xfId="0" applyAlignment="1" applyBorder="1" applyFont="1">
      <alignment horizontal="center" shrinkToFit="0" vertical="center" wrapText="1"/>
    </xf>
    <xf borderId="21" fillId="8" fontId="39" numFmtId="0" xfId="0" applyAlignment="1" applyBorder="1" applyFont="1">
      <alignment horizontal="center" shrinkToFit="0" vertical="center" wrapText="1"/>
    </xf>
    <xf borderId="21" fillId="10" fontId="3" numFmtId="0" xfId="0" applyAlignment="1" applyBorder="1" applyFont="1">
      <alignment horizontal="center" shrinkToFit="0" vertical="center" wrapText="1"/>
    </xf>
    <xf borderId="21" fillId="9" fontId="3" numFmtId="0" xfId="0" applyAlignment="1" applyBorder="1" applyFont="1">
      <alignment horizontal="center" shrinkToFit="0" vertical="center" wrapText="1"/>
    </xf>
    <xf borderId="21" fillId="11" fontId="13" numFmtId="0" xfId="0" applyAlignment="1" applyBorder="1" applyFont="1">
      <alignment horizontal="center" readingOrder="0" shrinkToFit="0" vertical="center" wrapText="1"/>
    </xf>
    <xf borderId="0" fillId="0" fontId="2" numFmtId="0" xfId="0" applyAlignment="1" applyFont="1">
      <alignment vertical="center"/>
    </xf>
    <xf borderId="21" fillId="0" fontId="2" numFmtId="0" xfId="0" applyAlignment="1" applyBorder="1" applyFont="1">
      <alignment horizontal="center" shrinkToFit="0" vertical="center" wrapText="1"/>
    </xf>
    <xf borderId="21" fillId="0" fontId="40" numFmtId="0" xfId="0" applyAlignment="1" applyBorder="1" applyFont="1">
      <alignment horizontal="left" readingOrder="0" vertical="center"/>
    </xf>
    <xf borderId="21" fillId="0" fontId="2" numFmtId="0" xfId="0" applyAlignment="1" applyBorder="1" applyFont="1">
      <alignment horizontal="left" readingOrder="0" shrinkToFit="0" vertical="center" wrapText="1"/>
    </xf>
    <xf borderId="23" fillId="0" fontId="35" numFmtId="0" xfId="0" applyAlignment="1" applyBorder="1" applyFont="1">
      <alignment horizontal="center" readingOrder="0" shrinkToFit="0" vertical="center" wrapText="1"/>
    </xf>
    <xf borderId="21" fillId="0" fontId="2" numFmtId="0" xfId="0" applyAlignment="1" applyBorder="1" applyFont="1">
      <alignment horizontal="center" readingOrder="0" shrinkToFit="0" vertical="center" wrapText="1"/>
    </xf>
    <xf borderId="23" fillId="0" fontId="35" numFmtId="0" xfId="0" applyAlignment="1" applyBorder="1" applyFont="1">
      <alignment horizontal="center" shrinkToFit="0" vertical="center" wrapText="1"/>
    </xf>
    <xf borderId="51" fillId="12" fontId="35" numFmtId="0" xfId="0" applyAlignment="1" applyBorder="1" applyFill="1" applyFont="1">
      <alignment horizontal="center" shrinkToFit="0" vertical="center" wrapText="1"/>
    </xf>
    <xf borderId="52" fillId="0" fontId="6" numFmtId="0" xfId="0" applyBorder="1" applyFont="1"/>
    <xf borderId="53" fillId="0" fontId="6" numFmtId="0" xfId="0" applyBorder="1" applyFont="1"/>
    <xf borderId="21" fillId="12" fontId="35" numFmtId="0" xfId="0" applyAlignment="1" applyBorder="1" applyFont="1">
      <alignment horizontal="center" shrinkToFit="0" vertical="center" wrapText="1"/>
    </xf>
    <xf borderId="21" fillId="12" fontId="2" numFmtId="0" xfId="0" applyAlignment="1" applyBorder="1" applyFont="1">
      <alignment horizontal="center" shrinkToFit="0" vertical="center" wrapText="1"/>
    </xf>
    <xf borderId="0" fillId="0" fontId="2" numFmtId="9" xfId="0" applyAlignment="1" applyFont="1" applyNumberFormat="1">
      <alignment vertical="center"/>
    </xf>
    <xf borderId="48" fillId="0" fontId="35" numFmtId="9" xfId="0" applyAlignment="1" applyBorder="1" applyFont="1" applyNumberFormat="1">
      <alignment horizontal="center" vertical="center"/>
    </xf>
    <xf borderId="23" fillId="0" fontId="6" numFmtId="0" xfId="0" applyBorder="1" applyFont="1"/>
    <xf borderId="21" fillId="0" fontId="35" numFmtId="9" xfId="0" applyAlignment="1" applyBorder="1" applyFont="1" applyNumberFormat="1">
      <alignment horizontal="center" shrinkToFit="0" vertical="center" wrapText="1"/>
    </xf>
    <xf borderId="21" fillId="11" fontId="2" numFmtId="9" xfId="0" applyAlignment="1" applyBorder="1" applyFont="1" applyNumberFormat="1">
      <alignment horizontal="center" shrinkToFit="0" vertical="center" wrapText="1"/>
    </xf>
    <xf borderId="21" fillId="13" fontId="2" numFmtId="9" xfId="0" applyAlignment="1" applyBorder="1" applyFill="1" applyFont="1" applyNumberFormat="1">
      <alignment horizontal="center" vertical="center"/>
    </xf>
    <xf borderId="0" fillId="0" fontId="2" numFmtId="164" xfId="0" applyFont="1" applyNumberFormat="1"/>
    <xf borderId="1" fillId="4" fontId="41" numFmtId="0" xfId="0" applyAlignment="1" applyBorder="1" applyFont="1">
      <alignment vertical="center"/>
    </xf>
    <xf borderId="0" fillId="0" fontId="41" numFmtId="0" xfId="0" applyAlignment="1" applyFont="1">
      <alignment vertical="center"/>
    </xf>
    <xf borderId="0" fillId="0" fontId="41" numFmtId="0" xfId="0" applyAlignment="1" applyFont="1">
      <alignment vertical="bottom"/>
    </xf>
    <xf borderId="0" fillId="0" fontId="41" numFmtId="0" xfId="0" applyFont="1"/>
    <xf borderId="17" fillId="4" fontId="41" numFmtId="0" xfId="0" applyAlignment="1" applyBorder="1" applyFont="1">
      <alignment vertical="center"/>
    </xf>
    <xf borderId="54" fillId="4" fontId="41" numFmtId="0" xfId="0" applyAlignment="1" applyBorder="1" applyFont="1">
      <alignment vertical="center"/>
    </xf>
    <xf borderId="55" fillId="0" fontId="6" numFmtId="0" xfId="0" applyBorder="1" applyFont="1"/>
    <xf borderId="56" fillId="0" fontId="6" numFmtId="0" xfId="0" applyBorder="1" applyFont="1"/>
    <xf borderId="21" fillId="5" fontId="41" numFmtId="0" xfId="0" applyAlignment="1" applyBorder="1" applyFont="1">
      <alignment vertical="center"/>
    </xf>
    <xf borderId="48" fillId="5" fontId="13" numFmtId="0" xfId="0" applyAlignment="1" applyBorder="1" applyFont="1">
      <alignment horizontal="center" shrinkToFit="0" vertical="center" wrapText="1"/>
    </xf>
    <xf borderId="48" fillId="4" fontId="14" numFmtId="0" xfId="0" applyAlignment="1" applyBorder="1" applyFont="1">
      <alignment horizontal="center" shrinkToFit="0" vertical="center" wrapText="1"/>
    </xf>
    <xf borderId="48" fillId="4" fontId="3" numFmtId="0" xfId="0" applyAlignment="1" applyBorder="1" applyFont="1">
      <alignment horizontal="center" shrinkToFit="0" vertical="center" wrapText="1"/>
    </xf>
    <xf borderId="28" fillId="4" fontId="41" numFmtId="0" xfId="0" applyAlignment="1" applyBorder="1" applyFont="1">
      <alignment vertical="center"/>
    </xf>
    <xf borderId="22" fillId="5" fontId="33" numFmtId="0" xfId="0" applyAlignment="1" applyBorder="1" applyFont="1">
      <alignment horizontal="center" shrinkToFit="0" vertical="center" wrapText="1"/>
    </xf>
    <xf borderId="48" fillId="5" fontId="33" numFmtId="0" xfId="0" applyAlignment="1" applyBorder="1" applyFont="1">
      <alignment horizontal="center" shrinkToFit="0" wrapText="1"/>
    </xf>
    <xf borderId="21" fillId="5" fontId="33" numFmtId="0" xfId="0" applyAlignment="1" applyBorder="1" applyFont="1">
      <alignment horizontal="center" shrinkToFit="0" wrapText="1"/>
    </xf>
    <xf borderId="1" fillId="14" fontId="41" numFmtId="0" xfId="0" applyAlignment="1" applyBorder="1" applyFill="1" applyFont="1">
      <alignment vertical="center"/>
    </xf>
    <xf borderId="48" fillId="15" fontId="35" numFmtId="0" xfId="0" applyAlignment="1" applyBorder="1" applyFill="1" applyFont="1">
      <alignment shrinkToFit="0" vertical="center" wrapText="1"/>
    </xf>
    <xf borderId="21" fillId="0" fontId="41" numFmtId="0" xfId="0" applyBorder="1" applyFont="1"/>
    <xf borderId="21" fillId="0" fontId="41" numFmtId="0" xfId="0" applyAlignment="1" applyBorder="1" applyFont="1">
      <alignment vertical="center"/>
    </xf>
    <xf borderId="21" fillId="0" fontId="2" numFmtId="0" xfId="0" applyAlignment="1" applyBorder="1" applyFont="1">
      <alignment horizontal="center" shrinkToFit="0" vertical="center" wrapText="1"/>
    </xf>
    <xf borderId="21" fillId="0" fontId="35" numFmtId="0" xfId="0" applyAlignment="1" applyBorder="1" applyFont="1">
      <alignment shrinkToFit="0" vertical="center" wrapText="1"/>
    </xf>
    <xf borderId="21" fillId="0" fontId="2" numFmtId="0" xfId="0" applyAlignment="1" applyBorder="1" applyFont="1">
      <alignment shrinkToFit="0" vertical="center" wrapText="1"/>
    </xf>
    <xf borderId="0" fillId="0" fontId="2" numFmtId="0" xfId="0" applyAlignment="1" applyFont="1">
      <alignment shrinkToFit="0" vertical="center" wrapText="1"/>
    </xf>
    <xf borderId="57" fillId="0" fontId="2" numFmtId="0" xfId="0" applyAlignment="1" applyBorder="1" applyFont="1">
      <alignment shrinkToFit="0" vertical="center" wrapText="1"/>
    </xf>
    <xf borderId="23" fillId="0" fontId="2" numFmtId="0" xfId="0" applyAlignment="1" applyBorder="1" applyFont="1">
      <alignment shrinkToFit="0" vertical="center" wrapText="1"/>
    </xf>
    <xf borderId="57" fillId="0" fontId="41" numFmtId="0" xfId="0" applyBorder="1" applyFont="1"/>
    <xf borderId="57" fillId="0" fontId="35" numFmtId="0" xfId="0" applyAlignment="1" applyBorder="1" applyFont="1">
      <alignment shrinkToFit="0" vertical="center" wrapText="1"/>
    </xf>
    <xf borderId="21" fillId="0" fontId="2" numFmtId="0" xfId="0" applyAlignment="1" applyBorder="1" applyFont="1">
      <alignment vertical="center"/>
    </xf>
    <xf borderId="21" fillId="16" fontId="2" numFmtId="0" xfId="0" applyAlignment="1" applyBorder="1" applyFill="1" applyFont="1">
      <alignment horizontal="center" shrinkToFit="0" vertical="center" wrapText="1"/>
    </xf>
    <xf borderId="58" fillId="16" fontId="35" numFmtId="0" xfId="0" applyAlignment="1" applyBorder="1" applyFont="1">
      <alignment shrinkToFit="0" vertical="center" wrapText="1"/>
    </xf>
    <xf borderId="58" fillId="16" fontId="41" numFmtId="0" xfId="0" applyAlignment="1" applyBorder="1" applyFont="1">
      <alignment vertical="center"/>
    </xf>
    <xf borderId="21" fillId="16" fontId="2" numFmtId="0" xfId="0" applyAlignment="1" applyBorder="1" applyFont="1">
      <alignment shrinkToFit="0" vertical="center" wrapText="1"/>
    </xf>
    <xf borderId="58" fillId="16" fontId="2" numFmtId="0" xfId="0" applyAlignment="1" applyBorder="1" applyFont="1">
      <alignment shrinkToFit="0" vertical="center" wrapText="1"/>
    </xf>
    <xf borderId="21" fillId="16" fontId="41" numFmtId="0" xfId="0" applyBorder="1" applyFont="1"/>
    <xf borderId="57" fillId="0" fontId="41" numFmtId="0" xfId="0" applyAlignment="1" applyBorder="1" applyFont="1">
      <alignment vertical="center"/>
    </xf>
    <xf borderId="59" fillId="16" fontId="41" numFmtId="0" xfId="0" applyBorder="1" applyFont="1"/>
    <xf borderId="60" fillId="0" fontId="41" numFmtId="0" xfId="0" applyBorder="1" applyFont="1"/>
    <xf borderId="22" fillId="0" fontId="41" numFmtId="0" xfId="0" applyBorder="1" applyFont="1"/>
    <xf borderId="21" fillId="16" fontId="41" numFmtId="0" xfId="0" applyAlignment="1" applyBorder="1" applyFont="1">
      <alignment horizontal="center" shrinkToFit="0" vertical="center" wrapText="1"/>
    </xf>
    <xf borderId="21" fillId="16" fontId="41" numFmtId="0" xfId="0" applyAlignment="1" applyBorder="1" applyFont="1">
      <alignment shrinkToFit="0" vertical="center" wrapText="1"/>
    </xf>
    <xf borderId="61" fillId="16" fontId="41" numFmtId="0" xfId="0" applyAlignment="1" applyBorder="1" applyFont="1">
      <alignment shrinkToFit="0" vertical="center" wrapText="1"/>
    </xf>
    <xf borderId="21" fillId="16" fontId="41" numFmtId="0" xfId="0" applyAlignment="1" applyBorder="1" applyFont="1">
      <alignment vertical="bottom"/>
    </xf>
    <xf borderId="21" fillId="0" fontId="41" numFmtId="0" xfId="0" applyAlignment="1" applyBorder="1" applyFont="1">
      <alignment vertical="bottom"/>
    </xf>
    <xf borderId="26" fillId="0" fontId="2" numFmtId="0" xfId="0" applyAlignment="1" applyBorder="1" applyFont="1">
      <alignment shrinkToFit="0" vertical="center" wrapText="1"/>
    </xf>
    <xf borderId="25" fillId="0" fontId="41" numFmtId="0" xfId="0" applyBorder="1" applyFont="1"/>
    <xf borderId="48" fillId="15" fontId="42" numFmtId="0" xfId="0" applyAlignment="1" applyBorder="1" applyFont="1">
      <alignment vertical="center"/>
    </xf>
    <xf borderId="21" fillId="16" fontId="41" numFmtId="0" xfId="0" applyAlignment="1" applyBorder="1" applyFont="1">
      <alignment vertical="center"/>
    </xf>
    <xf borderId="22" fillId="0" fontId="2" numFmtId="0" xfId="0" applyAlignment="1" applyBorder="1" applyFont="1">
      <alignment horizontal="center" shrinkToFit="0" vertical="center" wrapText="1"/>
    </xf>
    <xf borderId="60" fillId="0" fontId="35" numFmtId="0" xfId="0" applyAlignment="1" applyBorder="1" applyFont="1">
      <alignment shrinkToFit="0" vertical="center" wrapText="1"/>
    </xf>
    <xf borderId="22" fillId="0" fontId="41" numFmtId="0" xfId="0" applyAlignment="1" applyBorder="1" applyFont="1">
      <alignment vertical="center"/>
    </xf>
    <xf borderId="22" fillId="0" fontId="2" numFmtId="0" xfId="0" applyAlignment="1" applyBorder="1" applyFont="1">
      <alignment shrinkToFit="0" vertical="center" wrapText="1"/>
    </xf>
    <xf borderId="21" fillId="16" fontId="35" numFmtId="0" xfId="0" applyAlignment="1" applyBorder="1" applyFont="1">
      <alignment shrinkToFit="0" vertical="center" wrapText="1"/>
    </xf>
    <xf borderId="25" fillId="0" fontId="2" numFmtId="0" xfId="0" applyAlignment="1" applyBorder="1" applyFont="1">
      <alignment horizontal="center" shrinkToFit="0" vertical="center" wrapText="1"/>
    </xf>
    <xf borderId="25" fillId="0" fontId="2" numFmtId="0" xfId="0" applyAlignment="1" applyBorder="1" applyFont="1">
      <alignment shrinkToFit="0" vertical="center" wrapText="1"/>
    </xf>
    <xf borderId="0" fillId="0" fontId="43" numFmtId="0" xfId="0" applyAlignment="1" applyFont="1">
      <alignment vertical="center"/>
    </xf>
    <xf borderId="0" fillId="4" fontId="41" numFmtId="0" xfId="0" applyAlignment="1" applyFont="1">
      <alignment vertical="center"/>
    </xf>
    <xf borderId="1" fillId="4" fontId="37"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4" fontId="44" numFmtId="0" xfId="0" applyAlignment="1" applyBorder="1" applyFont="1">
      <alignment shrinkToFit="0" vertical="center" wrapText="1"/>
    </xf>
    <xf borderId="16" fillId="4" fontId="44" numFmtId="0" xfId="0" applyAlignment="1" applyBorder="1" applyFont="1">
      <alignment horizontal="center" shrinkToFit="0" vertical="center" wrapText="1"/>
    </xf>
    <xf borderId="0" fillId="4" fontId="44" numFmtId="0" xfId="0" applyAlignment="1" applyFont="1">
      <alignment shrinkToFit="0" vertical="center" wrapText="1"/>
    </xf>
    <xf borderId="0" fillId="0" fontId="2" numFmtId="0" xfId="0" applyAlignment="1" applyFont="1">
      <alignment horizontal="center" vertical="center"/>
    </xf>
    <xf borderId="0" fillId="0" fontId="44" numFmtId="0" xfId="0" applyAlignment="1" applyFont="1">
      <alignment horizontal="center" vertical="center"/>
    </xf>
    <xf borderId="0" fillId="0" fontId="44" numFmtId="0" xfId="0" applyAlignment="1" applyFont="1">
      <alignment horizontal="center" shrinkToFit="0" vertical="center" wrapText="1"/>
    </xf>
    <xf borderId="0" fillId="0" fontId="44" numFmtId="0" xfId="0" applyAlignment="1" applyFont="1">
      <alignment horizontal="left" shrinkToFit="0" vertical="center" wrapText="1"/>
    </xf>
    <xf borderId="17" fillId="4" fontId="44" numFmtId="0" xfId="0" applyAlignment="1" applyBorder="1" applyFont="1">
      <alignment horizontal="center" shrinkToFit="0" vertical="center" wrapText="1"/>
    </xf>
    <xf borderId="54" fillId="4" fontId="37" numFmtId="0" xfId="0" applyAlignment="1" applyBorder="1" applyFont="1">
      <alignment horizontal="center" shrinkToFit="0" vertical="center" wrapText="1"/>
    </xf>
    <xf borderId="0" fillId="4" fontId="37" numFmtId="0" xfId="0" applyAlignment="1" applyFont="1">
      <alignment shrinkToFit="0" vertical="center" wrapText="1"/>
    </xf>
    <xf borderId="44" fillId="5" fontId="13" numFmtId="0" xfId="0" applyAlignment="1" applyBorder="1" applyFont="1">
      <alignment shrinkToFit="0" vertical="center" wrapText="1"/>
    </xf>
    <xf borderId="45" fillId="5" fontId="33" numFmtId="0" xfId="0" applyAlignment="1" applyBorder="1" applyFont="1">
      <alignment horizontal="center" shrinkToFit="0" vertical="center" wrapText="1"/>
    </xf>
    <xf borderId="45" fillId="4" fontId="2" numFmtId="0" xfId="0" applyAlignment="1" applyBorder="1" applyFont="1">
      <alignment horizontal="center" readingOrder="0" shrinkToFit="0" vertical="center" wrapText="1"/>
    </xf>
    <xf borderId="0" fillId="0" fontId="44" numFmtId="0" xfId="0" applyAlignment="1" applyFont="1">
      <alignment shrinkToFit="0" vertical="center" wrapText="1"/>
    </xf>
    <xf borderId="0" fillId="0" fontId="2" numFmtId="0" xfId="0" applyAlignment="1" applyFont="1">
      <alignment shrinkToFit="0" vertical="center" wrapText="1"/>
    </xf>
    <xf borderId="45" fillId="4" fontId="35" numFmtId="0" xfId="0" applyAlignment="1" applyBorder="1" applyFont="1">
      <alignment horizontal="center" readingOrder="0" shrinkToFit="0" vertical="center" wrapText="1"/>
    </xf>
    <xf borderId="28" fillId="4" fontId="35" numFmtId="0" xfId="0" applyAlignment="1" applyBorder="1" applyFont="1">
      <alignment horizontal="center" shrinkToFit="0" vertical="center" wrapText="1"/>
    </xf>
    <xf borderId="16" fillId="4" fontId="35" numFmtId="0" xfId="0" applyAlignment="1" applyBorder="1" applyFont="1">
      <alignment horizontal="center" shrinkToFit="0" vertical="center" wrapText="1"/>
    </xf>
    <xf borderId="0" fillId="4" fontId="2" numFmtId="0" xfId="0" applyAlignment="1" applyFont="1">
      <alignment horizontal="center" shrinkToFit="0" vertical="center" wrapText="1"/>
    </xf>
    <xf borderId="17" fillId="4" fontId="35" numFmtId="0" xfId="0" applyAlignment="1" applyBorder="1" applyFont="1">
      <alignment horizontal="center" shrinkToFit="0" vertical="center" wrapText="1"/>
    </xf>
    <xf borderId="54" fillId="4" fontId="35" numFmtId="0" xfId="0" applyAlignment="1" applyBorder="1" applyFont="1">
      <alignment horizontal="center" shrinkToFit="0" vertical="center" wrapText="1"/>
    </xf>
    <xf borderId="22" fillId="5" fontId="33" numFmtId="0" xfId="0" applyAlignment="1" applyBorder="1" applyFont="1">
      <alignment horizontal="center" shrinkToFit="0" vertical="center" wrapText="1"/>
    </xf>
    <xf borderId="48" fillId="5" fontId="33" numFmtId="0" xfId="0" applyAlignment="1" applyBorder="1" applyFont="1">
      <alignment horizontal="center" shrinkToFit="0" wrapText="1"/>
    </xf>
    <xf borderId="21" fillId="5" fontId="33" numFmtId="0" xfId="0" applyAlignment="1" applyBorder="1" applyFont="1">
      <alignment horizontal="center" shrinkToFit="0" wrapText="1"/>
    </xf>
    <xf borderId="1" fillId="14" fontId="2" numFmtId="0" xfId="0" applyAlignment="1" applyBorder="1" applyFont="1">
      <alignment vertical="center"/>
    </xf>
    <xf borderId="48" fillId="17" fontId="3" numFmtId="0" xfId="0" applyAlignment="1" applyBorder="1" applyFill="1" applyFont="1">
      <alignment vertical="center"/>
    </xf>
    <xf borderId="21" fillId="0" fontId="41" numFmtId="0" xfId="0" applyBorder="1" applyFont="1"/>
    <xf borderId="21" fillId="0" fontId="41" numFmtId="0" xfId="0" applyBorder="1" applyFont="1"/>
    <xf borderId="21" fillId="0" fontId="2" numFmtId="0" xfId="0" applyAlignment="1" applyBorder="1" applyFont="1">
      <alignment vertical="center"/>
    </xf>
    <xf borderId="21" fillId="0" fontId="35" numFmtId="0" xfId="0" applyAlignment="1" applyBorder="1" applyFont="1">
      <alignment horizontal="center" shrinkToFit="0" vertical="center" wrapText="1"/>
    </xf>
    <xf borderId="21" fillId="0" fontId="2" numFmtId="0" xfId="0" applyAlignment="1" applyBorder="1" applyFont="1">
      <alignment shrinkToFit="0" vertical="center" wrapText="1"/>
    </xf>
    <xf borderId="21" fillId="0" fontId="2" numFmtId="0" xfId="0" applyAlignment="1" applyBorder="1" applyFont="1">
      <alignment vertical="center"/>
    </xf>
    <xf borderId="21" fillId="0" fontId="2" numFmtId="0" xfId="0" applyAlignment="1" applyBorder="1" applyFont="1">
      <alignment horizontal="center" shrinkToFit="0" vertical="center" wrapText="1"/>
    </xf>
    <xf borderId="21" fillId="16" fontId="2" numFmtId="0" xfId="0" applyAlignment="1" applyBorder="1" applyFont="1">
      <alignment horizontal="center" shrinkToFit="0" vertical="center" wrapText="1"/>
    </xf>
    <xf borderId="21" fillId="16" fontId="2" numFmtId="0" xfId="0" applyAlignment="1" applyBorder="1" applyFont="1">
      <alignment horizontal="center" shrinkToFit="0" vertical="center" wrapText="1"/>
    </xf>
    <xf borderId="21" fillId="16" fontId="35" numFmtId="0" xfId="0" applyAlignment="1" applyBorder="1" applyFont="1">
      <alignment horizontal="center" shrinkToFit="0" vertical="center" wrapText="1"/>
    </xf>
    <xf borderId="21" fillId="16" fontId="2" numFmtId="0" xfId="0" applyAlignment="1" applyBorder="1" applyFont="1">
      <alignment shrinkToFit="0" vertical="center" wrapText="1"/>
    </xf>
    <xf borderId="21" fillId="0" fontId="35" numFmtId="0" xfId="0" applyAlignment="1" applyBorder="1" applyFont="1">
      <alignment horizontal="center" shrinkToFit="0" vertical="center" wrapText="1"/>
    </xf>
    <xf borderId="21" fillId="0" fontId="2" numFmtId="0" xfId="0" applyAlignment="1" applyBorder="1" applyFont="1">
      <alignment shrinkToFit="0" vertical="center" wrapText="1"/>
    </xf>
    <xf borderId="48" fillId="17" fontId="3" numFmtId="0" xfId="0" applyAlignment="1" applyBorder="1" applyFont="1">
      <alignment vertical="center"/>
    </xf>
    <xf borderId="21" fillId="0" fontId="41" numFmtId="0" xfId="0" applyAlignment="1" applyBorder="1" applyFont="1">
      <alignment horizontal="center" shrinkToFit="0" vertical="center" wrapText="1"/>
    </xf>
    <xf borderId="21" fillId="0" fontId="41" numFmtId="0" xfId="0" applyAlignment="1" applyBorder="1" applyFont="1">
      <alignment shrinkToFit="0" vertical="center" wrapText="1"/>
    </xf>
    <xf borderId="21" fillId="16" fontId="41" numFmtId="0" xfId="0" applyAlignment="1" applyBorder="1" applyFont="1">
      <alignment vertical="center"/>
    </xf>
    <xf borderId="21" fillId="16" fontId="41" numFmtId="0" xfId="0" applyAlignment="1" applyBorder="1" applyFont="1">
      <alignment horizontal="center" shrinkToFit="0" vertical="center" wrapText="1"/>
    </xf>
    <xf borderId="21" fillId="16" fontId="41" numFmtId="0" xfId="0" applyAlignment="1" applyBorder="1" applyFont="1">
      <alignment shrinkToFit="0" vertical="center" wrapText="1"/>
    </xf>
    <xf borderId="21" fillId="0" fontId="41" numFmtId="0" xfId="0" applyAlignment="1" applyBorder="1" applyFont="1">
      <alignment horizontal="center" shrinkToFit="0" vertical="center" wrapText="1"/>
    </xf>
    <xf borderId="21" fillId="0" fontId="41" numFmtId="0" xfId="0" applyAlignment="1" applyBorder="1" applyFont="1">
      <alignment shrinkToFit="0" vertical="center" wrapText="1"/>
    </xf>
    <xf borderId="21" fillId="16" fontId="41" numFmtId="0" xfId="0" applyAlignment="1" applyBorder="1" applyFont="1">
      <alignment vertical="center"/>
    </xf>
    <xf borderId="57" fillId="0" fontId="41" numFmtId="0" xfId="0" applyBorder="1" applyFont="1"/>
    <xf borderId="57" fillId="0" fontId="41" numFmtId="0" xfId="0" applyBorder="1" applyFont="1"/>
    <xf borderId="21" fillId="0" fontId="45" numFmtId="0" xfId="0" applyAlignment="1" applyBorder="1" applyFont="1">
      <alignment shrinkToFit="0" vertical="center" wrapText="1"/>
    </xf>
    <xf borderId="21" fillId="16" fontId="41" numFmtId="0" xfId="0" applyBorder="1" applyFont="1"/>
    <xf borderId="59" fillId="16" fontId="41" numFmtId="0" xfId="0" applyBorder="1" applyFont="1"/>
    <xf borderId="60" fillId="0" fontId="41" numFmtId="0" xfId="0" applyBorder="1" applyFont="1"/>
    <xf borderId="22" fillId="0" fontId="41" numFmtId="0" xfId="0" applyBorder="1" applyFont="1"/>
    <xf borderId="21" fillId="16" fontId="41" numFmtId="0" xfId="0" applyAlignment="1" applyBorder="1" applyFont="1">
      <alignment vertical="bottom"/>
    </xf>
    <xf borderId="21" fillId="0" fontId="41" numFmtId="0" xfId="0" applyAlignment="1" applyBorder="1" applyFont="1">
      <alignment vertical="bottom"/>
    </xf>
    <xf borderId="21" fillId="0" fontId="41" numFmtId="0" xfId="0" applyAlignment="1" applyBorder="1" applyFont="1">
      <alignment vertical="bottom"/>
    </xf>
    <xf borderId="25" fillId="0" fontId="41" numFmtId="0" xfId="0" applyBorder="1" applyFont="1"/>
    <xf borderId="21" fillId="16" fontId="2" numFmtId="0" xfId="0" applyAlignment="1" applyBorder="1" applyFont="1">
      <alignment shrinkToFit="0" vertical="center" wrapText="1"/>
    </xf>
    <xf borderId="1" fillId="17" fontId="2" numFmtId="0" xfId="0" applyAlignment="1" applyBorder="1" applyFont="1">
      <alignment vertical="center"/>
    </xf>
    <xf borderId="48" fillId="17" fontId="3" numFmtId="0" xfId="0" applyAlignment="1" applyBorder="1" applyFont="1">
      <alignment horizontal="center" vertical="center"/>
    </xf>
    <xf borderId="22" fillId="0" fontId="41" numFmtId="0" xfId="0" applyBorder="1" applyFont="1"/>
    <xf borderId="25" fillId="0" fontId="41" numFmtId="0" xfId="0" applyBorder="1" applyFont="1"/>
    <xf quotePrefix="1" borderId="21" fillId="0" fontId="41" numFmtId="0" xfId="0" applyAlignment="1" applyBorder="1" applyFont="1">
      <alignment shrinkToFit="0" vertical="center" wrapText="1"/>
    </xf>
    <xf borderId="21" fillId="0" fontId="41" numFmtId="0" xfId="0" applyAlignment="1" applyBorder="1" applyFont="1">
      <alignment vertical="center"/>
    </xf>
    <xf borderId="57" fillId="0" fontId="35" numFmtId="0" xfId="0" applyAlignment="1" applyBorder="1" applyFont="1">
      <alignment shrinkToFit="0" vertical="center" wrapText="1"/>
    </xf>
    <xf borderId="21" fillId="0" fontId="41" numFmtId="0" xfId="0" applyAlignment="1" applyBorder="1" applyFont="1">
      <alignment vertical="center"/>
    </xf>
    <xf borderId="1" fillId="4" fontId="44" numFmtId="0" xfId="0" applyAlignment="1" applyBorder="1" applyFont="1">
      <alignment horizontal="center" shrinkToFit="0" vertical="center" wrapText="1"/>
    </xf>
    <xf borderId="1" fillId="4" fontId="37" numFmtId="0" xfId="0" applyAlignment="1" applyBorder="1" applyFont="1">
      <alignment shrinkToFit="0" vertical="center" wrapText="1"/>
    </xf>
    <xf borderId="54" fillId="4" fontId="44" numFmtId="0" xfId="0" applyAlignment="1" applyBorder="1" applyFont="1">
      <alignment horizontal="center" shrinkToFit="0" vertical="center" wrapText="1"/>
    </xf>
    <xf borderId="45" fillId="5" fontId="46" numFmtId="0" xfId="0" applyAlignment="1" applyBorder="1" applyFont="1">
      <alignment horizontal="center" shrinkToFit="0" vertical="center" wrapText="1"/>
    </xf>
    <xf borderId="45" fillId="4" fontId="35" numFmtId="0" xfId="0" applyAlignment="1" applyBorder="1" applyFont="1">
      <alignment horizontal="center" shrinkToFit="0" vertical="center" wrapText="1"/>
    </xf>
    <xf borderId="28" fillId="4" fontId="2" numFmtId="0" xfId="0" applyAlignment="1" applyBorder="1" applyFont="1">
      <alignment horizontal="center" shrinkToFit="0" vertical="center" wrapText="1"/>
    </xf>
    <xf borderId="17" fillId="4" fontId="2" numFmtId="0" xfId="0" applyAlignment="1" applyBorder="1" applyFont="1">
      <alignment horizontal="center" shrinkToFit="0" vertical="center" wrapText="1"/>
    </xf>
    <xf borderId="22" fillId="5" fontId="47" numFmtId="0" xfId="0" applyAlignment="1" applyBorder="1" applyFont="1">
      <alignment horizontal="center" shrinkToFit="0" vertical="center" wrapText="1"/>
    </xf>
    <xf borderId="24" fillId="5" fontId="13" numFmtId="0" xfId="0" applyAlignment="1" applyBorder="1" applyFont="1">
      <alignment horizontal="center" shrinkToFit="0" vertical="center" wrapText="1"/>
    </xf>
    <xf borderId="62" fillId="5" fontId="13" numFmtId="0" xfId="0" applyAlignment="1" applyBorder="1" applyFont="1">
      <alignment horizontal="center" shrinkToFit="0" vertical="center" wrapText="1"/>
    </xf>
    <xf borderId="26" fillId="0" fontId="6" numFmtId="0" xfId="0" applyBorder="1" applyFont="1"/>
    <xf borderId="57" fillId="0" fontId="6" numFmtId="0" xfId="0" applyBorder="1" applyFont="1"/>
    <xf borderId="48" fillId="5" fontId="13" numFmtId="0" xfId="0" applyAlignment="1" applyBorder="1" applyFont="1">
      <alignment horizontal="center" shrinkToFit="0" vertical="center" wrapText="1"/>
    </xf>
    <xf borderId="0" fillId="5" fontId="13" numFmtId="0" xfId="0" applyAlignment="1" applyFont="1">
      <alignment horizontal="center" shrinkToFit="0" vertical="center" wrapText="1"/>
    </xf>
    <xf borderId="21" fillId="5" fontId="13" numFmtId="0" xfId="0" applyAlignment="1" applyBorder="1" applyFont="1">
      <alignment horizontal="center" shrinkToFit="0" vertical="center" wrapText="1"/>
    </xf>
    <xf borderId="21" fillId="5" fontId="13" numFmtId="0" xfId="0" applyAlignment="1" applyBorder="1" applyFont="1">
      <alignment horizontal="left" shrinkToFit="0" vertical="center" wrapText="1"/>
    </xf>
    <xf borderId="48" fillId="16" fontId="27" numFmtId="0" xfId="0" applyAlignment="1" applyBorder="1" applyFont="1">
      <alignment horizontal="left" readingOrder="0" shrinkToFit="0" vertical="center" wrapText="1"/>
    </xf>
    <xf borderId="21" fillId="18" fontId="3" numFmtId="0" xfId="0" applyAlignment="1" applyBorder="1" applyFill="1" applyFont="1">
      <alignment horizontal="center" readingOrder="0" shrinkToFit="0" vertical="center" wrapText="1"/>
    </xf>
    <xf borderId="21" fillId="0" fontId="2" numFmtId="0" xfId="0" applyAlignment="1" applyBorder="1" applyFont="1">
      <alignment horizontal="left" shrinkToFit="0" vertical="center" wrapText="1"/>
    </xf>
    <xf borderId="48" fillId="19" fontId="27" numFmtId="0" xfId="0" applyAlignment="1" applyBorder="1" applyFill="1" applyFont="1">
      <alignment horizontal="left" readingOrder="0" shrinkToFit="0" vertical="center" wrapText="1"/>
    </xf>
    <xf borderId="21" fillId="0" fontId="14" numFmtId="0" xfId="0" applyAlignment="1" applyBorder="1" applyFont="1">
      <alignment horizontal="center" readingOrder="0" shrinkToFit="0" vertical="center" wrapText="1"/>
    </xf>
    <xf borderId="48" fillId="14" fontId="3" numFmtId="0" xfId="0" applyAlignment="1" applyBorder="1" applyFont="1">
      <alignment horizontal="left" readingOrder="0" shrinkToFit="0" vertical="center" wrapText="1"/>
    </xf>
    <xf borderId="21" fillId="0" fontId="14" numFmtId="0" xfId="0" applyAlignment="1" applyBorder="1" applyFont="1">
      <alignment horizontal="center" shrinkToFit="0" vertical="center" wrapText="1"/>
    </xf>
    <xf borderId="21" fillId="0" fontId="14" numFmtId="0" xfId="0" applyAlignment="1" applyBorder="1" applyFont="1">
      <alignment horizontal="center" shrinkToFit="0" vertical="center" wrapText="1"/>
    </xf>
    <xf borderId="21" fillId="0" fontId="3" numFmtId="0" xfId="0" applyAlignment="1" applyBorder="1" applyFont="1">
      <alignment readingOrder="0" shrinkToFit="0" vertical="center" wrapText="1"/>
    </xf>
    <xf quotePrefix="1" borderId="21" fillId="0" fontId="2" numFmtId="0" xfId="0" applyAlignment="1" applyBorder="1" applyFont="1">
      <alignment readingOrder="0" shrinkToFit="0" vertical="center" wrapText="1"/>
    </xf>
    <xf borderId="21" fillId="0" fontId="14" numFmtId="0" xfId="0" applyAlignment="1" applyBorder="1" applyFont="1">
      <alignment readingOrder="0" shrinkToFit="0" vertical="center" wrapText="1"/>
    </xf>
    <xf quotePrefix="1" borderId="21" fillId="0" fontId="48" numFmtId="0" xfId="0" applyAlignment="1" applyBorder="1" applyFont="1">
      <alignment readingOrder="0" shrinkToFit="0" vertical="center" wrapText="1"/>
    </xf>
    <xf borderId="21" fillId="0" fontId="14" numFmtId="0" xfId="0" applyAlignment="1" applyBorder="1" applyFont="1">
      <alignment shrinkToFit="0" vertical="center" wrapText="1"/>
    </xf>
    <xf borderId="0" fillId="0" fontId="14" numFmtId="0" xfId="0" applyAlignment="1" applyFont="1">
      <alignment shrinkToFit="0" vertical="center" wrapText="1"/>
    </xf>
    <xf borderId="21" fillId="0" fontId="3" numFmtId="0" xfId="0" applyAlignment="1" applyBorder="1" applyFont="1">
      <alignment readingOrder="0" shrinkToFit="0" vertical="center" wrapText="1"/>
    </xf>
    <xf borderId="21" fillId="0" fontId="48" numFmtId="0" xfId="0" applyAlignment="1" applyBorder="1" applyFont="1">
      <alignment readingOrder="0" shrinkToFit="0" vertical="center" wrapText="1"/>
    </xf>
    <xf borderId="21" fillId="0" fontId="49" numFmtId="0" xfId="0" applyAlignment="1" applyBorder="1" applyFont="1">
      <alignment readingOrder="0" shrinkToFit="0" vertical="center" wrapText="1"/>
    </xf>
    <xf borderId="21" fillId="0" fontId="3" numFmtId="0" xfId="0" applyAlignment="1" applyBorder="1" applyFont="1">
      <alignment shrinkToFit="0" vertical="center" wrapText="1"/>
    </xf>
    <xf borderId="21" fillId="0" fontId="12" numFmtId="0" xfId="0" applyAlignment="1" applyBorder="1" applyFont="1">
      <alignment horizontal="left" readingOrder="0" shrinkToFit="0" vertical="center" wrapText="1"/>
    </xf>
    <xf borderId="48" fillId="20" fontId="3" numFmtId="0" xfId="0" applyAlignment="1" applyBorder="1" applyFill="1" applyFont="1">
      <alignment horizontal="left" readingOrder="0" shrinkToFit="0" vertical="center" wrapText="1"/>
    </xf>
    <xf borderId="21" fillId="21" fontId="50" numFmtId="0" xfId="0" applyAlignment="1" applyBorder="1" applyFill="1" applyFont="1">
      <alignment shrinkToFit="0" vertical="center" wrapText="1"/>
    </xf>
    <xf borderId="21" fillId="0" fontId="14" numFmtId="0" xfId="0" applyAlignment="1" applyBorder="1" applyFont="1">
      <alignment horizontal="left" shrinkToFit="0" vertical="center" wrapText="1"/>
    </xf>
    <xf borderId="0" fillId="0" fontId="14" numFmtId="0" xfId="0" applyAlignment="1" applyFont="1">
      <alignment horizontal="left" shrinkToFit="0" vertical="center" wrapText="1"/>
    </xf>
    <xf borderId="21" fillId="4" fontId="14" numFmtId="0" xfId="0" applyAlignment="1" applyBorder="1" applyFont="1">
      <alignment horizontal="center" shrinkToFit="0" vertical="center" wrapText="1"/>
    </xf>
    <xf borderId="21" fillId="4" fontId="3" numFmtId="0" xfId="0" applyAlignment="1" applyBorder="1" applyFont="1">
      <alignment readingOrder="0" shrinkToFit="0" vertical="center" wrapText="1"/>
    </xf>
    <xf borderId="21" fillId="4" fontId="14" numFmtId="0" xfId="0" applyAlignment="1" applyBorder="1" applyFont="1">
      <alignment readingOrder="0" shrinkToFit="0" vertical="center" wrapText="1"/>
    </xf>
    <xf borderId="21" fillId="4" fontId="14" numFmtId="0" xfId="0" applyAlignment="1" applyBorder="1" applyFont="1">
      <alignment shrinkToFit="0" vertical="center" wrapText="1"/>
    </xf>
    <xf borderId="21" fillId="21" fontId="51" numFmtId="0" xfId="0" applyAlignment="1" applyBorder="1" applyFont="1">
      <alignment readingOrder="0" shrinkToFit="0" vertical="center" wrapText="1"/>
    </xf>
    <xf borderId="21" fillId="0" fontId="14" numFmtId="0" xfId="0" applyAlignment="1" applyBorder="1" applyFont="1">
      <alignment shrinkToFit="0" vertical="center" wrapText="1"/>
    </xf>
    <xf borderId="21" fillId="4" fontId="3" numFmtId="0" xfId="0" applyAlignment="1" applyBorder="1" applyFont="1">
      <alignment shrinkToFit="0" vertical="center" wrapText="1"/>
    </xf>
    <xf borderId="21" fillId="0" fontId="14" numFmtId="0" xfId="0" applyAlignment="1" applyBorder="1" applyFont="1">
      <alignment horizontal="left" readingOrder="0" shrinkToFit="0" vertical="center" wrapText="1"/>
    </xf>
    <xf borderId="21" fillId="0" fontId="3" numFmtId="0" xfId="0" applyAlignment="1" applyBorder="1" applyFont="1">
      <alignment shrinkToFit="0" vertical="center" wrapText="1"/>
    </xf>
    <xf borderId="21" fillId="4" fontId="3" numFmtId="0" xfId="0" applyAlignment="1" applyBorder="1" applyFont="1">
      <alignment shrinkToFit="0" vertical="center" wrapText="1"/>
    </xf>
    <xf borderId="21" fillId="0" fontId="12" numFmtId="0" xfId="0" applyAlignment="1" applyBorder="1" applyFont="1">
      <alignment horizontal="left" shrinkToFit="0" vertical="center" wrapText="1"/>
    </xf>
    <xf borderId="21" fillId="0" fontId="12" numFmtId="0" xfId="0" applyAlignment="1" applyBorder="1" applyFont="1">
      <alignment horizontal="center" shrinkToFit="0" vertical="center" wrapText="1"/>
    </xf>
    <xf borderId="21" fillId="0" fontId="12" numFmtId="0" xfId="0" applyAlignment="1" applyBorder="1" applyFont="1">
      <alignment shrinkToFit="0" vertical="center" wrapText="1"/>
    </xf>
    <xf borderId="0" fillId="0" fontId="12" numFmtId="0" xfId="0" applyAlignment="1" applyFont="1">
      <alignment shrinkToFit="0" vertical="center" wrapText="1"/>
    </xf>
    <xf borderId="21" fillId="0" fontId="12" numFmtId="0" xfId="0" applyAlignment="1" applyBorder="1" applyFont="1">
      <alignment horizontal="center" readingOrder="0" shrinkToFit="0" vertical="center" wrapText="1"/>
    </xf>
    <xf borderId="21" fillId="4" fontId="12" numFmtId="0" xfId="0" applyAlignment="1" applyBorder="1" applyFont="1">
      <alignment horizontal="center" shrinkToFit="0" vertical="center" wrapText="1"/>
    </xf>
    <xf borderId="21" fillId="4" fontId="12" numFmtId="0" xfId="0" applyAlignment="1" applyBorder="1" applyFont="1">
      <alignment shrinkToFit="0" vertical="center" wrapText="1"/>
    </xf>
    <xf borderId="21" fillId="4" fontId="3" numFmtId="0" xfId="0" applyAlignment="1" applyBorder="1" applyFont="1">
      <alignment horizontal="center" readingOrder="0" shrinkToFit="0" vertical="center" wrapText="1"/>
    </xf>
    <xf borderId="0" fillId="4" fontId="12" numFmtId="0" xfId="0" applyAlignment="1" applyFont="1">
      <alignment shrinkToFit="0" vertical="center" wrapText="1"/>
    </xf>
    <xf borderId="21" fillId="4" fontId="12" numFmtId="0" xfId="0" applyAlignment="1" applyBorder="1" applyFont="1">
      <alignment horizontal="left" shrinkToFit="0" vertical="center" wrapText="1"/>
    </xf>
    <xf borderId="21" fillId="0" fontId="3" numFmtId="0" xfId="0" applyAlignment="1" applyBorder="1" applyFont="1">
      <alignment horizontal="left" readingOrder="0" shrinkToFit="0" vertical="center" wrapText="1"/>
    </xf>
    <xf borderId="0" fillId="0" fontId="12" numFmtId="0" xfId="0" applyAlignment="1" applyFont="1">
      <alignment horizontal="left" readingOrder="0" shrinkToFit="0" vertical="center" wrapText="1"/>
    </xf>
    <xf borderId="21" fillId="0" fontId="12" numFmtId="0" xfId="0" applyAlignment="1" applyBorder="1" applyFont="1">
      <alignment readingOrder="0" shrinkToFit="0" vertical="center" wrapText="1"/>
    </xf>
    <xf borderId="0" fillId="0" fontId="12" numFmtId="0" xfId="0" applyAlignment="1" applyFont="1">
      <alignment readingOrder="0" shrinkToFit="0" vertical="center" wrapText="1"/>
    </xf>
    <xf borderId="21" fillId="0" fontId="14" numFmtId="0" xfId="0" applyAlignment="1" applyBorder="1" applyFont="1">
      <alignment horizontal="center" readingOrder="0" shrinkToFit="0" vertical="center" wrapText="1"/>
    </xf>
    <xf borderId="21" fillId="4" fontId="12" numFmtId="0" xfId="0" applyAlignment="1" applyBorder="1" applyFont="1">
      <alignment horizontal="left" readingOrder="0" shrinkToFit="0" vertical="center" wrapText="1"/>
    </xf>
    <xf borderId="21" fillId="4" fontId="14" numFmtId="0" xfId="0" applyAlignment="1" applyBorder="1" applyFont="1">
      <alignment horizontal="center" readingOrder="0" shrinkToFit="0" vertical="center" wrapText="1"/>
    </xf>
    <xf borderId="0" fillId="0" fontId="12" numFmtId="0" xfId="0" applyAlignment="1" applyFont="1">
      <alignment horizontal="left" shrinkToFit="0" vertical="center" wrapText="1"/>
    </xf>
    <xf borderId="21" fillId="4" fontId="14" numFmtId="0" xfId="0" applyAlignment="1" applyBorder="1" applyFont="1">
      <alignment horizontal="center" readingOrder="0" shrinkToFit="0" vertical="center" wrapText="1"/>
    </xf>
    <xf borderId="21" fillId="0" fontId="14" numFmtId="0" xfId="0" applyAlignment="1" applyBorder="1" applyFont="1">
      <alignment readingOrder="0" shrinkToFit="0" vertical="center" wrapText="1"/>
    </xf>
    <xf borderId="21" fillId="4" fontId="14" numFmtId="0" xfId="0" applyAlignment="1" applyBorder="1" applyFont="1">
      <alignment horizontal="center" shrinkToFit="0" vertical="center" wrapText="1"/>
    </xf>
    <xf borderId="21" fillId="0"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21" fillId="0" fontId="2" numFmtId="0" xfId="0" applyAlignment="1" applyBorder="1" applyFont="1">
      <alignment readingOrder="0" shrinkToFit="0" vertical="center" wrapText="1"/>
    </xf>
    <xf borderId="50" fillId="4" fontId="14" numFmtId="0" xfId="0" applyAlignment="1" applyBorder="1" applyFont="1">
      <alignment shrinkToFit="0" vertical="center" wrapText="1"/>
    </xf>
    <xf borderId="21" fillId="21" fontId="50" numFmtId="0" xfId="0" applyAlignment="1" applyBorder="1" applyFont="1">
      <alignment readingOrder="0" shrinkToFit="0" vertical="center" wrapText="1"/>
    </xf>
    <xf borderId="23" fillId="0" fontId="3" numFmtId="0" xfId="0" applyAlignment="1" applyBorder="1" applyFont="1">
      <alignment shrinkToFit="0" vertical="center" wrapText="1"/>
    </xf>
    <xf borderId="23" fillId="0" fontId="14" numFmtId="0" xfId="0" applyAlignment="1" applyBorder="1" applyFont="1">
      <alignment shrinkToFit="0" vertical="center" wrapText="1"/>
    </xf>
    <xf borderId="57" fillId="0" fontId="14" numFmtId="0" xfId="0" applyAlignment="1" applyBorder="1" applyFont="1">
      <alignment horizontal="center" shrinkToFit="0" vertical="center" wrapText="1"/>
    </xf>
    <xf borderId="57" fillId="0" fontId="3" numFmtId="0" xfId="0" applyAlignment="1" applyBorder="1" applyFont="1">
      <alignment shrinkToFit="0" vertical="center" wrapText="1"/>
    </xf>
    <xf borderId="23" fillId="0" fontId="14" numFmtId="0" xfId="0" applyAlignment="1" applyBorder="1" applyFont="1">
      <alignment readingOrder="0" shrinkToFit="0" vertical="center" wrapText="1"/>
    </xf>
    <xf borderId="57" fillId="0" fontId="14" numFmtId="0" xfId="0" applyAlignment="1" applyBorder="1" applyFont="1">
      <alignment shrinkToFit="0" vertical="center" wrapText="1"/>
    </xf>
    <xf borderId="23" fillId="0" fontId="14" numFmtId="0" xfId="0" applyAlignment="1" applyBorder="1" applyFont="1">
      <alignment horizontal="center" shrinkToFit="0" vertical="center" wrapText="1"/>
    </xf>
    <xf borderId="58" fillId="4" fontId="3" numFmtId="0" xfId="0" applyAlignment="1" applyBorder="1" applyFont="1">
      <alignment shrinkToFit="0" vertical="center" wrapText="1"/>
    </xf>
    <xf borderId="21" fillId="0" fontId="52" numFmtId="0" xfId="0" applyAlignment="1" applyBorder="1" applyFont="1">
      <alignment horizontal="center" readingOrder="0" shrinkToFit="0" vertical="center" wrapText="1"/>
    </xf>
    <xf borderId="21" fillId="0" fontId="53" numFmtId="0" xfId="0" applyAlignment="1" applyBorder="1" applyFont="1">
      <alignment horizontal="center" readingOrder="0" shrinkToFit="0" vertical="center" wrapText="1"/>
    </xf>
    <xf borderId="21" fillId="0" fontId="53" numFmtId="0" xfId="0" applyAlignment="1" applyBorder="1" applyFont="1">
      <alignment horizontal="center" shrinkToFit="0" vertical="center" wrapText="1"/>
    </xf>
    <xf borderId="21" fillId="0" fontId="53" numFmtId="0" xfId="0" applyAlignment="1" applyBorder="1" applyFont="1">
      <alignment shrinkToFit="0" vertical="center" wrapText="1"/>
    </xf>
    <xf borderId="0" fillId="0" fontId="53" numFmtId="0" xfId="0" applyAlignment="1" applyFont="1">
      <alignment shrinkToFit="0" vertical="center" wrapText="1"/>
    </xf>
    <xf borderId="57" fillId="0" fontId="14" numFmtId="0" xfId="0" applyAlignment="1" applyBorder="1" applyFont="1">
      <alignment readingOrder="0" shrinkToFit="0" vertical="center" wrapText="1"/>
    </xf>
    <xf borderId="58" fillId="4" fontId="14" numFmtId="0" xfId="0" applyAlignment="1" applyBorder="1" applyFont="1">
      <alignment horizontal="center" shrinkToFit="0" vertical="center" wrapText="1"/>
    </xf>
    <xf borderId="21" fillId="4" fontId="12" numFmtId="0" xfId="0" applyAlignment="1" applyBorder="1" applyFont="1">
      <alignment horizontal="center" readingOrder="0" shrinkToFit="0" vertical="center" wrapText="1"/>
    </xf>
    <xf borderId="21" fillId="4" fontId="53" numFmtId="0" xfId="0" applyAlignment="1" applyBorder="1" applyFont="1">
      <alignment horizontal="center" shrinkToFit="0" vertical="center" wrapText="1"/>
    </xf>
    <xf borderId="21" fillId="4" fontId="53" numFmtId="0" xfId="0" applyAlignment="1" applyBorder="1" applyFont="1">
      <alignment shrinkToFit="0" vertical="center" wrapText="1"/>
    </xf>
    <xf borderId="21" fillId="4" fontId="52" numFmtId="0" xfId="0" applyAlignment="1" applyBorder="1" applyFont="1">
      <alignment horizontal="center" readingOrder="0" shrinkToFit="0" vertical="center" wrapText="1"/>
    </xf>
    <xf borderId="0" fillId="4" fontId="53" numFmtId="0" xfId="0" applyAlignment="1" applyFont="1">
      <alignment shrinkToFit="0" vertical="center" wrapText="1"/>
    </xf>
    <xf borderId="21" fillId="0" fontId="53" numFmtId="0" xfId="0" applyAlignment="1" applyBorder="1" applyFont="1">
      <alignment horizontal="left" shrinkToFit="0" vertical="center" wrapText="1"/>
    </xf>
    <xf borderId="21" fillId="0" fontId="52" numFmtId="0" xfId="0" applyAlignment="1" applyBorder="1" applyFont="1">
      <alignment horizontal="left" readingOrder="0" shrinkToFit="0" vertical="center" wrapText="1"/>
    </xf>
    <xf borderId="21" fillId="0" fontId="53" numFmtId="0" xfId="0" applyAlignment="1" applyBorder="1" applyFont="1">
      <alignment horizontal="left" readingOrder="0" shrinkToFit="0" vertical="center" wrapText="1"/>
    </xf>
    <xf borderId="21" fillId="4" fontId="53" numFmtId="0" xfId="0" applyAlignment="1" applyBorder="1" applyFont="1">
      <alignment horizontal="left" shrinkToFit="0" vertical="center" wrapText="1"/>
    </xf>
    <xf borderId="21" fillId="4" fontId="52" numFmtId="0" xfId="0" applyAlignment="1" applyBorder="1" applyFont="1">
      <alignment horizontal="left" readingOrder="0" shrinkToFit="0" vertical="center" wrapText="1"/>
    </xf>
    <xf borderId="0" fillId="4" fontId="53" numFmtId="0" xfId="0" applyAlignment="1" applyFont="1">
      <alignment horizontal="left" shrinkToFit="0" vertical="center" wrapText="1"/>
    </xf>
    <xf borderId="58" fillId="4" fontId="14" numFmtId="0" xfId="0" applyAlignment="1" applyBorder="1" applyFont="1">
      <alignment horizontal="center" readingOrder="0" shrinkToFit="0" vertical="center" wrapText="1"/>
    </xf>
    <xf borderId="63" fillId="0" fontId="14" numFmtId="0" xfId="0" applyAlignment="1" applyBorder="1" applyFont="1">
      <alignment readingOrder="0" shrinkToFit="0" vertical="center" wrapText="1"/>
    </xf>
    <xf borderId="60" fillId="0" fontId="14" numFmtId="0" xfId="0" applyAlignment="1" applyBorder="1" applyFont="1">
      <alignment shrinkToFit="0" vertical="center" wrapText="1"/>
    </xf>
    <xf borderId="21" fillId="0" fontId="52" numFmtId="0" xfId="0" applyAlignment="1" applyBorder="1" applyFont="1">
      <alignment horizontal="center" shrinkToFit="0" vertical="center" wrapText="1"/>
    </xf>
    <xf borderId="64" fillId="4" fontId="14" numFmtId="0" xfId="0" applyAlignment="1" applyBorder="1" applyFont="1">
      <alignment horizontal="center" shrinkToFit="0" vertical="center" wrapText="1"/>
    </xf>
    <xf borderId="21" fillId="0" fontId="52" numFmtId="0" xfId="0" applyAlignment="1" applyBorder="1" applyFont="1">
      <alignment horizontal="left" shrinkToFit="0" vertical="center" wrapText="1"/>
    </xf>
    <xf borderId="0" fillId="0" fontId="53" numFmtId="0" xfId="0" applyAlignment="1" applyFont="1">
      <alignment horizontal="left" shrinkToFit="0" vertical="center" wrapText="1"/>
    </xf>
    <xf borderId="21" fillId="0" fontId="13" numFmtId="0" xfId="0" applyAlignment="1" applyBorder="1" applyFont="1">
      <alignment horizontal="center" readingOrder="0" shrinkToFit="0" vertical="center" wrapText="1"/>
    </xf>
    <xf borderId="58" fillId="4" fontId="14" numFmtId="0" xfId="0" applyAlignment="1" applyBorder="1" applyFont="1">
      <alignment readingOrder="0" shrinkToFit="0" vertical="center" wrapText="1"/>
    </xf>
    <xf borderId="58" fillId="4" fontId="3" numFmtId="0" xfId="0" applyAlignment="1" applyBorder="1" applyFont="1">
      <alignment readingOrder="0" shrinkToFit="0" vertical="center" wrapText="1"/>
    </xf>
    <xf borderId="58" fillId="4" fontId="14" numFmtId="0" xfId="0" applyAlignment="1" applyBorder="1" applyFont="1">
      <alignment shrinkToFit="0" vertical="center" wrapText="1"/>
    </xf>
    <xf quotePrefix="1" borderId="21" fillId="4" fontId="14" numFmtId="0" xfId="0" applyAlignment="1" applyBorder="1" applyFont="1">
      <alignment readingOrder="0" shrinkToFit="0" vertical="center" wrapText="1"/>
    </xf>
    <xf borderId="48" fillId="22" fontId="3" numFmtId="0" xfId="0" applyAlignment="1" applyBorder="1" applyFill="1" applyFont="1">
      <alignment horizontal="left" readingOrder="0" shrinkToFit="0" vertical="center" wrapText="1"/>
    </xf>
    <xf borderId="21" fillId="0" fontId="54" numFmtId="0" xfId="0" applyAlignment="1" applyBorder="1" applyFont="1">
      <alignment horizontal="center" shrinkToFit="0" vertical="center" wrapText="1"/>
    </xf>
    <xf borderId="21" fillId="0" fontId="55" numFmtId="0" xfId="0" applyAlignment="1" applyBorder="1" applyFont="1">
      <alignment shrinkToFit="0" vertical="center" wrapText="1"/>
    </xf>
    <xf borderId="21" fillId="0" fontId="54" numFmtId="0" xfId="0" applyAlignment="1" applyBorder="1" applyFont="1">
      <alignment readingOrder="0" shrinkToFit="0" vertical="center" wrapText="1"/>
    </xf>
    <xf borderId="50" fillId="4" fontId="54" numFmtId="0" xfId="0" applyAlignment="1" applyBorder="1" applyFont="1">
      <alignment shrinkToFit="0" vertical="center" wrapText="1"/>
    </xf>
    <xf borderId="21" fillId="0" fontId="55" numFmtId="0" xfId="0" applyAlignment="1" applyBorder="1" applyFont="1">
      <alignment readingOrder="0" shrinkToFit="0" vertical="center" wrapText="1"/>
    </xf>
    <xf borderId="21" fillId="0" fontId="54" numFmtId="0" xfId="0" applyAlignment="1" applyBorder="1" applyFont="1">
      <alignment horizontal="center" shrinkToFit="0" vertical="center" wrapText="1"/>
    </xf>
    <xf borderId="50" fillId="4" fontId="54" numFmtId="0" xfId="0" applyAlignment="1" applyBorder="1" applyFont="1">
      <alignment readingOrder="0" shrinkToFit="0" vertical="center" wrapText="1"/>
    </xf>
    <xf quotePrefix="1" borderId="50" fillId="4" fontId="54" numFmtId="0" xfId="0" applyAlignment="1" applyBorder="1" applyFont="1">
      <alignment shrinkToFit="0" vertical="center" wrapText="1"/>
    </xf>
    <xf borderId="21" fillId="4" fontId="54" numFmtId="0" xfId="0" applyAlignment="1" applyBorder="1" applyFont="1">
      <alignment readingOrder="0" shrinkToFit="0" vertical="center" wrapText="1"/>
    </xf>
    <xf borderId="21" fillId="4" fontId="55" numFmtId="0" xfId="0" applyAlignment="1" applyBorder="1" applyFont="1">
      <alignment readingOrder="0" shrinkToFit="0" vertical="center" wrapText="1"/>
    </xf>
    <xf quotePrefix="1" borderId="21" fillId="4" fontId="54" numFmtId="0" xfId="0" applyAlignment="1" applyBorder="1" applyFont="1">
      <alignment readingOrder="0" shrinkToFit="0" vertical="center" wrapText="1"/>
    </xf>
    <xf borderId="21" fillId="0" fontId="43" numFmtId="0" xfId="0" applyBorder="1" applyFont="1"/>
    <xf quotePrefix="1" borderId="21" fillId="0" fontId="14" numFmtId="0" xfId="0" applyAlignment="1" applyBorder="1" applyFont="1">
      <alignment readingOrder="0" shrinkToFit="0" vertical="center" wrapText="1"/>
    </xf>
    <xf borderId="23" fillId="0" fontId="2" numFmtId="0" xfId="0" applyAlignment="1" applyBorder="1" applyFont="1">
      <alignment horizontal="center" shrinkToFit="0" vertical="center" wrapText="1"/>
    </xf>
    <xf quotePrefix="1" borderId="21" fillId="0" fontId="54" numFmtId="0" xfId="0" applyAlignment="1" applyBorder="1" applyFont="1">
      <alignment readingOrder="0" shrinkToFit="0" vertical="center" wrapText="1"/>
    </xf>
    <xf borderId="21" fillId="4" fontId="54" numFmtId="0" xfId="0" applyAlignment="1" applyBorder="1" applyFont="1">
      <alignment shrinkToFit="0" vertical="center" wrapText="1"/>
    </xf>
    <xf borderId="23" fillId="0" fontId="2" numFmtId="0" xfId="0" applyAlignment="1" applyBorder="1" applyFont="1">
      <alignment horizontal="center" readingOrder="0" shrinkToFit="0" vertical="center" wrapText="1"/>
    </xf>
    <xf borderId="21" fillId="4" fontId="55" numFmtId="0" xfId="0" applyAlignment="1" applyBorder="1" applyFont="1">
      <alignment shrinkToFit="0" vertical="center" wrapText="1"/>
    </xf>
    <xf borderId="21" fillId="0" fontId="44" numFmtId="0" xfId="0" applyAlignment="1" applyBorder="1" applyFont="1">
      <alignment readingOrder="0" shrinkToFit="0" vertical="center" wrapText="1"/>
    </xf>
    <xf borderId="21" fillId="0" fontId="54" numFmtId="0" xfId="0" applyAlignment="1" applyBorder="1" applyFont="1">
      <alignment shrinkToFit="0" vertical="center" wrapText="1"/>
    </xf>
    <xf borderId="21" fillId="16" fontId="55" numFmtId="0" xfId="0" applyAlignment="1" applyBorder="1" applyFont="1">
      <alignment shrinkToFit="0" vertical="center" wrapText="1"/>
    </xf>
    <xf borderId="21" fillId="16" fontId="55" numFmtId="0" xfId="0" applyAlignment="1" applyBorder="1" applyFont="1">
      <alignment readingOrder="0" shrinkToFit="0" vertical="center" wrapText="1"/>
    </xf>
    <xf borderId="21" fillId="4" fontId="55" numFmtId="0" xfId="0" applyAlignment="1" applyBorder="1" applyFont="1">
      <alignment horizontal="left" readingOrder="0" shrinkToFit="0" vertical="center" wrapText="1"/>
    </xf>
    <xf borderId="23" fillId="4" fontId="54" numFmtId="0" xfId="0" applyAlignment="1" applyBorder="1" applyFont="1">
      <alignment horizontal="left" shrinkToFit="0" vertical="center" wrapText="1"/>
    </xf>
    <xf borderId="23" fillId="0" fontId="54" numFmtId="0" xfId="0" applyAlignment="1" applyBorder="1" applyFont="1">
      <alignment horizontal="left" readingOrder="0" shrinkToFit="0" vertical="center" wrapText="1"/>
    </xf>
    <xf borderId="23" fillId="4" fontId="54" numFmtId="0" xfId="0" applyAlignment="1" applyBorder="1" applyFont="1">
      <alignment horizontal="left" readingOrder="0" shrinkToFit="0" vertical="center" wrapText="1"/>
    </xf>
    <xf borderId="25" fillId="4" fontId="55" numFmtId="0" xfId="0" applyAlignment="1" applyBorder="1" applyFont="1">
      <alignment horizontal="left" readingOrder="0" shrinkToFit="0" vertical="center" wrapText="1"/>
    </xf>
    <xf borderId="57" fillId="4" fontId="54" numFmtId="0" xfId="0" applyAlignment="1" applyBorder="1" applyFont="1">
      <alignment horizontal="left" shrinkToFit="0" vertical="center" wrapText="1"/>
    </xf>
    <xf borderId="57" fillId="4" fontId="54" numFmtId="0" xfId="0" applyAlignment="1" applyBorder="1" applyFont="1">
      <alignment horizontal="left" readingOrder="0" shrinkToFit="0" vertical="center" wrapText="1"/>
    </xf>
    <xf borderId="21" fillId="0" fontId="55" numFmtId="0" xfId="0" applyAlignment="1" applyBorder="1" applyFont="1">
      <alignment shrinkToFit="0" vertical="center" wrapText="1"/>
    </xf>
    <xf borderId="21" fillId="0" fontId="35" numFmtId="0" xfId="0" applyAlignment="1" applyBorder="1" applyFont="1">
      <alignment shrinkToFit="0" vertical="center" wrapText="1"/>
    </xf>
    <xf borderId="21" fillId="0" fontId="35" numFmtId="0" xfId="0" applyAlignment="1" applyBorder="1" applyFont="1">
      <alignment readingOrder="0" shrinkToFit="0" vertical="center" wrapText="1"/>
    </xf>
    <xf borderId="21" fillId="0" fontId="35" numFmtId="0" xfId="0" applyAlignment="1" applyBorder="1" applyFont="1">
      <alignment shrinkToFit="0" vertical="center" wrapText="1"/>
    </xf>
    <xf borderId="21" fillId="0" fontId="35" numFmtId="0" xfId="0" applyAlignment="1" applyBorder="1" applyFont="1">
      <alignment horizontal="center" readingOrder="0" shrinkToFit="0" vertical="center" wrapText="1"/>
    </xf>
    <xf borderId="21" fillId="0" fontId="44" numFmtId="0" xfId="0" applyAlignment="1" applyBorder="1" applyFont="1">
      <alignment horizontal="center" readingOrder="0" shrinkToFit="0" vertical="center" wrapText="1"/>
    </xf>
    <xf borderId="21" fillId="0" fontId="44" numFmtId="0" xfId="0" applyAlignment="1" applyBorder="1" applyFont="1">
      <alignment horizontal="center" shrinkToFit="0" vertical="center" wrapText="1"/>
    </xf>
    <xf borderId="21" fillId="0" fontId="33" numFmtId="0" xfId="0" applyAlignment="1" applyBorder="1" applyFont="1">
      <alignment horizontal="center" shrinkToFit="0" vertical="center" wrapText="1"/>
    </xf>
    <xf borderId="21" fillId="0" fontId="44" numFmtId="0" xfId="0" applyAlignment="1" applyBorder="1" applyFont="1">
      <alignment horizontal="left" shrinkToFit="0" vertical="center" wrapText="1"/>
    </xf>
    <xf borderId="21" fillId="0" fontId="44" numFmtId="0" xfId="0" applyAlignment="1" applyBorder="1" applyFont="1">
      <alignment shrinkToFit="0" vertical="center" wrapText="1"/>
    </xf>
    <xf borderId="0" fillId="0" fontId="44" numFmtId="0" xfId="0" applyAlignment="1" applyFont="1">
      <alignment horizontal="left" vertical="center"/>
    </xf>
    <xf borderId="0" fillId="0" fontId="2" numFmtId="0" xfId="0" applyAlignment="1" applyFont="1">
      <alignment horizontal="center"/>
    </xf>
    <xf borderId="0" fillId="0" fontId="44" numFmtId="0" xfId="0" applyAlignment="1" applyFont="1">
      <alignment vertical="center"/>
    </xf>
    <xf borderId="49" fillId="5" fontId="13" numFmtId="0" xfId="0" applyAlignment="1" applyBorder="1" applyFont="1">
      <alignment horizontal="center" shrinkToFit="0" vertical="center" wrapText="1"/>
    </xf>
    <xf borderId="23" fillId="5" fontId="13" numFmtId="0" xfId="0" applyAlignment="1" applyBorder="1" applyFont="1">
      <alignment horizontal="center" shrinkToFit="0" vertical="center" wrapText="1"/>
    </xf>
    <xf borderId="48" fillId="23" fontId="56" numFmtId="0" xfId="0" applyAlignment="1" applyBorder="1" applyFill="1" applyFont="1">
      <alignment readingOrder="0" shrinkToFit="0" vertical="center" wrapText="1"/>
    </xf>
    <xf borderId="21" fillId="0" fontId="14" numFmtId="0" xfId="0" applyAlignment="1" applyBorder="1" applyFont="1">
      <alignment shrinkToFit="0" vertical="top" wrapText="1"/>
    </xf>
    <xf borderId="21" fillId="0" fontId="14" numFmtId="0" xfId="0" applyAlignment="1" applyBorder="1" applyFont="1">
      <alignment shrinkToFit="0" vertical="top" wrapText="1"/>
    </xf>
    <xf borderId="21" fillId="0" fontId="14" numFmtId="0" xfId="0" applyAlignment="1" applyBorder="1" applyFont="1">
      <alignment readingOrder="0" shrinkToFit="0" vertical="top" wrapText="1"/>
    </xf>
    <xf borderId="21" fillId="0" fontId="14" numFmtId="0" xfId="0" applyAlignment="1" applyBorder="1" applyFont="1">
      <alignment vertical="center"/>
    </xf>
    <xf borderId="21" fillId="0" fontId="14" numFmtId="0" xfId="0" applyAlignment="1" applyBorder="1" applyFont="1">
      <alignment vertical="center"/>
    </xf>
    <xf borderId="48" fillId="23" fontId="57" numFmtId="0" xfId="0" applyAlignment="1" applyBorder="1" applyFont="1">
      <alignment readingOrder="0" shrinkToFit="0" vertical="center" wrapText="1"/>
    </xf>
    <xf borderId="21" fillId="4" fontId="3" numFmtId="0" xfId="0" applyAlignment="1" applyBorder="1" applyFont="1">
      <alignment horizontal="center" shrinkToFit="0" vertical="center" wrapText="1"/>
    </xf>
    <xf borderId="21" fillId="4" fontId="14" numFmtId="0" xfId="0" applyAlignment="1" applyBorder="1" applyFont="1">
      <alignment shrinkToFit="0" vertical="top" wrapText="1"/>
    </xf>
    <xf borderId="21" fillId="4" fontId="14" numFmtId="0" xfId="0" applyAlignment="1" applyBorder="1" applyFont="1">
      <alignment shrinkToFit="0" vertical="top" wrapText="1"/>
    </xf>
    <xf borderId="21" fillId="4" fontId="14" numFmtId="0" xfId="0" applyAlignment="1" applyBorder="1" applyFont="1">
      <alignment readingOrder="0" shrinkToFit="0" vertical="top" wrapText="1"/>
    </xf>
    <xf borderId="21" fillId="0" fontId="58" numFmtId="0" xfId="0" applyAlignment="1" applyBorder="1" applyFont="1">
      <alignment horizontal="center" shrinkToFit="0" vertical="center" wrapText="1"/>
    </xf>
    <xf borderId="21" fillId="0" fontId="59" numFmtId="0" xfId="0" applyAlignment="1" applyBorder="1" applyFont="1">
      <alignment horizontal="center" shrinkToFit="0" vertical="center" wrapText="1"/>
    </xf>
    <xf borderId="21" fillId="0" fontId="60" numFmtId="0" xfId="0" applyAlignment="1" applyBorder="1" applyFont="1">
      <alignment readingOrder="0" shrinkToFit="0" wrapText="1"/>
    </xf>
    <xf borderId="21" fillId="0" fontId="14" numFmtId="0" xfId="0" applyAlignment="1" applyBorder="1" applyFont="1">
      <alignment horizontal="center" vertical="center"/>
    </xf>
    <xf borderId="21" fillId="0" fontId="14" numFmtId="0" xfId="0" applyAlignment="1" applyBorder="1" applyFont="1">
      <alignment horizontal="center" vertical="center"/>
    </xf>
    <xf borderId="21" fillId="0" fontId="14" numFmtId="0" xfId="0" applyAlignment="1" applyBorder="1" applyFont="1">
      <alignment shrinkToFit="0" wrapText="1"/>
    </xf>
    <xf borderId="21" fillId="0" fontId="14" numFmtId="0" xfId="0" applyBorder="1" applyFont="1"/>
    <xf borderId="21" fillId="0" fontId="14" numFmtId="0" xfId="0" applyBorder="1" applyFont="1"/>
    <xf borderId="21" fillId="0" fontId="13" numFmtId="0" xfId="0" applyAlignment="1" applyBorder="1" applyFont="1">
      <alignment horizontal="center" readingOrder="0" vertical="center"/>
    </xf>
    <xf borderId="21" fillId="0" fontId="14" numFmtId="0" xfId="0" applyAlignment="1" applyBorder="1" applyFont="1">
      <alignment readingOrder="0" shrinkToFit="0" wrapText="1"/>
    </xf>
    <xf borderId="21" fillId="0" fontId="61" numFmtId="0" xfId="0" applyAlignment="1" applyBorder="1" applyFont="1">
      <alignment readingOrder="0" shrinkToFit="0" wrapText="1"/>
    </xf>
    <xf borderId="0" fillId="14" fontId="41" numFmtId="0" xfId="0" applyAlignment="1" applyFont="1">
      <alignment vertical="center"/>
    </xf>
    <xf borderId="21" fillId="19" fontId="3" numFmtId="0" xfId="0" applyAlignment="1" applyBorder="1" applyFont="1">
      <alignment horizontal="center" readingOrder="0" shrinkToFit="0" vertical="center" wrapText="1"/>
    </xf>
    <xf borderId="48" fillId="14" fontId="62" numFmtId="0" xfId="0" applyAlignment="1" applyBorder="1" applyFont="1">
      <alignment shrinkToFit="0" vertical="center" wrapText="1"/>
    </xf>
    <xf borderId="23" fillId="0" fontId="2" numFmtId="0" xfId="0" applyAlignment="1" applyBorder="1" applyFont="1">
      <alignment vertical="bottom"/>
    </xf>
    <xf borderId="21" fillId="0" fontId="2" numFmtId="0" xfId="0" applyAlignment="1" applyBorder="1" applyFont="1">
      <alignment vertical="bottom"/>
    </xf>
    <xf borderId="21" fillId="0" fontId="2" numFmtId="0" xfId="0" applyAlignment="1" applyBorder="1" applyFont="1">
      <alignment vertical="bottom"/>
    </xf>
    <xf borderId="21" fillId="0" fontId="41" numFmtId="0" xfId="0" applyAlignment="1" applyBorder="1" applyFont="1">
      <alignment readingOrder="0" vertical="center"/>
    </xf>
    <xf borderId="21" fillId="4" fontId="63" numFmtId="0" xfId="0" applyAlignment="1" applyBorder="1" applyFont="1">
      <alignment horizontal="center" shrinkToFit="0" wrapText="1"/>
    </xf>
    <xf borderId="21" fillId="4" fontId="64" numFmtId="0" xfId="0" applyAlignment="1" applyBorder="1" applyFont="1">
      <alignment shrinkToFit="0" wrapText="1"/>
    </xf>
    <xf borderId="21" fillId="4" fontId="64" numFmtId="0" xfId="0" applyAlignment="1" applyBorder="1" applyFont="1">
      <alignment shrinkToFit="0" wrapText="1"/>
    </xf>
    <xf borderId="21" fillId="0" fontId="2" numFmtId="0" xfId="0" applyAlignment="1" applyBorder="1" applyFont="1">
      <alignment vertical="top"/>
    </xf>
    <xf borderId="21" fillId="24" fontId="63" numFmtId="0" xfId="0" applyAlignment="1" applyBorder="1" applyFill="1" applyFont="1">
      <alignment horizontal="center" shrinkToFit="0" wrapText="1"/>
    </xf>
    <xf borderId="21" fillId="24" fontId="64" numFmtId="0" xfId="0" applyAlignment="1" applyBorder="1" applyFont="1">
      <alignment shrinkToFit="0" wrapText="1"/>
    </xf>
    <xf borderId="21" fillId="24" fontId="64" numFmtId="0" xfId="0" applyAlignment="1" applyBorder="1" applyFont="1">
      <alignment shrinkToFit="0" wrapText="1"/>
    </xf>
    <xf borderId="21" fillId="0" fontId="2" numFmtId="0" xfId="0" applyAlignment="1" applyBorder="1" applyFont="1">
      <alignment vertical="top"/>
    </xf>
    <xf borderId="21" fillId="4" fontId="64" numFmtId="0" xfId="0" applyAlignment="1" applyBorder="1" applyFont="1">
      <alignment horizontal="center" shrinkToFit="0" wrapText="1"/>
    </xf>
    <xf borderId="21" fillId="24" fontId="64" numFmtId="0" xfId="0" applyAlignment="1" applyBorder="1" applyFont="1">
      <alignment horizontal="center" shrinkToFit="0" wrapText="1"/>
    </xf>
    <xf borderId="21" fillId="4" fontId="65" numFmtId="0" xfId="0" applyAlignment="1" applyBorder="1" applyFont="1">
      <alignment horizontal="center" shrinkToFit="0" wrapText="1"/>
    </xf>
    <xf borderId="21" fillId="24" fontId="65" numFmtId="0" xfId="0" applyAlignment="1" applyBorder="1" applyFont="1">
      <alignment horizontal="center" shrinkToFit="0" wrapText="1"/>
    </xf>
    <xf borderId="48" fillId="14" fontId="62" numFmtId="0" xfId="0" applyAlignment="1" applyBorder="1" applyFont="1">
      <alignment shrinkToFit="0" vertical="center" wrapText="1"/>
    </xf>
    <xf borderId="21" fillId="4" fontId="63" numFmtId="0" xfId="0" applyAlignment="1" applyBorder="1" applyFont="1">
      <alignment horizontal="center" shrinkToFit="0" wrapText="1"/>
    </xf>
    <xf borderId="21" fillId="0" fontId="41" numFmtId="0" xfId="0" applyAlignment="1" applyBorder="1" applyFont="1">
      <alignment horizontal="center" shrinkToFit="0" vertical="top" wrapText="1"/>
    </xf>
    <xf borderId="21" fillId="24" fontId="64" numFmtId="0" xfId="0" applyAlignment="1" applyBorder="1" applyFont="1">
      <alignment horizontal="center" shrinkToFit="0" wrapText="1"/>
    </xf>
    <xf borderId="21" fillId="4" fontId="64" numFmtId="0" xfId="0" applyAlignment="1" applyBorder="1" applyFont="1">
      <alignment horizontal="center" shrinkToFit="0" wrapText="1"/>
    </xf>
    <xf borderId="21" fillId="24" fontId="63" numFmtId="0" xfId="0" applyAlignment="1" applyBorder="1" applyFont="1">
      <alignment horizontal="center" shrinkToFit="0" wrapText="1"/>
    </xf>
    <xf borderId="21" fillId="4" fontId="66" numFmtId="0" xfId="0" applyAlignment="1" applyBorder="1" applyFont="1">
      <alignment shrinkToFit="0" wrapText="1"/>
    </xf>
    <xf borderId="48" fillId="14" fontId="35" numFmtId="0" xfId="0" applyAlignment="1" applyBorder="1" applyFont="1">
      <alignment shrinkToFit="0" vertical="center" wrapText="1"/>
    </xf>
    <xf borderId="21" fillId="24" fontId="2" numFmtId="0" xfId="0" applyAlignment="1" applyBorder="1" applyFont="1">
      <alignment horizontal="center" shrinkToFit="0" vertical="top" wrapText="1"/>
    </xf>
    <xf borderId="21" fillId="24" fontId="2" numFmtId="0" xfId="0" applyAlignment="1" applyBorder="1" applyFont="1">
      <alignment shrinkToFit="0" vertical="top" wrapText="1"/>
    </xf>
    <xf borderId="21" fillId="4" fontId="2" numFmtId="0" xfId="0" applyAlignment="1" applyBorder="1" applyFont="1">
      <alignment horizontal="center" shrinkToFit="0" vertical="top" wrapText="1"/>
    </xf>
    <xf borderId="21" fillId="4" fontId="2" numFmtId="0" xfId="0" applyAlignment="1" applyBorder="1" applyFont="1">
      <alignment shrinkToFit="0" vertical="top" wrapText="1"/>
    </xf>
    <xf borderId="21" fillId="4" fontId="2" numFmtId="0" xfId="0" applyAlignment="1" applyBorder="1" applyFont="1">
      <alignment shrinkToFit="0" vertical="top" wrapText="1"/>
    </xf>
    <xf borderId="21" fillId="24" fontId="2" numFmtId="0" xfId="0" applyAlignment="1" applyBorder="1" applyFont="1">
      <alignment horizontal="center" shrinkToFit="0" vertical="top" wrapText="1"/>
    </xf>
    <xf borderId="21" fillId="24" fontId="2" numFmtId="0" xfId="0" applyAlignment="1" applyBorder="1" applyFont="1">
      <alignment shrinkToFit="0" vertical="top" wrapText="1"/>
    </xf>
    <xf borderId="21" fillId="4" fontId="2" numFmtId="0" xfId="0" applyAlignment="1" applyBorder="1" applyFont="1">
      <alignment horizontal="center" shrinkToFit="0" vertical="top" wrapText="1"/>
    </xf>
    <xf borderId="21" fillId="0" fontId="42" numFmtId="0" xfId="0" applyAlignment="1" applyBorder="1" applyFont="1">
      <alignment horizontal="center" shrinkToFit="0" vertical="top" wrapText="1"/>
    </xf>
    <xf borderId="21" fillId="0" fontId="41" numFmtId="0" xfId="0" applyAlignment="1" applyBorder="1" applyFont="1">
      <alignment shrinkToFit="0" vertical="top" wrapText="1"/>
    </xf>
    <xf borderId="21" fillId="0" fontId="41" numFmtId="0" xfId="0" applyAlignment="1" applyBorder="1" applyFont="1">
      <alignment shrinkToFit="0" vertical="top" wrapText="1"/>
    </xf>
    <xf borderId="48" fillId="15" fontId="42" numFmtId="0" xfId="0" applyAlignment="1" applyBorder="1" applyFont="1">
      <alignment shrinkToFit="0" vertical="center" wrapText="1"/>
    </xf>
    <xf borderId="65" fillId="0" fontId="6" numFmtId="0" xfId="0" applyBorder="1" applyFont="1"/>
    <xf borderId="0" fillId="0" fontId="41" numFmtId="0" xfId="0" applyAlignment="1" applyFont="1">
      <alignment horizontal="center" shrinkToFit="0" vertical="center" wrapText="1"/>
    </xf>
    <xf borderId="0" fillId="0" fontId="42" numFmtId="0" xfId="0" applyAlignment="1" applyFont="1">
      <alignment horizontal="center" shrinkToFit="0" vertical="top" wrapText="1"/>
    </xf>
    <xf borderId="0" fillId="0" fontId="41" numFmtId="0" xfId="0" applyAlignment="1" applyFont="1">
      <alignment shrinkToFit="0" vertical="top" wrapText="1"/>
    </xf>
    <xf borderId="0" fillId="0" fontId="41" numFmtId="0" xfId="0" applyAlignment="1" applyFont="1">
      <alignment shrinkToFit="0" vertical="top" wrapText="1"/>
    </xf>
    <xf borderId="0" fillId="0" fontId="2" numFmtId="0" xfId="0" applyAlignment="1" applyFont="1">
      <alignment vertical="top"/>
    </xf>
    <xf borderId="1" fillId="4" fontId="41" numFmtId="0" xfId="0" applyAlignment="1" applyBorder="1" applyFont="1">
      <alignment vertical="center"/>
    </xf>
    <xf borderId="0" fillId="0" fontId="41" numFmtId="0" xfId="0" applyAlignment="1" applyFont="1">
      <alignment vertical="center"/>
    </xf>
    <xf borderId="16" fillId="4" fontId="41" numFmtId="0" xfId="0" applyAlignment="1" applyBorder="1" applyFont="1">
      <alignment vertical="center"/>
    </xf>
    <xf borderId="17" fillId="4" fontId="41" numFmtId="0" xfId="0" applyAlignment="1" applyBorder="1" applyFont="1">
      <alignment vertical="center"/>
    </xf>
    <xf borderId="54" fillId="4" fontId="41" numFmtId="0" xfId="0" applyAlignment="1" applyBorder="1" applyFont="1">
      <alignment vertical="center"/>
    </xf>
    <xf borderId="0" fillId="5" fontId="41" numFmtId="0" xfId="0" applyAlignment="1" applyFont="1">
      <alignment vertical="center"/>
    </xf>
    <xf borderId="45" fillId="4" fontId="2" numFmtId="0" xfId="0" applyAlignment="1" applyBorder="1" applyFont="1">
      <alignment horizontal="center" shrinkToFit="0" vertical="center" wrapText="1"/>
    </xf>
    <xf borderId="28" fillId="4" fontId="41" numFmtId="0" xfId="0" applyAlignment="1" applyBorder="1" applyFont="1">
      <alignment vertical="center"/>
    </xf>
    <xf borderId="48" fillId="14" fontId="67" numFmtId="0" xfId="0" applyAlignment="1" applyBorder="1" applyFont="1">
      <alignment shrinkToFit="0" vertical="center" wrapText="1"/>
    </xf>
    <xf borderId="21" fillId="4" fontId="68" numFmtId="0" xfId="0" applyAlignment="1" applyBorder="1" applyFont="1">
      <alignment shrinkToFit="0" vertical="center" wrapText="1"/>
    </xf>
    <xf borderId="21" fillId="4" fontId="2" numFmtId="0" xfId="0" applyAlignment="1" applyBorder="1" applyFont="1">
      <alignment vertical="center"/>
    </xf>
    <xf borderId="21" fillId="4" fontId="68" numFmtId="0" xfId="0" applyAlignment="1" applyBorder="1" applyFont="1">
      <alignment readingOrder="0" shrinkToFit="0" vertical="center" wrapText="1"/>
    </xf>
    <xf borderId="48" fillId="19" fontId="3" numFmtId="0" xfId="0" applyAlignment="1" applyBorder="1" applyFont="1">
      <alignment shrinkToFit="0" vertical="center" wrapText="1"/>
    </xf>
    <xf borderId="21" fillId="4" fontId="68" numFmtId="0" xfId="0" applyAlignment="1" applyBorder="1" applyFont="1">
      <alignment shrinkToFit="0" vertical="top" wrapText="1"/>
    </xf>
    <xf borderId="21" fillId="4" fontId="69" numFmtId="0" xfId="0" applyAlignment="1" applyBorder="1" applyFont="1">
      <alignment shrinkToFit="0" vertical="top" wrapText="1"/>
    </xf>
    <xf borderId="21" fillId="4" fontId="2" numFmtId="0" xfId="0" applyAlignment="1" applyBorder="1" applyFont="1">
      <alignment vertical="top"/>
    </xf>
    <xf borderId="21" fillId="4" fontId="41" numFmtId="0" xfId="0" applyAlignment="1" applyBorder="1" applyFont="1">
      <alignment vertical="center"/>
    </xf>
    <xf borderId="21" fillId="4" fontId="41" numFmtId="0" xfId="0" applyAlignment="1" applyBorder="1" applyFont="1">
      <alignment vertical="center"/>
    </xf>
    <xf borderId="48" fillId="4" fontId="41" numFmtId="0" xfId="0" applyAlignment="1" applyBorder="1" applyFont="1">
      <alignment vertical="center"/>
    </xf>
    <xf borderId="48" fillId="19" fontId="3" numFmtId="0" xfId="0" applyAlignment="1" applyBorder="1" applyFont="1">
      <alignment readingOrder="0" shrinkToFit="0" vertical="center" wrapText="1"/>
    </xf>
    <xf borderId="21" fillId="0" fontId="41" numFmtId="0" xfId="0" applyAlignment="1" applyBorder="1" applyFont="1">
      <alignment readingOrder="0" shrinkToFit="0" vertical="center" wrapText="1"/>
    </xf>
    <xf borderId="21" fillId="4" fontId="68" numFmtId="0" xfId="0" applyAlignment="1" applyBorder="1" applyFont="1">
      <alignment horizontal="center" shrinkToFit="0" vertical="center" wrapText="1"/>
    </xf>
    <xf quotePrefix="1" borderId="21" fillId="0" fontId="14" numFmtId="0" xfId="0" applyAlignment="1" applyBorder="1" applyFont="1">
      <alignment shrinkToFit="0" vertical="center" wrapText="1"/>
    </xf>
    <xf borderId="21" fillId="0" fontId="70" numFmtId="0" xfId="0" applyAlignment="1" applyBorder="1" applyFont="1">
      <alignment readingOrder="0" shrinkToFit="0" vertical="center" wrapText="1"/>
    </xf>
    <xf quotePrefix="1" borderId="21" fillId="0" fontId="2" numFmtId="0" xfId="0" applyAlignment="1" applyBorder="1" applyFont="1">
      <alignment shrinkToFit="0" vertical="center" wrapText="1"/>
    </xf>
    <xf borderId="0" fillId="0" fontId="41" numFmtId="0" xfId="0" applyAlignment="1" applyFont="1">
      <alignment vertical="center"/>
    </xf>
    <xf borderId="21" fillId="4" fontId="68" numFmtId="0" xfId="0" applyAlignment="1" applyBorder="1" applyFont="1">
      <alignment readingOrder="0" shrinkToFit="0" vertical="top" wrapText="1"/>
    </xf>
    <xf borderId="48" fillId="25" fontId="3" numFmtId="0" xfId="0" applyAlignment="1" applyBorder="1" applyFill="1" applyFont="1">
      <alignment shrinkToFit="0" vertical="center" wrapText="1"/>
    </xf>
    <xf borderId="0" fillId="0" fontId="41" numFmtId="0" xfId="0" applyAlignment="1" applyFont="1">
      <alignment shrinkToFit="0" vertical="center" wrapText="1"/>
    </xf>
    <xf borderId="21" fillId="4" fontId="64" numFmtId="0" xfId="0" applyAlignment="1" applyBorder="1" applyFont="1">
      <alignment horizontal="center" shrinkToFit="0" vertical="center" wrapText="1"/>
    </xf>
    <xf borderId="21" fillId="4" fontId="64" numFmtId="0" xfId="0" applyAlignment="1" applyBorder="1" applyFont="1">
      <alignment shrinkToFit="0" vertical="center" wrapText="1"/>
    </xf>
    <xf borderId="21" fillId="4" fontId="64" numFmtId="0" xfId="0" applyAlignment="1" applyBorder="1" applyFont="1">
      <alignment readingOrder="0" shrinkToFit="0" vertical="center" wrapText="1"/>
    </xf>
    <xf borderId="21" fillId="4" fontId="2" numFmtId="0" xfId="0" applyAlignment="1" applyBorder="1" applyFont="1">
      <alignment shrinkToFit="0" vertical="center" wrapText="1"/>
    </xf>
    <xf borderId="21" fillId="0" fontId="64" numFmtId="0" xfId="0" applyAlignment="1" applyBorder="1" applyFont="1">
      <alignment readingOrder="0" shrinkToFit="0" vertical="center" wrapText="1"/>
    </xf>
    <xf borderId="48" fillId="25" fontId="3" numFmtId="0" xfId="0" applyAlignment="1" applyBorder="1" applyFont="1">
      <alignment shrinkToFit="0" vertical="center" wrapText="1"/>
    </xf>
    <xf borderId="21" fillId="4" fontId="64" numFmtId="0" xfId="0" applyAlignment="1" applyBorder="1" applyFont="1">
      <alignment horizontal="center" shrinkToFit="0" vertical="center" wrapText="1"/>
    </xf>
    <xf borderId="21" fillId="4" fontId="64" numFmtId="0" xfId="0" applyAlignment="1" applyBorder="1" applyFont="1">
      <alignment shrinkToFit="0" vertical="center" wrapText="1"/>
    </xf>
    <xf borderId="21" fillId="0" fontId="64" numFmtId="0" xfId="0" applyAlignment="1" applyBorder="1" applyFont="1">
      <alignment horizontal="center" shrinkToFit="0" vertical="center" wrapText="1"/>
    </xf>
    <xf borderId="21" fillId="0" fontId="64" numFmtId="0" xfId="0" applyAlignment="1" applyBorder="1" applyFont="1">
      <alignment shrinkToFit="0" vertical="center" wrapText="1"/>
    </xf>
    <xf borderId="21" fillId="26" fontId="2" numFmtId="0" xfId="0" applyAlignment="1" applyBorder="1" applyFill="1" applyFont="1">
      <alignment readingOrder="0" shrinkToFit="0" vertical="center" wrapText="1"/>
    </xf>
    <xf borderId="21" fillId="26" fontId="64" numFmtId="0" xfId="0" applyAlignment="1" applyBorder="1" applyFont="1">
      <alignment readingOrder="0" shrinkToFit="0" vertical="center" wrapText="1"/>
    </xf>
    <xf borderId="21" fillId="0" fontId="2" numFmtId="0" xfId="0" applyAlignment="1" applyBorder="1" applyFont="1">
      <alignment readingOrder="0" vertical="center"/>
    </xf>
    <xf borderId="48" fillId="25" fontId="3" numFmtId="0" xfId="0" applyAlignment="1" applyBorder="1" applyFont="1">
      <alignment readingOrder="0" shrinkToFit="0" vertical="center" wrapText="1"/>
    </xf>
    <xf borderId="21" fillId="0" fontId="64" numFmtId="0" xfId="0" applyAlignment="1" applyBorder="1" applyFont="1">
      <alignment horizontal="center" shrinkToFit="0" vertical="center" wrapText="1"/>
    </xf>
    <xf borderId="21" fillId="0" fontId="71" numFmtId="0" xfId="0" applyAlignment="1" applyBorder="1" applyFont="1">
      <alignment horizontal="center" readingOrder="0" shrinkToFit="0" vertical="center" wrapText="1"/>
    </xf>
    <xf borderId="48" fillId="4" fontId="12" numFmtId="0" xfId="0" applyAlignment="1" applyBorder="1" applyFont="1">
      <alignment shrinkToFit="0" vertical="center" wrapText="1"/>
    </xf>
    <xf borderId="0" fillId="4" fontId="12" numFmtId="0" xfId="0" applyAlignment="1" applyFont="1">
      <alignment horizontal="left" shrinkToFit="0" vertical="center" wrapText="1"/>
    </xf>
    <xf borderId="21" fillId="0" fontId="12" numFmtId="0" xfId="0" applyAlignment="1" applyBorder="1" applyFont="1">
      <alignment horizontal="center" readingOrder="0" shrinkToFit="0" vertical="center" wrapText="1"/>
    </xf>
    <xf borderId="48" fillId="0" fontId="12" numFmtId="0" xfId="0" applyAlignment="1" applyBorder="1" applyFont="1">
      <alignment shrinkToFit="0" vertical="center" wrapText="1"/>
    </xf>
    <xf borderId="0" fillId="0" fontId="3"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72"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0" fontId="3" numFmtId="0" xfId="0" applyAlignment="1" applyFont="1">
      <alignment horizontal="center" shrinkToFit="0" vertical="center" wrapText="1"/>
    </xf>
    <xf borderId="21" fillId="0" fontId="64" numFmtId="0" xfId="0" applyAlignment="1" applyBorder="1" applyFont="1">
      <alignment horizontal="center" readingOrder="0" shrinkToFit="0" vertical="center" wrapText="1"/>
    </xf>
    <xf borderId="21" fillId="0" fontId="64" numFmtId="0" xfId="0" applyAlignment="1" applyBorder="1" applyFont="1">
      <alignment shrinkToFit="0" vertical="center" wrapText="1"/>
    </xf>
    <xf borderId="0" fillId="0" fontId="2" numFmtId="0" xfId="0" applyFont="1"/>
    <xf borderId="21" fillId="26" fontId="64" numFmtId="0" xfId="0" applyAlignment="1" applyBorder="1" applyFont="1">
      <alignment shrinkToFit="0" vertical="center" wrapText="1"/>
    </xf>
    <xf borderId="21" fillId="4" fontId="14" numFmtId="0" xfId="0" applyAlignment="1" applyBorder="1" applyFont="1">
      <alignment vertical="center"/>
    </xf>
    <xf borderId="0" fillId="4" fontId="2" numFmtId="0" xfId="0" applyAlignment="1" applyFont="1">
      <alignment shrinkToFit="0" vertical="center" wrapText="1"/>
    </xf>
    <xf borderId="0" fillId="14" fontId="2" numFmtId="0" xfId="0" applyAlignment="1" applyFont="1">
      <alignment shrinkToFit="0" vertical="center" wrapText="1"/>
    </xf>
    <xf borderId="0" fillId="0" fontId="64" numFmtId="0" xfId="0" applyAlignment="1" applyFont="1">
      <alignment shrinkToFit="0" vertical="center" wrapText="1"/>
    </xf>
    <xf borderId="0" fillId="0" fontId="2" numFmtId="0" xfId="0" applyAlignment="1" applyFont="1">
      <alignment shrinkToFit="0" vertical="center" wrapText="1"/>
    </xf>
    <xf borderId="21" fillId="4" fontId="64"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0" fillId="0" fontId="2" numFmtId="0" xfId="0" applyAlignment="1" applyFont="1">
      <alignment vertical="center"/>
    </xf>
    <xf borderId="0" fillId="4" fontId="2" numFmtId="0" xfId="0" applyAlignment="1" applyFont="1">
      <alignment vertical="center"/>
    </xf>
    <xf borderId="0" fillId="4" fontId="14" numFmtId="0" xfId="0" applyAlignment="1" applyFont="1">
      <alignment horizontal="center" shrinkToFit="0" vertical="center" wrapText="1"/>
    </xf>
    <xf borderId="0" fillId="4" fontId="3" numFmtId="0" xfId="0" applyAlignment="1" applyFont="1">
      <alignment shrinkToFit="0" vertical="center" wrapText="1"/>
    </xf>
    <xf borderId="0" fillId="4" fontId="14" numFmtId="0" xfId="0" applyAlignment="1" applyFont="1">
      <alignment vertical="center"/>
    </xf>
    <xf borderId="0" fillId="4" fontId="14" numFmtId="0" xfId="0" applyAlignment="1" applyFont="1">
      <alignment shrinkToFit="0" vertical="center" wrapText="1"/>
    </xf>
    <xf borderId="0" fillId="0" fontId="13" numFmtId="0" xfId="0" applyAlignment="1" applyFont="1">
      <alignment horizontal="center" readingOrder="0" vertical="center"/>
    </xf>
    <xf borderId="0" fillId="0" fontId="14" numFmtId="0" xfId="0" applyAlignment="1" applyFont="1">
      <alignment horizontal="center" readingOrder="0" vertical="center"/>
    </xf>
    <xf borderId="0" fillId="0" fontId="14" numFmtId="0" xfId="0" applyAlignment="1" applyFont="1">
      <alignment vertical="center"/>
    </xf>
  </cellXfs>
  <cellStyles count="1">
    <cellStyle xfId="0" name="Normal" builtinId="0"/>
  </cellStyles>
  <dxfs count="8">
    <dxf>
      <font>
        <b/>
        <color rgb="FFFFFFFF"/>
      </font>
      <fill>
        <patternFill patternType="solid">
          <fgColor rgb="FF808080"/>
          <bgColor rgb="FF808080"/>
        </patternFill>
      </fill>
      <border/>
    </dxf>
    <dxf>
      <font>
        <b/>
        <color rgb="FFFFFFFF"/>
      </font>
      <fill>
        <patternFill patternType="solid">
          <fgColor rgb="FFFF0000"/>
          <bgColor rgb="FFFF0000"/>
        </patternFill>
      </fill>
      <border/>
    </dxf>
    <dxf>
      <font>
        <b/>
        <color rgb="FFFFFFFF"/>
      </font>
      <fill>
        <patternFill patternType="solid">
          <fgColor rgb="FF6FAC46"/>
          <bgColor rgb="FF6FAC46"/>
        </patternFill>
      </fill>
      <border/>
    </dxf>
    <dxf>
      <font/>
      <fill>
        <patternFill patternType="solid">
          <fgColor rgb="FFFFE699"/>
          <bgColor rgb="FFFFE699"/>
        </patternFill>
      </fill>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fill>
        <patternFill patternType="solid">
          <fgColor rgb="FFFFE699"/>
          <bgColor rgb="FFFFE699"/>
        </patternFill>
      </fill>
      <border>
        <left style="thin">
          <color rgb="FF000000"/>
        </left>
        <right style="thin">
          <color rgb="FF000000"/>
        </right>
        <top style="thin">
          <color rgb="FF000000"/>
        </top>
        <bottom style="thin">
          <color rgb="FF000000"/>
        </bottom>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533400</xdr:colOff>
      <xdr:row>2</xdr:row>
      <xdr:rowOff>76200</xdr:rowOff>
    </xdr:from>
    <xdr:ext cx="1695450" cy="542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26</xdr:row>
      <xdr:rowOff>285750</xdr:rowOff>
    </xdr:from>
    <xdr:ext cx="200025" cy="581025"/>
    <xdr:sp>
      <xdr:nvSpPr>
        <xdr:cNvPr id="3" name="Shape 3"/>
        <xdr:cNvSpPr txBox="1"/>
      </xdr:nvSpPr>
      <xdr:spPr>
        <a:xfrm>
          <a:off x="5250750" y="3494250"/>
          <a:ext cx="190500" cy="5715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171450</xdr:colOff>
      <xdr:row>0</xdr:row>
      <xdr:rowOff>0</xdr:rowOff>
    </xdr:from>
    <xdr:ext cx="17526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0</xdr:row>
      <xdr:rowOff>114300</xdr:rowOff>
    </xdr:from>
    <xdr:ext cx="17526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85725</xdr:rowOff>
    </xdr:from>
    <xdr:ext cx="17526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taging.tongdaiwifi.vn/" TargetMode="External"/><Relationship Id="rId2" Type="http://schemas.openxmlformats.org/officeDocument/2006/relationships/hyperlink" Target="https://staging.tongdaiwifi.vn/" TargetMode="External"/><Relationship Id="rId3" Type="http://schemas.openxmlformats.org/officeDocument/2006/relationships/hyperlink" Target="http://tongdaiwifi.vn/" TargetMode="External"/><Relationship Id="rId4" Type="http://schemas.openxmlformats.org/officeDocument/2006/relationships/hyperlink" Target="https://staging.tongdaiwifi.vn/"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foxproject.atlassian.net/browse/EP-891" TargetMode="External"/><Relationship Id="rId2" Type="http://schemas.openxmlformats.org/officeDocument/2006/relationships/hyperlink" Target="https://foxproject.atlassian.net/browse/EP-89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14" width="9.88"/>
    <col customWidth="1" min="15" max="15" width="11.75"/>
    <col customWidth="1" min="16" max="26" width="9.88"/>
  </cols>
  <sheetData>
    <row r="1" ht="39.75" customHeight="1">
      <c r="A1" s="1"/>
      <c r="B1" s="1"/>
      <c r="C1" s="1"/>
      <c r="D1" s="1"/>
      <c r="E1" s="1"/>
      <c r="F1" s="1"/>
      <c r="G1" s="1"/>
      <c r="H1" s="1"/>
      <c r="I1" s="1"/>
      <c r="J1" s="1"/>
      <c r="K1" s="1"/>
      <c r="L1" s="1"/>
      <c r="M1" s="1"/>
      <c r="N1" s="1"/>
      <c r="O1" s="1"/>
      <c r="P1" s="1"/>
      <c r="Q1" s="1"/>
      <c r="R1" s="1"/>
      <c r="S1" s="1"/>
      <c r="T1" s="1"/>
      <c r="U1" s="1"/>
      <c r="V1" s="1"/>
      <c r="W1" s="2"/>
      <c r="X1" s="2"/>
      <c r="Y1" s="2"/>
      <c r="Z1" s="2"/>
    </row>
    <row r="2" ht="39.75" customHeight="1">
      <c r="A2" s="1"/>
      <c r="B2" s="3"/>
      <c r="C2" s="4"/>
      <c r="D2" s="4"/>
      <c r="E2" s="4"/>
      <c r="F2" s="4"/>
      <c r="G2" s="4"/>
      <c r="H2" s="4"/>
      <c r="I2" s="4"/>
      <c r="J2" s="4"/>
      <c r="K2" s="4"/>
      <c r="L2" s="4"/>
      <c r="M2" s="4"/>
      <c r="N2" s="4"/>
      <c r="O2" s="5"/>
      <c r="P2" s="1"/>
      <c r="Q2" s="1"/>
      <c r="R2" s="1"/>
      <c r="S2" s="1"/>
      <c r="T2" s="1"/>
      <c r="U2" s="1"/>
      <c r="V2" s="1"/>
      <c r="W2" s="2"/>
      <c r="X2" s="2"/>
      <c r="Y2" s="2"/>
      <c r="Z2" s="2"/>
    </row>
    <row r="3" ht="39.75" customHeight="1">
      <c r="A3" s="1"/>
      <c r="B3" s="6"/>
      <c r="C3" s="1"/>
      <c r="D3" s="1"/>
      <c r="E3" s="1"/>
      <c r="F3" s="1"/>
      <c r="G3" s="1"/>
      <c r="H3" s="1"/>
      <c r="I3" s="1"/>
      <c r="J3" s="1"/>
      <c r="K3" s="1"/>
      <c r="L3" s="1"/>
      <c r="M3" s="1"/>
      <c r="N3" s="1"/>
      <c r="O3" s="7"/>
      <c r="P3" s="1"/>
      <c r="Q3" s="1"/>
      <c r="R3" s="1"/>
      <c r="S3" s="1"/>
      <c r="T3" s="1"/>
      <c r="U3" s="1"/>
      <c r="V3" s="1"/>
      <c r="W3" s="2"/>
      <c r="X3" s="2"/>
      <c r="Y3" s="2"/>
      <c r="Z3" s="2"/>
    </row>
    <row r="4" ht="39.75" customHeight="1">
      <c r="A4" s="1"/>
      <c r="B4" s="6"/>
      <c r="C4" s="1"/>
      <c r="D4" s="1"/>
      <c r="E4" s="1"/>
      <c r="F4" s="1"/>
      <c r="G4" s="1"/>
      <c r="H4" s="1"/>
      <c r="I4" s="8"/>
      <c r="J4" s="1"/>
      <c r="K4" s="1"/>
      <c r="L4" s="1"/>
      <c r="M4" s="1"/>
      <c r="N4" s="1"/>
      <c r="O4" s="7"/>
      <c r="P4" s="1"/>
      <c r="Q4" s="1"/>
      <c r="R4" s="1"/>
      <c r="S4" s="1"/>
      <c r="T4" s="1"/>
      <c r="U4" s="1"/>
      <c r="V4" s="1"/>
      <c r="W4" s="2"/>
      <c r="X4" s="2"/>
      <c r="Y4" s="2"/>
      <c r="Z4" s="2"/>
    </row>
    <row r="5" ht="39.75" customHeight="1">
      <c r="A5" s="1"/>
      <c r="B5" s="6"/>
      <c r="C5" s="1"/>
      <c r="D5" s="1"/>
      <c r="E5" s="1"/>
      <c r="F5" s="9"/>
      <c r="G5" s="1"/>
      <c r="H5" s="1"/>
      <c r="I5" s="1"/>
      <c r="J5" s="1"/>
      <c r="K5" s="1"/>
      <c r="L5" s="1"/>
      <c r="M5" s="1"/>
      <c r="N5" s="1"/>
      <c r="O5" s="7"/>
      <c r="P5" s="1"/>
      <c r="Q5" s="1"/>
      <c r="R5" s="1"/>
      <c r="S5" s="1"/>
      <c r="T5" s="1"/>
      <c r="U5" s="1"/>
      <c r="V5" s="1"/>
      <c r="W5" s="2"/>
      <c r="X5" s="2"/>
      <c r="Y5" s="2"/>
      <c r="Z5" s="2"/>
    </row>
    <row r="6" ht="39.75" customHeight="1">
      <c r="A6" s="1"/>
      <c r="B6" s="10" t="s">
        <v>0</v>
      </c>
      <c r="C6" s="11"/>
      <c r="D6" s="11"/>
      <c r="E6" s="11"/>
      <c r="F6" s="11"/>
      <c r="G6" s="11"/>
      <c r="H6" s="11"/>
      <c r="I6" s="11"/>
      <c r="J6" s="11"/>
      <c r="K6" s="11"/>
      <c r="L6" s="11"/>
      <c r="M6" s="11"/>
      <c r="N6" s="11"/>
      <c r="O6" s="12"/>
      <c r="P6" s="1"/>
      <c r="Q6" s="1"/>
      <c r="R6" s="1"/>
      <c r="S6" s="1"/>
      <c r="T6" s="1"/>
      <c r="U6" s="1"/>
      <c r="V6" s="1"/>
      <c r="W6" s="2"/>
      <c r="X6" s="2"/>
      <c r="Y6" s="2"/>
      <c r="Z6" s="2"/>
    </row>
    <row r="7" ht="39.75" customHeight="1">
      <c r="A7" s="1"/>
      <c r="B7" s="13" t="s">
        <v>1</v>
      </c>
      <c r="C7" s="11"/>
      <c r="D7" s="11"/>
      <c r="E7" s="11"/>
      <c r="F7" s="11"/>
      <c r="G7" s="11"/>
      <c r="H7" s="11"/>
      <c r="I7" s="11"/>
      <c r="J7" s="11"/>
      <c r="K7" s="11"/>
      <c r="L7" s="11"/>
      <c r="M7" s="11"/>
      <c r="N7" s="11"/>
      <c r="O7" s="12"/>
      <c r="P7" s="1"/>
      <c r="Q7" s="1"/>
      <c r="R7" s="1"/>
      <c r="S7" s="1"/>
      <c r="T7" s="1"/>
      <c r="U7" s="1"/>
      <c r="V7" s="1"/>
      <c r="W7" s="2"/>
      <c r="X7" s="2"/>
      <c r="Y7" s="2"/>
      <c r="Z7" s="2"/>
    </row>
    <row r="8" ht="39.75" customHeight="1">
      <c r="A8" s="1"/>
      <c r="B8" s="6"/>
      <c r="C8" s="1"/>
      <c r="D8" s="1"/>
      <c r="E8" s="1"/>
      <c r="F8" s="1"/>
      <c r="G8" s="1"/>
      <c r="H8" s="1"/>
      <c r="I8" s="1"/>
      <c r="J8" s="1"/>
      <c r="K8" s="1"/>
      <c r="L8" s="1"/>
      <c r="M8" s="1"/>
      <c r="N8" s="1"/>
      <c r="O8" s="7"/>
      <c r="P8" s="1"/>
      <c r="Q8" s="1"/>
      <c r="R8" s="1"/>
      <c r="S8" s="1"/>
      <c r="T8" s="1"/>
      <c r="U8" s="1"/>
      <c r="V8" s="1"/>
      <c r="W8" s="2"/>
      <c r="X8" s="2"/>
      <c r="Y8" s="2"/>
      <c r="Z8" s="2"/>
    </row>
    <row r="9" ht="39.75" customHeight="1">
      <c r="A9" s="1"/>
      <c r="B9" s="6"/>
      <c r="C9" s="1"/>
      <c r="D9" s="1"/>
      <c r="E9" s="1"/>
      <c r="F9" s="14" t="s">
        <v>2</v>
      </c>
      <c r="G9" s="15"/>
      <c r="H9" s="16"/>
      <c r="I9" s="17"/>
      <c r="J9" s="15"/>
      <c r="K9" s="16"/>
      <c r="L9" s="1"/>
      <c r="M9" s="1"/>
      <c r="N9" s="1"/>
      <c r="O9" s="7"/>
      <c r="P9" s="1"/>
      <c r="Q9" s="1"/>
      <c r="R9" s="1"/>
      <c r="S9" s="1"/>
      <c r="T9" s="1"/>
      <c r="U9" s="1"/>
      <c r="V9" s="1"/>
      <c r="W9" s="1"/>
      <c r="X9" s="1"/>
      <c r="Y9" s="1"/>
      <c r="Z9" s="1"/>
    </row>
    <row r="10" ht="39.75" customHeight="1">
      <c r="A10" s="1"/>
      <c r="B10" s="6"/>
      <c r="C10" s="1"/>
      <c r="D10" s="1"/>
      <c r="E10" s="1"/>
      <c r="F10" s="14" t="s">
        <v>3</v>
      </c>
      <c r="G10" s="15"/>
      <c r="H10" s="16"/>
      <c r="I10" s="18" t="s">
        <v>4</v>
      </c>
      <c r="J10" s="15"/>
      <c r="K10" s="16"/>
      <c r="L10" s="1"/>
      <c r="M10" s="1"/>
      <c r="N10" s="1"/>
      <c r="O10" s="7"/>
      <c r="P10" s="1"/>
      <c r="Q10" s="1"/>
      <c r="R10" s="1"/>
      <c r="S10" s="1"/>
      <c r="T10" s="1"/>
      <c r="U10" s="1"/>
      <c r="V10" s="1"/>
      <c r="W10" s="1"/>
      <c r="X10" s="1"/>
      <c r="Y10" s="1"/>
      <c r="Z10" s="1"/>
    </row>
    <row r="11" ht="39.75" customHeight="1">
      <c r="A11" s="1"/>
      <c r="B11" s="6"/>
      <c r="C11" s="1"/>
      <c r="D11" s="1"/>
      <c r="E11" s="1"/>
      <c r="F11" s="14" t="s">
        <v>5</v>
      </c>
      <c r="G11" s="15"/>
      <c r="H11" s="16"/>
      <c r="I11" s="19"/>
      <c r="J11" s="15"/>
      <c r="K11" s="16"/>
      <c r="L11" s="1"/>
      <c r="M11" s="1"/>
      <c r="N11" s="1"/>
      <c r="O11" s="7"/>
      <c r="P11" s="1"/>
      <c r="Q11" s="1"/>
      <c r="R11" s="1"/>
      <c r="S11" s="1"/>
      <c r="T11" s="1"/>
      <c r="U11" s="1"/>
      <c r="V11" s="20"/>
      <c r="W11" s="1"/>
      <c r="X11" s="1"/>
      <c r="Y11" s="1"/>
      <c r="Z11" s="1"/>
    </row>
    <row r="12" ht="39.75" customHeight="1">
      <c r="A12" s="1"/>
      <c r="B12" s="6"/>
      <c r="C12" s="1"/>
      <c r="D12" s="1"/>
      <c r="E12" s="1"/>
      <c r="F12" s="1"/>
      <c r="G12" s="1"/>
      <c r="H12" s="1"/>
      <c r="I12" s="1"/>
      <c r="J12" s="1"/>
      <c r="K12" s="1"/>
      <c r="L12" s="1"/>
      <c r="M12" s="1"/>
      <c r="N12" s="1"/>
      <c r="O12" s="7"/>
      <c r="P12" s="1"/>
      <c r="Q12" s="1"/>
      <c r="R12" s="1"/>
      <c r="S12" s="1"/>
      <c r="T12" s="1"/>
      <c r="U12" s="1"/>
      <c r="V12" s="1"/>
      <c r="W12" s="1"/>
      <c r="X12" s="1"/>
      <c r="Y12" s="1"/>
      <c r="Z12" s="1"/>
    </row>
    <row r="13" ht="39.75" customHeight="1">
      <c r="A13" s="1"/>
      <c r="B13" s="21"/>
      <c r="C13" s="22"/>
      <c r="D13" s="22"/>
      <c r="E13" s="22"/>
      <c r="F13" s="22"/>
      <c r="G13" s="22"/>
      <c r="H13" s="22"/>
      <c r="I13" s="22"/>
      <c r="J13" s="22"/>
      <c r="K13" s="22"/>
      <c r="L13" s="22"/>
      <c r="M13" s="22"/>
      <c r="N13" s="22"/>
      <c r="O13" s="23"/>
      <c r="P13" s="1"/>
      <c r="Q13" s="1"/>
      <c r="R13" s="1"/>
      <c r="S13" s="1"/>
      <c r="T13" s="1"/>
      <c r="U13" s="1"/>
      <c r="V13" s="1"/>
      <c r="W13" s="1"/>
      <c r="X13" s="1"/>
      <c r="Y13" s="1"/>
      <c r="Z13" s="1"/>
    </row>
    <row r="14" ht="39.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39.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39.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39.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39.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39.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39.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39.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39.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9.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39.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39.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39.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39.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39.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39.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39.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39.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39.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39.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39.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39.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39.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9.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39.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39.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3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3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3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3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3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3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3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3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3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3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3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3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3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3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3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3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3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3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3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3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3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3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3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3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3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3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3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3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3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3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3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3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3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3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3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3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3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3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3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3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3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3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3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3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3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3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3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3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3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3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3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3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3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3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3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3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3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3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3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3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3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3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3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3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3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3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3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3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3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3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3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3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3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3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3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3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3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3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3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3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3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3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3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3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3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3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3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3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3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3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3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3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3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3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3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3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3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3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3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3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3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3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3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3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3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3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3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3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3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3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3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3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3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3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3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3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3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3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3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3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3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3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3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3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3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3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3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3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3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3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3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3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3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3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3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3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3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3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3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3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3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3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3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3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3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3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3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3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3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3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3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3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3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3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3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3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3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3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3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3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3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3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3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3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3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3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3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3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3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3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3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3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3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3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3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3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3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3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3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3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3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39.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39.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39.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39.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39.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39.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39.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39.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39.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39.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39.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39.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39.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39.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39.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39.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39.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39.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39.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39.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39.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39.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39.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39.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39.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39.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39.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39.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39.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39.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39.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39.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39.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39.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39.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39.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39.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39.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39.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39.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39.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39.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39.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39.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39.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39.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39.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39.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39.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39.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39.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39.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39.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39.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39.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39.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9.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9.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9.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9.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9.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9.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9.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9.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9.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9.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9.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9.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9.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9.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9.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9.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9.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9.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9.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9.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9.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9.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9.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9.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9.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9.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9.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9.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9.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9.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9.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9.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9.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9.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9.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9.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9.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9.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9.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9.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9.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9.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9.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9.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9.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9.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9.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9.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9.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9.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9.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9.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9.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9.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9.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9.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9.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9.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9.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9.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9.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9.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9.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9.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9.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9.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9.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9.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9.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9.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9.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9.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9.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9.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9.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9.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9.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9.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9.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9.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9.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9.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9.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9.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9.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9.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9.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9.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9.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9.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9.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9.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9.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9.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9.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9.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9.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9.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9.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9.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9.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9.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9.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9.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9.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9.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9.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9.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9.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9.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9.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9.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9.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9.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9.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9.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9.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9.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9.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9.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9.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9.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9.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9.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9.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9.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9.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9.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9.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9.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9.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9.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9.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9.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9.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9.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9.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9.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9.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9.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9.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9.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9.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9.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9.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9.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9.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9.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9.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9.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9.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9.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9.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9.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9.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9.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9.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9.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9.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9.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9.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9.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9.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9.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9.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9.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9.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9.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9.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9.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9.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9.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9.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9.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9.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9.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9.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9.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9.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9.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9.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9.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9.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9.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9.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9.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9.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9.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9.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9.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9.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9.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9.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9.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9.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9.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9.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9.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9.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9.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9.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9.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9.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9.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9.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9.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9.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9.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9.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9.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9.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9.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9.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9.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9.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9.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9.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9.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9.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9.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9.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9.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9.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9.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9.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9.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9.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9.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9.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9.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9.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9.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9.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9.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9.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9.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9.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9.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9.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9.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9.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9.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9.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9.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9.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9.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9.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9.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9.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9.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9.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9.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9.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9.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9.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9.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9.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9.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9.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9.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9.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9.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9.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9.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9.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9.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9.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9.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9.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9.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9.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9.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9.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9.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9.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9.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9.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9.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9.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9.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9.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9.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9.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9.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9.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9.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9.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9.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9.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9.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9.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9.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9.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9.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9.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9.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9.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9.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9.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9.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9.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9.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9.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9.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9.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9.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9.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9.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9.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9.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9.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9.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9.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9.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9.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9.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9.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9.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9.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9.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9.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9.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9.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9.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9.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9.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9.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9.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9.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9.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9.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9.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9.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9.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9.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9.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9.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9.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9.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9.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9.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9.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9.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9.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9.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9.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9.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9.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9.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9.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9.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9.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9.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9.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9.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9.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9.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9.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9.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9.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9.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9.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9.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9.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9.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9.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9.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9.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9.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9.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9.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9.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9.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9.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9.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9.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9.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9.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9.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9.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9.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9.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9.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9.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9.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9.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9.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9.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9.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9.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9.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9.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9.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9.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9.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9.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9.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9.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9.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9.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9.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9.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9.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9.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9.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9.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9.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9.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9.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9.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9.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9.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9.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9.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9.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9.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9.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9.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9.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9.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9.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9.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9.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9.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9.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9.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9.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9.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9.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9.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9.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9.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9.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9.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9.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9.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9.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9.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9.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9.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9.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9.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9.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9.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9.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9.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9.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9.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9.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9.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9.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9.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9.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9.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9.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9.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9.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9.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9.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9.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9.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9.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9.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9.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9.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9.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9.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9.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9.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9.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9.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9.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9.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9.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9.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9.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9.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9.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9.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9.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9.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9.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9.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9.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9.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9.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9.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9.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9.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9.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9.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9.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9.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9.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9.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9.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9.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9.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9.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9.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9.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9.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9.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9.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9.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9.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9.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9.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9.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9.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9.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9.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9.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9.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9.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9.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9.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9.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9.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9.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9.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9.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9.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9.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9.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9.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9.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9.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9.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9.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9.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9.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9.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9.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9.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9.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9.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9.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9.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9.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9.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9.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9.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9.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9.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9.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9.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9.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9.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9.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9.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9.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9.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9.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9.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9.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9.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9.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9.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9.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9.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9.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9.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9.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9.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9.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9.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9.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9.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9.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9.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9.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9.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9.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9.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9.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9.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9.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9.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9.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9.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9.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9.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9.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9.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9.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9.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9.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9.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9.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9.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9.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9.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9.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9.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9.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9.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9.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9.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9.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9.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9.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9.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9.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9.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9.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9.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9.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9.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9.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9.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9.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9.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9.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9.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9.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9.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9.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9.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9.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9.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9.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9.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9.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9.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9.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9.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9.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9.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9.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9.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9.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9.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9.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9.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9.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9.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9.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9.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9.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9.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9.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9.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9.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9.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9.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9.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9.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9.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9.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9.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9.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9.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9.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9.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9.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9.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9.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9.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9.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9.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9.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9.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9.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9.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9.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9.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9.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9.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9.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9.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9.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9.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9.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9.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9.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9.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9.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9.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9.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9.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9.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9.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9.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9.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9.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9.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9.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9.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9.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9.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9.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9.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9.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9.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9.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9.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9.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9.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9.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9.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9.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9.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9.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9.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9.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9.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9.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9.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9.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9.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9.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9.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9.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9.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9.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9.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9.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9.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9.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9.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9.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9.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9.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B6:O6"/>
    <mergeCell ref="B7:O7"/>
    <mergeCell ref="F9:H9"/>
    <mergeCell ref="I9:K9"/>
    <mergeCell ref="F10:H10"/>
    <mergeCell ref="I10:K10"/>
    <mergeCell ref="F11:H11"/>
    <mergeCell ref="I11:K1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1.88"/>
    <col customWidth="1" min="3" max="4" width="22.88"/>
    <col customWidth="1" min="5" max="5" width="22.63"/>
    <col customWidth="1" min="6" max="6" width="41.75"/>
    <col customWidth="1" min="7" max="7" width="63.25"/>
    <col customWidth="1" min="8" max="8" width="18.38"/>
    <col customWidth="1" min="9" max="26" width="11.88"/>
    <col customWidth="1" min="27" max="27" width="14.38"/>
  </cols>
  <sheetData>
    <row r="1">
      <c r="A1" s="24"/>
      <c r="B1" s="25"/>
      <c r="C1" s="26" t="s">
        <v>6</v>
      </c>
      <c r="D1" s="11"/>
      <c r="E1" s="11"/>
      <c r="F1" s="11"/>
      <c r="G1" s="11"/>
      <c r="H1" s="11"/>
      <c r="I1" s="25"/>
      <c r="J1" s="25"/>
      <c r="K1" s="25"/>
      <c r="L1" s="25"/>
      <c r="M1" s="25"/>
      <c r="N1" s="25"/>
      <c r="O1" s="25"/>
      <c r="P1" s="25"/>
      <c r="Q1" s="25"/>
      <c r="R1" s="25"/>
      <c r="S1" s="25"/>
      <c r="T1" s="25"/>
      <c r="U1" s="25"/>
      <c r="V1" s="25"/>
      <c r="W1" s="25"/>
      <c r="X1" s="25"/>
      <c r="Y1" s="25"/>
      <c r="Z1" s="25"/>
      <c r="AA1" s="27"/>
    </row>
    <row r="2">
      <c r="A2" s="24"/>
      <c r="B2" s="25"/>
      <c r="C2" s="25"/>
      <c r="D2" s="25"/>
      <c r="E2" s="25"/>
      <c r="F2" s="25"/>
      <c r="G2" s="25"/>
      <c r="H2" s="28"/>
      <c r="I2" s="25"/>
      <c r="J2" s="25"/>
      <c r="K2" s="25"/>
      <c r="L2" s="25"/>
      <c r="M2" s="25"/>
      <c r="N2" s="25"/>
      <c r="O2" s="25"/>
      <c r="P2" s="25"/>
      <c r="Q2" s="25"/>
      <c r="R2" s="25"/>
      <c r="S2" s="25"/>
      <c r="T2" s="25"/>
      <c r="U2" s="25"/>
      <c r="V2" s="25"/>
      <c r="W2" s="25"/>
      <c r="X2" s="25"/>
      <c r="Y2" s="25"/>
      <c r="Z2" s="25"/>
      <c r="AA2" s="27"/>
    </row>
    <row r="3">
      <c r="A3" s="24"/>
      <c r="B3" s="29"/>
      <c r="C3" s="29"/>
      <c r="D3" s="29"/>
      <c r="E3" s="29"/>
      <c r="F3" s="29"/>
      <c r="G3" s="29"/>
      <c r="H3" s="30"/>
      <c r="I3" s="25"/>
      <c r="J3" s="25"/>
      <c r="K3" s="25"/>
      <c r="L3" s="25"/>
      <c r="M3" s="25"/>
      <c r="N3" s="25"/>
      <c r="O3" s="25"/>
      <c r="P3" s="25"/>
      <c r="Q3" s="25"/>
      <c r="R3" s="25"/>
      <c r="S3" s="25"/>
      <c r="T3" s="25"/>
      <c r="U3" s="25"/>
      <c r="V3" s="25"/>
      <c r="W3" s="25"/>
      <c r="X3" s="25"/>
      <c r="Y3" s="25"/>
      <c r="Z3" s="25"/>
      <c r="AA3" s="27"/>
    </row>
    <row r="4">
      <c r="A4" s="31"/>
      <c r="B4" s="32" t="s">
        <v>7</v>
      </c>
      <c r="C4" s="33" t="s">
        <v>8</v>
      </c>
      <c r="D4" s="32" t="s">
        <v>9</v>
      </c>
      <c r="E4" s="32" t="s">
        <v>10</v>
      </c>
      <c r="F4" s="32" t="s">
        <v>11</v>
      </c>
      <c r="G4" s="32" t="s">
        <v>12</v>
      </c>
      <c r="H4" s="32" t="s">
        <v>13</v>
      </c>
      <c r="I4" s="34"/>
      <c r="J4" s="35"/>
      <c r="K4" s="35"/>
      <c r="L4" s="35"/>
      <c r="M4" s="35"/>
      <c r="N4" s="35"/>
      <c r="O4" s="35"/>
      <c r="P4" s="35"/>
      <c r="Q4" s="35"/>
      <c r="R4" s="35"/>
      <c r="S4" s="35"/>
      <c r="T4" s="35"/>
      <c r="U4" s="35"/>
      <c r="V4" s="35"/>
      <c r="W4" s="35"/>
      <c r="X4" s="35"/>
      <c r="Y4" s="35"/>
      <c r="Z4" s="35"/>
      <c r="AA4" s="36"/>
    </row>
    <row r="5">
      <c r="A5" s="37"/>
      <c r="B5" s="38" t="s">
        <v>14</v>
      </c>
      <c r="C5" s="39"/>
      <c r="D5" s="38"/>
      <c r="E5" s="38"/>
      <c r="F5" s="38"/>
      <c r="G5" s="38"/>
      <c r="H5" s="38"/>
      <c r="I5" s="40"/>
      <c r="J5" s="41"/>
      <c r="K5" s="41"/>
      <c r="L5" s="41"/>
      <c r="M5" s="41"/>
      <c r="N5" s="41"/>
      <c r="O5" s="41"/>
      <c r="P5" s="41"/>
      <c r="Q5" s="41"/>
      <c r="R5" s="41"/>
      <c r="S5" s="41"/>
      <c r="T5" s="41"/>
      <c r="U5" s="41"/>
      <c r="V5" s="41"/>
      <c r="W5" s="41"/>
      <c r="X5" s="41"/>
      <c r="Y5" s="41"/>
      <c r="Z5" s="41"/>
      <c r="AA5" s="42"/>
    </row>
    <row r="6">
      <c r="A6" s="31"/>
      <c r="B6" s="43" t="s">
        <v>15</v>
      </c>
      <c r="C6" s="44" t="s">
        <v>16</v>
      </c>
      <c r="D6" s="44" t="s">
        <v>17</v>
      </c>
      <c r="E6" s="44" t="s">
        <v>18</v>
      </c>
      <c r="F6" s="45" t="s">
        <v>19</v>
      </c>
      <c r="G6" s="45" t="s">
        <v>19</v>
      </c>
      <c r="H6" s="46" t="s">
        <v>20</v>
      </c>
      <c r="I6" s="47"/>
      <c r="J6" s="48"/>
      <c r="K6" s="48"/>
      <c r="L6" s="48"/>
      <c r="M6" s="48"/>
      <c r="N6" s="48"/>
      <c r="O6" s="48"/>
      <c r="P6" s="48"/>
      <c r="Q6" s="48"/>
      <c r="R6" s="48"/>
      <c r="S6" s="48"/>
      <c r="T6" s="48"/>
      <c r="U6" s="48"/>
      <c r="V6" s="48"/>
      <c r="W6" s="48"/>
      <c r="X6" s="48"/>
      <c r="Y6" s="48"/>
      <c r="Z6" s="48"/>
      <c r="AA6" s="36"/>
    </row>
    <row r="7">
      <c r="A7" s="31"/>
      <c r="B7" s="49" t="s">
        <v>21</v>
      </c>
      <c r="C7" s="50">
        <v>46026.0</v>
      </c>
      <c r="D7" s="51" t="s">
        <v>17</v>
      </c>
      <c r="E7" s="51" t="s">
        <v>18</v>
      </c>
      <c r="F7" s="52" t="s">
        <v>22</v>
      </c>
      <c r="G7" s="53" t="s">
        <v>23</v>
      </c>
      <c r="H7" s="54" t="s">
        <v>20</v>
      </c>
      <c r="I7" s="47"/>
      <c r="J7" s="48"/>
      <c r="K7" s="48"/>
      <c r="L7" s="48"/>
      <c r="M7" s="48"/>
      <c r="N7" s="48"/>
      <c r="O7" s="48"/>
      <c r="P7" s="48"/>
      <c r="Q7" s="48"/>
      <c r="R7" s="48"/>
      <c r="S7" s="48"/>
      <c r="T7" s="48"/>
      <c r="U7" s="48"/>
      <c r="V7" s="48"/>
      <c r="W7" s="48"/>
      <c r="X7" s="48"/>
      <c r="Y7" s="48"/>
      <c r="Z7" s="48"/>
      <c r="AA7" s="36"/>
    </row>
    <row r="8">
      <c r="A8" s="31"/>
      <c r="B8" s="55"/>
      <c r="C8" s="55"/>
      <c r="D8" s="55"/>
      <c r="E8" s="55"/>
      <c r="F8" s="52" t="s">
        <v>24</v>
      </c>
      <c r="G8" s="53" t="s">
        <v>25</v>
      </c>
      <c r="H8" s="54" t="s">
        <v>20</v>
      </c>
      <c r="I8" s="47"/>
      <c r="J8" s="48"/>
      <c r="K8" s="48"/>
      <c r="L8" s="48"/>
      <c r="M8" s="48"/>
      <c r="N8" s="48"/>
      <c r="O8" s="48"/>
      <c r="P8" s="48"/>
      <c r="Q8" s="48"/>
      <c r="R8" s="48"/>
      <c r="S8" s="48"/>
      <c r="T8" s="48"/>
      <c r="U8" s="48"/>
      <c r="V8" s="48"/>
      <c r="W8" s="48"/>
      <c r="X8" s="48"/>
      <c r="Y8" s="48"/>
      <c r="Z8" s="48"/>
      <c r="AA8" s="36"/>
    </row>
    <row r="9">
      <c r="A9" s="31"/>
      <c r="B9" s="55"/>
      <c r="C9" s="55"/>
      <c r="D9" s="55"/>
      <c r="E9" s="55"/>
      <c r="F9" s="52" t="s">
        <v>26</v>
      </c>
      <c r="G9" s="53" t="s">
        <v>27</v>
      </c>
      <c r="H9" s="54" t="s">
        <v>20</v>
      </c>
      <c r="I9" s="47"/>
      <c r="J9" s="48"/>
      <c r="K9" s="48"/>
      <c r="L9" s="48"/>
      <c r="M9" s="48"/>
      <c r="N9" s="48"/>
      <c r="O9" s="48"/>
      <c r="P9" s="48"/>
      <c r="Q9" s="48"/>
      <c r="R9" s="48"/>
      <c r="S9" s="48"/>
      <c r="T9" s="48"/>
      <c r="U9" s="48"/>
      <c r="V9" s="48"/>
      <c r="W9" s="48"/>
      <c r="X9" s="48"/>
      <c r="Y9" s="48"/>
      <c r="Z9" s="48"/>
      <c r="AA9" s="36"/>
    </row>
    <row r="10">
      <c r="A10" s="31"/>
      <c r="B10" s="55"/>
      <c r="C10" s="55"/>
      <c r="D10" s="55"/>
      <c r="E10" s="55"/>
      <c r="F10" s="52" t="s">
        <v>28</v>
      </c>
      <c r="G10" s="53" t="s">
        <v>29</v>
      </c>
      <c r="H10" s="54" t="s">
        <v>20</v>
      </c>
      <c r="I10" s="47"/>
      <c r="J10" s="48"/>
      <c r="K10" s="48"/>
      <c r="L10" s="48"/>
      <c r="M10" s="48"/>
      <c r="N10" s="48"/>
      <c r="O10" s="48"/>
      <c r="P10" s="48"/>
      <c r="Q10" s="48"/>
      <c r="R10" s="48"/>
      <c r="S10" s="48"/>
      <c r="T10" s="48"/>
      <c r="U10" s="48"/>
      <c r="V10" s="48"/>
      <c r="W10" s="48"/>
      <c r="X10" s="48"/>
      <c r="Y10" s="48"/>
      <c r="Z10" s="48"/>
      <c r="AA10" s="36"/>
    </row>
    <row r="11">
      <c r="A11" s="31"/>
      <c r="B11" s="55"/>
      <c r="C11" s="55"/>
      <c r="D11" s="55"/>
      <c r="E11" s="55"/>
      <c r="F11" s="52" t="s">
        <v>30</v>
      </c>
      <c r="G11" s="53" t="s">
        <v>31</v>
      </c>
      <c r="H11" s="54" t="s">
        <v>20</v>
      </c>
      <c r="I11" s="47"/>
      <c r="J11" s="48"/>
      <c r="K11" s="48"/>
      <c r="L11" s="48"/>
      <c r="M11" s="48"/>
      <c r="N11" s="48"/>
      <c r="O11" s="48"/>
      <c r="P11" s="48"/>
      <c r="Q11" s="48"/>
      <c r="R11" s="48"/>
      <c r="S11" s="48"/>
      <c r="T11" s="48"/>
      <c r="U11" s="48"/>
      <c r="V11" s="48"/>
      <c r="W11" s="48"/>
      <c r="X11" s="48"/>
      <c r="Y11" s="48"/>
      <c r="Z11" s="48"/>
      <c r="AA11" s="36"/>
    </row>
    <row r="12">
      <c r="A12" s="31"/>
      <c r="B12" s="56"/>
      <c r="C12" s="56"/>
      <c r="D12" s="56"/>
      <c r="E12" s="56"/>
      <c r="F12" s="57" t="s">
        <v>32</v>
      </c>
      <c r="G12" s="57" t="s">
        <v>33</v>
      </c>
      <c r="H12" s="54" t="s">
        <v>20</v>
      </c>
      <c r="I12" s="47"/>
      <c r="J12" s="48"/>
      <c r="K12" s="48"/>
      <c r="L12" s="48"/>
      <c r="M12" s="48"/>
      <c r="N12" s="48"/>
      <c r="O12" s="48"/>
      <c r="P12" s="48"/>
      <c r="Q12" s="48"/>
      <c r="R12" s="48"/>
      <c r="S12" s="48"/>
      <c r="T12" s="48"/>
      <c r="U12" s="48"/>
      <c r="V12" s="48"/>
      <c r="W12" s="48"/>
      <c r="X12" s="48"/>
      <c r="Y12" s="48"/>
      <c r="Z12" s="48"/>
      <c r="AA12" s="36"/>
    </row>
    <row r="13">
      <c r="A13" s="37"/>
      <c r="B13" s="58" t="s">
        <v>34</v>
      </c>
      <c r="C13" s="39"/>
      <c r="D13" s="38"/>
      <c r="E13" s="38"/>
      <c r="F13" s="38"/>
      <c r="G13" s="38"/>
      <c r="H13" s="38"/>
      <c r="I13" s="40"/>
      <c r="J13" s="41"/>
      <c r="K13" s="41"/>
      <c r="L13" s="41"/>
      <c r="M13" s="41"/>
      <c r="N13" s="41"/>
      <c r="O13" s="41"/>
      <c r="P13" s="41"/>
      <c r="Q13" s="41"/>
      <c r="R13" s="41"/>
      <c r="S13" s="41"/>
      <c r="T13" s="41"/>
      <c r="U13" s="41"/>
      <c r="V13" s="41"/>
      <c r="W13" s="41"/>
      <c r="X13" s="41"/>
      <c r="Y13" s="41"/>
      <c r="Z13" s="41"/>
      <c r="AA13" s="42"/>
    </row>
    <row r="14">
      <c r="A14" s="31"/>
      <c r="B14" s="43" t="s">
        <v>35</v>
      </c>
      <c r="C14" s="59"/>
      <c r="D14" s="44" t="s">
        <v>17</v>
      </c>
      <c r="E14" s="44" t="s">
        <v>18</v>
      </c>
      <c r="F14" s="45" t="s">
        <v>36</v>
      </c>
      <c r="G14" s="45" t="s">
        <v>37</v>
      </c>
      <c r="H14" s="60"/>
      <c r="I14" s="47"/>
      <c r="J14" s="48"/>
      <c r="K14" s="48"/>
      <c r="L14" s="48"/>
      <c r="M14" s="48"/>
      <c r="N14" s="48"/>
      <c r="O14" s="48"/>
      <c r="P14" s="48"/>
      <c r="Q14" s="48"/>
      <c r="R14" s="48"/>
      <c r="S14" s="48"/>
      <c r="T14" s="48"/>
      <c r="U14" s="48"/>
      <c r="V14" s="48"/>
      <c r="W14" s="48"/>
      <c r="X14" s="48"/>
      <c r="Y14" s="48"/>
      <c r="Z14" s="48"/>
      <c r="AA14" s="36"/>
    </row>
    <row r="15">
      <c r="A15" s="31"/>
      <c r="B15" s="61"/>
      <c r="C15" s="59"/>
      <c r="D15" s="59"/>
      <c r="E15" s="59"/>
      <c r="F15" s="45" t="s">
        <v>38</v>
      </c>
      <c r="G15" s="45"/>
      <c r="H15" s="60"/>
      <c r="I15" s="47"/>
      <c r="J15" s="48"/>
      <c r="K15" s="48"/>
      <c r="L15" s="48"/>
      <c r="M15" s="48"/>
      <c r="N15" s="48"/>
      <c r="O15" s="48"/>
      <c r="P15" s="48"/>
      <c r="Q15" s="48"/>
      <c r="R15" s="48"/>
      <c r="S15" s="48"/>
      <c r="T15" s="48"/>
      <c r="U15" s="48"/>
      <c r="V15" s="48"/>
      <c r="W15" s="48"/>
      <c r="X15" s="48"/>
      <c r="Y15" s="48"/>
      <c r="Z15" s="48"/>
      <c r="AA15" s="36"/>
    </row>
    <row r="16">
      <c r="A16" s="31"/>
      <c r="B16" s="61"/>
      <c r="C16" s="59"/>
      <c r="D16" s="59"/>
      <c r="E16" s="59"/>
      <c r="F16" s="45" t="s">
        <v>39</v>
      </c>
      <c r="G16" s="45" t="s">
        <v>37</v>
      </c>
      <c r="H16" s="60"/>
      <c r="I16" s="47"/>
      <c r="J16" s="48"/>
      <c r="K16" s="48"/>
      <c r="L16" s="48"/>
      <c r="M16" s="48"/>
      <c r="N16" s="48"/>
      <c r="O16" s="48"/>
      <c r="P16" s="48"/>
      <c r="Q16" s="48"/>
      <c r="R16" s="48"/>
      <c r="S16" s="48"/>
      <c r="T16" s="48"/>
      <c r="U16" s="48"/>
      <c r="V16" s="48"/>
      <c r="W16" s="48"/>
      <c r="X16" s="48"/>
      <c r="Y16" s="48"/>
      <c r="Z16" s="48"/>
      <c r="AA16" s="36"/>
    </row>
    <row r="17">
      <c r="A17" s="31"/>
      <c r="B17" s="61"/>
      <c r="C17" s="59"/>
      <c r="D17" s="59"/>
      <c r="E17" s="59"/>
      <c r="F17" s="45" t="s">
        <v>40</v>
      </c>
      <c r="G17" s="45" t="s">
        <v>41</v>
      </c>
      <c r="H17" s="60"/>
      <c r="I17" s="47"/>
      <c r="J17" s="48"/>
      <c r="K17" s="48"/>
      <c r="L17" s="48"/>
      <c r="M17" s="48"/>
      <c r="N17" s="48"/>
      <c r="O17" s="48"/>
      <c r="P17" s="48"/>
      <c r="Q17" s="48"/>
      <c r="R17" s="48"/>
      <c r="S17" s="48"/>
      <c r="T17" s="48"/>
      <c r="U17" s="48"/>
      <c r="V17" s="48"/>
      <c r="W17" s="48"/>
      <c r="X17" s="48"/>
      <c r="Y17" s="48"/>
      <c r="Z17" s="48"/>
      <c r="AA17" s="36"/>
    </row>
    <row r="18">
      <c r="A18" s="31"/>
      <c r="B18" s="62"/>
      <c r="C18" s="63"/>
      <c r="D18" s="63"/>
      <c r="E18" s="63"/>
      <c r="F18" s="64"/>
      <c r="G18" s="64"/>
      <c r="H18" s="65"/>
      <c r="I18" s="47"/>
      <c r="J18" s="48"/>
      <c r="K18" s="48"/>
      <c r="L18" s="48"/>
      <c r="M18" s="48"/>
      <c r="N18" s="48"/>
      <c r="O18" s="48"/>
      <c r="P18" s="48"/>
      <c r="Q18" s="48"/>
      <c r="R18" s="48"/>
      <c r="S18" s="48"/>
      <c r="T18" s="48"/>
      <c r="U18" s="48"/>
      <c r="V18" s="48"/>
      <c r="W18" s="48"/>
      <c r="X18" s="48"/>
      <c r="Y18" s="48"/>
      <c r="Z18" s="48"/>
      <c r="AA18" s="36"/>
    </row>
    <row r="19">
      <c r="A19" s="31"/>
      <c r="B19" s="66"/>
      <c r="C19" s="67"/>
      <c r="D19" s="67"/>
      <c r="E19" s="67"/>
      <c r="F19" s="68"/>
      <c r="G19" s="68"/>
      <c r="H19" s="69"/>
      <c r="I19" s="47"/>
      <c r="J19" s="48"/>
      <c r="K19" s="48"/>
      <c r="L19" s="48"/>
      <c r="M19" s="48"/>
      <c r="N19" s="48"/>
      <c r="O19" s="48"/>
      <c r="P19" s="48"/>
      <c r="Q19" s="48"/>
      <c r="R19" s="48"/>
      <c r="S19" s="48"/>
      <c r="T19" s="48"/>
      <c r="U19" s="48"/>
      <c r="V19" s="48"/>
      <c r="W19" s="48"/>
      <c r="X19" s="48"/>
      <c r="Y19" s="48"/>
      <c r="Z19" s="48"/>
      <c r="AA19" s="36"/>
    </row>
    <row r="20">
      <c r="A20" s="31"/>
      <c r="B20" s="66"/>
      <c r="C20" s="67"/>
      <c r="D20" s="67"/>
      <c r="E20" s="67"/>
      <c r="F20" s="68"/>
      <c r="G20" s="68"/>
      <c r="H20" s="69"/>
      <c r="I20" s="47"/>
      <c r="J20" s="48"/>
      <c r="K20" s="48"/>
      <c r="L20" s="48"/>
      <c r="M20" s="48"/>
      <c r="N20" s="48"/>
      <c r="O20" s="48"/>
      <c r="P20" s="48"/>
      <c r="Q20" s="48"/>
      <c r="R20" s="48"/>
      <c r="S20" s="48"/>
      <c r="T20" s="48"/>
      <c r="U20" s="48"/>
      <c r="V20" s="48"/>
      <c r="W20" s="48"/>
      <c r="X20" s="48"/>
      <c r="Y20" s="48"/>
      <c r="Z20" s="48"/>
      <c r="AA20" s="36"/>
    </row>
    <row r="21">
      <c r="A21" s="31"/>
      <c r="B21" s="66"/>
      <c r="C21" s="67"/>
      <c r="D21" s="67"/>
      <c r="E21" s="67"/>
      <c r="F21" s="68"/>
      <c r="G21" s="68"/>
      <c r="H21" s="69"/>
      <c r="I21" s="47"/>
      <c r="J21" s="48"/>
      <c r="K21" s="48"/>
      <c r="L21" s="48"/>
      <c r="M21" s="48"/>
      <c r="N21" s="48"/>
      <c r="O21" s="48"/>
      <c r="P21" s="48"/>
      <c r="Q21" s="48"/>
      <c r="R21" s="48"/>
      <c r="S21" s="48"/>
      <c r="T21" s="48"/>
      <c r="U21" s="48"/>
      <c r="V21" s="48"/>
      <c r="W21" s="48"/>
      <c r="X21" s="48"/>
      <c r="Y21" s="48"/>
      <c r="Z21" s="48"/>
      <c r="AA21" s="36"/>
    </row>
    <row r="22">
      <c r="A22" s="31"/>
      <c r="B22" s="66"/>
      <c r="C22" s="67"/>
      <c r="D22" s="67"/>
      <c r="E22" s="67"/>
      <c r="F22" s="68"/>
      <c r="G22" s="68"/>
      <c r="H22" s="69"/>
      <c r="I22" s="47"/>
      <c r="J22" s="48"/>
      <c r="K22" s="48"/>
      <c r="L22" s="48"/>
      <c r="M22" s="48"/>
      <c r="N22" s="48"/>
      <c r="O22" s="48"/>
      <c r="P22" s="48"/>
      <c r="Q22" s="48"/>
      <c r="R22" s="48"/>
      <c r="S22" s="48"/>
      <c r="T22" s="48"/>
      <c r="U22" s="48"/>
      <c r="V22" s="48"/>
      <c r="W22" s="48"/>
      <c r="X22" s="48"/>
      <c r="Y22" s="48"/>
      <c r="Z22" s="48"/>
      <c r="AA22" s="36"/>
    </row>
    <row r="23">
      <c r="A23" s="31"/>
      <c r="B23" s="66"/>
      <c r="C23" s="67"/>
      <c r="D23" s="67"/>
      <c r="E23" s="67"/>
      <c r="F23" s="70"/>
      <c r="G23" s="68"/>
      <c r="H23" s="69"/>
      <c r="I23" s="47"/>
      <c r="J23" s="48"/>
      <c r="K23" s="48"/>
      <c r="L23" s="48"/>
      <c r="M23" s="48"/>
      <c r="N23" s="48"/>
      <c r="O23" s="48"/>
      <c r="P23" s="48"/>
      <c r="Q23" s="48"/>
      <c r="R23" s="48"/>
      <c r="S23" s="48"/>
      <c r="T23" s="48"/>
      <c r="U23" s="48"/>
      <c r="V23" s="48"/>
      <c r="W23" s="48"/>
      <c r="X23" s="48"/>
      <c r="Y23" s="48"/>
      <c r="Z23" s="48"/>
      <c r="AA23" s="36"/>
    </row>
    <row r="24">
      <c r="A24" s="31"/>
      <c r="B24" s="66"/>
      <c r="C24" s="67"/>
      <c r="D24" s="67"/>
      <c r="E24" s="67"/>
      <c r="F24" s="68"/>
      <c r="G24" s="68"/>
      <c r="H24" s="69"/>
      <c r="I24" s="47"/>
      <c r="J24" s="48"/>
      <c r="K24" s="48"/>
      <c r="L24" s="48"/>
      <c r="M24" s="48"/>
      <c r="N24" s="48"/>
      <c r="O24" s="48"/>
      <c r="P24" s="48"/>
      <c r="Q24" s="48"/>
      <c r="R24" s="48"/>
      <c r="S24" s="48"/>
      <c r="T24" s="48"/>
      <c r="U24" s="48"/>
      <c r="V24" s="48"/>
      <c r="W24" s="48"/>
      <c r="X24" s="48"/>
      <c r="Y24" s="48"/>
      <c r="Z24" s="48"/>
      <c r="AA24" s="36"/>
    </row>
    <row r="25">
      <c r="A25" s="31"/>
      <c r="B25" s="66"/>
      <c r="C25" s="67"/>
      <c r="D25" s="67"/>
      <c r="E25" s="67"/>
      <c r="F25" s="68"/>
      <c r="G25" s="68"/>
      <c r="H25" s="69"/>
      <c r="I25" s="47"/>
      <c r="J25" s="48"/>
      <c r="K25" s="48"/>
      <c r="L25" s="48"/>
      <c r="M25" s="48"/>
      <c r="N25" s="48"/>
      <c r="O25" s="48"/>
      <c r="P25" s="48"/>
      <c r="Q25" s="48"/>
      <c r="R25" s="48"/>
      <c r="S25" s="48"/>
      <c r="T25" s="48"/>
      <c r="U25" s="48"/>
      <c r="V25" s="48"/>
      <c r="W25" s="48"/>
      <c r="X25" s="48"/>
      <c r="Y25" s="48"/>
      <c r="Z25" s="48"/>
      <c r="AA25" s="36"/>
    </row>
    <row r="26">
      <c r="A26" s="31"/>
      <c r="B26" s="66"/>
      <c r="C26" s="67"/>
      <c r="D26" s="67"/>
      <c r="E26" s="67"/>
      <c r="F26" s="71"/>
      <c r="G26" s="68"/>
      <c r="H26" s="69"/>
      <c r="I26" s="47"/>
      <c r="J26" s="48"/>
      <c r="K26" s="48"/>
      <c r="L26" s="48"/>
      <c r="M26" s="48"/>
      <c r="N26" s="48"/>
      <c r="O26" s="48"/>
      <c r="P26" s="48"/>
      <c r="Q26" s="48"/>
      <c r="R26" s="48"/>
      <c r="S26" s="48"/>
      <c r="T26" s="48"/>
      <c r="U26" s="48"/>
      <c r="V26" s="48"/>
      <c r="W26" s="48"/>
      <c r="X26" s="48"/>
      <c r="Y26" s="48"/>
      <c r="Z26" s="48"/>
      <c r="AA26" s="36"/>
    </row>
    <row r="27">
      <c r="A27" s="31"/>
      <c r="B27" s="66"/>
      <c r="C27" s="67"/>
      <c r="D27" s="67"/>
      <c r="E27" s="67"/>
      <c r="F27" s="70"/>
      <c r="G27" s="68"/>
      <c r="H27" s="69"/>
      <c r="I27" s="47"/>
      <c r="J27" s="48"/>
      <c r="K27" s="48"/>
      <c r="L27" s="48"/>
      <c r="M27" s="48"/>
      <c r="N27" s="48"/>
      <c r="O27" s="48"/>
      <c r="P27" s="48"/>
      <c r="Q27" s="48"/>
      <c r="R27" s="48"/>
      <c r="S27" s="48"/>
      <c r="T27" s="48"/>
      <c r="U27" s="48"/>
      <c r="V27" s="48"/>
      <c r="W27" s="48"/>
      <c r="X27" s="48"/>
      <c r="Y27" s="48"/>
      <c r="Z27" s="48"/>
      <c r="AA27" s="36"/>
    </row>
    <row r="28">
      <c r="A28" s="24"/>
      <c r="B28" s="27"/>
      <c r="C28" s="72"/>
      <c r="D28" s="72"/>
      <c r="E28" s="72"/>
      <c r="F28" s="72"/>
      <c r="G28" s="27"/>
      <c r="H28" s="27"/>
      <c r="I28" s="27"/>
      <c r="J28" s="27"/>
      <c r="K28" s="27"/>
      <c r="L28" s="27"/>
      <c r="M28" s="27"/>
      <c r="N28" s="27"/>
      <c r="O28" s="27"/>
      <c r="P28" s="27"/>
      <c r="Q28" s="27"/>
      <c r="R28" s="27"/>
      <c r="S28" s="27"/>
      <c r="T28" s="27"/>
      <c r="U28" s="27"/>
      <c r="V28" s="27"/>
      <c r="W28" s="27"/>
      <c r="X28" s="27"/>
      <c r="Y28" s="27"/>
      <c r="Z28" s="27"/>
      <c r="AA28" s="27"/>
    </row>
    <row r="29">
      <c r="A29" s="73"/>
      <c r="B29" s="74"/>
      <c r="C29" s="75" t="s">
        <v>42</v>
      </c>
      <c r="D29" s="76"/>
      <c r="E29" s="76"/>
      <c r="F29" s="76"/>
      <c r="G29" s="76"/>
      <c r="H29" s="77"/>
      <c r="I29" s="77"/>
      <c r="J29" s="78"/>
      <c r="K29" s="78"/>
      <c r="L29" s="78"/>
      <c r="M29" s="78"/>
      <c r="N29" s="78"/>
      <c r="O29" s="78"/>
      <c r="P29" s="78"/>
      <c r="Q29" s="78"/>
      <c r="R29" s="78"/>
      <c r="S29" s="78"/>
      <c r="T29" s="78"/>
      <c r="U29" s="78"/>
      <c r="V29" s="78"/>
      <c r="W29" s="78"/>
      <c r="X29" s="78"/>
      <c r="Y29" s="78"/>
      <c r="Z29" s="78"/>
      <c r="AA29" s="78"/>
    </row>
    <row r="30">
      <c r="A30" s="24"/>
      <c r="B30" s="79" t="s">
        <v>43</v>
      </c>
      <c r="C30" s="79"/>
      <c r="D30" s="80"/>
      <c r="E30" s="81"/>
      <c r="F30" s="81"/>
      <c r="G30" s="81"/>
      <c r="H30" s="80"/>
      <c r="I30" s="80"/>
      <c r="J30" s="25"/>
      <c r="K30" s="25"/>
      <c r="L30" s="25"/>
      <c r="M30" s="25"/>
      <c r="N30" s="25"/>
      <c r="O30" s="25"/>
      <c r="P30" s="25"/>
      <c r="Q30" s="25"/>
      <c r="R30" s="25"/>
      <c r="S30" s="25"/>
      <c r="T30" s="25"/>
      <c r="U30" s="25"/>
      <c r="V30" s="25"/>
      <c r="W30" s="25"/>
      <c r="X30" s="25"/>
      <c r="Y30" s="25"/>
      <c r="Z30" s="25"/>
      <c r="AA30" s="25"/>
    </row>
    <row r="31">
      <c r="A31" s="24"/>
      <c r="B31" s="82"/>
      <c r="C31" s="82"/>
      <c r="D31" s="83"/>
      <c r="E31" s="84"/>
      <c r="F31" s="84"/>
      <c r="G31" s="84"/>
      <c r="H31" s="83"/>
      <c r="I31" s="83"/>
      <c r="J31" s="25"/>
      <c r="K31" s="25"/>
      <c r="L31" s="25"/>
      <c r="M31" s="25"/>
      <c r="N31" s="25"/>
      <c r="O31" s="25"/>
      <c r="P31" s="25"/>
      <c r="Q31" s="25"/>
      <c r="R31" s="25"/>
      <c r="S31" s="25"/>
      <c r="T31" s="25"/>
      <c r="U31" s="25"/>
      <c r="V31" s="25"/>
      <c r="W31" s="25"/>
      <c r="X31" s="25"/>
      <c r="Y31" s="25"/>
      <c r="Z31" s="25"/>
      <c r="AA31" s="25"/>
    </row>
    <row r="32">
      <c r="A32" s="85"/>
      <c r="B32" s="33" t="s">
        <v>5</v>
      </c>
      <c r="C32" s="32" t="s">
        <v>44</v>
      </c>
      <c r="D32" s="32" t="s">
        <v>45</v>
      </c>
      <c r="E32" s="32" t="s">
        <v>46</v>
      </c>
      <c r="F32" s="32" t="s">
        <v>47</v>
      </c>
      <c r="G32" s="86" t="s">
        <v>48</v>
      </c>
      <c r="H32" s="87"/>
      <c r="I32" s="88"/>
      <c r="J32" s="89"/>
      <c r="K32" s="25"/>
      <c r="L32" s="25"/>
      <c r="M32" s="25"/>
      <c r="N32" s="25"/>
      <c r="O32" s="25"/>
      <c r="P32" s="25"/>
      <c r="Q32" s="25"/>
      <c r="R32" s="25"/>
      <c r="S32" s="25"/>
      <c r="T32" s="25"/>
      <c r="U32" s="25"/>
      <c r="V32" s="25"/>
      <c r="W32" s="25"/>
      <c r="X32" s="25"/>
      <c r="Y32" s="25"/>
      <c r="Z32" s="25"/>
      <c r="AA32" s="25"/>
    </row>
    <row r="33">
      <c r="A33" s="85"/>
      <c r="B33" s="67"/>
      <c r="C33" s="66" t="s">
        <v>4</v>
      </c>
      <c r="D33" s="90"/>
      <c r="E33" s="90"/>
      <c r="F33" s="90"/>
      <c r="G33" s="91" t="s">
        <v>49</v>
      </c>
      <c r="H33" s="87"/>
      <c r="I33" s="88"/>
      <c r="J33" s="89"/>
      <c r="K33" s="25"/>
      <c r="L33" s="25"/>
      <c r="M33" s="25"/>
      <c r="N33" s="25"/>
      <c r="O33" s="25"/>
      <c r="P33" s="25"/>
      <c r="Q33" s="25"/>
      <c r="R33" s="25"/>
      <c r="S33" s="25"/>
      <c r="T33" s="25"/>
      <c r="U33" s="25"/>
      <c r="V33" s="25"/>
      <c r="W33" s="25"/>
      <c r="X33" s="25"/>
      <c r="Y33" s="25"/>
      <c r="Z33" s="25"/>
      <c r="AA33" s="25"/>
    </row>
    <row r="34">
      <c r="A34" s="85"/>
      <c r="B34" s="67"/>
      <c r="C34" s="66"/>
      <c r="D34" s="90"/>
      <c r="E34" s="90"/>
      <c r="F34" s="90"/>
      <c r="G34" s="92"/>
      <c r="H34" s="87"/>
      <c r="I34" s="88"/>
      <c r="J34" s="89"/>
      <c r="K34" s="25"/>
      <c r="L34" s="25"/>
      <c r="M34" s="25"/>
      <c r="N34" s="25"/>
      <c r="O34" s="25"/>
      <c r="P34" s="25"/>
      <c r="Q34" s="25"/>
      <c r="R34" s="25"/>
      <c r="S34" s="25"/>
      <c r="T34" s="25"/>
      <c r="U34" s="25"/>
      <c r="V34" s="25"/>
      <c r="W34" s="25"/>
      <c r="X34" s="25"/>
      <c r="Y34" s="25"/>
      <c r="Z34" s="25"/>
      <c r="AA34" s="25"/>
    </row>
    <row r="35">
      <c r="A35" s="85"/>
      <c r="B35" s="93"/>
      <c r="C35" s="66"/>
      <c r="D35" s="90"/>
      <c r="E35" s="90"/>
      <c r="F35" s="90"/>
      <c r="G35" s="91"/>
      <c r="H35" s="87"/>
      <c r="I35" s="88"/>
      <c r="J35" s="89"/>
      <c r="K35" s="25"/>
      <c r="L35" s="25"/>
      <c r="M35" s="25"/>
      <c r="N35" s="25"/>
      <c r="O35" s="25"/>
      <c r="P35" s="25"/>
      <c r="Q35" s="25"/>
      <c r="R35" s="25"/>
      <c r="S35" s="25"/>
      <c r="T35" s="25"/>
      <c r="U35" s="25"/>
      <c r="V35" s="25"/>
      <c r="W35" s="25"/>
      <c r="X35" s="25"/>
      <c r="Y35" s="25"/>
      <c r="Z35" s="25"/>
      <c r="AA35" s="25"/>
    </row>
    <row r="36">
      <c r="A36" s="24"/>
      <c r="B36" s="94"/>
      <c r="C36" s="95"/>
      <c r="D36" s="96"/>
      <c r="E36" s="96"/>
      <c r="F36" s="96"/>
      <c r="G36" s="97"/>
      <c r="H36" s="98"/>
      <c r="I36" s="99"/>
      <c r="J36" s="25"/>
      <c r="K36" s="25"/>
      <c r="L36" s="25"/>
      <c r="M36" s="25"/>
      <c r="N36" s="25"/>
      <c r="O36" s="25"/>
      <c r="P36" s="25"/>
      <c r="Q36" s="25"/>
      <c r="R36" s="25"/>
      <c r="S36" s="25"/>
      <c r="T36" s="25"/>
      <c r="U36" s="25"/>
      <c r="V36" s="25"/>
      <c r="W36" s="25"/>
      <c r="X36" s="25"/>
      <c r="Y36" s="25"/>
      <c r="Z36" s="25"/>
      <c r="AA36" s="25"/>
    </row>
    <row r="37">
      <c r="A37" s="24"/>
      <c r="B37" s="25"/>
      <c r="C37" s="25"/>
      <c r="D37" s="25"/>
      <c r="E37" s="25"/>
      <c r="F37" s="25"/>
      <c r="G37" s="25"/>
      <c r="H37" s="28"/>
      <c r="I37" s="25"/>
      <c r="J37" s="25"/>
      <c r="K37" s="25"/>
      <c r="L37" s="25"/>
      <c r="M37" s="25"/>
      <c r="N37" s="25"/>
      <c r="O37" s="25"/>
      <c r="P37" s="25"/>
      <c r="Q37" s="25"/>
      <c r="R37" s="25"/>
      <c r="S37" s="25"/>
      <c r="T37" s="25"/>
      <c r="U37" s="25"/>
      <c r="V37" s="25"/>
      <c r="W37" s="25"/>
      <c r="X37" s="25"/>
      <c r="Y37" s="25"/>
      <c r="Z37" s="25"/>
      <c r="AA37" s="27"/>
    </row>
    <row r="38">
      <c r="A38" s="24"/>
      <c r="B38" s="25"/>
      <c r="C38" s="25"/>
      <c r="D38" s="25"/>
      <c r="E38" s="25"/>
      <c r="F38" s="25"/>
      <c r="G38" s="25"/>
      <c r="H38" s="28"/>
      <c r="I38" s="25"/>
      <c r="J38" s="25"/>
      <c r="K38" s="25"/>
      <c r="L38" s="25"/>
      <c r="M38" s="25"/>
      <c r="N38" s="25"/>
      <c r="O38" s="25"/>
      <c r="P38" s="25"/>
      <c r="Q38" s="25"/>
      <c r="R38" s="25"/>
      <c r="S38" s="25"/>
      <c r="T38" s="25"/>
      <c r="U38" s="25"/>
      <c r="V38" s="25"/>
      <c r="W38" s="25"/>
      <c r="X38" s="25"/>
      <c r="Y38" s="25"/>
      <c r="Z38" s="25"/>
      <c r="AA38" s="27"/>
    </row>
    <row r="39">
      <c r="A39" s="24"/>
      <c r="B39" s="25"/>
      <c r="C39" s="25"/>
      <c r="D39" s="25"/>
      <c r="E39" s="25"/>
      <c r="F39" s="25"/>
      <c r="G39" s="25"/>
      <c r="H39" s="28"/>
      <c r="I39" s="25"/>
      <c r="J39" s="25"/>
      <c r="K39" s="25"/>
      <c r="L39" s="25"/>
      <c r="M39" s="25"/>
      <c r="N39" s="25"/>
      <c r="O39" s="25"/>
      <c r="P39" s="25"/>
      <c r="Q39" s="25"/>
      <c r="R39" s="25"/>
      <c r="S39" s="25"/>
      <c r="T39" s="25"/>
      <c r="U39" s="25"/>
      <c r="V39" s="25"/>
      <c r="W39" s="25"/>
      <c r="X39" s="25"/>
      <c r="Y39" s="25"/>
      <c r="Z39" s="25"/>
      <c r="AA39" s="27"/>
    </row>
    <row r="40">
      <c r="A40" s="24"/>
      <c r="B40" s="25"/>
      <c r="C40" s="25"/>
      <c r="D40" s="25"/>
      <c r="E40" s="25"/>
      <c r="F40" s="25"/>
      <c r="G40" s="25"/>
      <c r="H40" s="28"/>
      <c r="I40" s="25"/>
      <c r="J40" s="25"/>
      <c r="K40" s="25"/>
      <c r="L40" s="25"/>
      <c r="M40" s="25"/>
      <c r="N40" s="25"/>
      <c r="O40" s="25"/>
      <c r="P40" s="25"/>
      <c r="Q40" s="25"/>
      <c r="R40" s="25"/>
      <c r="S40" s="25"/>
      <c r="T40" s="25"/>
      <c r="U40" s="25"/>
      <c r="V40" s="25"/>
      <c r="W40" s="25"/>
      <c r="X40" s="25"/>
      <c r="Y40" s="25"/>
      <c r="Z40" s="25"/>
      <c r="AA40" s="27"/>
    </row>
    <row r="41">
      <c r="A41" s="24"/>
      <c r="B41" s="25"/>
      <c r="C41" s="25"/>
      <c r="D41" s="25"/>
      <c r="E41" s="25"/>
      <c r="F41" s="25"/>
      <c r="G41" s="25"/>
      <c r="H41" s="28"/>
      <c r="I41" s="25"/>
      <c r="J41" s="25"/>
      <c r="K41" s="25"/>
      <c r="L41" s="25"/>
      <c r="M41" s="25"/>
      <c r="N41" s="25"/>
      <c r="O41" s="25"/>
      <c r="P41" s="25"/>
      <c r="Q41" s="25"/>
      <c r="R41" s="25"/>
      <c r="S41" s="25"/>
      <c r="T41" s="25"/>
      <c r="U41" s="25"/>
      <c r="V41" s="25"/>
      <c r="W41" s="25"/>
      <c r="X41" s="25"/>
      <c r="Y41" s="25"/>
      <c r="Z41" s="25"/>
      <c r="AA41" s="27"/>
    </row>
    <row r="42">
      <c r="A42" s="24"/>
      <c r="B42" s="25"/>
      <c r="C42" s="25"/>
      <c r="D42" s="25"/>
      <c r="E42" s="25"/>
      <c r="F42" s="25"/>
      <c r="G42" s="25"/>
      <c r="H42" s="28"/>
      <c r="I42" s="25"/>
      <c r="J42" s="25"/>
      <c r="K42" s="25"/>
      <c r="L42" s="25"/>
      <c r="M42" s="25"/>
      <c r="N42" s="25"/>
      <c r="O42" s="25"/>
      <c r="P42" s="25"/>
      <c r="Q42" s="25"/>
      <c r="R42" s="25"/>
      <c r="S42" s="25"/>
      <c r="T42" s="25"/>
      <c r="U42" s="25"/>
      <c r="V42" s="25"/>
      <c r="W42" s="25"/>
      <c r="X42" s="25"/>
      <c r="Y42" s="25"/>
      <c r="Z42" s="25"/>
      <c r="AA42" s="27"/>
    </row>
    <row r="43">
      <c r="A43" s="24"/>
      <c r="B43" s="25"/>
      <c r="C43" s="25"/>
      <c r="D43" s="25"/>
      <c r="E43" s="25"/>
      <c r="F43" s="25"/>
      <c r="G43" s="25"/>
      <c r="H43" s="28"/>
      <c r="I43" s="25"/>
      <c r="J43" s="25"/>
      <c r="K43" s="25"/>
      <c r="L43" s="25"/>
      <c r="M43" s="25"/>
      <c r="N43" s="25"/>
      <c r="O43" s="25"/>
      <c r="P43" s="25"/>
      <c r="Q43" s="25"/>
      <c r="R43" s="25"/>
      <c r="S43" s="25"/>
      <c r="T43" s="25"/>
      <c r="U43" s="25"/>
      <c r="V43" s="25"/>
      <c r="W43" s="25"/>
      <c r="X43" s="25"/>
      <c r="Y43" s="25"/>
      <c r="Z43" s="25"/>
      <c r="AA43" s="27"/>
    </row>
    <row r="44">
      <c r="A44" s="24"/>
      <c r="B44" s="25"/>
      <c r="C44" s="25"/>
      <c r="D44" s="25"/>
      <c r="E44" s="25"/>
      <c r="F44" s="25"/>
      <c r="G44" s="25"/>
      <c r="H44" s="28"/>
      <c r="I44" s="25"/>
      <c r="J44" s="25"/>
      <c r="K44" s="25"/>
      <c r="L44" s="25"/>
      <c r="M44" s="25"/>
      <c r="N44" s="25"/>
      <c r="O44" s="25"/>
      <c r="P44" s="25"/>
      <c r="Q44" s="25"/>
      <c r="R44" s="25"/>
      <c r="S44" s="25"/>
      <c r="T44" s="25"/>
      <c r="U44" s="25"/>
      <c r="V44" s="25"/>
      <c r="W44" s="25"/>
      <c r="X44" s="25"/>
      <c r="Y44" s="25"/>
      <c r="Z44" s="25"/>
      <c r="AA44" s="27"/>
    </row>
    <row r="45">
      <c r="A45" s="24"/>
      <c r="B45" s="25"/>
      <c r="C45" s="25"/>
      <c r="D45" s="25"/>
      <c r="E45" s="25"/>
      <c r="F45" s="25"/>
      <c r="G45" s="25"/>
      <c r="H45" s="28"/>
      <c r="I45" s="25"/>
      <c r="J45" s="25"/>
      <c r="K45" s="25"/>
      <c r="L45" s="25"/>
      <c r="M45" s="25"/>
      <c r="N45" s="25"/>
      <c r="O45" s="25"/>
      <c r="P45" s="25"/>
      <c r="Q45" s="25"/>
      <c r="R45" s="25"/>
      <c r="S45" s="25"/>
      <c r="T45" s="25"/>
      <c r="U45" s="25"/>
      <c r="V45" s="25"/>
      <c r="W45" s="25"/>
      <c r="X45" s="25"/>
      <c r="Y45" s="25"/>
      <c r="Z45" s="25"/>
      <c r="AA45" s="27"/>
    </row>
    <row r="46">
      <c r="A46" s="24"/>
      <c r="B46" s="25"/>
      <c r="C46" s="25"/>
      <c r="D46" s="25"/>
      <c r="E46" s="25"/>
      <c r="F46" s="25"/>
      <c r="G46" s="25"/>
      <c r="H46" s="28"/>
      <c r="I46" s="25"/>
      <c r="J46" s="25"/>
      <c r="K46" s="25"/>
      <c r="L46" s="25"/>
      <c r="M46" s="25"/>
      <c r="N46" s="25"/>
      <c r="O46" s="25"/>
      <c r="P46" s="25"/>
      <c r="Q46" s="25"/>
      <c r="R46" s="25"/>
      <c r="S46" s="25"/>
      <c r="T46" s="25"/>
      <c r="U46" s="25"/>
      <c r="V46" s="25"/>
      <c r="W46" s="25"/>
      <c r="X46" s="25"/>
      <c r="Y46" s="25"/>
      <c r="Z46" s="25"/>
      <c r="AA46" s="27"/>
    </row>
    <row r="47">
      <c r="A47" s="24"/>
      <c r="B47" s="25"/>
      <c r="C47" s="25"/>
      <c r="D47" s="25"/>
      <c r="E47" s="25"/>
      <c r="F47" s="25"/>
      <c r="G47" s="25"/>
      <c r="H47" s="28"/>
      <c r="I47" s="25"/>
      <c r="J47" s="25"/>
      <c r="K47" s="25"/>
      <c r="L47" s="25"/>
      <c r="M47" s="25"/>
      <c r="N47" s="25"/>
      <c r="O47" s="25"/>
      <c r="P47" s="25"/>
      <c r="Q47" s="25"/>
      <c r="R47" s="25"/>
      <c r="S47" s="25"/>
      <c r="T47" s="25"/>
      <c r="U47" s="25"/>
      <c r="V47" s="25"/>
      <c r="W47" s="25"/>
      <c r="X47" s="25"/>
      <c r="Y47" s="25"/>
      <c r="Z47" s="25"/>
      <c r="AA47" s="27"/>
    </row>
    <row r="48">
      <c r="A48" s="24"/>
      <c r="B48" s="25"/>
      <c r="C48" s="25"/>
      <c r="D48" s="25"/>
      <c r="E48" s="25"/>
      <c r="F48" s="25"/>
      <c r="G48" s="25"/>
      <c r="H48" s="28"/>
      <c r="I48" s="25"/>
      <c r="J48" s="25"/>
      <c r="K48" s="25"/>
      <c r="L48" s="25"/>
      <c r="M48" s="25"/>
      <c r="N48" s="25"/>
      <c r="O48" s="25"/>
      <c r="P48" s="25"/>
      <c r="Q48" s="25"/>
      <c r="R48" s="25"/>
      <c r="S48" s="25"/>
      <c r="T48" s="25"/>
      <c r="U48" s="25"/>
      <c r="V48" s="25"/>
      <c r="W48" s="25"/>
      <c r="X48" s="25"/>
      <c r="Y48" s="25"/>
      <c r="Z48" s="25"/>
      <c r="AA48" s="27"/>
    </row>
    <row r="49">
      <c r="A49" s="24"/>
      <c r="B49" s="25"/>
      <c r="C49" s="25"/>
      <c r="D49" s="25"/>
      <c r="E49" s="25"/>
      <c r="F49" s="25"/>
      <c r="G49" s="25"/>
      <c r="H49" s="28"/>
      <c r="I49" s="25"/>
      <c r="J49" s="25"/>
      <c r="K49" s="25"/>
      <c r="L49" s="25"/>
      <c r="M49" s="25"/>
      <c r="N49" s="25"/>
      <c r="O49" s="25"/>
      <c r="P49" s="25"/>
      <c r="Q49" s="25"/>
      <c r="R49" s="25"/>
      <c r="S49" s="25"/>
      <c r="T49" s="25"/>
      <c r="U49" s="25"/>
      <c r="V49" s="25"/>
      <c r="W49" s="25"/>
      <c r="X49" s="25"/>
      <c r="Y49" s="25"/>
      <c r="Z49" s="25"/>
      <c r="AA49" s="27"/>
    </row>
    <row r="50">
      <c r="A50" s="24"/>
      <c r="B50" s="25"/>
      <c r="C50" s="25"/>
      <c r="D50" s="25"/>
      <c r="E50" s="25"/>
      <c r="F50" s="25"/>
      <c r="G50" s="25"/>
      <c r="H50" s="28"/>
      <c r="I50" s="25"/>
      <c r="J50" s="25"/>
      <c r="K50" s="25"/>
      <c r="L50" s="25"/>
      <c r="M50" s="25"/>
      <c r="N50" s="25"/>
      <c r="O50" s="25"/>
      <c r="P50" s="25"/>
      <c r="Q50" s="25"/>
      <c r="R50" s="25"/>
      <c r="S50" s="25"/>
      <c r="T50" s="25"/>
      <c r="U50" s="25"/>
      <c r="V50" s="25"/>
      <c r="W50" s="25"/>
      <c r="X50" s="25"/>
      <c r="Y50" s="25"/>
      <c r="Z50" s="25"/>
      <c r="AA50" s="27"/>
    </row>
    <row r="51">
      <c r="A51" s="24"/>
      <c r="B51" s="25"/>
      <c r="C51" s="25"/>
      <c r="D51" s="25"/>
      <c r="E51" s="25"/>
      <c r="F51" s="25"/>
      <c r="G51" s="25"/>
      <c r="H51" s="28"/>
      <c r="I51" s="25"/>
      <c r="J51" s="25"/>
      <c r="K51" s="25"/>
      <c r="L51" s="25"/>
      <c r="M51" s="25"/>
      <c r="N51" s="25"/>
      <c r="O51" s="25"/>
      <c r="P51" s="25"/>
      <c r="Q51" s="25"/>
      <c r="R51" s="25"/>
      <c r="S51" s="25"/>
      <c r="T51" s="25"/>
      <c r="U51" s="25"/>
      <c r="V51" s="25"/>
      <c r="W51" s="25"/>
      <c r="X51" s="25"/>
      <c r="Y51" s="25"/>
      <c r="Z51" s="25"/>
      <c r="AA51" s="27"/>
    </row>
    <row r="52">
      <c r="A52" s="24"/>
      <c r="B52" s="25"/>
      <c r="C52" s="25"/>
      <c r="D52" s="25"/>
      <c r="E52" s="25"/>
      <c r="F52" s="25"/>
      <c r="G52" s="25"/>
      <c r="H52" s="28"/>
      <c r="I52" s="25"/>
      <c r="J52" s="25"/>
      <c r="K52" s="25"/>
      <c r="L52" s="25"/>
      <c r="M52" s="25"/>
      <c r="N52" s="25"/>
      <c r="O52" s="25"/>
      <c r="P52" s="25"/>
      <c r="Q52" s="25"/>
      <c r="R52" s="25"/>
      <c r="S52" s="25"/>
      <c r="T52" s="25"/>
      <c r="U52" s="25"/>
      <c r="V52" s="25"/>
      <c r="W52" s="25"/>
      <c r="X52" s="25"/>
      <c r="Y52" s="25"/>
      <c r="Z52" s="25"/>
      <c r="AA52" s="27"/>
    </row>
    <row r="53">
      <c r="A53" s="24"/>
      <c r="B53" s="25"/>
      <c r="C53" s="25"/>
      <c r="D53" s="25"/>
      <c r="E53" s="25"/>
      <c r="F53" s="25"/>
      <c r="G53" s="25"/>
      <c r="H53" s="28"/>
      <c r="I53" s="25"/>
      <c r="J53" s="25"/>
      <c r="K53" s="25"/>
      <c r="L53" s="25"/>
      <c r="M53" s="25"/>
      <c r="N53" s="25"/>
      <c r="O53" s="25"/>
      <c r="P53" s="25"/>
      <c r="Q53" s="25"/>
      <c r="R53" s="25"/>
      <c r="S53" s="25"/>
      <c r="T53" s="25"/>
      <c r="U53" s="25"/>
      <c r="V53" s="25"/>
      <c r="W53" s="25"/>
      <c r="X53" s="25"/>
      <c r="Y53" s="25"/>
      <c r="Z53" s="25"/>
      <c r="AA53" s="27"/>
    </row>
    <row r="54">
      <c r="A54" s="24"/>
      <c r="B54" s="25"/>
      <c r="C54" s="25"/>
      <c r="D54" s="25"/>
      <c r="E54" s="25"/>
      <c r="F54" s="25"/>
      <c r="G54" s="25"/>
      <c r="H54" s="28"/>
      <c r="I54" s="25"/>
      <c r="J54" s="25"/>
      <c r="K54" s="25"/>
      <c r="L54" s="25"/>
      <c r="M54" s="25"/>
      <c r="N54" s="25"/>
      <c r="O54" s="25"/>
      <c r="P54" s="25"/>
      <c r="Q54" s="25"/>
      <c r="R54" s="25"/>
      <c r="S54" s="25"/>
      <c r="T54" s="25"/>
      <c r="U54" s="25"/>
      <c r="V54" s="25"/>
      <c r="W54" s="25"/>
      <c r="X54" s="25"/>
      <c r="Y54" s="25"/>
      <c r="Z54" s="25"/>
      <c r="AA54" s="27"/>
    </row>
    <row r="55">
      <c r="A55" s="24"/>
      <c r="B55" s="25"/>
      <c r="C55" s="25"/>
      <c r="D55" s="25"/>
      <c r="E55" s="25"/>
      <c r="F55" s="25"/>
      <c r="G55" s="25"/>
      <c r="H55" s="28"/>
      <c r="I55" s="25"/>
      <c r="J55" s="25"/>
      <c r="K55" s="25"/>
      <c r="L55" s="25"/>
      <c r="M55" s="25"/>
      <c r="N55" s="25"/>
      <c r="O55" s="25"/>
      <c r="P55" s="25"/>
      <c r="Q55" s="25"/>
      <c r="R55" s="25"/>
      <c r="S55" s="25"/>
      <c r="T55" s="25"/>
      <c r="U55" s="25"/>
      <c r="V55" s="25"/>
      <c r="W55" s="25"/>
      <c r="X55" s="25"/>
      <c r="Y55" s="25"/>
      <c r="Z55" s="25"/>
      <c r="AA55" s="27"/>
    </row>
    <row r="56">
      <c r="A56" s="24"/>
      <c r="B56" s="25"/>
      <c r="C56" s="25"/>
      <c r="D56" s="25"/>
      <c r="E56" s="25"/>
      <c r="F56" s="25"/>
      <c r="G56" s="25"/>
      <c r="H56" s="28"/>
      <c r="I56" s="25"/>
      <c r="J56" s="25"/>
      <c r="K56" s="25"/>
      <c r="L56" s="25"/>
      <c r="M56" s="25"/>
      <c r="N56" s="25"/>
      <c r="O56" s="25"/>
      <c r="P56" s="25"/>
      <c r="Q56" s="25"/>
      <c r="R56" s="25"/>
      <c r="S56" s="25"/>
      <c r="T56" s="25"/>
      <c r="U56" s="25"/>
      <c r="V56" s="25"/>
      <c r="W56" s="25"/>
      <c r="X56" s="25"/>
      <c r="Y56" s="25"/>
      <c r="Z56" s="25"/>
      <c r="AA56" s="27"/>
    </row>
    <row r="57">
      <c r="A57" s="24"/>
      <c r="B57" s="25"/>
      <c r="C57" s="25"/>
      <c r="D57" s="25"/>
      <c r="E57" s="25"/>
      <c r="F57" s="25"/>
      <c r="G57" s="25"/>
      <c r="H57" s="28"/>
      <c r="I57" s="25"/>
      <c r="J57" s="25"/>
      <c r="K57" s="25"/>
      <c r="L57" s="25"/>
      <c r="M57" s="25"/>
      <c r="N57" s="25"/>
      <c r="O57" s="25"/>
      <c r="P57" s="25"/>
      <c r="Q57" s="25"/>
      <c r="R57" s="25"/>
      <c r="S57" s="25"/>
      <c r="T57" s="25"/>
      <c r="U57" s="25"/>
      <c r="V57" s="25"/>
      <c r="W57" s="25"/>
      <c r="X57" s="25"/>
      <c r="Y57" s="25"/>
      <c r="Z57" s="25"/>
      <c r="AA57" s="27"/>
    </row>
    <row r="58">
      <c r="A58" s="24"/>
      <c r="B58" s="25"/>
      <c r="C58" s="25"/>
      <c r="D58" s="25"/>
      <c r="E58" s="25"/>
      <c r="F58" s="25"/>
      <c r="G58" s="25"/>
      <c r="H58" s="28"/>
      <c r="I58" s="25"/>
      <c r="J58" s="25"/>
      <c r="K58" s="25"/>
      <c r="L58" s="25"/>
      <c r="M58" s="25"/>
      <c r="N58" s="25"/>
      <c r="O58" s="25"/>
      <c r="P58" s="25"/>
      <c r="Q58" s="25"/>
      <c r="R58" s="25"/>
      <c r="S58" s="25"/>
      <c r="T58" s="25"/>
      <c r="U58" s="25"/>
      <c r="V58" s="25"/>
      <c r="W58" s="25"/>
      <c r="X58" s="25"/>
      <c r="Y58" s="25"/>
      <c r="Z58" s="25"/>
      <c r="AA58" s="27"/>
    </row>
    <row r="59">
      <c r="A59" s="24"/>
      <c r="B59" s="25"/>
      <c r="C59" s="25"/>
      <c r="D59" s="25"/>
      <c r="E59" s="25"/>
      <c r="F59" s="25"/>
      <c r="G59" s="25"/>
      <c r="H59" s="28"/>
      <c r="I59" s="25"/>
      <c r="J59" s="25"/>
      <c r="K59" s="25"/>
      <c r="L59" s="25"/>
      <c r="M59" s="25"/>
      <c r="N59" s="25"/>
      <c r="O59" s="25"/>
      <c r="P59" s="25"/>
      <c r="Q59" s="25"/>
      <c r="R59" s="25"/>
      <c r="S59" s="25"/>
      <c r="T59" s="25"/>
      <c r="U59" s="25"/>
      <c r="V59" s="25"/>
      <c r="W59" s="25"/>
      <c r="X59" s="25"/>
      <c r="Y59" s="25"/>
      <c r="Z59" s="25"/>
      <c r="AA59" s="27"/>
    </row>
    <row r="60">
      <c r="A60" s="24"/>
      <c r="B60" s="25"/>
      <c r="C60" s="25"/>
      <c r="D60" s="25"/>
      <c r="E60" s="25"/>
      <c r="F60" s="25"/>
      <c r="G60" s="25"/>
      <c r="H60" s="28"/>
      <c r="I60" s="25"/>
      <c r="J60" s="25"/>
      <c r="K60" s="25"/>
      <c r="L60" s="25"/>
      <c r="M60" s="25"/>
      <c r="N60" s="25"/>
      <c r="O60" s="25"/>
      <c r="P60" s="25"/>
      <c r="Q60" s="25"/>
      <c r="R60" s="25"/>
      <c r="S60" s="25"/>
      <c r="T60" s="25"/>
      <c r="U60" s="25"/>
      <c r="V60" s="25"/>
      <c r="W60" s="25"/>
      <c r="X60" s="25"/>
      <c r="Y60" s="25"/>
      <c r="Z60" s="25"/>
      <c r="AA60" s="27"/>
    </row>
    <row r="61">
      <c r="A61" s="24"/>
      <c r="B61" s="25"/>
      <c r="C61" s="25"/>
      <c r="D61" s="25"/>
      <c r="E61" s="25"/>
      <c r="F61" s="25"/>
      <c r="G61" s="25"/>
      <c r="H61" s="28"/>
      <c r="I61" s="25"/>
      <c r="J61" s="25"/>
      <c r="K61" s="25"/>
      <c r="L61" s="25"/>
      <c r="M61" s="25"/>
      <c r="N61" s="25"/>
      <c r="O61" s="25"/>
      <c r="P61" s="25"/>
      <c r="Q61" s="25"/>
      <c r="R61" s="25"/>
      <c r="S61" s="25"/>
      <c r="T61" s="25"/>
      <c r="U61" s="25"/>
      <c r="V61" s="25"/>
      <c r="W61" s="25"/>
      <c r="X61" s="25"/>
      <c r="Y61" s="25"/>
      <c r="Z61" s="25"/>
      <c r="AA61" s="27"/>
    </row>
    <row r="62">
      <c r="A62" s="24"/>
      <c r="B62" s="25"/>
      <c r="C62" s="25"/>
      <c r="D62" s="25"/>
      <c r="E62" s="25"/>
      <c r="F62" s="25"/>
      <c r="G62" s="25"/>
      <c r="H62" s="28"/>
      <c r="I62" s="25"/>
      <c r="J62" s="25"/>
      <c r="K62" s="25"/>
      <c r="L62" s="25"/>
      <c r="M62" s="25"/>
      <c r="N62" s="25"/>
      <c r="O62" s="25"/>
      <c r="P62" s="25"/>
      <c r="Q62" s="25"/>
      <c r="R62" s="25"/>
      <c r="S62" s="25"/>
      <c r="T62" s="25"/>
      <c r="U62" s="25"/>
      <c r="V62" s="25"/>
      <c r="W62" s="25"/>
      <c r="X62" s="25"/>
      <c r="Y62" s="25"/>
      <c r="Z62" s="25"/>
      <c r="AA62" s="27"/>
    </row>
    <row r="63">
      <c r="A63" s="24"/>
      <c r="B63" s="25"/>
      <c r="C63" s="25"/>
      <c r="D63" s="25"/>
      <c r="E63" s="25"/>
      <c r="F63" s="25"/>
      <c r="G63" s="25"/>
      <c r="H63" s="28"/>
      <c r="I63" s="25"/>
      <c r="J63" s="25"/>
      <c r="K63" s="25"/>
      <c r="L63" s="25"/>
      <c r="M63" s="25"/>
      <c r="N63" s="25"/>
      <c r="O63" s="25"/>
      <c r="P63" s="25"/>
      <c r="Q63" s="25"/>
      <c r="R63" s="25"/>
      <c r="S63" s="25"/>
      <c r="T63" s="25"/>
      <c r="U63" s="25"/>
      <c r="V63" s="25"/>
      <c r="W63" s="25"/>
      <c r="X63" s="25"/>
      <c r="Y63" s="25"/>
      <c r="Z63" s="25"/>
      <c r="AA63" s="27"/>
    </row>
    <row r="64">
      <c r="A64" s="24"/>
      <c r="B64" s="25"/>
      <c r="C64" s="25"/>
      <c r="D64" s="25"/>
      <c r="E64" s="25"/>
      <c r="F64" s="25"/>
      <c r="G64" s="25"/>
      <c r="H64" s="28"/>
      <c r="I64" s="25"/>
      <c r="J64" s="25"/>
      <c r="K64" s="25"/>
      <c r="L64" s="25"/>
      <c r="M64" s="25"/>
      <c r="N64" s="25"/>
      <c r="O64" s="25"/>
      <c r="P64" s="25"/>
      <c r="Q64" s="25"/>
      <c r="R64" s="25"/>
      <c r="S64" s="25"/>
      <c r="T64" s="25"/>
      <c r="U64" s="25"/>
      <c r="V64" s="25"/>
      <c r="W64" s="25"/>
      <c r="X64" s="25"/>
      <c r="Y64" s="25"/>
      <c r="Z64" s="25"/>
      <c r="AA64" s="27"/>
    </row>
    <row r="65">
      <c r="A65" s="24"/>
      <c r="B65" s="25"/>
      <c r="C65" s="25"/>
      <c r="D65" s="25"/>
      <c r="E65" s="25"/>
      <c r="F65" s="25"/>
      <c r="G65" s="25"/>
      <c r="H65" s="28"/>
      <c r="I65" s="25"/>
      <c r="J65" s="25"/>
      <c r="K65" s="25"/>
      <c r="L65" s="25"/>
      <c r="M65" s="25"/>
      <c r="N65" s="25"/>
      <c r="O65" s="25"/>
      <c r="P65" s="25"/>
      <c r="Q65" s="25"/>
      <c r="R65" s="25"/>
      <c r="S65" s="25"/>
      <c r="T65" s="25"/>
      <c r="U65" s="25"/>
      <c r="V65" s="25"/>
      <c r="W65" s="25"/>
      <c r="X65" s="25"/>
      <c r="Y65" s="25"/>
      <c r="Z65" s="25"/>
      <c r="AA65" s="27"/>
    </row>
    <row r="66">
      <c r="A66" s="24"/>
      <c r="B66" s="25"/>
      <c r="C66" s="25"/>
      <c r="D66" s="25"/>
      <c r="E66" s="25"/>
      <c r="F66" s="25"/>
      <c r="G66" s="25"/>
      <c r="H66" s="28"/>
      <c r="I66" s="25"/>
      <c r="J66" s="25"/>
      <c r="K66" s="25"/>
      <c r="L66" s="25"/>
      <c r="M66" s="25"/>
      <c r="N66" s="25"/>
      <c r="O66" s="25"/>
      <c r="P66" s="25"/>
      <c r="Q66" s="25"/>
      <c r="R66" s="25"/>
      <c r="S66" s="25"/>
      <c r="T66" s="25"/>
      <c r="U66" s="25"/>
      <c r="V66" s="25"/>
      <c r="W66" s="25"/>
      <c r="X66" s="25"/>
      <c r="Y66" s="25"/>
      <c r="Z66" s="25"/>
      <c r="AA66" s="27"/>
    </row>
    <row r="67">
      <c r="A67" s="24"/>
      <c r="B67" s="25"/>
      <c r="C67" s="25"/>
      <c r="D67" s="25"/>
      <c r="E67" s="25"/>
      <c r="F67" s="25"/>
      <c r="G67" s="25"/>
      <c r="H67" s="28"/>
      <c r="I67" s="25"/>
      <c r="J67" s="25"/>
      <c r="K67" s="25"/>
      <c r="L67" s="25"/>
      <c r="M67" s="25"/>
      <c r="N67" s="25"/>
      <c r="O67" s="25"/>
      <c r="P67" s="25"/>
      <c r="Q67" s="25"/>
      <c r="R67" s="25"/>
      <c r="S67" s="25"/>
      <c r="T67" s="25"/>
      <c r="U67" s="25"/>
      <c r="V67" s="25"/>
      <c r="W67" s="25"/>
      <c r="X67" s="25"/>
      <c r="Y67" s="25"/>
      <c r="Z67" s="25"/>
      <c r="AA67" s="27"/>
    </row>
    <row r="68">
      <c r="A68" s="24"/>
      <c r="B68" s="25"/>
      <c r="C68" s="25"/>
      <c r="D68" s="25"/>
      <c r="E68" s="25"/>
      <c r="F68" s="25"/>
      <c r="G68" s="25"/>
      <c r="H68" s="28"/>
      <c r="I68" s="25"/>
      <c r="J68" s="25"/>
      <c r="K68" s="25"/>
      <c r="L68" s="25"/>
      <c r="M68" s="25"/>
      <c r="N68" s="25"/>
      <c r="O68" s="25"/>
      <c r="P68" s="25"/>
      <c r="Q68" s="25"/>
      <c r="R68" s="25"/>
      <c r="S68" s="25"/>
      <c r="T68" s="25"/>
      <c r="U68" s="25"/>
      <c r="V68" s="25"/>
      <c r="W68" s="25"/>
      <c r="X68" s="25"/>
      <c r="Y68" s="25"/>
      <c r="Z68" s="25"/>
      <c r="AA68" s="27"/>
    </row>
    <row r="69">
      <c r="A69" s="24"/>
      <c r="B69" s="25"/>
      <c r="C69" s="25"/>
      <c r="D69" s="25"/>
      <c r="E69" s="25"/>
      <c r="F69" s="25"/>
      <c r="G69" s="25"/>
      <c r="H69" s="28"/>
      <c r="I69" s="25"/>
      <c r="J69" s="25"/>
      <c r="K69" s="25"/>
      <c r="L69" s="25"/>
      <c r="M69" s="25"/>
      <c r="N69" s="25"/>
      <c r="O69" s="25"/>
      <c r="P69" s="25"/>
      <c r="Q69" s="25"/>
      <c r="R69" s="25"/>
      <c r="S69" s="25"/>
      <c r="T69" s="25"/>
      <c r="U69" s="25"/>
      <c r="V69" s="25"/>
      <c r="W69" s="25"/>
      <c r="X69" s="25"/>
      <c r="Y69" s="25"/>
      <c r="Z69" s="25"/>
      <c r="AA69" s="27"/>
    </row>
    <row r="70">
      <c r="A70" s="24"/>
      <c r="B70" s="25"/>
      <c r="C70" s="25"/>
      <c r="D70" s="25"/>
      <c r="E70" s="25"/>
      <c r="F70" s="25"/>
      <c r="G70" s="25"/>
      <c r="H70" s="28"/>
      <c r="I70" s="25"/>
      <c r="J70" s="25"/>
      <c r="K70" s="25"/>
      <c r="L70" s="25"/>
      <c r="M70" s="25"/>
      <c r="N70" s="25"/>
      <c r="O70" s="25"/>
      <c r="P70" s="25"/>
      <c r="Q70" s="25"/>
      <c r="R70" s="25"/>
      <c r="S70" s="25"/>
      <c r="T70" s="25"/>
      <c r="U70" s="25"/>
      <c r="V70" s="25"/>
      <c r="W70" s="25"/>
      <c r="X70" s="25"/>
      <c r="Y70" s="25"/>
      <c r="Z70" s="25"/>
      <c r="AA70" s="27"/>
    </row>
    <row r="71">
      <c r="A71" s="24"/>
      <c r="B71" s="25"/>
      <c r="C71" s="25"/>
      <c r="D71" s="25"/>
      <c r="E71" s="25"/>
      <c r="F71" s="25"/>
      <c r="G71" s="25"/>
      <c r="H71" s="28"/>
      <c r="I71" s="25"/>
      <c r="J71" s="25"/>
      <c r="K71" s="25"/>
      <c r="L71" s="25"/>
      <c r="M71" s="25"/>
      <c r="N71" s="25"/>
      <c r="O71" s="25"/>
      <c r="P71" s="25"/>
      <c r="Q71" s="25"/>
      <c r="R71" s="25"/>
      <c r="S71" s="25"/>
      <c r="T71" s="25"/>
      <c r="U71" s="25"/>
      <c r="V71" s="25"/>
      <c r="W71" s="25"/>
      <c r="X71" s="25"/>
      <c r="Y71" s="25"/>
      <c r="Z71" s="25"/>
      <c r="AA71" s="27"/>
    </row>
    <row r="72">
      <c r="A72" s="24"/>
      <c r="B72" s="25"/>
      <c r="C72" s="25"/>
      <c r="D72" s="25"/>
      <c r="E72" s="25"/>
      <c r="F72" s="25"/>
      <c r="G72" s="25"/>
      <c r="H72" s="28"/>
      <c r="I72" s="25"/>
      <c r="J72" s="25"/>
      <c r="K72" s="25"/>
      <c r="L72" s="25"/>
      <c r="M72" s="25"/>
      <c r="N72" s="25"/>
      <c r="O72" s="25"/>
      <c r="P72" s="25"/>
      <c r="Q72" s="25"/>
      <c r="R72" s="25"/>
      <c r="S72" s="25"/>
      <c r="T72" s="25"/>
      <c r="U72" s="25"/>
      <c r="V72" s="25"/>
      <c r="W72" s="25"/>
      <c r="X72" s="25"/>
      <c r="Y72" s="25"/>
      <c r="Z72" s="25"/>
      <c r="AA72" s="27"/>
    </row>
    <row r="73">
      <c r="A73" s="24"/>
      <c r="B73" s="25"/>
      <c r="C73" s="25"/>
      <c r="D73" s="25"/>
      <c r="E73" s="25"/>
      <c r="F73" s="25"/>
      <c r="G73" s="25"/>
      <c r="H73" s="28"/>
      <c r="I73" s="25"/>
      <c r="J73" s="25"/>
      <c r="K73" s="25"/>
      <c r="L73" s="25"/>
      <c r="M73" s="25"/>
      <c r="N73" s="25"/>
      <c r="O73" s="25"/>
      <c r="P73" s="25"/>
      <c r="Q73" s="25"/>
      <c r="R73" s="25"/>
      <c r="S73" s="25"/>
      <c r="T73" s="25"/>
      <c r="U73" s="25"/>
      <c r="V73" s="25"/>
      <c r="W73" s="25"/>
      <c r="X73" s="25"/>
      <c r="Y73" s="25"/>
      <c r="Z73" s="25"/>
      <c r="AA73" s="27"/>
    </row>
    <row r="74">
      <c r="A74" s="24"/>
      <c r="B74" s="25"/>
      <c r="C74" s="25"/>
      <c r="D74" s="25"/>
      <c r="E74" s="25"/>
      <c r="F74" s="25"/>
      <c r="G74" s="25"/>
      <c r="H74" s="28"/>
      <c r="I74" s="25"/>
      <c r="J74" s="25"/>
      <c r="K74" s="25"/>
      <c r="L74" s="25"/>
      <c r="M74" s="25"/>
      <c r="N74" s="25"/>
      <c r="O74" s="25"/>
      <c r="P74" s="25"/>
      <c r="Q74" s="25"/>
      <c r="R74" s="25"/>
      <c r="S74" s="25"/>
      <c r="T74" s="25"/>
      <c r="U74" s="25"/>
      <c r="V74" s="25"/>
      <c r="W74" s="25"/>
      <c r="X74" s="25"/>
      <c r="Y74" s="25"/>
      <c r="Z74" s="25"/>
      <c r="AA74" s="27"/>
    </row>
    <row r="75">
      <c r="A75" s="24"/>
      <c r="B75" s="25"/>
      <c r="C75" s="25"/>
      <c r="D75" s="25"/>
      <c r="E75" s="25"/>
      <c r="F75" s="25"/>
      <c r="G75" s="25"/>
      <c r="H75" s="28"/>
      <c r="I75" s="25"/>
      <c r="J75" s="25"/>
      <c r="K75" s="25"/>
      <c r="L75" s="25"/>
      <c r="M75" s="25"/>
      <c r="N75" s="25"/>
      <c r="O75" s="25"/>
      <c r="P75" s="25"/>
      <c r="Q75" s="25"/>
      <c r="R75" s="25"/>
      <c r="S75" s="25"/>
      <c r="T75" s="25"/>
      <c r="U75" s="25"/>
      <c r="V75" s="25"/>
      <c r="W75" s="25"/>
      <c r="X75" s="25"/>
      <c r="Y75" s="25"/>
      <c r="Z75" s="25"/>
      <c r="AA75" s="27"/>
    </row>
    <row r="76">
      <c r="A76" s="24"/>
      <c r="B76" s="25"/>
      <c r="C76" s="25"/>
      <c r="D76" s="25"/>
      <c r="E76" s="25"/>
      <c r="F76" s="25"/>
      <c r="G76" s="25"/>
      <c r="H76" s="28"/>
      <c r="I76" s="25"/>
      <c r="J76" s="25"/>
      <c r="K76" s="25"/>
      <c r="L76" s="25"/>
      <c r="M76" s="25"/>
      <c r="N76" s="25"/>
      <c r="O76" s="25"/>
      <c r="P76" s="25"/>
      <c r="Q76" s="25"/>
      <c r="R76" s="25"/>
      <c r="S76" s="25"/>
      <c r="T76" s="25"/>
      <c r="U76" s="25"/>
      <c r="V76" s="25"/>
      <c r="W76" s="25"/>
      <c r="X76" s="25"/>
      <c r="Y76" s="25"/>
      <c r="Z76" s="25"/>
      <c r="AA76" s="27"/>
    </row>
    <row r="77">
      <c r="A77" s="24"/>
      <c r="B77" s="25"/>
      <c r="C77" s="25"/>
      <c r="D77" s="25"/>
      <c r="E77" s="25"/>
      <c r="F77" s="25"/>
      <c r="G77" s="25"/>
      <c r="H77" s="28"/>
      <c r="I77" s="25"/>
      <c r="J77" s="25"/>
      <c r="K77" s="25"/>
      <c r="L77" s="25"/>
      <c r="M77" s="25"/>
      <c r="N77" s="25"/>
      <c r="O77" s="25"/>
      <c r="P77" s="25"/>
      <c r="Q77" s="25"/>
      <c r="R77" s="25"/>
      <c r="S77" s="25"/>
      <c r="T77" s="25"/>
      <c r="U77" s="25"/>
      <c r="V77" s="25"/>
      <c r="W77" s="25"/>
      <c r="X77" s="25"/>
      <c r="Y77" s="25"/>
      <c r="Z77" s="25"/>
      <c r="AA77" s="27"/>
    </row>
    <row r="78">
      <c r="A78" s="24"/>
      <c r="B78" s="25"/>
      <c r="C78" s="25"/>
      <c r="D78" s="25"/>
      <c r="E78" s="25"/>
      <c r="F78" s="25"/>
      <c r="G78" s="25"/>
      <c r="H78" s="28"/>
      <c r="I78" s="25"/>
      <c r="J78" s="25"/>
      <c r="K78" s="25"/>
      <c r="L78" s="25"/>
      <c r="M78" s="25"/>
      <c r="N78" s="25"/>
      <c r="O78" s="25"/>
      <c r="P78" s="25"/>
      <c r="Q78" s="25"/>
      <c r="R78" s="25"/>
      <c r="S78" s="25"/>
      <c r="T78" s="25"/>
      <c r="U78" s="25"/>
      <c r="V78" s="25"/>
      <c r="W78" s="25"/>
      <c r="X78" s="25"/>
      <c r="Y78" s="25"/>
      <c r="Z78" s="25"/>
      <c r="AA78" s="27"/>
    </row>
    <row r="79">
      <c r="A79" s="24"/>
      <c r="B79" s="25"/>
      <c r="C79" s="25"/>
      <c r="D79" s="25"/>
      <c r="E79" s="25"/>
      <c r="F79" s="25"/>
      <c r="G79" s="25"/>
      <c r="H79" s="28"/>
      <c r="I79" s="25"/>
      <c r="J79" s="25"/>
      <c r="K79" s="25"/>
      <c r="L79" s="25"/>
      <c r="M79" s="25"/>
      <c r="N79" s="25"/>
      <c r="O79" s="25"/>
      <c r="P79" s="25"/>
      <c r="Q79" s="25"/>
      <c r="R79" s="25"/>
      <c r="S79" s="25"/>
      <c r="T79" s="25"/>
      <c r="U79" s="25"/>
      <c r="V79" s="25"/>
      <c r="W79" s="25"/>
      <c r="X79" s="25"/>
      <c r="Y79" s="25"/>
      <c r="Z79" s="25"/>
      <c r="AA79" s="27"/>
    </row>
    <row r="80">
      <c r="A80" s="24"/>
      <c r="B80" s="25"/>
      <c r="C80" s="25"/>
      <c r="D80" s="25"/>
      <c r="E80" s="25"/>
      <c r="F80" s="25"/>
      <c r="G80" s="25"/>
      <c r="H80" s="28"/>
      <c r="I80" s="25"/>
      <c r="J80" s="25"/>
      <c r="K80" s="25"/>
      <c r="L80" s="25"/>
      <c r="M80" s="25"/>
      <c r="N80" s="25"/>
      <c r="O80" s="25"/>
      <c r="P80" s="25"/>
      <c r="Q80" s="25"/>
      <c r="R80" s="25"/>
      <c r="S80" s="25"/>
      <c r="T80" s="25"/>
      <c r="U80" s="25"/>
      <c r="V80" s="25"/>
      <c r="W80" s="25"/>
      <c r="X80" s="25"/>
      <c r="Y80" s="25"/>
      <c r="Z80" s="25"/>
      <c r="AA80" s="27"/>
    </row>
    <row r="81">
      <c r="A81" s="24"/>
      <c r="B81" s="25"/>
      <c r="C81" s="25"/>
      <c r="D81" s="25"/>
      <c r="E81" s="25"/>
      <c r="F81" s="25"/>
      <c r="G81" s="25"/>
      <c r="H81" s="28"/>
      <c r="I81" s="25"/>
      <c r="J81" s="25"/>
      <c r="K81" s="25"/>
      <c r="L81" s="25"/>
      <c r="M81" s="25"/>
      <c r="N81" s="25"/>
      <c r="O81" s="25"/>
      <c r="P81" s="25"/>
      <c r="Q81" s="25"/>
      <c r="R81" s="25"/>
      <c r="S81" s="25"/>
      <c r="T81" s="25"/>
      <c r="U81" s="25"/>
      <c r="V81" s="25"/>
      <c r="W81" s="25"/>
      <c r="X81" s="25"/>
      <c r="Y81" s="25"/>
      <c r="Z81" s="25"/>
      <c r="AA81" s="27"/>
    </row>
    <row r="82">
      <c r="A82" s="24"/>
      <c r="B82" s="25"/>
      <c r="C82" s="25"/>
      <c r="D82" s="25"/>
      <c r="E82" s="25"/>
      <c r="F82" s="25"/>
      <c r="G82" s="25"/>
      <c r="H82" s="28"/>
      <c r="I82" s="25"/>
      <c r="J82" s="25"/>
      <c r="K82" s="25"/>
      <c r="L82" s="25"/>
      <c r="M82" s="25"/>
      <c r="N82" s="25"/>
      <c r="O82" s="25"/>
      <c r="P82" s="25"/>
      <c r="Q82" s="25"/>
      <c r="R82" s="25"/>
      <c r="S82" s="25"/>
      <c r="T82" s="25"/>
      <c r="U82" s="25"/>
      <c r="V82" s="25"/>
      <c r="W82" s="25"/>
      <c r="X82" s="25"/>
      <c r="Y82" s="25"/>
      <c r="Z82" s="25"/>
      <c r="AA82" s="27"/>
    </row>
    <row r="83">
      <c r="A83" s="24"/>
      <c r="B83" s="25"/>
      <c r="C83" s="25"/>
      <c r="D83" s="25"/>
      <c r="E83" s="25"/>
      <c r="F83" s="25"/>
      <c r="G83" s="25"/>
      <c r="H83" s="28"/>
      <c r="I83" s="25"/>
      <c r="J83" s="25"/>
      <c r="K83" s="25"/>
      <c r="L83" s="25"/>
      <c r="M83" s="25"/>
      <c r="N83" s="25"/>
      <c r="O83" s="25"/>
      <c r="P83" s="25"/>
      <c r="Q83" s="25"/>
      <c r="R83" s="25"/>
      <c r="S83" s="25"/>
      <c r="T83" s="25"/>
      <c r="U83" s="25"/>
      <c r="V83" s="25"/>
      <c r="W83" s="25"/>
      <c r="X83" s="25"/>
      <c r="Y83" s="25"/>
      <c r="Z83" s="25"/>
      <c r="AA83" s="27"/>
    </row>
    <row r="84">
      <c r="A84" s="24"/>
      <c r="B84" s="25"/>
      <c r="C84" s="25"/>
      <c r="D84" s="25"/>
      <c r="E84" s="25"/>
      <c r="F84" s="25"/>
      <c r="G84" s="25"/>
      <c r="H84" s="28"/>
      <c r="I84" s="25"/>
      <c r="J84" s="25"/>
      <c r="K84" s="25"/>
      <c r="L84" s="25"/>
      <c r="M84" s="25"/>
      <c r="N84" s="25"/>
      <c r="O84" s="25"/>
      <c r="P84" s="25"/>
      <c r="Q84" s="25"/>
      <c r="R84" s="25"/>
      <c r="S84" s="25"/>
      <c r="T84" s="25"/>
      <c r="U84" s="25"/>
      <c r="V84" s="25"/>
      <c r="W84" s="25"/>
      <c r="X84" s="25"/>
      <c r="Y84" s="25"/>
      <c r="Z84" s="25"/>
      <c r="AA84" s="27"/>
    </row>
    <row r="85">
      <c r="A85" s="24"/>
      <c r="B85" s="25"/>
      <c r="C85" s="25"/>
      <c r="D85" s="25"/>
      <c r="E85" s="25"/>
      <c r="F85" s="25"/>
      <c r="G85" s="25"/>
      <c r="H85" s="28"/>
      <c r="I85" s="25"/>
      <c r="J85" s="25"/>
      <c r="K85" s="25"/>
      <c r="L85" s="25"/>
      <c r="M85" s="25"/>
      <c r="N85" s="25"/>
      <c r="O85" s="25"/>
      <c r="P85" s="25"/>
      <c r="Q85" s="25"/>
      <c r="R85" s="25"/>
      <c r="S85" s="25"/>
      <c r="T85" s="25"/>
      <c r="U85" s="25"/>
      <c r="V85" s="25"/>
      <c r="W85" s="25"/>
      <c r="X85" s="25"/>
      <c r="Y85" s="25"/>
      <c r="Z85" s="25"/>
      <c r="AA85" s="27"/>
    </row>
    <row r="86">
      <c r="A86" s="24"/>
      <c r="B86" s="25"/>
      <c r="C86" s="25"/>
      <c r="D86" s="25"/>
      <c r="E86" s="25"/>
      <c r="F86" s="25"/>
      <c r="G86" s="25"/>
      <c r="H86" s="28"/>
      <c r="I86" s="25"/>
      <c r="J86" s="25"/>
      <c r="K86" s="25"/>
      <c r="L86" s="25"/>
      <c r="M86" s="25"/>
      <c r="N86" s="25"/>
      <c r="O86" s="25"/>
      <c r="P86" s="25"/>
      <c r="Q86" s="25"/>
      <c r="R86" s="25"/>
      <c r="S86" s="25"/>
      <c r="T86" s="25"/>
      <c r="U86" s="25"/>
      <c r="V86" s="25"/>
      <c r="W86" s="25"/>
      <c r="X86" s="25"/>
      <c r="Y86" s="25"/>
      <c r="Z86" s="25"/>
      <c r="AA86" s="27"/>
    </row>
    <row r="87">
      <c r="A87" s="24"/>
      <c r="B87" s="25"/>
      <c r="C87" s="25"/>
      <c r="D87" s="25"/>
      <c r="E87" s="25"/>
      <c r="F87" s="25"/>
      <c r="G87" s="25"/>
      <c r="H87" s="28"/>
      <c r="I87" s="25"/>
      <c r="J87" s="25"/>
      <c r="K87" s="25"/>
      <c r="L87" s="25"/>
      <c r="M87" s="25"/>
      <c r="N87" s="25"/>
      <c r="O87" s="25"/>
      <c r="P87" s="25"/>
      <c r="Q87" s="25"/>
      <c r="R87" s="25"/>
      <c r="S87" s="25"/>
      <c r="T87" s="25"/>
      <c r="U87" s="25"/>
      <c r="V87" s="25"/>
      <c r="W87" s="25"/>
      <c r="X87" s="25"/>
      <c r="Y87" s="25"/>
      <c r="Z87" s="25"/>
      <c r="AA87" s="27"/>
    </row>
    <row r="88">
      <c r="A88" s="24"/>
      <c r="B88" s="25"/>
      <c r="C88" s="25"/>
      <c r="D88" s="25"/>
      <c r="E88" s="25"/>
      <c r="F88" s="25"/>
      <c r="G88" s="25"/>
      <c r="H88" s="28"/>
      <c r="I88" s="25"/>
      <c r="J88" s="25"/>
      <c r="K88" s="25"/>
      <c r="L88" s="25"/>
      <c r="M88" s="25"/>
      <c r="N88" s="25"/>
      <c r="O88" s="25"/>
      <c r="P88" s="25"/>
      <c r="Q88" s="25"/>
      <c r="R88" s="25"/>
      <c r="S88" s="25"/>
      <c r="T88" s="25"/>
      <c r="U88" s="25"/>
      <c r="V88" s="25"/>
      <c r="W88" s="25"/>
      <c r="X88" s="25"/>
      <c r="Y88" s="25"/>
      <c r="Z88" s="25"/>
      <c r="AA88" s="27"/>
    </row>
    <row r="89">
      <c r="A89" s="24"/>
      <c r="B89" s="25"/>
      <c r="C89" s="25"/>
      <c r="D89" s="25"/>
      <c r="E89" s="25"/>
      <c r="F89" s="25"/>
      <c r="G89" s="25"/>
      <c r="H89" s="28"/>
      <c r="I89" s="25"/>
      <c r="J89" s="25"/>
      <c r="K89" s="25"/>
      <c r="L89" s="25"/>
      <c r="M89" s="25"/>
      <c r="N89" s="25"/>
      <c r="O89" s="25"/>
      <c r="P89" s="25"/>
      <c r="Q89" s="25"/>
      <c r="R89" s="25"/>
      <c r="S89" s="25"/>
      <c r="T89" s="25"/>
      <c r="U89" s="25"/>
      <c r="V89" s="25"/>
      <c r="W89" s="25"/>
      <c r="X89" s="25"/>
      <c r="Y89" s="25"/>
      <c r="Z89" s="25"/>
      <c r="AA89" s="27"/>
    </row>
    <row r="90">
      <c r="A90" s="24"/>
      <c r="B90" s="25"/>
      <c r="C90" s="25"/>
      <c r="D90" s="25"/>
      <c r="E90" s="25"/>
      <c r="F90" s="25"/>
      <c r="G90" s="25"/>
      <c r="H90" s="28"/>
      <c r="I90" s="25"/>
      <c r="J90" s="25"/>
      <c r="K90" s="25"/>
      <c r="L90" s="25"/>
      <c r="M90" s="25"/>
      <c r="N90" s="25"/>
      <c r="O90" s="25"/>
      <c r="P90" s="25"/>
      <c r="Q90" s="25"/>
      <c r="R90" s="25"/>
      <c r="S90" s="25"/>
      <c r="T90" s="25"/>
      <c r="U90" s="25"/>
      <c r="V90" s="25"/>
      <c r="W90" s="25"/>
      <c r="X90" s="25"/>
      <c r="Y90" s="25"/>
      <c r="Z90" s="25"/>
      <c r="AA90" s="27"/>
    </row>
    <row r="91">
      <c r="A91" s="24"/>
      <c r="B91" s="25"/>
      <c r="C91" s="25"/>
      <c r="D91" s="25"/>
      <c r="E91" s="25"/>
      <c r="F91" s="25"/>
      <c r="G91" s="25"/>
      <c r="H91" s="28"/>
      <c r="I91" s="25"/>
      <c r="J91" s="25"/>
      <c r="K91" s="25"/>
      <c r="L91" s="25"/>
      <c r="M91" s="25"/>
      <c r="N91" s="25"/>
      <c r="O91" s="25"/>
      <c r="P91" s="25"/>
      <c r="Q91" s="25"/>
      <c r="R91" s="25"/>
      <c r="S91" s="25"/>
      <c r="T91" s="25"/>
      <c r="U91" s="25"/>
      <c r="V91" s="25"/>
      <c r="W91" s="25"/>
      <c r="X91" s="25"/>
      <c r="Y91" s="25"/>
      <c r="Z91" s="25"/>
      <c r="AA91" s="27"/>
    </row>
    <row r="92">
      <c r="A92" s="24"/>
      <c r="B92" s="25"/>
      <c r="C92" s="25"/>
      <c r="D92" s="25"/>
      <c r="E92" s="25"/>
      <c r="F92" s="25"/>
      <c r="G92" s="25"/>
      <c r="H92" s="28"/>
      <c r="I92" s="25"/>
      <c r="J92" s="25"/>
      <c r="K92" s="25"/>
      <c r="L92" s="25"/>
      <c r="M92" s="25"/>
      <c r="N92" s="25"/>
      <c r="O92" s="25"/>
      <c r="P92" s="25"/>
      <c r="Q92" s="25"/>
      <c r="R92" s="25"/>
      <c r="S92" s="25"/>
      <c r="T92" s="25"/>
      <c r="U92" s="25"/>
      <c r="V92" s="25"/>
      <c r="W92" s="25"/>
      <c r="X92" s="25"/>
      <c r="Y92" s="25"/>
      <c r="Z92" s="25"/>
      <c r="AA92" s="27"/>
    </row>
    <row r="93">
      <c r="A93" s="24"/>
      <c r="B93" s="25"/>
      <c r="C93" s="25"/>
      <c r="D93" s="25"/>
      <c r="E93" s="25"/>
      <c r="F93" s="25"/>
      <c r="G93" s="25"/>
      <c r="H93" s="28"/>
      <c r="I93" s="25"/>
      <c r="J93" s="25"/>
      <c r="K93" s="25"/>
      <c r="L93" s="25"/>
      <c r="M93" s="25"/>
      <c r="N93" s="25"/>
      <c r="O93" s="25"/>
      <c r="P93" s="25"/>
      <c r="Q93" s="25"/>
      <c r="R93" s="25"/>
      <c r="S93" s="25"/>
      <c r="T93" s="25"/>
      <c r="U93" s="25"/>
      <c r="V93" s="25"/>
      <c r="W93" s="25"/>
      <c r="X93" s="25"/>
      <c r="Y93" s="25"/>
      <c r="Z93" s="25"/>
      <c r="AA93" s="27"/>
    </row>
    <row r="94">
      <c r="A94" s="24"/>
      <c r="B94" s="25"/>
      <c r="C94" s="25"/>
      <c r="D94" s="25"/>
      <c r="E94" s="25"/>
      <c r="F94" s="25"/>
      <c r="G94" s="25"/>
      <c r="H94" s="28"/>
      <c r="I94" s="25"/>
      <c r="J94" s="25"/>
      <c r="K94" s="25"/>
      <c r="L94" s="25"/>
      <c r="M94" s="25"/>
      <c r="N94" s="25"/>
      <c r="O94" s="25"/>
      <c r="P94" s="25"/>
      <c r="Q94" s="25"/>
      <c r="R94" s="25"/>
      <c r="S94" s="25"/>
      <c r="T94" s="25"/>
      <c r="U94" s="25"/>
      <c r="V94" s="25"/>
      <c r="W94" s="25"/>
      <c r="X94" s="25"/>
      <c r="Y94" s="25"/>
      <c r="Z94" s="25"/>
      <c r="AA94" s="27"/>
    </row>
    <row r="95">
      <c r="A95" s="24"/>
      <c r="B95" s="25"/>
      <c r="C95" s="25"/>
      <c r="D95" s="25"/>
      <c r="E95" s="25"/>
      <c r="F95" s="25"/>
      <c r="G95" s="25"/>
      <c r="H95" s="28"/>
      <c r="I95" s="25"/>
      <c r="J95" s="25"/>
      <c r="K95" s="25"/>
      <c r="L95" s="25"/>
      <c r="M95" s="25"/>
      <c r="N95" s="25"/>
      <c r="O95" s="25"/>
      <c r="P95" s="25"/>
      <c r="Q95" s="25"/>
      <c r="R95" s="25"/>
      <c r="S95" s="25"/>
      <c r="T95" s="25"/>
      <c r="U95" s="25"/>
      <c r="V95" s="25"/>
      <c r="W95" s="25"/>
      <c r="X95" s="25"/>
      <c r="Y95" s="25"/>
      <c r="Z95" s="25"/>
      <c r="AA95" s="27"/>
    </row>
    <row r="96">
      <c r="A96" s="24"/>
      <c r="B96" s="25"/>
      <c r="C96" s="25"/>
      <c r="D96" s="25"/>
      <c r="E96" s="25"/>
      <c r="F96" s="25"/>
      <c r="G96" s="25"/>
      <c r="H96" s="28"/>
      <c r="I96" s="25"/>
      <c r="J96" s="25"/>
      <c r="K96" s="25"/>
      <c r="L96" s="25"/>
      <c r="M96" s="25"/>
      <c r="N96" s="25"/>
      <c r="O96" s="25"/>
      <c r="P96" s="25"/>
      <c r="Q96" s="25"/>
      <c r="R96" s="25"/>
      <c r="S96" s="25"/>
      <c r="T96" s="25"/>
      <c r="U96" s="25"/>
      <c r="V96" s="25"/>
      <c r="W96" s="25"/>
      <c r="X96" s="25"/>
      <c r="Y96" s="25"/>
      <c r="Z96" s="25"/>
      <c r="AA96" s="27"/>
    </row>
    <row r="97">
      <c r="A97" s="24"/>
      <c r="B97" s="25"/>
      <c r="C97" s="25"/>
      <c r="D97" s="25"/>
      <c r="E97" s="25"/>
      <c r="F97" s="25"/>
      <c r="G97" s="25"/>
      <c r="H97" s="28"/>
      <c r="I97" s="25"/>
      <c r="J97" s="25"/>
      <c r="K97" s="25"/>
      <c r="L97" s="25"/>
      <c r="M97" s="25"/>
      <c r="N97" s="25"/>
      <c r="O97" s="25"/>
      <c r="P97" s="25"/>
      <c r="Q97" s="25"/>
      <c r="R97" s="25"/>
      <c r="S97" s="25"/>
      <c r="T97" s="25"/>
      <c r="U97" s="25"/>
      <c r="V97" s="25"/>
      <c r="W97" s="25"/>
      <c r="X97" s="25"/>
      <c r="Y97" s="25"/>
      <c r="Z97" s="25"/>
      <c r="AA97" s="27"/>
    </row>
    <row r="98">
      <c r="A98" s="24"/>
      <c r="B98" s="25"/>
      <c r="C98" s="25"/>
      <c r="D98" s="25"/>
      <c r="E98" s="25"/>
      <c r="F98" s="25"/>
      <c r="G98" s="25"/>
      <c r="H98" s="28"/>
      <c r="I98" s="25"/>
      <c r="J98" s="25"/>
      <c r="K98" s="25"/>
      <c r="L98" s="25"/>
      <c r="M98" s="25"/>
      <c r="N98" s="25"/>
      <c r="O98" s="25"/>
      <c r="P98" s="25"/>
      <c r="Q98" s="25"/>
      <c r="R98" s="25"/>
      <c r="S98" s="25"/>
      <c r="T98" s="25"/>
      <c r="U98" s="25"/>
      <c r="V98" s="25"/>
      <c r="W98" s="25"/>
      <c r="X98" s="25"/>
      <c r="Y98" s="25"/>
      <c r="Z98" s="25"/>
      <c r="AA98" s="27"/>
    </row>
    <row r="99">
      <c r="A99" s="24"/>
      <c r="B99" s="25"/>
      <c r="C99" s="25"/>
      <c r="D99" s="25"/>
      <c r="E99" s="25"/>
      <c r="F99" s="25"/>
      <c r="G99" s="25"/>
      <c r="H99" s="28"/>
      <c r="I99" s="25"/>
      <c r="J99" s="25"/>
      <c r="K99" s="25"/>
      <c r="L99" s="25"/>
      <c r="M99" s="25"/>
      <c r="N99" s="25"/>
      <c r="O99" s="25"/>
      <c r="P99" s="25"/>
      <c r="Q99" s="25"/>
      <c r="R99" s="25"/>
      <c r="S99" s="25"/>
      <c r="T99" s="25"/>
      <c r="U99" s="25"/>
      <c r="V99" s="25"/>
      <c r="W99" s="25"/>
      <c r="X99" s="25"/>
      <c r="Y99" s="25"/>
      <c r="Z99" s="25"/>
      <c r="AA99" s="27"/>
    </row>
    <row r="100">
      <c r="A100" s="24"/>
      <c r="B100" s="25"/>
      <c r="C100" s="25"/>
      <c r="D100" s="25"/>
      <c r="E100" s="25"/>
      <c r="F100" s="25"/>
      <c r="G100" s="25"/>
      <c r="H100" s="28"/>
      <c r="I100" s="25"/>
      <c r="J100" s="25"/>
      <c r="K100" s="25"/>
      <c r="L100" s="25"/>
      <c r="M100" s="25"/>
      <c r="N100" s="25"/>
      <c r="O100" s="25"/>
      <c r="P100" s="25"/>
      <c r="Q100" s="25"/>
      <c r="R100" s="25"/>
      <c r="S100" s="25"/>
      <c r="T100" s="25"/>
      <c r="U100" s="25"/>
      <c r="V100" s="25"/>
      <c r="W100" s="25"/>
      <c r="X100" s="25"/>
      <c r="Y100" s="25"/>
      <c r="Z100" s="25"/>
      <c r="AA100" s="27"/>
    </row>
    <row r="101">
      <c r="A101" s="24"/>
      <c r="B101" s="25"/>
      <c r="C101" s="25"/>
      <c r="D101" s="25"/>
      <c r="E101" s="25"/>
      <c r="F101" s="25"/>
      <c r="G101" s="25"/>
      <c r="H101" s="28"/>
      <c r="I101" s="25"/>
      <c r="J101" s="25"/>
      <c r="K101" s="25"/>
      <c r="L101" s="25"/>
      <c r="M101" s="25"/>
      <c r="N101" s="25"/>
      <c r="O101" s="25"/>
      <c r="P101" s="25"/>
      <c r="Q101" s="25"/>
      <c r="R101" s="25"/>
      <c r="S101" s="25"/>
      <c r="T101" s="25"/>
      <c r="U101" s="25"/>
      <c r="V101" s="25"/>
      <c r="W101" s="25"/>
      <c r="X101" s="25"/>
      <c r="Y101" s="25"/>
      <c r="Z101" s="25"/>
      <c r="AA101" s="27"/>
    </row>
    <row r="102">
      <c r="A102" s="24"/>
      <c r="B102" s="25"/>
      <c r="C102" s="25"/>
      <c r="D102" s="25"/>
      <c r="E102" s="25"/>
      <c r="F102" s="25"/>
      <c r="G102" s="25"/>
      <c r="H102" s="28"/>
      <c r="I102" s="25"/>
      <c r="J102" s="25"/>
      <c r="K102" s="25"/>
      <c r="L102" s="25"/>
      <c r="M102" s="25"/>
      <c r="N102" s="25"/>
      <c r="O102" s="25"/>
      <c r="P102" s="25"/>
      <c r="Q102" s="25"/>
      <c r="R102" s="25"/>
      <c r="S102" s="25"/>
      <c r="T102" s="25"/>
      <c r="U102" s="25"/>
      <c r="V102" s="25"/>
      <c r="W102" s="25"/>
      <c r="X102" s="25"/>
      <c r="Y102" s="25"/>
      <c r="Z102" s="25"/>
      <c r="AA102" s="27"/>
    </row>
    <row r="103">
      <c r="A103" s="24"/>
      <c r="B103" s="25"/>
      <c r="C103" s="25"/>
      <c r="D103" s="25"/>
      <c r="E103" s="25"/>
      <c r="F103" s="25"/>
      <c r="G103" s="25"/>
      <c r="H103" s="28"/>
      <c r="I103" s="25"/>
      <c r="J103" s="25"/>
      <c r="K103" s="25"/>
      <c r="L103" s="25"/>
      <c r="M103" s="25"/>
      <c r="N103" s="25"/>
      <c r="O103" s="25"/>
      <c r="P103" s="25"/>
      <c r="Q103" s="25"/>
      <c r="R103" s="25"/>
      <c r="S103" s="25"/>
      <c r="T103" s="25"/>
      <c r="U103" s="25"/>
      <c r="V103" s="25"/>
      <c r="W103" s="25"/>
      <c r="X103" s="25"/>
      <c r="Y103" s="25"/>
      <c r="Z103" s="25"/>
      <c r="AA103" s="27"/>
    </row>
    <row r="104">
      <c r="A104" s="24"/>
      <c r="B104" s="25"/>
      <c r="C104" s="25"/>
      <c r="D104" s="25"/>
      <c r="E104" s="25"/>
      <c r="F104" s="25"/>
      <c r="G104" s="25"/>
      <c r="H104" s="28"/>
      <c r="I104" s="25"/>
      <c r="J104" s="25"/>
      <c r="K104" s="25"/>
      <c r="L104" s="25"/>
      <c r="M104" s="25"/>
      <c r="N104" s="25"/>
      <c r="O104" s="25"/>
      <c r="P104" s="25"/>
      <c r="Q104" s="25"/>
      <c r="R104" s="25"/>
      <c r="S104" s="25"/>
      <c r="T104" s="25"/>
      <c r="U104" s="25"/>
      <c r="V104" s="25"/>
      <c r="W104" s="25"/>
      <c r="X104" s="25"/>
      <c r="Y104" s="25"/>
      <c r="Z104" s="25"/>
      <c r="AA104" s="27"/>
    </row>
    <row r="105">
      <c r="A105" s="24"/>
      <c r="B105" s="25"/>
      <c r="C105" s="25"/>
      <c r="D105" s="25"/>
      <c r="E105" s="25"/>
      <c r="F105" s="25"/>
      <c r="G105" s="25"/>
      <c r="H105" s="28"/>
      <c r="I105" s="25"/>
      <c r="J105" s="25"/>
      <c r="K105" s="25"/>
      <c r="L105" s="25"/>
      <c r="M105" s="25"/>
      <c r="N105" s="25"/>
      <c r="O105" s="25"/>
      <c r="P105" s="25"/>
      <c r="Q105" s="25"/>
      <c r="R105" s="25"/>
      <c r="S105" s="25"/>
      <c r="T105" s="25"/>
      <c r="U105" s="25"/>
      <c r="V105" s="25"/>
      <c r="W105" s="25"/>
      <c r="X105" s="25"/>
      <c r="Y105" s="25"/>
      <c r="Z105" s="25"/>
      <c r="AA105" s="27"/>
    </row>
    <row r="106">
      <c r="A106" s="24"/>
      <c r="B106" s="25"/>
      <c r="C106" s="25"/>
      <c r="D106" s="25"/>
      <c r="E106" s="25"/>
      <c r="F106" s="25"/>
      <c r="G106" s="25"/>
      <c r="H106" s="28"/>
      <c r="I106" s="25"/>
      <c r="J106" s="25"/>
      <c r="K106" s="25"/>
      <c r="L106" s="25"/>
      <c r="M106" s="25"/>
      <c r="N106" s="25"/>
      <c r="O106" s="25"/>
      <c r="P106" s="25"/>
      <c r="Q106" s="25"/>
      <c r="R106" s="25"/>
      <c r="S106" s="25"/>
      <c r="T106" s="25"/>
      <c r="U106" s="25"/>
      <c r="V106" s="25"/>
      <c r="W106" s="25"/>
      <c r="X106" s="25"/>
      <c r="Y106" s="25"/>
      <c r="Z106" s="25"/>
      <c r="AA106" s="27"/>
    </row>
    <row r="107">
      <c r="A107" s="24"/>
      <c r="B107" s="25"/>
      <c r="C107" s="25"/>
      <c r="D107" s="25"/>
      <c r="E107" s="25"/>
      <c r="F107" s="25"/>
      <c r="G107" s="25"/>
      <c r="H107" s="28"/>
      <c r="I107" s="25"/>
      <c r="J107" s="25"/>
      <c r="K107" s="25"/>
      <c r="L107" s="25"/>
      <c r="M107" s="25"/>
      <c r="N107" s="25"/>
      <c r="O107" s="25"/>
      <c r="P107" s="25"/>
      <c r="Q107" s="25"/>
      <c r="R107" s="25"/>
      <c r="S107" s="25"/>
      <c r="T107" s="25"/>
      <c r="U107" s="25"/>
      <c r="V107" s="25"/>
      <c r="W107" s="25"/>
      <c r="X107" s="25"/>
      <c r="Y107" s="25"/>
      <c r="Z107" s="25"/>
      <c r="AA107" s="27"/>
    </row>
    <row r="108">
      <c r="A108" s="24"/>
      <c r="B108" s="25"/>
      <c r="C108" s="25"/>
      <c r="D108" s="25"/>
      <c r="E108" s="25"/>
      <c r="F108" s="25"/>
      <c r="G108" s="25"/>
      <c r="H108" s="28"/>
      <c r="I108" s="25"/>
      <c r="J108" s="25"/>
      <c r="K108" s="25"/>
      <c r="L108" s="25"/>
      <c r="M108" s="25"/>
      <c r="N108" s="25"/>
      <c r="O108" s="25"/>
      <c r="P108" s="25"/>
      <c r="Q108" s="25"/>
      <c r="R108" s="25"/>
      <c r="S108" s="25"/>
      <c r="T108" s="25"/>
      <c r="U108" s="25"/>
      <c r="V108" s="25"/>
      <c r="W108" s="25"/>
      <c r="X108" s="25"/>
      <c r="Y108" s="25"/>
      <c r="Z108" s="25"/>
      <c r="AA108" s="27"/>
    </row>
    <row r="109">
      <c r="A109" s="24"/>
      <c r="B109" s="25"/>
      <c r="C109" s="25"/>
      <c r="D109" s="25"/>
      <c r="E109" s="25"/>
      <c r="F109" s="25"/>
      <c r="G109" s="25"/>
      <c r="H109" s="28"/>
      <c r="I109" s="25"/>
      <c r="J109" s="25"/>
      <c r="K109" s="25"/>
      <c r="L109" s="25"/>
      <c r="M109" s="25"/>
      <c r="N109" s="25"/>
      <c r="O109" s="25"/>
      <c r="P109" s="25"/>
      <c r="Q109" s="25"/>
      <c r="R109" s="25"/>
      <c r="S109" s="25"/>
      <c r="T109" s="25"/>
      <c r="U109" s="25"/>
      <c r="V109" s="25"/>
      <c r="W109" s="25"/>
      <c r="X109" s="25"/>
      <c r="Y109" s="25"/>
      <c r="Z109" s="25"/>
      <c r="AA109" s="27"/>
    </row>
    <row r="110">
      <c r="A110" s="24"/>
      <c r="B110" s="25"/>
      <c r="C110" s="25"/>
      <c r="D110" s="25"/>
      <c r="E110" s="25"/>
      <c r="F110" s="25"/>
      <c r="G110" s="25"/>
      <c r="H110" s="28"/>
      <c r="I110" s="25"/>
      <c r="J110" s="25"/>
      <c r="K110" s="25"/>
      <c r="L110" s="25"/>
      <c r="M110" s="25"/>
      <c r="N110" s="25"/>
      <c r="O110" s="25"/>
      <c r="P110" s="25"/>
      <c r="Q110" s="25"/>
      <c r="R110" s="25"/>
      <c r="S110" s="25"/>
      <c r="T110" s="25"/>
      <c r="U110" s="25"/>
      <c r="V110" s="25"/>
      <c r="W110" s="25"/>
      <c r="X110" s="25"/>
      <c r="Y110" s="25"/>
      <c r="Z110" s="25"/>
      <c r="AA110" s="27"/>
    </row>
    <row r="111">
      <c r="A111" s="24"/>
      <c r="B111" s="25"/>
      <c r="C111" s="25"/>
      <c r="D111" s="25"/>
      <c r="E111" s="25"/>
      <c r="F111" s="25"/>
      <c r="G111" s="25"/>
      <c r="H111" s="28"/>
      <c r="I111" s="25"/>
      <c r="J111" s="25"/>
      <c r="K111" s="25"/>
      <c r="L111" s="25"/>
      <c r="M111" s="25"/>
      <c r="N111" s="25"/>
      <c r="O111" s="25"/>
      <c r="P111" s="25"/>
      <c r="Q111" s="25"/>
      <c r="R111" s="25"/>
      <c r="S111" s="25"/>
      <c r="T111" s="25"/>
      <c r="U111" s="25"/>
      <c r="V111" s="25"/>
      <c r="W111" s="25"/>
      <c r="X111" s="25"/>
      <c r="Y111" s="25"/>
      <c r="Z111" s="25"/>
      <c r="AA111" s="27"/>
    </row>
    <row r="112">
      <c r="A112" s="24"/>
      <c r="B112" s="25"/>
      <c r="C112" s="25"/>
      <c r="D112" s="25"/>
      <c r="E112" s="25"/>
      <c r="F112" s="25"/>
      <c r="G112" s="25"/>
      <c r="H112" s="28"/>
      <c r="I112" s="25"/>
      <c r="J112" s="25"/>
      <c r="K112" s="25"/>
      <c r="L112" s="25"/>
      <c r="M112" s="25"/>
      <c r="N112" s="25"/>
      <c r="O112" s="25"/>
      <c r="P112" s="25"/>
      <c r="Q112" s="25"/>
      <c r="R112" s="25"/>
      <c r="S112" s="25"/>
      <c r="T112" s="25"/>
      <c r="U112" s="25"/>
      <c r="V112" s="25"/>
      <c r="W112" s="25"/>
      <c r="X112" s="25"/>
      <c r="Y112" s="25"/>
      <c r="Z112" s="25"/>
      <c r="AA112" s="27"/>
    </row>
    <row r="113">
      <c r="A113" s="24"/>
      <c r="B113" s="25"/>
      <c r="C113" s="25"/>
      <c r="D113" s="25"/>
      <c r="E113" s="25"/>
      <c r="F113" s="25"/>
      <c r="G113" s="25"/>
      <c r="H113" s="28"/>
      <c r="I113" s="25"/>
      <c r="J113" s="25"/>
      <c r="K113" s="25"/>
      <c r="L113" s="25"/>
      <c r="M113" s="25"/>
      <c r="N113" s="25"/>
      <c r="O113" s="25"/>
      <c r="P113" s="25"/>
      <c r="Q113" s="25"/>
      <c r="R113" s="25"/>
      <c r="S113" s="25"/>
      <c r="T113" s="25"/>
      <c r="U113" s="25"/>
      <c r="V113" s="25"/>
      <c r="W113" s="25"/>
      <c r="X113" s="25"/>
      <c r="Y113" s="25"/>
      <c r="Z113" s="25"/>
      <c r="AA113" s="27"/>
    </row>
    <row r="114">
      <c r="A114" s="24"/>
      <c r="B114" s="25"/>
      <c r="C114" s="25"/>
      <c r="D114" s="25"/>
      <c r="E114" s="25"/>
      <c r="F114" s="25"/>
      <c r="G114" s="25"/>
      <c r="H114" s="28"/>
      <c r="I114" s="25"/>
      <c r="J114" s="25"/>
      <c r="K114" s="25"/>
      <c r="L114" s="25"/>
      <c r="M114" s="25"/>
      <c r="N114" s="25"/>
      <c r="O114" s="25"/>
      <c r="P114" s="25"/>
      <c r="Q114" s="25"/>
      <c r="R114" s="25"/>
      <c r="S114" s="25"/>
      <c r="T114" s="25"/>
      <c r="U114" s="25"/>
      <c r="V114" s="25"/>
      <c r="W114" s="25"/>
      <c r="X114" s="25"/>
      <c r="Y114" s="25"/>
      <c r="Z114" s="25"/>
      <c r="AA114" s="27"/>
    </row>
    <row r="115">
      <c r="A115" s="24"/>
      <c r="B115" s="25"/>
      <c r="C115" s="25"/>
      <c r="D115" s="25"/>
      <c r="E115" s="25"/>
      <c r="F115" s="25"/>
      <c r="G115" s="25"/>
      <c r="H115" s="28"/>
      <c r="I115" s="25"/>
      <c r="J115" s="25"/>
      <c r="K115" s="25"/>
      <c r="L115" s="25"/>
      <c r="M115" s="25"/>
      <c r="N115" s="25"/>
      <c r="O115" s="25"/>
      <c r="P115" s="25"/>
      <c r="Q115" s="25"/>
      <c r="R115" s="25"/>
      <c r="S115" s="25"/>
      <c r="T115" s="25"/>
      <c r="U115" s="25"/>
      <c r="V115" s="25"/>
      <c r="W115" s="25"/>
      <c r="X115" s="25"/>
      <c r="Y115" s="25"/>
      <c r="Z115" s="25"/>
      <c r="AA115" s="27"/>
    </row>
    <row r="116">
      <c r="A116" s="24"/>
      <c r="B116" s="25"/>
      <c r="C116" s="25"/>
      <c r="D116" s="25"/>
      <c r="E116" s="25"/>
      <c r="F116" s="25"/>
      <c r="G116" s="25"/>
      <c r="H116" s="28"/>
      <c r="I116" s="25"/>
      <c r="J116" s="25"/>
      <c r="K116" s="25"/>
      <c r="L116" s="25"/>
      <c r="M116" s="25"/>
      <c r="N116" s="25"/>
      <c r="O116" s="25"/>
      <c r="P116" s="25"/>
      <c r="Q116" s="25"/>
      <c r="R116" s="25"/>
      <c r="S116" s="25"/>
      <c r="T116" s="25"/>
      <c r="U116" s="25"/>
      <c r="V116" s="25"/>
      <c r="W116" s="25"/>
      <c r="X116" s="25"/>
      <c r="Y116" s="25"/>
      <c r="Z116" s="25"/>
      <c r="AA116" s="27"/>
    </row>
    <row r="117">
      <c r="A117" s="24"/>
      <c r="B117" s="25"/>
      <c r="C117" s="25"/>
      <c r="D117" s="25"/>
      <c r="E117" s="25"/>
      <c r="F117" s="25"/>
      <c r="G117" s="25"/>
      <c r="H117" s="28"/>
      <c r="I117" s="25"/>
      <c r="J117" s="25"/>
      <c r="K117" s="25"/>
      <c r="L117" s="25"/>
      <c r="M117" s="25"/>
      <c r="N117" s="25"/>
      <c r="O117" s="25"/>
      <c r="P117" s="25"/>
      <c r="Q117" s="25"/>
      <c r="R117" s="25"/>
      <c r="S117" s="25"/>
      <c r="T117" s="25"/>
      <c r="U117" s="25"/>
      <c r="V117" s="25"/>
      <c r="W117" s="25"/>
      <c r="X117" s="25"/>
      <c r="Y117" s="25"/>
      <c r="Z117" s="25"/>
      <c r="AA117" s="27"/>
    </row>
    <row r="118">
      <c r="A118" s="24"/>
      <c r="B118" s="25"/>
      <c r="C118" s="25"/>
      <c r="D118" s="25"/>
      <c r="E118" s="25"/>
      <c r="F118" s="25"/>
      <c r="G118" s="25"/>
      <c r="H118" s="28"/>
      <c r="I118" s="25"/>
      <c r="J118" s="25"/>
      <c r="K118" s="25"/>
      <c r="L118" s="25"/>
      <c r="M118" s="25"/>
      <c r="N118" s="25"/>
      <c r="O118" s="25"/>
      <c r="P118" s="25"/>
      <c r="Q118" s="25"/>
      <c r="R118" s="25"/>
      <c r="S118" s="25"/>
      <c r="T118" s="25"/>
      <c r="U118" s="25"/>
      <c r="V118" s="25"/>
      <c r="W118" s="25"/>
      <c r="X118" s="25"/>
      <c r="Y118" s="25"/>
      <c r="Z118" s="25"/>
      <c r="AA118" s="27"/>
    </row>
    <row r="119">
      <c r="A119" s="24"/>
      <c r="B119" s="25"/>
      <c r="C119" s="25"/>
      <c r="D119" s="25"/>
      <c r="E119" s="25"/>
      <c r="F119" s="25"/>
      <c r="G119" s="25"/>
      <c r="H119" s="28"/>
      <c r="I119" s="25"/>
      <c r="J119" s="25"/>
      <c r="K119" s="25"/>
      <c r="L119" s="25"/>
      <c r="M119" s="25"/>
      <c r="N119" s="25"/>
      <c r="O119" s="25"/>
      <c r="P119" s="25"/>
      <c r="Q119" s="25"/>
      <c r="R119" s="25"/>
      <c r="S119" s="25"/>
      <c r="T119" s="25"/>
      <c r="U119" s="25"/>
      <c r="V119" s="25"/>
      <c r="W119" s="25"/>
      <c r="X119" s="25"/>
      <c r="Y119" s="25"/>
      <c r="Z119" s="25"/>
      <c r="AA119" s="27"/>
    </row>
    <row r="120">
      <c r="A120" s="24"/>
      <c r="B120" s="25"/>
      <c r="C120" s="25"/>
      <c r="D120" s="25"/>
      <c r="E120" s="25"/>
      <c r="F120" s="25"/>
      <c r="G120" s="25"/>
      <c r="H120" s="28"/>
      <c r="I120" s="25"/>
      <c r="J120" s="25"/>
      <c r="K120" s="25"/>
      <c r="L120" s="25"/>
      <c r="M120" s="25"/>
      <c r="N120" s="25"/>
      <c r="O120" s="25"/>
      <c r="P120" s="25"/>
      <c r="Q120" s="25"/>
      <c r="R120" s="25"/>
      <c r="S120" s="25"/>
      <c r="T120" s="25"/>
      <c r="U120" s="25"/>
      <c r="V120" s="25"/>
      <c r="W120" s="25"/>
      <c r="X120" s="25"/>
      <c r="Y120" s="25"/>
      <c r="Z120" s="25"/>
      <c r="AA120" s="27"/>
    </row>
    <row r="121">
      <c r="A121" s="24"/>
      <c r="B121" s="25"/>
      <c r="C121" s="25"/>
      <c r="D121" s="25"/>
      <c r="E121" s="25"/>
      <c r="F121" s="25"/>
      <c r="G121" s="25"/>
      <c r="H121" s="28"/>
      <c r="I121" s="25"/>
      <c r="J121" s="25"/>
      <c r="K121" s="25"/>
      <c r="L121" s="25"/>
      <c r="M121" s="25"/>
      <c r="N121" s="25"/>
      <c r="O121" s="25"/>
      <c r="P121" s="25"/>
      <c r="Q121" s="25"/>
      <c r="R121" s="25"/>
      <c r="S121" s="25"/>
      <c r="T121" s="25"/>
      <c r="U121" s="25"/>
      <c r="V121" s="25"/>
      <c r="W121" s="25"/>
      <c r="X121" s="25"/>
      <c r="Y121" s="25"/>
      <c r="Z121" s="25"/>
      <c r="AA121" s="27"/>
    </row>
    <row r="122">
      <c r="A122" s="24"/>
      <c r="B122" s="25"/>
      <c r="C122" s="25"/>
      <c r="D122" s="25"/>
      <c r="E122" s="25"/>
      <c r="F122" s="25"/>
      <c r="G122" s="25"/>
      <c r="H122" s="28"/>
      <c r="I122" s="25"/>
      <c r="J122" s="25"/>
      <c r="K122" s="25"/>
      <c r="L122" s="25"/>
      <c r="M122" s="25"/>
      <c r="N122" s="25"/>
      <c r="O122" s="25"/>
      <c r="P122" s="25"/>
      <c r="Q122" s="25"/>
      <c r="R122" s="25"/>
      <c r="S122" s="25"/>
      <c r="T122" s="25"/>
      <c r="U122" s="25"/>
      <c r="V122" s="25"/>
      <c r="W122" s="25"/>
      <c r="X122" s="25"/>
      <c r="Y122" s="25"/>
      <c r="Z122" s="25"/>
      <c r="AA122" s="27"/>
    </row>
    <row r="123">
      <c r="A123" s="24"/>
      <c r="B123" s="25"/>
      <c r="C123" s="25"/>
      <c r="D123" s="25"/>
      <c r="E123" s="25"/>
      <c r="F123" s="25"/>
      <c r="G123" s="25"/>
      <c r="H123" s="28"/>
      <c r="I123" s="25"/>
      <c r="J123" s="25"/>
      <c r="K123" s="25"/>
      <c r="L123" s="25"/>
      <c r="M123" s="25"/>
      <c r="N123" s="25"/>
      <c r="O123" s="25"/>
      <c r="P123" s="25"/>
      <c r="Q123" s="25"/>
      <c r="R123" s="25"/>
      <c r="S123" s="25"/>
      <c r="T123" s="25"/>
      <c r="U123" s="25"/>
      <c r="V123" s="25"/>
      <c r="W123" s="25"/>
      <c r="X123" s="25"/>
      <c r="Y123" s="25"/>
      <c r="Z123" s="25"/>
      <c r="AA123" s="27"/>
    </row>
    <row r="124">
      <c r="A124" s="24"/>
      <c r="B124" s="25"/>
      <c r="C124" s="25"/>
      <c r="D124" s="25"/>
      <c r="E124" s="25"/>
      <c r="F124" s="25"/>
      <c r="G124" s="25"/>
      <c r="H124" s="28"/>
      <c r="I124" s="25"/>
      <c r="J124" s="25"/>
      <c r="K124" s="25"/>
      <c r="L124" s="25"/>
      <c r="M124" s="25"/>
      <c r="N124" s="25"/>
      <c r="O124" s="25"/>
      <c r="P124" s="25"/>
      <c r="Q124" s="25"/>
      <c r="R124" s="25"/>
      <c r="S124" s="25"/>
      <c r="T124" s="25"/>
      <c r="U124" s="25"/>
      <c r="V124" s="25"/>
      <c r="W124" s="25"/>
      <c r="X124" s="25"/>
      <c r="Y124" s="25"/>
      <c r="Z124" s="25"/>
      <c r="AA124" s="27"/>
    </row>
    <row r="125">
      <c r="A125" s="24"/>
      <c r="B125" s="25"/>
      <c r="C125" s="25"/>
      <c r="D125" s="25"/>
      <c r="E125" s="25"/>
      <c r="F125" s="25"/>
      <c r="G125" s="25"/>
      <c r="H125" s="28"/>
      <c r="I125" s="25"/>
      <c r="J125" s="25"/>
      <c r="K125" s="25"/>
      <c r="L125" s="25"/>
      <c r="M125" s="25"/>
      <c r="N125" s="25"/>
      <c r="O125" s="25"/>
      <c r="P125" s="25"/>
      <c r="Q125" s="25"/>
      <c r="R125" s="25"/>
      <c r="S125" s="25"/>
      <c r="T125" s="25"/>
      <c r="U125" s="25"/>
      <c r="V125" s="25"/>
      <c r="W125" s="25"/>
      <c r="X125" s="25"/>
      <c r="Y125" s="25"/>
      <c r="Z125" s="25"/>
      <c r="AA125" s="27"/>
    </row>
    <row r="126">
      <c r="A126" s="24"/>
      <c r="B126" s="25"/>
      <c r="C126" s="25"/>
      <c r="D126" s="25"/>
      <c r="E126" s="25"/>
      <c r="F126" s="25"/>
      <c r="G126" s="25"/>
      <c r="H126" s="28"/>
      <c r="I126" s="25"/>
      <c r="J126" s="25"/>
      <c r="K126" s="25"/>
      <c r="L126" s="25"/>
      <c r="M126" s="25"/>
      <c r="N126" s="25"/>
      <c r="O126" s="25"/>
      <c r="P126" s="25"/>
      <c r="Q126" s="25"/>
      <c r="R126" s="25"/>
      <c r="S126" s="25"/>
      <c r="T126" s="25"/>
      <c r="U126" s="25"/>
      <c r="V126" s="25"/>
      <c r="W126" s="25"/>
      <c r="X126" s="25"/>
      <c r="Y126" s="25"/>
      <c r="Z126" s="25"/>
      <c r="AA126" s="27"/>
    </row>
    <row r="127">
      <c r="A127" s="24"/>
      <c r="B127" s="25"/>
      <c r="C127" s="25"/>
      <c r="D127" s="25"/>
      <c r="E127" s="25"/>
      <c r="F127" s="25"/>
      <c r="G127" s="25"/>
      <c r="H127" s="28"/>
      <c r="I127" s="25"/>
      <c r="J127" s="25"/>
      <c r="K127" s="25"/>
      <c r="L127" s="25"/>
      <c r="M127" s="25"/>
      <c r="N127" s="25"/>
      <c r="O127" s="25"/>
      <c r="P127" s="25"/>
      <c r="Q127" s="25"/>
      <c r="R127" s="25"/>
      <c r="S127" s="25"/>
      <c r="T127" s="25"/>
      <c r="U127" s="25"/>
      <c r="V127" s="25"/>
      <c r="W127" s="25"/>
      <c r="X127" s="25"/>
      <c r="Y127" s="25"/>
      <c r="Z127" s="25"/>
      <c r="AA127" s="27"/>
    </row>
    <row r="128">
      <c r="A128" s="24"/>
      <c r="B128" s="25"/>
      <c r="C128" s="25"/>
      <c r="D128" s="25"/>
      <c r="E128" s="25"/>
      <c r="F128" s="25"/>
      <c r="G128" s="25"/>
      <c r="H128" s="28"/>
      <c r="I128" s="25"/>
      <c r="J128" s="25"/>
      <c r="K128" s="25"/>
      <c r="L128" s="25"/>
      <c r="M128" s="25"/>
      <c r="N128" s="25"/>
      <c r="O128" s="25"/>
      <c r="P128" s="25"/>
      <c r="Q128" s="25"/>
      <c r="R128" s="25"/>
      <c r="S128" s="25"/>
      <c r="T128" s="25"/>
      <c r="U128" s="25"/>
      <c r="V128" s="25"/>
      <c r="W128" s="25"/>
      <c r="X128" s="25"/>
      <c r="Y128" s="25"/>
      <c r="Z128" s="25"/>
      <c r="AA128" s="27"/>
    </row>
    <row r="129">
      <c r="A129" s="24"/>
      <c r="B129" s="25"/>
      <c r="C129" s="25"/>
      <c r="D129" s="25"/>
      <c r="E129" s="25"/>
      <c r="F129" s="25"/>
      <c r="G129" s="25"/>
      <c r="H129" s="28"/>
      <c r="I129" s="25"/>
      <c r="J129" s="25"/>
      <c r="K129" s="25"/>
      <c r="L129" s="25"/>
      <c r="M129" s="25"/>
      <c r="N129" s="25"/>
      <c r="O129" s="25"/>
      <c r="P129" s="25"/>
      <c r="Q129" s="25"/>
      <c r="R129" s="25"/>
      <c r="S129" s="25"/>
      <c r="T129" s="25"/>
      <c r="U129" s="25"/>
      <c r="V129" s="25"/>
      <c r="W129" s="25"/>
      <c r="X129" s="25"/>
      <c r="Y129" s="25"/>
      <c r="Z129" s="25"/>
      <c r="AA129" s="27"/>
    </row>
    <row r="130">
      <c r="A130" s="24"/>
      <c r="B130" s="25"/>
      <c r="C130" s="25"/>
      <c r="D130" s="25"/>
      <c r="E130" s="25"/>
      <c r="F130" s="25"/>
      <c r="G130" s="25"/>
      <c r="H130" s="28"/>
      <c r="I130" s="25"/>
      <c r="J130" s="25"/>
      <c r="K130" s="25"/>
      <c r="L130" s="25"/>
      <c r="M130" s="25"/>
      <c r="N130" s="25"/>
      <c r="O130" s="25"/>
      <c r="P130" s="25"/>
      <c r="Q130" s="25"/>
      <c r="R130" s="25"/>
      <c r="S130" s="25"/>
      <c r="T130" s="25"/>
      <c r="U130" s="25"/>
      <c r="V130" s="25"/>
      <c r="W130" s="25"/>
      <c r="X130" s="25"/>
      <c r="Y130" s="25"/>
      <c r="Z130" s="25"/>
      <c r="AA130" s="27"/>
    </row>
    <row r="131">
      <c r="A131" s="24"/>
      <c r="B131" s="25"/>
      <c r="C131" s="25"/>
      <c r="D131" s="25"/>
      <c r="E131" s="25"/>
      <c r="F131" s="25"/>
      <c r="G131" s="25"/>
      <c r="H131" s="28"/>
      <c r="I131" s="25"/>
      <c r="J131" s="25"/>
      <c r="K131" s="25"/>
      <c r="L131" s="25"/>
      <c r="M131" s="25"/>
      <c r="N131" s="25"/>
      <c r="O131" s="25"/>
      <c r="P131" s="25"/>
      <c r="Q131" s="25"/>
      <c r="R131" s="25"/>
      <c r="S131" s="25"/>
      <c r="T131" s="25"/>
      <c r="U131" s="25"/>
      <c r="V131" s="25"/>
      <c r="W131" s="25"/>
      <c r="X131" s="25"/>
      <c r="Y131" s="25"/>
      <c r="Z131" s="25"/>
      <c r="AA131" s="27"/>
    </row>
    <row r="132">
      <c r="A132" s="24"/>
      <c r="B132" s="25"/>
      <c r="C132" s="25"/>
      <c r="D132" s="25"/>
      <c r="E132" s="25"/>
      <c r="F132" s="25"/>
      <c r="G132" s="25"/>
      <c r="H132" s="28"/>
      <c r="I132" s="25"/>
      <c r="J132" s="25"/>
      <c r="K132" s="25"/>
      <c r="L132" s="25"/>
      <c r="M132" s="25"/>
      <c r="N132" s="25"/>
      <c r="O132" s="25"/>
      <c r="P132" s="25"/>
      <c r="Q132" s="25"/>
      <c r="R132" s="25"/>
      <c r="S132" s="25"/>
      <c r="T132" s="25"/>
      <c r="U132" s="25"/>
      <c r="V132" s="25"/>
      <c r="W132" s="25"/>
      <c r="X132" s="25"/>
      <c r="Y132" s="25"/>
      <c r="Z132" s="25"/>
      <c r="AA132" s="27"/>
    </row>
    <row r="133">
      <c r="A133" s="24"/>
      <c r="B133" s="25"/>
      <c r="C133" s="25"/>
      <c r="D133" s="25"/>
      <c r="E133" s="25"/>
      <c r="F133" s="25"/>
      <c r="G133" s="25"/>
      <c r="H133" s="28"/>
      <c r="I133" s="25"/>
      <c r="J133" s="25"/>
      <c r="K133" s="25"/>
      <c r="L133" s="25"/>
      <c r="M133" s="25"/>
      <c r="N133" s="25"/>
      <c r="O133" s="25"/>
      <c r="P133" s="25"/>
      <c r="Q133" s="25"/>
      <c r="R133" s="25"/>
      <c r="S133" s="25"/>
      <c r="T133" s="25"/>
      <c r="U133" s="25"/>
      <c r="V133" s="25"/>
      <c r="W133" s="25"/>
      <c r="X133" s="25"/>
      <c r="Y133" s="25"/>
      <c r="Z133" s="25"/>
      <c r="AA133" s="27"/>
    </row>
    <row r="134">
      <c r="A134" s="24"/>
      <c r="B134" s="25"/>
      <c r="C134" s="25"/>
      <c r="D134" s="25"/>
      <c r="E134" s="25"/>
      <c r="F134" s="25"/>
      <c r="G134" s="25"/>
      <c r="H134" s="28"/>
      <c r="I134" s="25"/>
      <c r="J134" s="25"/>
      <c r="K134" s="25"/>
      <c r="L134" s="25"/>
      <c r="M134" s="25"/>
      <c r="N134" s="25"/>
      <c r="O134" s="25"/>
      <c r="P134" s="25"/>
      <c r="Q134" s="25"/>
      <c r="R134" s="25"/>
      <c r="S134" s="25"/>
      <c r="T134" s="25"/>
      <c r="U134" s="25"/>
      <c r="V134" s="25"/>
      <c r="W134" s="25"/>
      <c r="X134" s="25"/>
      <c r="Y134" s="25"/>
      <c r="Z134" s="25"/>
      <c r="AA134" s="27"/>
    </row>
    <row r="135">
      <c r="A135" s="24"/>
      <c r="B135" s="25"/>
      <c r="C135" s="25"/>
      <c r="D135" s="25"/>
      <c r="E135" s="25"/>
      <c r="F135" s="25"/>
      <c r="G135" s="25"/>
      <c r="H135" s="28"/>
      <c r="I135" s="25"/>
      <c r="J135" s="25"/>
      <c r="K135" s="25"/>
      <c r="L135" s="25"/>
      <c r="M135" s="25"/>
      <c r="N135" s="25"/>
      <c r="O135" s="25"/>
      <c r="P135" s="25"/>
      <c r="Q135" s="25"/>
      <c r="R135" s="25"/>
      <c r="S135" s="25"/>
      <c r="T135" s="25"/>
      <c r="U135" s="25"/>
      <c r="V135" s="25"/>
      <c r="W135" s="25"/>
      <c r="X135" s="25"/>
      <c r="Y135" s="25"/>
      <c r="Z135" s="25"/>
      <c r="AA135" s="27"/>
    </row>
    <row r="136">
      <c r="A136" s="24"/>
      <c r="B136" s="25"/>
      <c r="C136" s="25"/>
      <c r="D136" s="25"/>
      <c r="E136" s="25"/>
      <c r="F136" s="25"/>
      <c r="G136" s="25"/>
      <c r="H136" s="28"/>
      <c r="I136" s="25"/>
      <c r="J136" s="25"/>
      <c r="K136" s="25"/>
      <c r="L136" s="25"/>
      <c r="M136" s="25"/>
      <c r="N136" s="25"/>
      <c r="O136" s="25"/>
      <c r="P136" s="25"/>
      <c r="Q136" s="25"/>
      <c r="R136" s="25"/>
      <c r="S136" s="25"/>
      <c r="T136" s="25"/>
      <c r="U136" s="25"/>
      <c r="V136" s="25"/>
      <c r="W136" s="25"/>
      <c r="X136" s="25"/>
      <c r="Y136" s="25"/>
      <c r="Z136" s="25"/>
      <c r="AA136" s="27"/>
    </row>
    <row r="137">
      <c r="A137" s="24"/>
      <c r="B137" s="25"/>
      <c r="C137" s="25"/>
      <c r="D137" s="25"/>
      <c r="E137" s="25"/>
      <c r="F137" s="25"/>
      <c r="G137" s="25"/>
      <c r="H137" s="28"/>
      <c r="I137" s="25"/>
      <c r="J137" s="25"/>
      <c r="K137" s="25"/>
      <c r="L137" s="25"/>
      <c r="M137" s="25"/>
      <c r="N137" s="25"/>
      <c r="O137" s="25"/>
      <c r="P137" s="25"/>
      <c r="Q137" s="25"/>
      <c r="R137" s="25"/>
      <c r="S137" s="25"/>
      <c r="T137" s="25"/>
      <c r="U137" s="25"/>
      <c r="V137" s="25"/>
      <c r="W137" s="25"/>
      <c r="X137" s="25"/>
      <c r="Y137" s="25"/>
      <c r="Z137" s="25"/>
      <c r="AA137" s="27"/>
    </row>
    <row r="138">
      <c r="A138" s="24"/>
      <c r="B138" s="25"/>
      <c r="C138" s="25"/>
      <c r="D138" s="25"/>
      <c r="E138" s="25"/>
      <c r="F138" s="25"/>
      <c r="G138" s="25"/>
      <c r="H138" s="28"/>
      <c r="I138" s="25"/>
      <c r="J138" s="25"/>
      <c r="K138" s="25"/>
      <c r="L138" s="25"/>
      <c r="M138" s="25"/>
      <c r="N138" s="25"/>
      <c r="O138" s="25"/>
      <c r="P138" s="25"/>
      <c r="Q138" s="25"/>
      <c r="R138" s="25"/>
      <c r="S138" s="25"/>
      <c r="T138" s="25"/>
      <c r="U138" s="25"/>
      <c r="V138" s="25"/>
      <c r="W138" s="25"/>
      <c r="X138" s="25"/>
      <c r="Y138" s="25"/>
      <c r="Z138" s="25"/>
      <c r="AA138" s="27"/>
    </row>
    <row r="139">
      <c r="A139" s="24"/>
      <c r="B139" s="25"/>
      <c r="C139" s="25"/>
      <c r="D139" s="25"/>
      <c r="E139" s="25"/>
      <c r="F139" s="25"/>
      <c r="G139" s="25"/>
      <c r="H139" s="28"/>
      <c r="I139" s="25"/>
      <c r="J139" s="25"/>
      <c r="K139" s="25"/>
      <c r="L139" s="25"/>
      <c r="M139" s="25"/>
      <c r="N139" s="25"/>
      <c r="O139" s="25"/>
      <c r="P139" s="25"/>
      <c r="Q139" s="25"/>
      <c r="R139" s="25"/>
      <c r="S139" s="25"/>
      <c r="T139" s="25"/>
      <c r="U139" s="25"/>
      <c r="V139" s="25"/>
      <c r="W139" s="25"/>
      <c r="X139" s="25"/>
      <c r="Y139" s="25"/>
      <c r="Z139" s="25"/>
      <c r="AA139" s="27"/>
    </row>
    <row r="140">
      <c r="A140" s="24"/>
      <c r="B140" s="25"/>
      <c r="C140" s="25"/>
      <c r="D140" s="25"/>
      <c r="E140" s="25"/>
      <c r="F140" s="25"/>
      <c r="G140" s="25"/>
      <c r="H140" s="28"/>
      <c r="I140" s="25"/>
      <c r="J140" s="25"/>
      <c r="K140" s="25"/>
      <c r="L140" s="25"/>
      <c r="M140" s="25"/>
      <c r="N140" s="25"/>
      <c r="O140" s="25"/>
      <c r="P140" s="25"/>
      <c r="Q140" s="25"/>
      <c r="R140" s="25"/>
      <c r="S140" s="25"/>
      <c r="T140" s="25"/>
      <c r="U140" s="25"/>
      <c r="V140" s="25"/>
      <c r="W140" s="25"/>
      <c r="X140" s="25"/>
      <c r="Y140" s="25"/>
      <c r="Z140" s="25"/>
      <c r="AA140" s="27"/>
    </row>
    <row r="141">
      <c r="A141" s="24"/>
      <c r="B141" s="25"/>
      <c r="C141" s="25"/>
      <c r="D141" s="25"/>
      <c r="E141" s="25"/>
      <c r="F141" s="25"/>
      <c r="G141" s="25"/>
      <c r="H141" s="28"/>
      <c r="I141" s="25"/>
      <c r="J141" s="25"/>
      <c r="K141" s="25"/>
      <c r="L141" s="25"/>
      <c r="M141" s="25"/>
      <c r="N141" s="25"/>
      <c r="O141" s="25"/>
      <c r="P141" s="25"/>
      <c r="Q141" s="25"/>
      <c r="R141" s="25"/>
      <c r="S141" s="25"/>
      <c r="T141" s="25"/>
      <c r="U141" s="25"/>
      <c r="V141" s="25"/>
      <c r="W141" s="25"/>
      <c r="X141" s="25"/>
      <c r="Y141" s="25"/>
      <c r="Z141" s="25"/>
      <c r="AA141" s="27"/>
    </row>
    <row r="142">
      <c r="A142" s="24"/>
      <c r="B142" s="25"/>
      <c r="C142" s="25"/>
      <c r="D142" s="25"/>
      <c r="E142" s="25"/>
      <c r="F142" s="25"/>
      <c r="G142" s="25"/>
      <c r="H142" s="28"/>
      <c r="I142" s="25"/>
      <c r="J142" s="25"/>
      <c r="K142" s="25"/>
      <c r="L142" s="25"/>
      <c r="M142" s="25"/>
      <c r="N142" s="25"/>
      <c r="O142" s="25"/>
      <c r="P142" s="25"/>
      <c r="Q142" s="25"/>
      <c r="R142" s="25"/>
      <c r="S142" s="25"/>
      <c r="T142" s="25"/>
      <c r="U142" s="25"/>
      <c r="V142" s="25"/>
      <c r="W142" s="25"/>
      <c r="X142" s="25"/>
      <c r="Y142" s="25"/>
      <c r="Z142" s="25"/>
      <c r="AA142" s="27"/>
    </row>
    <row r="143">
      <c r="A143" s="24"/>
      <c r="B143" s="25"/>
      <c r="C143" s="25"/>
      <c r="D143" s="25"/>
      <c r="E143" s="25"/>
      <c r="F143" s="25"/>
      <c r="G143" s="25"/>
      <c r="H143" s="28"/>
      <c r="I143" s="25"/>
      <c r="J143" s="25"/>
      <c r="K143" s="25"/>
      <c r="L143" s="25"/>
      <c r="M143" s="25"/>
      <c r="N143" s="25"/>
      <c r="O143" s="25"/>
      <c r="P143" s="25"/>
      <c r="Q143" s="25"/>
      <c r="R143" s="25"/>
      <c r="S143" s="25"/>
      <c r="T143" s="25"/>
      <c r="U143" s="25"/>
      <c r="V143" s="25"/>
      <c r="W143" s="25"/>
      <c r="X143" s="25"/>
      <c r="Y143" s="25"/>
      <c r="Z143" s="25"/>
      <c r="AA143" s="27"/>
    </row>
    <row r="144">
      <c r="A144" s="24"/>
      <c r="B144" s="25"/>
      <c r="C144" s="25"/>
      <c r="D144" s="25"/>
      <c r="E144" s="25"/>
      <c r="F144" s="25"/>
      <c r="G144" s="25"/>
      <c r="H144" s="28"/>
      <c r="I144" s="25"/>
      <c r="J144" s="25"/>
      <c r="K144" s="25"/>
      <c r="L144" s="25"/>
      <c r="M144" s="25"/>
      <c r="N144" s="25"/>
      <c r="O144" s="25"/>
      <c r="P144" s="25"/>
      <c r="Q144" s="25"/>
      <c r="R144" s="25"/>
      <c r="S144" s="25"/>
      <c r="T144" s="25"/>
      <c r="U144" s="25"/>
      <c r="V144" s="25"/>
      <c r="W144" s="25"/>
      <c r="X144" s="25"/>
      <c r="Y144" s="25"/>
      <c r="Z144" s="25"/>
      <c r="AA144" s="27"/>
    </row>
    <row r="145">
      <c r="A145" s="24"/>
      <c r="B145" s="25"/>
      <c r="C145" s="25"/>
      <c r="D145" s="25"/>
      <c r="E145" s="25"/>
      <c r="F145" s="25"/>
      <c r="G145" s="25"/>
      <c r="H145" s="28"/>
      <c r="I145" s="25"/>
      <c r="J145" s="25"/>
      <c r="K145" s="25"/>
      <c r="L145" s="25"/>
      <c r="M145" s="25"/>
      <c r="N145" s="25"/>
      <c r="O145" s="25"/>
      <c r="P145" s="25"/>
      <c r="Q145" s="25"/>
      <c r="R145" s="25"/>
      <c r="S145" s="25"/>
      <c r="T145" s="25"/>
      <c r="U145" s="25"/>
      <c r="V145" s="25"/>
      <c r="W145" s="25"/>
      <c r="X145" s="25"/>
      <c r="Y145" s="25"/>
      <c r="Z145" s="25"/>
      <c r="AA145" s="27"/>
    </row>
    <row r="146">
      <c r="A146" s="24"/>
      <c r="B146" s="25"/>
      <c r="C146" s="25"/>
      <c r="D146" s="25"/>
      <c r="E146" s="25"/>
      <c r="F146" s="25"/>
      <c r="G146" s="25"/>
      <c r="H146" s="28"/>
      <c r="I146" s="25"/>
      <c r="J146" s="25"/>
      <c r="K146" s="25"/>
      <c r="L146" s="25"/>
      <c r="M146" s="25"/>
      <c r="N146" s="25"/>
      <c r="O146" s="25"/>
      <c r="P146" s="25"/>
      <c r="Q146" s="25"/>
      <c r="R146" s="25"/>
      <c r="S146" s="25"/>
      <c r="T146" s="25"/>
      <c r="U146" s="25"/>
      <c r="V146" s="25"/>
      <c r="W146" s="25"/>
      <c r="X146" s="25"/>
      <c r="Y146" s="25"/>
      <c r="Z146" s="25"/>
      <c r="AA146" s="27"/>
    </row>
    <row r="147">
      <c r="A147" s="24"/>
      <c r="B147" s="25"/>
      <c r="C147" s="25"/>
      <c r="D147" s="25"/>
      <c r="E147" s="25"/>
      <c r="F147" s="25"/>
      <c r="G147" s="25"/>
      <c r="H147" s="28"/>
      <c r="I147" s="25"/>
      <c r="J147" s="25"/>
      <c r="K147" s="25"/>
      <c r="L147" s="25"/>
      <c r="M147" s="25"/>
      <c r="N147" s="25"/>
      <c r="O147" s="25"/>
      <c r="P147" s="25"/>
      <c r="Q147" s="25"/>
      <c r="R147" s="25"/>
      <c r="S147" s="25"/>
      <c r="T147" s="25"/>
      <c r="U147" s="25"/>
      <c r="V147" s="25"/>
      <c r="W147" s="25"/>
      <c r="X147" s="25"/>
      <c r="Y147" s="25"/>
      <c r="Z147" s="25"/>
      <c r="AA147" s="27"/>
    </row>
    <row r="148">
      <c r="A148" s="24"/>
      <c r="B148" s="25"/>
      <c r="C148" s="25"/>
      <c r="D148" s="25"/>
      <c r="E148" s="25"/>
      <c r="F148" s="25"/>
      <c r="G148" s="25"/>
      <c r="H148" s="28"/>
      <c r="I148" s="25"/>
      <c r="J148" s="25"/>
      <c r="K148" s="25"/>
      <c r="L148" s="25"/>
      <c r="M148" s="25"/>
      <c r="N148" s="25"/>
      <c r="O148" s="25"/>
      <c r="P148" s="25"/>
      <c r="Q148" s="25"/>
      <c r="R148" s="25"/>
      <c r="S148" s="25"/>
      <c r="T148" s="25"/>
      <c r="U148" s="25"/>
      <c r="V148" s="25"/>
      <c r="W148" s="25"/>
      <c r="X148" s="25"/>
      <c r="Y148" s="25"/>
      <c r="Z148" s="25"/>
      <c r="AA148" s="27"/>
    </row>
    <row r="149">
      <c r="A149" s="24"/>
      <c r="B149" s="25"/>
      <c r="C149" s="25"/>
      <c r="D149" s="25"/>
      <c r="E149" s="25"/>
      <c r="F149" s="25"/>
      <c r="G149" s="25"/>
      <c r="H149" s="28"/>
      <c r="I149" s="25"/>
      <c r="J149" s="25"/>
      <c r="K149" s="25"/>
      <c r="L149" s="25"/>
      <c r="M149" s="25"/>
      <c r="N149" s="25"/>
      <c r="O149" s="25"/>
      <c r="P149" s="25"/>
      <c r="Q149" s="25"/>
      <c r="R149" s="25"/>
      <c r="S149" s="25"/>
      <c r="T149" s="25"/>
      <c r="U149" s="25"/>
      <c r="V149" s="25"/>
      <c r="W149" s="25"/>
      <c r="X149" s="25"/>
      <c r="Y149" s="25"/>
      <c r="Z149" s="25"/>
      <c r="AA149" s="27"/>
    </row>
    <row r="150">
      <c r="A150" s="24"/>
      <c r="B150" s="25"/>
      <c r="C150" s="25"/>
      <c r="D150" s="25"/>
      <c r="E150" s="25"/>
      <c r="F150" s="25"/>
      <c r="G150" s="25"/>
      <c r="H150" s="28"/>
      <c r="I150" s="25"/>
      <c r="J150" s="25"/>
      <c r="K150" s="25"/>
      <c r="L150" s="25"/>
      <c r="M150" s="25"/>
      <c r="N150" s="25"/>
      <c r="O150" s="25"/>
      <c r="P150" s="25"/>
      <c r="Q150" s="25"/>
      <c r="R150" s="25"/>
      <c r="S150" s="25"/>
      <c r="T150" s="25"/>
      <c r="U150" s="25"/>
      <c r="V150" s="25"/>
      <c r="W150" s="25"/>
      <c r="X150" s="25"/>
      <c r="Y150" s="25"/>
      <c r="Z150" s="25"/>
      <c r="AA150" s="27"/>
    </row>
    <row r="151">
      <c r="A151" s="24"/>
      <c r="B151" s="25"/>
      <c r="C151" s="25"/>
      <c r="D151" s="25"/>
      <c r="E151" s="25"/>
      <c r="F151" s="25"/>
      <c r="G151" s="25"/>
      <c r="H151" s="28"/>
      <c r="I151" s="25"/>
      <c r="J151" s="25"/>
      <c r="K151" s="25"/>
      <c r="L151" s="25"/>
      <c r="M151" s="25"/>
      <c r="N151" s="25"/>
      <c r="O151" s="25"/>
      <c r="P151" s="25"/>
      <c r="Q151" s="25"/>
      <c r="R151" s="25"/>
      <c r="S151" s="25"/>
      <c r="T151" s="25"/>
      <c r="U151" s="25"/>
      <c r="V151" s="25"/>
      <c r="W151" s="25"/>
      <c r="X151" s="25"/>
      <c r="Y151" s="25"/>
      <c r="Z151" s="25"/>
      <c r="AA151" s="27"/>
    </row>
    <row r="152">
      <c r="A152" s="24"/>
      <c r="B152" s="25"/>
      <c r="C152" s="25"/>
      <c r="D152" s="25"/>
      <c r="E152" s="25"/>
      <c r="F152" s="25"/>
      <c r="G152" s="25"/>
      <c r="H152" s="28"/>
      <c r="I152" s="25"/>
      <c r="J152" s="25"/>
      <c r="K152" s="25"/>
      <c r="L152" s="25"/>
      <c r="M152" s="25"/>
      <c r="N152" s="25"/>
      <c r="O152" s="25"/>
      <c r="P152" s="25"/>
      <c r="Q152" s="25"/>
      <c r="R152" s="25"/>
      <c r="S152" s="25"/>
      <c r="T152" s="25"/>
      <c r="U152" s="25"/>
      <c r="V152" s="25"/>
      <c r="W152" s="25"/>
      <c r="X152" s="25"/>
      <c r="Y152" s="25"/>
      <c r="Z152" s="25"/>
      <c r="AA152" s="27"/>
    </row>
    <row r="153">
      <c r="A153" s="24"/>
      <c r="B153" s="25"/>
      <c r="C153" s="25"/>
      <c r="D153" s="25"/>
      <c r="E153" s="25"/>
      <c r="F153" s="25"/>
      <c r="G153" s="25"/>
      <c r="H153" s="28"/>
      <c r="I153" s="25"/>
      <c r="J153" s="25"/>
      <c r="K153" s="25"/>
      <c r="L153" s="25"/>
      <c r="M153" s="25"/>
      <c r="N153" s="25"/>
      <c r="O153" s="25"/>
      <c r="P153" s="25"/>
      <c r="Q153" s="25"/>
      <c r="R153" s="25"/>
      <c r="S153" s="25"/>
      <c r="T153" s="25"/>
      <c r="U153" s="25"/>
      <c r="V153" s="25"/>
      <c r="W153" s="25"/>
      <c r="X153" s="25"/>
      <c r="Y153" s="25"/>
      <c r="Z153" s="25"/>
      <c r="AA153" s="27"/>
    </row>
    <row r="154">
      <c r="A154" s="24"/>
      <c r="B154" s="25"/>
      <c r="C154" s="25"/>
      <c r="D154" s="25"/>
      <c r="E154" s="25"/>
      <c r="F154" s="25"/>
      <c r="G154" s="25"/>
      <c r="H154" s="28"/>
      <c r="I154" s="25"/>
      <c r="J154" s="25"/>
      <c r="K154" s="25"/>
      <c r="L154" s="25"/>
      <c r="M154" s="25"/>
      <c r="N154" s="25"/>
      <c r="O154" s="25"/>
      <c r="P154" s="25"/>
      <c r="Q154" s="25"/>
      <c r="R154" s="25"/>
      <c r="S154" s="25"/>
      <c r="T154" s="25"/>
      <c r="U154" s="25"/>
      <c r="V154" s="25"/>
      <c r="W154" s="25"/>
      <c r="X154" s="25"/>
      <c r="Y154" s="25"/>
      <c r="Z154" s="25"/>
      <c r="AA154" s="27"/>
    </row>
    <row r="155">
      <c r="A155" s="24"/>
      <c r="B155" s="25"/>
      <c r="C155" s="25"/>
      <c r="D155" s="25"/>
      <c r="E155" s="25"/>
      <c r="F155" s="25"/>
      <c r="G155" s="25"/>
      <c r="H155" s="28"/>
      <c r="I155" s="25"/>
      <c r="J155" s="25"/>
      <c r="K155" s="25"/>
      <c r="L155" s="25"/>
      <c r="M155" s="25"/>
      <c r="N155" s="25"/>
      <c r="O155" s="25"/>
      <c r="P155" s="25"/>
      <c r="Q155" s="25"/>
      <c r="R155" s="25"/>
      <c r="S155" s="25"/>
      <c r="T155" s="25"/>
      <c r="U155" s="25"/>
      <c r="V155" s="25"/>
      <c r="W155" s="25"/>
      <c r="X155" s="25"/>
      <c r="Y155" s="25"/>
      <c r="Z155" s="25"/>
      <c r="AA155" s="27"/>
    </row>
    <row r="156">
      <c r="A156" s="24"/>
      <c r="B156" s="25"/>
      <c r="C156" s="25"/>
      <c r="D156" s="25"/>
      <c r="E156" s="25"/>
      <c r="F156" s="25"/>
      <c r="G156" s="25"/>
      <c r="H156" s="28"/>
      <c r="I156" s="25"/>
      <c r="J156" s="25"/>
      <c r="K156" s="25"/>
      <c r="L156" s="25"/>
      <c r="M156" s="25"/>
      <c r="N156" s="25"/>
      <c r="O156" s="25"/>
      <c r="P156" s="25"/>
      <c r="Q156" s="25"/>
      <c r="R156" s="25"/>
      <c r="S156" s="25"/>
      <c r="T156" s="25"/>
      <c r="U156" s="25"/>
      <c r="V156" s="25"/>
      <c r="W156" s="25"/>
      <c r="X156" s="25"/>
      <c r="Y156" s="25"/>
      <c r="Z156" s="25"/>
      <c r="AA156" s="27"/>
    </row>
    <row r="157">
      <c r="A157" s="24"/>
      <c r="B157" s="25"/>
      <c r="C157" s="25"/>
      <c r="D157" s="25"/>
      <c r="E157" s="25"/>
      <c r="F157" s="25"/>
      <c r="G157" s="25"/>
      <c r="H157" s="28"/>
      <c r="I157" s="25"/>
      <c r="J157" s="25"/>
      <c r="K157" s="25"/>
      <c r="L157" s="25"/>
      <c r="M157" s="25"/>
      <c r="N157" s="25"/>
      <c r="O157" s="25"/>
      <c r="P157" s="25"/>
      <c r="Q157" s="25"/>
      <c r="R157" s="25"/>
      <c r="S157" s="25"/>
      <c r="T157" s="25"/>
      <c r="U157" s="25"/>
      <c r="V157" s="25"/>
      <c r="W157" s="25"/>
      <c r="X157" s="25"/>
      <c r="Y157" s="25"/>
      <c r="Z157" s="25"/>
      <c r="AA157" s="27"/>
    </row>
    <row r="158">
      <c r="A158" s="24"/>
      <c r="B158" s="25"/>
      <c r="C158" s="25"/>
      <c r="D158" s="25"/>
      <c r="E158" s="25"/>
      <c r="F158" s="25"/>
      <c r="G158" s="25"/>
      <c r="H158" s="28"/>
      <c r="I158" s="25"/>
      <c r="J158" s="25"/>
      <c r="K158" s="25"/>
      <c r="L158" s="25"/>
      <c r="M158" s="25"/>
      <c r="N158" s="25"/>
      <c r="O158" s="25"/>
      <c r="P158" s="25"/>
      <c r="Q158" s="25"/>
      <c r="R158" s="25"/>
      <c r="S158" s="25"/>
      <c r="T158" s="25"/>
      <c r="U158" s="25"/>
      <c r="V158" s="25"/>
      <c r="W158" s="25"/>
      <c r="X158" s="25"/>
      <c r="Y158" s="25"/>
      <c r="Z158" s="25"/>
      <c r="AA158" s="27"/>
    </row>
    <row r="159">
      <c r="A159" s="24"/>
      <c r="B159" s="25"/>
      <c r="C159" s="25"/>
      <c r="D159" s="25"/>
      <c r="E159" s="25"/>
      <c r="F159" s="25"/>
      <c r="G159" s="25"/>
      <c r="H159" s="28"/>
      <c r="I159" s="25"/>
      <c r="J159" s="25"/>
      <c r="K159" s="25"/>
      <c r="L159" s="25"/>
      <c r="M159" s="25"/>
      <c r="N159" s="25"/>
      <c r="O159" s="25"/>
      <c r="P159" s="25"/>
      <c r="Q159" s="25"/>
      <c r="R159" s="25"/>
      <c r="S159" s="25"/>
      <c r="T159" s="25"/>
      <c r="U159" s="25"/>
      <c r="V159" s="25"/>
      <c r="W159" s="25"/>
      <c r="X159" s="25"/>
      <c r="Y159" s="25"/>
      <c r="Z159" s="25"/>
      <c r="AA159" s="27"/>
    </row>
    <row r="160">
      <c r="A160" s="24"/>
      <c r="B160" s="25"/>
      <c r="C160" s="25"/>
      <c r="D160" s="25"/>
      <c r="E160" s="25"/>
      <c r="F160" s="25"/>
      <c r="G160" s="25"/>
      <c r="H160" s="28"/>
      <c r="I160" s="25"/>
      <c r="J160" s="25"/>
      <c r="K160" s="25"/>
      <c r="L160" s="25"/>
      <c r="M160" s="25"/>
      <c r="N160" s="25"/>
      <c r="O160" s="25"/>
      <c r="P160" s="25"/>
      <c r="Q160" s="25"/>
      <c r="R160" s="25"/>
      <c r="S160" s="25"/>
      <c r="T160" s="25"/>
      <c r="U160" s="25"/>
      <c r="V160" s="25"/>
      <c r="W160" s="25"/>
      <c r="X160" s="25"/>
      <c r="Y160" s="25"/>
      <c r="Z160" s="25"/>
      <c r="AA160" s="27"/>
    </row>
    <row r="161">
      <c r="A161" s="24"/>
      <c r="B161" s="25"/>
      <c r="C161" s="25"/>
      <c r="D161" s="25"/>
      <c r="E161" s="25"/>
      <c r="F161" s="25"/>
      <c r="G161" s="25"/>
      <c r="H161" s="28"/>
      <c r="I161" s="25"/>
      <c r="J161" s="25"/>
      <c r="K161" s="25"/>
      <c r="L161" s="25"/>
      <c r="M161" s="25"/>
      <c r="N161" s="25"/>
      <c r="O161" s="25"/>
      <c r="P161" s="25"/>
      <c r="Q161" s="25"/>
      <c r="R161" s="25"/>
      <c r="S161" s="25"/>
      <c r="T161" s="25"/>
      <c r="U161" s="25"/>
      <c r="V161" s="25"/>
      <c r="W161" s="25"/>
      <c r="X161" s="25"/>
      <c r="Y161" s="25"/>
      <c r="Z161" s="25"/>
      <c r="AA161" s="27"/>
    </row>
    <row r="162">
      <c r="A162" s="24"/>
      <c r="B162" s="25"/>
      <c r="C162" s="25"/>
      <c r="D162" s="25"/>
      <c r="E162" s="25"/>
      <c r="F162" s="25"/>
      <c r="G162" s="25"/>
      <c r="H162" s="28"/>
      <c r="I162" s="25"/>
      <c r="J162" s="25"/>
      <c r="K162" s="25"/>
      <c r="L162" s="25"/>
      <c r="M162" s="25"/>
      <c r="N162" s="25"/>
      <c r="O162" s="25"/>
      <c r="P162" s="25"/>
      <c r="Q162" s="25"/>
      <c r="R162" s="25"/>
      <c r="S162" s="25"/>
      <c r="T162" s="25"/>
      <c r="U162" s="25"/>
      <c r="V162" s="25"/>
      <c r="W162" s="25"/>
      <c r="X162" s="25"/>
      <c r="Y162" s="25"/>
      <c r="Z162" s="25"/>
      <c r="AA162" s="27"/>
    </row>
    <row r="163">
      <c r="A163" s="24"/>
      <c r="B163" s="25"/>
      <c r="C163" s="25"/>
      <c r="D163" s="25"/>
      <c r="E163" s="25"/>
      <c r="F163" s="25"/>
      <c r="G163" s="25"/>
      <c r="H163" s="28"/>
      <c r="I163" s="25"/>
      <c r="J163" s="25"/>
      <c r="K163" s="25"/>
      <c r="L163" s="25"/>
      <c r="M163" s="25"/>
      <c r="N163" s="25"/>
      <c r="O163" s="25"/>
      <c r="P163" s="25"/>
      <c r="Q163" s="25"/>
      <c r="R163" s="25"/>
      <c r="S163" s="25"/>
      <c r="T163" s="25"/>
      <c r="U163" s="25"/>
      <c r="V163" s="25"/>
      <c r="W163" s="25"/>
      <c r="X163" s="25"/>
      <c r="Y163" s="25"/>
      <c r="Z163" s="25"/>
      <c r="AA163" s="27"/>
    </row>
    <row r="164">
      <c r="A164" s="24"/>
      <c r="B164" s="25"/>
      <c r="C164" s="25"/>
      <c r="D164" s="25"/>
      <c r="E164" s="25"/>
      <c r="F164" s="25"/>
      <c r="G164" s="25"/>
      <c r="H164" s="28"/>
      <c r="I164" s="25"/>
      <c r="J164" s="25"/>
      <c r="K164" s="25"/>
      <c r="L164" s="25"/>
      <c r="M164" s="25"/>
      <c r="N164" s="25"/>
      <c r="O164" s="25"/>
      <c r="P164" s="25"/>
      <c r="Q164" s="25"/>
      <c r="R164" s="25"/>
      <c r="S164" s="25"/>
      <c r="T164" s="25"/>
      <c r="U164" s="25"/>
      <c r="V164" s="25"/>
      <c r="W164" s="25"/>
      <c r="X164" s="25"/>
      <c r="Y164" s="25"/>
      <c r="Z164" s="25"/>
      <c r="AA164" s="27"/>
    </row>
    <row r="165">
      <c r="A165" s="24"/>
      <c r="B165" s="25"/>
      <c r="C165" s="25"/>
      <c r="D165" s="25"/>
      <c r="E165" s="25"/>
      <c r="F165" s="25"/>
      <c r="G165" s="25"/>
      <c r="H165" s="28"/>
      <c r="I165" s="25"/>
      <c r="J165" s="25"/>
      <c r="K165" s="25"/>
      <c r="L165" s="25"/>
      <c r="M165" s="25"/>
      <c r="N165" s="25"/>
      <c r="O165" s="25"/>
      <c r="P165" s="25"/>
      <c r="Q165" s="25"/>
      <c r="R165" s="25"/>
      <c r="S165" s="25"/>
      <c r="T165" s="25"/>
      <c r="U165" s="25"/>
      <c r="V165" s="25"/>
      <c r="W165" s="25"/>
      <c r="X165" s="25"/>
      <c r="Y165" s="25"/>
      <c r="Z165" s="25"/>
      <c r="AA165" s="27"/>
    </row>
    <row r="166">
      <c r="A166" s="24"/>
      <c r="B166" s="25"/>
      <c r="C166" s="25"/>
      <c r="D166" s="25"/>
      <c r="E166" s="25"/>
      <c r="F166" s="25"/>
      <c r="G166" s="25"/>
      <c r="H166" s="28"/>
      <c r="I166" s="25"/>
      <c r="J166" s="25"/>
      <c r="K166" s="25"/>
      <c r="L166" s="25"/>
      <c r="M166" s="25"/>
      <c r="N166" s="25"/>
      <c r="O166" s="25"/>
      <c r="P166" s="25"/>
      <c r="Q166" s="25"/>
      <c r="R166" s="25"/>
      <c r="S166" s="25"/>
      <c r="T166" s="25"/>
      <c r="U166" s="25"/>
      <c r="V166" s="25"/>
      <c r="W166" s="25"/>
      <c r="X166" s="25"/>
      <c r="Y166" s="25"/>
      <c r="Z166" s="25"/>
      <c r="AA166" s="27"/>
    </row>
    <row r="167">
      <c r="A167" s="24"/>
      <c r="B167" s="25"/>
      <c r="C167" s="25"/>
      <c r="D167" s="25"/>
      <c r="E167" s="25"/>
      <c r="F167" s="25"/>
      <c r="G167" s="25"/>
      <c r="H167" s="28"/>
      <c r="I167" s="25"/>
      <c r="J167" s="25"/>
      <c r="K167" s="25"/>
      <c r="L167" s="25"/>
      <c r="M167" s="25"/>
      <c r="N167" s="25"/>
      <c r="O167" s="25"/>
      <c r="P167" s="25"/>
      <c r="Q167" s="25"/>
      <c r="R167" s="25"/>
      <c r="S167" s="25"/>
      <c r="T167" s="25"/>
      <c r="U167" s="25"/>
      <c r="V167" s="25"/>
      <c r="W167" s="25"/>
      <c r="X167" s="25"/>
      <c r="Y167" s="25"/>
      <c r="Z167" s="25"/>
      <c r="AA167" s="27"/>
    </row>
    <row r="168">
      <c r="A168" s="24"/>
      <c r="B168" s="25"/>
      <c r="C168" s="25"/>
      <c r="D168" s="25"/>
      <c r="E168" s="25"/>
      <c r="F168" s="25"/>
      <c r="G168" s="25"/>
      <c r="H168" s="28"/>
      <c r="I168" s="25"/>
      <c r="J168" s="25"/>
      <c r="K168" s="25"/>
      <c r="L168" s="25"/>
      <c r="M168" s="25"/>
      <c r="N168" s="25"/>
      <c r="O168" s="25"/>
      <c r="P168" s="25"/>
      <c r="Q168" s="25"/>
      <c r="R168" s="25"/>
      <c r="S168" s="25"/>
      <c r="T168" s="25"/>
      <c r="U168" s="25"/>
      <c r="V168" s="25"/>
      <c r="W168" s="25"/>
      <c r="X168" s="25"/>
      <c r="Y168" s="25"/>
      <c r="Z168" s="25"/>
      <c r="AA168" s="27"/>
    </row>
    <row r="169">
      <c r="A169" s="24"/>
      <c r="B169" s="25"/>
      <c r="C169" s="25"/>
      <c r="D169" s="25"/>
      <c r="E169" s="25"/>
      <c r="F169" s="25"/>
      <c r="G169" s="25"/>
      <c r="H169" s="28"/>
      <c r="I169" s="25"/>
      <c r="J169" s="25"/>
      <c r="K169" s="25"/>
      <c r="L169" s="25"/>
      <c r="M169" s="25"/>
      <c r="N169" s="25"/>
      <c r="O169" s="25"/>
      <c r="P169" s="25"/>
      <c r="Q169" s="25"/>
      <c r="R169" s="25"/>
      <c r="S169" s="25"/>
      <c r="T169" s="25"/>
      <c r="U169" s="25"/>
      <c r="V169" s="25"/>
      <c r="W169" s="25"/>
      <c r="X169" s="25"/>
      <c r="Y169" s="25"/>
      <c r="Z169" s="25"/>
      <c r="AA169" s="27"/>
    </row>
    <row r="170">
      <c r="A170" s="24"/>
      <c r="B170" s="25"/>
      <c r="C170" s="25"/>
      <c r="D170" s="25"/>
      <c r="E170" s="25"/>
      <c r="F170" s="25"/>
      <c r="G170" s="25"/>
      <c r="H170" s="28"/>
      <c r="I170" s="25"/>
      <c r="J170" s="25"/>
      <c r="K170" s="25"/>
      <c r="L170" s="25"/>
      <c r="M170" s="25"/>
      <c r="N170" s="25"/>
      <c r="O170" s="25"/>
      <c r="P170" s="25"/>
      <c r="Q170" s="25"/>
      <c r="R170" s="25"/>
      <c r="S170" s="25"/>
      <c r="T170" s="25"/>
      <c r="U170" s="25"/>
      <c r="V170" s="25"/>
      <c r="W170" s="25"/>
      <c r="X170" s="25"/>
      <c r="Y170" s="25"/>
      <c r="Z170" s="25"/>
      <c r="AA170" s="27"/>
    </row>
    <row r="171">
      <c r="A171" s="24"/>
      <c r="B171" s="25"/>
      <c r="C171" s="25"/>
      <c r="D171" s="25"/>
      <c r="E171" s="25"/>
      <c r="F171" s="25"/>
      <c r="G171" s="25"/>
      <c r="H171" s="28"/>
      <c r="I171" s="25"/>
      <c r="J171" s="25"/>
      <c r="K171" s="25"/>
      <c r="L171" s="25"/>
      <c r="M171" s="25"/>
      <c r="N171" s="25"/>
      <c r="O171" s="25"/>
      <c r="P171" s="25"/>
      <c r="Q171" s="25"/>
      <c r="R171" s="25"/>
      <c r="S171" s="25"/>
      <c r="T171" s="25"/>
      <c r="U171" s="25"/>
      <c r="V171" s="25"/>
      <c r="W171" s="25"/>
      <c r="X171" s="25"/>
      <c r="Y171" s="25"/>
      <c r="Z171" s="25"/>
      <c r="AA171" s="27"/>
    </row>
    <row r="172">
      <c r="A172" s="24"/>
      <c r="B172" s="25"/>
      <c r="C172" s="25"/>
      <c r="D172" s="25"/>
      <c r="E172" s="25"/>
      <c r="F172" s="25"/>
      <c r="G172" s="25"/>
      <c r="H172" s="28"/>
      <c r="I172" s="25"/>
      <c r="J172" s="25"/>
      <c r="K172" s="25"/>
      <c r="L172" s="25"/>
      <c r="M172" s="25"/>
      <c r="N172" s="25"/>
      <c r="O172" s="25"/>
      <c r="P172" s="25"/>
      <c r="Q172" s="25"/>
      <c r="R172" s="25"/>
      <c r="S172" s="25"/>
      <c r="T172" s="25"/>
      <c r="U172" s="25"/>
      <c r="V172" s="25"/>
      <c r="W172" s="25"/>
      <c r="X172" s="25"/>
      <c r="Y172" s="25"/>
      <c r="Z172" s="25"/>
      <c r="AA172" s="27"/>
    </row>
    <row r="173">
      <c r="A173" s="24"/>
      <c r="B173" s="25"/>
      <c r="C173" s="25"/>
      <c r="D173" s="25"/>
      <c r="E173" s="25"/>
      <c r="F173" s="25"/>
      <c r="G173" s="25"/>
      <c r="H173" s="28"/>
      <c r="I173" s="25"/>
      <c r="J173" s="25"/>
      <c r="K173" s="25"/>
      <c r="L173" s="25"/>
      <c r="M173" s="25"/>
      <c r="N173" s="25"/>
      <c r="O173" s="25"/>
      <c r="P173" s="25"/>
      <c r="Q173" s="25"/>
      <c r="R173" s="25"/>
      <c r="S173" s="25"/>
      <c r="T173" s="25"/>
      <c r="U173" s="25"/>
      <c r="V173" s="25"/>
      <c r="W173" s="25"/>
      <c r="X173" s="25"/>
      <c r="Y173" s="25"/>
      <c r="Z173" s="25"/>
      <c r="AA173" s="27"/>
    </row>
    <row r="174">
      <c r="A174" s="24"/>
      <c r="B174" s="25"/>
      <c r="C174" s="25"/>
      <c r="D174" s="25"/>
      <c r="E174" s="25"/>
      <c r="F174" s="25"/>
      <c r="G174" s="25"/>
      <c r="H174" s="28"/>
      <c r="I174" s="25"/>
      <c r="J174" s="25"/>
      <c r="K174" s="25"/>
      <c r="L174" s="25"/>
      <c r="M174" s="25"/>
      <c r="N174" s="25"/>
      <c r="O174" s="25"/>
      <c r="P174" s="25"/>
      <c r="Q174" s="25"/>
      <c r="R174" s="25"/>
      <c r="S174" s="25"/>
      <c r="T174" s="25"/>
      <c r="U174" s="25"/>
      <c r="V174" s="25"/>
      <c r="W174" s="25"/>
      <c r="X174" s="25"/>
      <c r="Y174" s="25"/>
      <c r="Z174" s="25"/>
      <c r="AA174" s="27"/>
    </row>
    <row r="175">
      <c r="A175" s="24"/>
      <c r="B175" s="25"/>
      <c r="C175" s="25"/>
      <c r="D175" s="25"/>
      <c r="E175" s="25"/>
      <c r="F175" s="25"/>
      <c r="G175" s="25"/>
      <c r="H175" s="28"/>
      <c r="I175" s="25"/>
      <c r="J175" s="25"/>
      <c r="K175" s="25"/>
      <c r="L175" s="25"/>
      <c r="M175" s="25"/>
      <c r="N175" s="25"/>
      <c r="O175" s="25"/>
      <c r="P175" s="25"/>
      <c r="Q175" s="25"/>
      <c r="R175" s="25"/>
      <c r="S175" s="25"/>
      <c r="T175" s="25"/>
      <c r="U175" s="25"/>
      <c r="V175" s="25"/>
      <c r="W175" s="25"/>
      <c r="X175" s="25"/>
      <c r="Y175" s="25"/>
      <c r="Z175" s="25"/>
      <c r="AA175" s="27"/>
    </row>
    <row r="176">
      <c r="A176" s="24"/>
      <c r="B176" s="25"/>
      <c r="C176" s="25"/>
      <c r="D176" s="25"/>
      <c r="E176" s="25"/>
      <c r="F176" s="25"/>
      <c r="G176" s="25"/>
      <c r="H176" s="28"/>
      <c r="I176" s="25"/>
      <c r="J176" s="25"/>
      <c r="K176" s="25"/>
      <c r="L176" s="25"/>
      <c r="M176" s="25"/>
      <c r="N176" s="25"/>
      <c r="O176" s="25"/>
      <c r="P176" s="25"/>
      <c r="Q176" s="25"/>
      <c r="R176" s="25"/>
      <c r="S176" s="25"/>
      <c r="T176" s="25"/>
      <c r="U176" s="25"/>
      <c r="V176" s="25"/>
      <c r="W176" s="25"/>
      <c r="X176" s="25"/>
      <c r="Y176" s="25"/>
      <c r="Z176" s="25"/>
      <c r="AA176" s="27"/>
    </row>
    <row r="177">
      <c r="A177" s="24"/>
      <c r="B177" s="25"/>
      <c r="C177" s="25"/>
      <c r="D177" s="25"/>
      <c r="E177" s="25"/>
      <c r="F177" s="25"/>
      <c r="G177" s="25"/>
      <c r="H177" s="28"/>
      <c r="I177" s="25"/>
      <c r="J177" s="25"/>
      <c r="K177" s="25"/>
      <c r="L177" s="25"/>
      <c r="M177" s="25"/>
      <c r="N177" s="25"/>
      <c r="O177" s="25"/>
      <c r="P177" s="25"/>
      <c r="Q177" s="25"/>
      <c r="R177" s="25"/>
      <c r="S177" s="25"/>
      <c r="T177" s="25"/>
      <c r="U177" s="25"/>
      <c r="V177" s="25"/>
      <c r="W177" s="25"/>
      <c r="X177" s="25"/>
      <c r="Y177" s="25"/>
      <c r="Z177" s="25"/>
      <c r="AA177" s="27"/>
    </row>
    <row r="178">
      <c r="A178" s="24"/>
      <c r="B178" s="25"/>
      <c r="C178" s="25"/>
      <c r="D178" s="25"/>
      <c r="E178" s="25"/>
      <c r="F178" s="25"/>
      <c r="G178" s="25"/>
      <c r="H178" s="28"/>
      <c r="I178" s="25"/>
      <c r="J178" s="25"/>
      <c r="K178" s="25"/>
      <c r="L178" s="25"/>
      <c r="M178" s="25"/>
      <c r="N178" s="25"/>
      <c r="O178" s="25"/>
      <c r="P178" s="25"/>
      <c r="Q178" s="25"/>
      <c r="R178" s="25"/>
      <c r="S178" s="25"/>
      <c r="T178" s="25"/>
      <c r="U178" s="25"/>
      <c r="V178" s="25"/>
      <c r="W178" s="25"/>
      <c r="X178" s="25"/>
      <c r="Y178" s="25"/>
      <c r="Z178" s="25"/>
      <c r="AA178" s="27"/>
    </row>
    <row r="179">
      <c r="A179" s="24"/>
      <c r="B179" s="25"/>
      <c r="C179" s="25"/>
      <c r="D179" s="25"/>
      <c r="E179" s="25"/>
      <c r="F179" s="25"/>
      <c r="G179" s="25"/>
      <c r="H179" s="28"/>
      <c r="I179" s="25"/>
      <c r="J179" s="25"/>
      <c r="K179" s="25"/>
      <c r="L179" s="25"/>
      <c r="M179" s="25"/>
      <c r="N179" s="25"/>
      <c r="O179" s="25"/>
      <c r="P179" s="25"/>
      <c r="Q179" s="25"/>
      <c r="R179" s="25"/>
      <c r="S179" s="25"/>
      <c r="T179" s="25"/>
      <c r="U179" s="25"/>
      <c r="V179" s="25"/>
      <c r="W179" s="25"/>
      <c r="X179" s="25"/>
      <c r="Y179" s="25"/>
      <c r="Z179" s="25"/>
      <c r="AA179" s="27"/>
    </row>
    <row r="180">
      <c r="A180" s="24"/>
      <c r="B180" s="25"/>
      <c r="C180" s="25"/>
      <c r="D180" s="25"/>
      <c r="E180" s="25"/>
      <c r="F180" s="25"/>
      <c r="G180" s="25"/>
      <c r="H180" s="28"/>
      <c r="I180" s="25"/>
      <c r="J180" s="25"/>
      <c r="K180" s="25"/>
      <c r="L180" s="25"/>
      <c r="M180" s="25"/>
      <c r="N180" s="25"/>
      <c r="O180" s="25"/>
      <c r="P180" s="25"/>
      <c r="Q180" s="25"/>
      <c r="R180" s="25"/>
      <c r="S180" s="25"/>
      <c r="T180" s="25"/>
      <c r="U180" s="25"/>
      <c r="V180" s="25"/>
      <c r="W180" s="25"/>
      <c r="X180" s="25"/>
      <c r="Y180" s="25"/>
      <c r="Z180" s="25"/>
      <c r="AA180" s="27"/>
    </row>
    <row r="181">
      <c r="A181" s="24"/>
      <c r="B181" s="25"/>
      <c r="C181" s="25"/>
      <c r="D181" s="25"/>
      <c r="E181" s="25"/>
      <c r="F181" s="25"/>
      <c r="G181" s="25"/>
      <c r="H181" s="28"/>
      <c r="I181" s="25"/>
      <c r="J181" s="25"/>
      <c r="K181" s="25"/>
      <c r="L181" s="25"/>
      <c r="M181" s="25"/>
      <c r="N181" s="25"/>
      <c r="O181" s="25"/>
      <c r="P181" s="25"/>
      <c r="Q181" s="25"/>
      <c r="R181" s="25"/>
      <c r="S181" s="25"/>
      <c r="T181" s="25"/>
      <c r="U181" s="25"/>
      <c r="V181" s="25"/>
      <c r="W181" s="25"/>
      <c r="X181" s="25"/>
      <c r="Y181" s="25"/>
      <c r="Z181" s="25"/>
      <c r="AA181" s="27"/>
    </row>
    <row r="182">
      <c r="A182" s="24"/>
      <c r="B182" s="25"/>
      <c r="C182" s="25"/>
      <c r="D182" s="25"/>
      <c r="E182" s="25"/>
      <c r="F182" s="25"/>
      <c r="G182" s="25"/>
      <c r="H182" s="28"/>
      <c r="I182" s="25"/>
      <c r="J182" s="25"/>
      <c r="K182" s="25"/>
      <c r="L182" s="25"/>
      <c r="M182" s="25"/>
      <c r="N182" s="25"/>
      <c r="O182" s="25"/>
      <c r="P182" s="25"/>
      <c r="Q182" s="25"/>
      <c r="R182" s="25"/>
      <c r="S182" s="25"/>
      <c r="T182" s="25"/>
      <c r="U182" s="25"/>
      <c r="V182" s="25"/>
      <c r="W182" s="25"/>
      <c r="X182" s="25"/>
      <c r="Y182" s="25"/>
      <c r="Z182" s="25"/>
      <c r="AA182" s="27"/>
    </row>
    <row r="183">
      <c r="A183" s="24"/>
      <c r="B183" s="25"/>
      <c r="C183" s="25"/>
      <c r="D183" s="25"/>
      <c r="E183" s="25"/>
      <c r="F183" s="25"/>
      <c r="G183" s="25"/>
      <c r="H183" s="28"/>
      <c r="I183" s="25"/>
      <c r="J183" s="25"/>
      <c r="K183" s="25"/>
      <c r="L183" s="25"/>
      <c r="M183" s="25"/>
      <c r="N183" s="25"/>
      <c r="O183" s="25"/>
      <c r="P183" s="25"/>
      <c r="Q183" s="25"/>
      <c r="R183" s="25"/>
      <c r="S183" s="25"/>
      <c r="T183" s="25"/>
      <c r="U183" s="25"/>
      <c r="V183" s="25"/>
      <c r="W183" s="25"/>
      <c r="X183" s="25"/>
      <c r="Y183" s="25"/>
      <c r="Z183" s="25"/>
      <c r="AA183" s="27"/>
    </row>
    <row r="184">
      <c r="A184" s="24"/>
      <c r="B184" s="25"/>
      <c r="C184" s="25"/>
      <c r="D184" s="25"/>
      <c r="E184" s="25"/>
      <c r="F184" s="25"/>
      <c r="G184" s="25"/>
      <c r="H184" s="28"/>
      <c r="I184" s="25"/>
      <c r="J184" s="25"/>
      <c r="K184" s="25"/>
      <c r="L184" s="25"/>
      <c r="M184" s="25"/>
      <c r="N184" s="25"/>
      <c r="O184" s="25"/>
      <c r="P184" s="25"/>
      <c r="Q184" s="25"/>
      <c r="R184" s="25"/>
      <c r="S184" s="25"/>
      <c r="T184" s="25"/>
      <c r="U184" s="25"/>
      <c r="V184" s="25"/>
      <c r="W184" s="25"/>
      <c r="X184" s="25"/>
      <c r="Y184" s="25"/>
      <c r="Z184" s="25"/>
      <c r="AA184" s="27"/>
    </row>
    <row r="185">
      <c r="A185" s="24"/>
      <c r="B185" s="25"/>
      <c r="C185" s="25"/>
      <c r="D185" s="25"/>
      <c r="E185" s="25"/>
      <c r="F185" s="25"/>
      <c r="G185" s="25"/>
      <c r="H185" s="28"/>
      <c r="I185" s="25"/>
      <c r="J185" s="25"/>
      <c r="K185" s="25"/>
      <c r="L185" s="25"/>
      <c r="M185" s="25"/>
      <c r="N185" s="25"/>
      <c r="O185" s="25"/>
      <c r="P185" s="25"/>
      <c r="Q185" s="25"/>
      <c r="R185" s="25"/>
      <c r="S185" s="25"/>
      <c r="T185" s="25"/>
      <c r="U185" s="25"/>
      <c r="V185" s="25"/>
      <c r="W185" s="25"/>
      <c r="X185" s="25"/>
      <c r="Y185" s="25"/>
      <c r="Z185" s="25"/>
      <c r="AA185" s="27"/>
    </row>
    <row r="186">
      <c r="A186" s="24"/>
      <c r="B186" s="25"/>
      <c r="C186" s="25"/>
      <c r="D186" s="25"/>
      <c r="E186" s="25"/>
      <c r="F186" s="25"/>
      <c r="G186" s="25"/>
      <c r="H186" s="28"/>
      <c r="I186" s="25"/>
      <c r="J186" s="25"/>
      <c r="K186" s="25"/>
      <c r="L186" s="25"/>
      <c r="M186" s="25"/>
      <c r="N186" s="25"/>
      <c r="O186" s="25"/>
      <c r="P186" s="25"/>
      <c r="Q186" s="25"/>
      <c r="R186" s="25"/>
      <c r="S186" s="25"/>
      <c r="T186" s="25"/>
      <c r="U186" s="25"/>
      <c r="V186" s="25"/>
      <c r="W186" s="25"/>
      <c r="X186" s="25"/>
      <c r="Y186" s="25"/>
      <c r="Z186" s="25"/>
      <c r="AA186" s="27"/>
    </row>
    <row r="187">
      <c r="A187" s="24"/>
      <c r="B187" s="25"/>
      <c r="C187" s="25"/>
      <c r="D187" s="25"/>
      <c r="E187" s="25"/>
      <c r="F187" s="25"/>
      <c r="G187" s="25"/>
      <c r="H187" s="28"/>
      <c r="I187" s="25"/>
      <c r="J187" s="25"/>
      <c r="K187" s="25"/>
      <c r="L187" s="25"/>
      <c r="M187" s="25"/>
      <c r="N187" s="25"/>
      <c r="O187" s="25"/>
      <c r="P187" s="25"/>
      <c r="Q187" s="25"/>
      <c r="R187" s="25"/>
      <c r="S187" s="25"/>
      <c r="T187" s="25"/>
      <c r="U187" s="25"/>
      <c r="V187" s="25"/>
      <c r="W187" s="25"/>
      <c r="X187" s="25"/>
      <c r="Y187" s="25"/>
      <c r="Z187" s="25"/>
      <c r="AA187" s="27"/>
    </row>
    <row r="188">
      <c r="A188" s="24"/>
      <c r="B188" s="25"/>
      <c r="C188" s="25"/>
      <c r="D188" s="25"/>
      <c r="E188" s="25"/>
      <c r="F188" s="25"/>
      <c r="G188" s="25"/>
      <c r="H188" s="28"/>
      <c r="I188" s="25"/>
      <c r="J188" s="25"/>
      <c r="K188" s="25"/>
      <c r="L188" s="25"/>
      <c r="M188" s="25"/>
      <c r="N188" s="25"/>
      <c r="O188" s="25"/>
      <c r="P188" s="25"/>
      <c r="Q188" s="25"/>
      <c r="R188" s="25"/>
      <c r="S188" s="25"/>
      <c r="T188" s="25"/>
      <c r="U188" s="25"/>
      <c r="V188" s="25"/>
      <c r="W188" s="25"/>
      <c r="X188" s="25"/>
      <c r="Y188" s="25"/>
      <c r="Z188" s="25"/>
      <c r="AA188" s="27"/>
    </row>
    <row r="189">
      <c r="A189" s="24"/>
      <c r="B189" s="25"/>
      <c r="C189" s="25"/>
      <c r="D189" s="25"/>
      <c r="E189" s="25"/>
      <c r="F189" s="25"/>
      <c r="G189" s="25"/>
      <c r="H189" s="28"/>
      <c r="I189" s="25"/>
      <c r="J189" s="25"/>
      <c r="K189" s="25"/>
      <c r="L189" s="25"/>
      <c r="M189" s="25"/>
      <c r="N189" s="25"/>
      <c r="O189" s="25"/>
      <c r="P189" s="25"/>
      <c r="Q189" s="25"/>
      <c r="R189" s="25"/>
      <c r="S189" s="25"/>
      <c r="T189" s="25"/>
      <c r="U189" s="25"/>
      <c r="V189" s="25"/>
      <c r="W189" s="25"/>
      <c r="X189" s="25"/>
      <c r="Y189" s="25"/>
      <c r="Z189" s="25"/>
      <c r="AA189" s="27"/>
    </row>
    <row r="190">
      <c r="A190" s="24"/>
      <c r="B190" s="25"/>
      <c r="C190" s="25"/>
      <c r="D190" s="25"/>
      <c r="E190" s="25"/>
      <c r="F190" s="25"/>
      <c r="G190" s="25"/>
      <c r="H190" s="28"/>
      <c r="I190" s="25"/>
      <c r="J190" s="25"/>
      <c r="K190" s="25"/>
      <c r="L190" s="25"/>
      <c r="M190" s="25"/>
      <c r="N190" s="25"/>
      <c r="O190" s="25"/>
      <c r="P190" s="25"/>
      <c r="Q190" s="25"/>
      <c r="R190" s="25"/>
      <c r="S190" s="25"/>
      <c r="T190" s="25"/>
      <c r="U190" s="25"/>
      <c r="V190" s="25"/>
      <c r="W190" s="25"/>
      <c r="X190" s="25"/>
      <c r="Y190" s="25"/>
      <c r="Z190" s="25"/>
      <c r="AA190" s="27"/>
    </row>
    <row r="191">
      <c r="A191" s="24"/>
      <c r="B191" s="25"/>
      <c r="C191" s="25"/>
      <c r="D191" s="25"/>
      <c r="E191" s="25"/>
      <c r="F191" s="25"/>
      <c r="G191" s="25"/>
      <c r="H191" s="28"/>
      <c r="I191" s="25"/>
      <c r="J191" s="25"/>
      <c r="K191" s="25"/>
      <c r="L191" s="25"/>
      <c r="M191" s="25"/>
      <c r="N191" s="25"/>
      <c r="O191" s="25"/>
      <c r="P191" s="25"/>
      <c r="Q191" s="25"/>
      <c r="R191" s="25"/>
      <c r="S191" s="25"/>
      <c r="T191" s="25"/>
      <c r="U191" s="25"/>
      <c r="V191" s="25"/>
      <c r="W191" s="25"/>
      <c r="X191" s="25"/>
      <c r="Y191" s="25"/>
      <c r="Z191" s="25"/>
      <c r="AA191" s="27"/>
    </row>
    <row r="192">
      <c r="A192" s="24"/>
      <c r="B192" s="25"/>
      <c r="C192" s="25"/>
      <c r="D192" s="25"/>
      <c r="E192" s="25"/>
      <c r="F192" s="25"/>
      <c r="G192" s="25"/>
      <c r="H192" s="28"/>
      <c r="I192" s="25"/>
      <c r="J192" s="25"/>
      <c r="K192" s="25"/>
      <c r="L192" s="25"/>
      <c r="M192" s="25"/>
      <c r="N192" s="25"/>
      <c r="O192" s="25"/>
      <c r="P192" s="25"/>
      <c r="Q192" s="25"/>
      <c r="R192" s="25"/>
      <c r="S192" s="25"/>
      <c r="T192" s="25"/>
      <c r="U192" s="25"/>
      <c r="V192" s="25"/>
      <c r="W192" s="25"/>
      <c r="X192" s="25"/>
      <c r="Y192" s="25"/>
      <c r="Z192" s="25"/>
      <c r="AA192" s="27"/>
    </row>
    <row r="193">
      <c r="A193" s="24"/>
      <c r="B193" s="25"/>
      <c r="C193" s="25"/>
      <c r="D193" s="25"/>
      <c r="E193" s="25"/>
      <c r="F193" s="25"/>
      <c r="G193" s="25"/>
      <c r="H193" s="28"/>
      <c r="I193" s="25"/>
      <c r="J193" s="25"/>
      <c r="K193" s="25"/>
      <c r="L193" s="25"/>
      <c r="M193" s="25"/>
      <c r="N193" s="25"/>
      <c r="O193" s="25"/>
      <c r="P193" s="25"/>
      <c r="Q193" s="25"/>
      <c r="R193" s="25"/>
      <c r="S193" s="25"/>
      <c r="T193" s="25"/>
      <c r="U193" s="25"/>
      <c r="V193" s="25"/>
      <c r="W193" s="25"/>
      <c r="X193" s="25"/>
      <c r="Y193" s="25"/>
      <c r="Z193" s="25"/>
      <c r="AA193" s="27"/>
    </row>
    <row r="194">
      <c r="A194" s="24"/>
      <c r="B194" s="25"/>
      <c r="C194" s="25"/>
      <c r="D194" s="25"/>
      <c r="E194" s="25"/>
      <c r="F194" s="25"/>
      <c r="G194" s="25"/>
      <c r="H194" s="28"/>
      <c r="I194" s="25"/>
      <c r="J194" s="25"/>
      <c r="K194" s="25"/>
      <c r="L194" s="25"/>
      <c r="M194" s="25"/>
      <c r="N194" s="25"/>
      <c r="O194" s="25"/>
      <c r="P194" s="25"/>
      <c r="Q194" s="25"/>
      <c r="R194" s="25"/>
      <c r="S194" s="25"/>
      <c r="T194" s="25"/>
      <c r="U194" s="25"/>
      <c r="V194" s="25"/>
      <c r="W194" s="25"/>
      <c r="X194" s="25"/>
      <c r="Y194" s="25"/>
      <c r="Z194" s="25"/>
      <c r="AA194" s="27"/>
    </row>
    <row r="195">
      <c r="A195" s="24"/>
      <c r="B195" s="25"/>
      <c r="C195" s="25"/>
      <c r="D195" s="25"/>
      <c r="E195" s="25"/>
      <c r="F195" s="25"/>
      <c r="G195" s="25"/>
      <c r="H195" s="28"/>
      <c r="I195" s="25"/>
      <c r="J195" s="25"/>
      <c r="K195" s="25"/>
      <c r="L195" s="25"/>
      <c r="M195" s="25"/>
      <c r="N195" s="25"/>
      <c r="O195" s="25"/>
      <c r="P195" s="25"/>
      <c r="Q195" s="25"/>
      <c r="R195" s="25"/>
      <c r="S195" s="25"/>
      <c r="T195" s="25"/>
      <c r="U195" s="25"/>
      <c r="V195" s="25"/>
      <c r="W195" s="25"/>
      <c r="X195" s="25"/>
      <c r="Y195" s="25"/>
      <c r="Z195" s="25"/>
      <c r="AA195" s="27"/>
    </row>
    <row r="196">
      <c r="A196" s="24"/>
      <c r="B196" s="25"/>
      <c r="C196" s="25"/>
      <c r="D196" s="25"/>
      <c r="E196" s="25"/>
      <c r="F196" s="25"/>
      <c r="G196" s="25"/>
      <c r="H196" s="28"/>
      <c r="I196" s="25"/>
      <c r="J196" s="25"/>
      <c r="K196" s="25"/>
      <c r="L196" s="25"/>
      <c r="M196" s="25"/>
      <c r="N196" s="25"/>
      <c r="O196" s="25"/>
      <c r="P196" s="25"/>
      <c r="Q196" s="25"/>
      <c r="R196" s="25"/>
      <c r="S196" s="25"/>
      <c r="T196" s="25"/>
      <c r="U196" s="25"/>
      <c r="V196" s="25"/>
      <c r="W196" s="25"/>
      <c r="X196" s="25"/>
      <c r="Y196" s="25"/>
      <c r="Z196" s="25"/>
      <c r="AA196" s="27"/>
    </row>
    <row r="197">
      <c r="A197" s="24"/>
      <c r="B197" s="25"/>
      <c r="C197" s="25"/>
      <c r="D197" s="25"/>
      <c r="E197" s="25"/>
      <c r="F197" s="25"/>
      <c r="G197" s="25"/>
      <c r="H197" s="28"/>
      <c r="I197" s="25"/>
      <c r="J197" s="25"/>
      <c r="K197" s="25"/>
      <c r="L197" s="25"/>
      <c r="M197" s="25"/>
      <c r="N197" s="25"/>
      <c r="O197" s="25"/>
      <c r="P197" s="25"/>
      <c r="Q197" s="25"/>
      <c r="R197" s="25"/>
      <c r="S197" s="25"/>
      <c r="T197" s="25"/>
      <c r="U197" s="25"/>
      <c r="V197" s="25"/>
      <c r="W197" s="25"/>
      <c r="X197" s="25"/>
      <c r="Y197" s="25"/>
      <c r="Z197" s="25"/>
      <c r="AA197" s="27"/>
    </row>
    <row r="198">
      <c r="A198" s="24"/>
      <c r="B198" s="25"/>
      <c r="C198" s="25"/>
      <c r="D198" s="25"/>
      <c r="E198" s="25"/>
      <c r="F198" s="25"/>
      <c r="G198" s="25"/>
      <c r="H198" s="28"/>
      <c r="I198" s="25"/>
      <c r="J198" s="25"/>
      <c r="K198" s="25"/>
      <c r="L198" s="25"/>
      <c r="M198" s="25"/>
      <c r="N198" s="25"/>
      <c r="O198" s="25"/>
      <c r="P198" s="25"/>
      <c r="Q198" s="25"/>
      <c r="R198" s="25"/>
      <c r="S198" s="25"/>
      <c r="T198" s="25"/>
      <c r="U198" s="25"/>
      <c r="V198" s="25"/>
      <c r="W198" s="25"/>
      <c r="X198" s="25"/>
      <c r="Y198" s="25"/>
      <c r="Z198" s="25"/>
      <c r="AA198" s="27"/>
    </row>
    <row r="199">
      <c r="A199" s="24"/>
      <c r="B199" s="25"/>
      <c r="C199" s="25"/>
      <c r="D199" s="25"/>
      <c r="E199" s="25"/>
      <c r="F199" s="25"/>
      <c r="G199" s="25"/>
      <c r="H199" s="28"/>
      <c r="I199" s="25"/>
      <c r="J199" s="25"/>
      <c r="K199" s="25"/>
      <c r="L199" s="25"/>
      <c r="M199" s="25"/>
      <c r="N199" s="25"/>
      <c r="O199" s="25"/>
      <c r="P199" s="25"/>
      <c r="Q199" s="25"/>
      <c r="R199" s="25"/>
      <c r="S199" s="25"/>
      <c r="T199" s="25"/>
      <c r="U199" s="25"/>
      <c r="V199" s="25"/>
      <c r="W199" s="25"/>
      <c r="X199" s="25"/>
      <c r="Y199" s="25"/>
      <c r="Z199" s="25"/>
      <c r="AA199" s="27"/>
    </row>
    <row r="200">
      <c r="A200" s="24"/>
      <c r="B200" s="25"/>
      <c r="C200" s="25"/>
      <c r="D200" s="25"/>
      <c r="E200" s="25"/>
      <c r="F200" s="25"/>
      <c r="G200" s="25"/>
      <c r="H200" s="28"/>
      <c r="I200" s="25"/>
      <c r="J200" s="25"/>
      <c r="K200" s="25"/>
      <c r="L200" s="25"/>
      <c r="M200" s="25"/>
      <c r="N200" s="25"/>
      <c r="O200" s="25"/>
      <c r="P200" s="25"/>
      <c r="Q200" s="25"/>
      <c r="R200" s="25"/>
      <c r="S200" s="25"/>
      <c r="T200" s="25"/>
      <c r="U200" s="25"/>
      <c r="V200" s="25"/>
      <c r="W200" s="25"/>
      <c r="X200" s="25"/>
      <c r="Y200" s="25"/>
      <c r="Z200" s="25"/>
      <c r="AA200" s="27"/>
    </row>
    <row r="201">
      <c r="A201" s="24"/>
      <c r="B201" s="25"/>
      <c r="C201" s="25"/>
      <c r="D201" s="25"/>
      <c r="E201" s="25"/>
      <c r="F201" s="25"/>
      <c r="G201" s="25"/>
      <c r="H201" s="28"/>
      <c r="I201" s="25"/>
      <c r="J201" s="25"/>
      <c r="K201" s="25"/>
      <c r="L201" s="25"/>
      <c r="M201" s="25"/>
      <c r="N201" s="25"/>
      <c r="O201" s="25"/>
      <c r="P201" s="25"/>
      <c r="Q201" s="25"/>
      <c r="R201" s="25"/>
      <c r="S201" s="25"/>
      <c r="T201" s="25"/>
      <c r="U201" s="25"/>
      <c r="V201" s="25"/>
      <c r="W201" s="25"/>
      <c r="X201" s="25"/>
      <c r="Y201" s="25"/>
      <c r="Z201" s="25"/>
      <c r="AA201" s="27"/>
    </row>
    <row r="202">
      <c r="A202" s="24"/>
      <c r="B202" s="25"/>
      <c r="C202" s="25"/>
      <c r="D202" s="25"/>
      <c r="E202" s="25"/>
      <c r="F202" s="25"/>
      <c r="G202" s="25"/>
      <c r="H202" s="28"/>
      <c r="I202" s="25"/>
      <c r="J202" s="25"/>
      <c r="K202" s="25"/>
      <c r="L202" s="25"/>
      <c r="M202" s="25"/>
      <c r="N202" s="25"/>
      <c r="O202" s="25"/>
      <c r="P202" s="25"/>
      <c r="Q202" s="25"/>
      <c r="R202" s="25"/>
      <c r="S202" s="25"/>
      <c r="T202" s="25"/>
      <c r="U202" s="25"/>
      <c r="V202" s="25"/>
      <c r="W202" s="25"/>
      <c r="X202" s="25"/>
      <c r="Y202" s="25"/>
      <c r="Z202" s="25"/>
      <c r="AA202" s="27"/>
    </row>
    <row r="203">
      <c r="A203" s="24"/>
      <c r="B203" s="25"/>
      <c r="C203" s="25"/>
      <c r="D203" s="25"/>
      <c r="E203" s="25"/>
      <c r="F203" s="25"/>
      <c r="G203" s="25"/>
      <c r="H203" s="28"/>
      <c r="I203" s="25"/>
      <c r="J203" s="25"/>
      <c r="K203" s="25"/>
      <c r="L203" s="25"/>
      <c r="M203" s="25"/>
      <c r="N203" s="25"/>
      <c r="O203" s="25"/>
      <c r="P203" s="25"/>
      <c r="Q203" s="25"/>
      <c r="R203" s="25"/>
      <c r="S203" s="25"/>
      <c r="T203" s="25"/>
      <c r="U203" s="25"/>
      <c r="V203" s="25"/>
      <c r="W203" s="25"/>
      <c r="X203" s="25"/>
      <c r="Y203" s="25"/>
      <c r="Z203" s="25"/>
      <c r="AA203" s="27"/>
    </row>
    <row r="204">
      <c r="A204" s="24"/>
      <c r="B204" s="25"/>
      <c r="C204" s="25"/>
      <c r="D204" s="25"/>
      <c r="E204" s="25"/>
      <c r="F204" s="25"/>
      <c r="G204" s="25"/>
      <c r="H204" s="28"/>
      <c r="I204" s="25"/>
      <c r="J204" s="25"/>
      <c r="K204" s="25"/>
      <c r="L204" s="25"/>
      <c r="M204" s="25"/>
      <c r="N204" s="25"/>
      <c r="O204" s="25"/>
      <c r="P204" s="25"/>
      <c r="Q204" s="25"/>
      <c r="R204" s="25"/>
      <c r="S204" s="25"/>
      <c r="T204" s="25"/>
      <c r="U204" s="25"/>
      <c r="V204" s="25"/>
      <c r="W204" s="25"/>
      <c r="X204" s="25"/>
      <c r="Y204" s="25"/>
      <c r="Z204" s="25"/>
      <c r="AA204" s="27"/>
    </row>
    <row r="205">
      <c r="A205" s="24"/>
      <c r="B205" s="25"/>
      <c r="C205" s="25"/>
      <c r="D205" s="25"/>
      <c r="E205" s="25"/>
      <c r="F205" s="25"/>
      <c r="G205" s="25"/>
      <c r="H205" s="28"/>
      <c r="I205" s="25"/>
      <c r="J205" s="25"/>
      <c r="K205" s="25"/>
      <c r="L205" s="25"/>
      <c r="M205" s="25"/>
      <c r="N205" s="25"/>
      <c r="O205" s="25"/>
      <c r="P205" s="25"/>
      <c r="Q205" s="25"/>
      <c r="R205" s="25"/>
      <c r="S205" s="25"/>
      <c r="T205" s="25"/>
      <c r="U205" s="25"/>
      <c r="V205" s="25"/>
      <c r="W205" s="25"/>
      <c r="X205" s="25"/>
      <c r="Y205" s="25"/>
      <c r="Z205" s="25"/>
      <c r="AA205" s="27"/>
    </row>
    <row r="206">
      <c r="A206" s="24"/>
      <c r="B206" s="25"/>
      <c r="C206" s="25"/>
      <c r="D206" s="25"/>
      <c r="E206" s="25"/>
      <c r="F206" s="25"/>
      <c r="G206" s="25"/>
      <c r="H206" s="28"/>
      <c r="I206" s="25"/>
      <c r="J206" s="25"/>
      <c r="K206" s="25"/>
      <c r="L206" s="25"/>
      <c r="M206" s="25"/>
      <c r="N206" s="25"/>
      <c r="O206" s="25"/>
      <c r="P206" s="25"/>
      <c r="Q206" s="25"/>
      <c r="R206" s="25"/>
      <c r="S206" s="25"/>
      <c r="T206" s="25"/>
      <c r="U206" s="25"/>
      <c r="V206" s="25"/>
      <c r="W206" s="25"/>
      <c r="X206" s="25"/>
      <c r="Y206" s="25"/>
      <c r="Z206" s="25"/>
      <c r="AA206" s="27"/>
    </row>
    <row r="207">
      <c r="A207" s="24"/>
      <c r="B207" s="25"/>
      <c r="C207" s="25"/>
      <c r="D207" s="25"/>
      <c r="E207" s="25"/>
      <c r="F207" s="25"/>
      <c r="G207" s="25"/>
      <c r="H207" s="28"/>
      <c r="I207" s="25"/>
      <c r="J207" s="25"/>
      <c r="K207" s="25"/>
      <c r="L207" s="25"/>
      <c r="M207" s="25"/>
      <c r="N207" s="25"/>
      <c r="O207" s="25"/>
      <c r="P207" s="25"/>
      <c r="Q207" s="25"/>
      <c r="R207" s="25"/>
      <c r="S207" s="25"/>
      <c r="T207" s="25"/>
      <c r="U207" s="25"/>
      <c r="V207" s="25"/>
      <c r="W207" s="25"/>
      <c r="X207" s="25"/>
      <c r="Y207" s="25"/>
      <c r="Z207" s="25"/>
      <c r="AA207" s="27"/>
    </row>
    <row r="208">
      <c r="A208" s="24"/>
      <c r="B208" s="25"/>
      <c r="C208" s="25"/>
      <c r="D208" s="25"/>
      <c r="E208" s="25"/>
      <c r="F208" s="25"/>
      <c r="G208" s="25"/>
      <c r="H208" s="28"/>
      <c r="I208" s="25"/>
      <c r="J208" s="25"/>
      <c r="K208" s="25"/>
      <c r="L208" s="25"/>
      <c r="M208" s="25"/>
      <c r="N208" s="25"/>
      <c r="O208" s="25"/>
      <c r="P208" s="25"/>
      <c r="Q208" s="25"/>
      <c r="R208" s="25"/>
      <c r="S208" s="25"/>
      <c r="T208" s="25"/>
      <c r="U208" s="25"/>
      <c r="V208" s="25"/>
      <c r="W208" s="25"/>
      <c r="X208" s="25"/>
      <c r="Y208" s="25"/>
      <c r="Z208" s="25"/>
      <c r="AA208" s="27"/>
    </row>
    <row r="209">
      <c r="A209" s="24"/>
      <c r="B209" s="25"/>
      <c r="C209" s="25"/>
      <c r="D209" s="25"/>
      <c r="E209" s="25"/>
      <c r="F209" s="25"/>
      <c r="G209" s="25"/>
      <c r="H209" s="28"/>
      <c r="I209" s="25"/>
      <c r="J209" s="25"/>
      <c r="K209" s="25"/>
      <c r="L209" s="25"/>
      <c r="M209" s="25"/>
      <c r="N209" s="25"/>
      <c r="O209" s="25"/>
      <c r="P209" s="25"/>
      <c r="Q209" s="25"/>
      <c r="R209" s="25"/>
      <c r="S209" s="25"/>
      <c r="T209" s="25"/>
      <c r="U209" s="25"/>
      <c r="V209" s="25"/>
      <c r="W209" s="25"/>
      <c r="X209" s="25"/>
      <c r="Y209" s="25"/>
      <c r="Z209" s="25"/>
      <c r="AA209" s="27"/>
    </row>
    <row r="210">
      <c r="A210" s="24"/>
      <c r="B210" s="25"/>
      <c r="C210" s="25"/>
      <c r="D210" s="25"/>
      <c r="E210" s="25"/>
      <c r="F210" s="25"/>
      <c r="G210" s="25"/>
      <c r="H210" s="28"/>
      <c r="I210" s="25"/>
      <c r="J210" s="25"/>
      <c r="K210" s="25"/>
      <c r="L210" s="25"/>
      <c r="M210" s="25"/>
      <c r="N210" s="25"/>
      <c r="O210" s="25"/>
      <c r="P210" s="25"/>
      <c r="Q210" s="25"/>
      <c r="R210" s="25"/>
      <c r="S210" s="25"/>
      <c r="T210" s="25"/>
      <c r="U210" s="25"/>
      <c r="V210" s="25"/>
      <c r="W210" s="25"/>
      <c r="X210" s="25"/>
      <c r="Y210" s="25"/>
      <c r="Z210" s="25"/>
      <c r="AA210" s="27"/>
    </row>
    <row r="211">
      <c r="A211" s="24"/>
      <c r="B211" s="25"/>
      <c r="C211" s="25"/>
      <c r="D211" s="25"/>
      <c r="E211" s="25"/>
      <c r="F211" s="25"/>
      <c r="G211" s="25"/>
      <c r="H211" s="28"/>
      <c r="I211" s="25"/>
      <c r="J211" s="25"/>
      <c r="K211" s="25"/>
      <c r="L211" s="25"/>
      <c r="M211" s="25"/>
      <c r="N211" s="25"/>
      <c r="O211" s="25"/>
      <c r="P211" s="25"/>
      <c r="Q211" s="25"/>
      <c r="R211" s="25"/>
      <c r="S211" s="25"/>
      <c r="T211" s="25"/>
      <c r="U211" s="25"/>
      <c r="V211" s="25"/>
      <c r="W211" s="25"/>
      <c r="X211" s="25"/>
      <c r="Y211" s="25"/>
      <c r="Z211" s="25"/>
      <c r="AA211" s="27"/>
    </row>
    <row r="212">
      <c r="A212" s="24"/>
      <c r="B212" s="25"/>
      <c r="C212" s="25"/>
      <c r="D212" s="25"/>
      <c r="E212" s="25"/>
      <c r="F212" s="25"/>
      <c r="G212" s="25"/>
      <c r="H212" s="28"/>
      <c r="I212" s="25"/>
      <c r="J212" s="25"/>
      <c r="K212" s="25"/>
      <c r="L212" s="25"/>
      <c r="M212" s="25"/>
      <c r="N212" s="25"/>
      <c r="O212" s="25"/>
      <c r="P212" s="25"/>
      <c r="Q212" s="25"/>
      <c r="R212" s="25"/>
      <c r="S212" s="25"/>
      <c r="T212" s="25"/>
      <c r="U212" s="25"/>
      <c r="V212" s="25"/>
      <c r="W212" s="25"/>
      <c r="X212" s="25"/>
      <c r="Y212" s="25"/>
      <c r="Z212" s="25"/>
      <c r="AA212" s="27"/>
    </row>
    <row r="213">
      <c r="A213" s="24"/>
      <c r="B213" s="25"/>
      <c r="C213" s="25"/>
      <c r="D213" s="25"/>
      <c r="E213" s="25"/>
      <c r="F213" s="25"/>
      <c r="G213" s="25"/>
      <c r="H213" s="28"/>
      <c r="I213" s="25"/>
      <c r="J213" s="25"/>
      <c r="K213" s="25"/>
      <c r="L213" s="25"/>
      <c r="M213" s="25"/>
      <c r="N213" s="25"/>
      <c r="O213" s="25"/>
      <c r="P213" s="25"/>
      <c r="Q213" s="25"/>
      <c r="R213" s="25"/>
      <c r="S213" s="25"/>
      <c r="T213" s="25"/>
      <c r="U213" s="25"/>
      <c r="V213" s="25"/>
      <c r="W213" s="25"/>
      <c r="X213" s="25"/>
      <c r="Y213" s="25"/>
      <c r="Z213" s="25"/>
      <c r="AA213" s="27"/>
    </row>
    <row r="214">
      <c r="A214" s="24"/>
      <c r="B214" s="25"/>
      <c r="C214" s="25"/>
      <c r="D214" s="25"/>
      <c r="E214" s="25"/>
      <c r="F214" s="25"/>
      <c r="G214" s="25"/>
      <c r="H214" s="28"/>
      <c r="I214" s="25"/>
      <c r="J214" s="25"/>
      <c r="K214" s="25"/>
      <c r="L214" s="25"/>
      <c r="M214" s="25"/>
      <c r="N214" s="25"/>
      <c r="O214" s="25"/>
      <c r="P214" s="25"/>
      <c r="Q214" s="25"/>
      <c r="R214" s="25"/>
      <c r="S214" s="25"/>
      <c r="T214" s="25"/>
      <c r="U214" s="25"/>
      <c r="V214" s="25"/>
      <c r="W214" s="25"/>
      <c r="X214" s="25"/>
      <c r="Y214" s="25"/>
      <c r="Z214" s="25"/>
      <c r="AA214" s="27"/>
    </row>
    <row r="215">
      <c r="A215" s="24"/>
      <c r="B215" s="25"/>
      <c r="C215" s="25"/>
      <c r="D215" s="25"/>
      <c r="E215" s="25"/>
      <c r="F215" s="25"/>
      <c r="G215" s="25"/>
      <c r="H215" s="28"/>
      <c r="I215" s="25"/>
      <c r="J215" s="25"/>
      <c r="K215" s="25"/>
      <c r="L215" s="25"/>
      <c r="M215" s="25"/>
      <c r="N215" s="25"/>
      <c r="O215" s="25"/>
      <c r="P215" s="25"/>
      <c r="Q215" s="25"/>
      <c r="R215" s="25"/>
      <c r="S215" s="25"/>
      <c r="T215" s="25"/>
      <c r="U215" s="25"/>
      <c r="V215" s="25"/>
      <c r="W215" s="25"/>
      <c r="X215" s="25"/>
      <c r="Y215" s="25"/>
      <c r="Z215" s="25"/>
      <c r="AA215" s="27"/>
    </row>
    <row r="216">
      <c r="A216" s="24"/>
      <c r="B216" s="25"/>
      <c r="C216" s="25"/>
      <c r="D216" s="25"/>
      <c r="E216" s="25"/>
      <c r="F216" s="25"/>
      <c r="G216" s="25"/>
      <c r="H216" s="28"/>
      <c r="I216" s="25"/>
      <c r="J216" s="25"/>
      <c r="K216" s="25"/>
      <c r="L216" s="25"/>
      <c r="M216" s="25"/>
      <c r="N216" s="25"/>
      <c r="O216" s="25"/>
      <c r="P216" s="25"/>
      <c r="Q216" s="25"/>
      <c r="R216" s="25"/>
      <c r="S216" s="25"/>
      <c r="T216" s="25"/>
      <c r="U216" s="25"/>
      <c r="V216" s="25"/>
      <c r="W216" s="25"/>
      <c r="X216" s="25"/>
      <c r="Y216" s="25"/>
      <c r="Z216" s="25"/>
      <c r="AA216" s="27"/>
    </row>
    <row r="217">
      <c r="A217" s="24"/>
      <c r="B217" s="25"/>
      <c r="C217" s="25"/>
      <c r="D217" s="25"/>
      <c r="E217" s="25"/>
      <c r="F217" s="25"/>
      <c r="G217" s="25"/>
      <c r="H217" s="28"/>
      <c r="I217" s="25"/>
      <c r="J217" s="25"/>
      <c r="K217" s="25"/>
      <c r="L217" s="25"/>
      <c r="M217" s="25"/>
      <c r="N217" s="25"/>
      <c r="O217" s="25"/>
      <c r="P217" s="25"/>
      <c r="Q217" s="25"/>
      <c r="R217" s="25"/>
      <c r="S217" s="25"/>
      <c r="T217" s="25"/>
      <c r="U217" s="25"/>
      <c r="V217" s="25"/>
      <c r="W217" s="25"/>
      <c r="X217" s="25"/>
      <c r="Y217" s="25"/>
      <c r="Z217" s="25"/>
      <c r="AA217" s="27"/>
    </row>
    <row r="218">
      <c r="A218" s="24"/>
      <c r="B218" s="25"/>
      <c r="C218" s="25"/>
      <c r="D218" s="25"/>
      <c r="E218" s="25"/>
      <c r="F218" s="25"/>
      <c r="G218" s="25"/>
      <c r="H218" s="28"/>
      <c r="I218" s="25"/>
      <c r="J218" s="25"/>
      <c r="K218" s="25"/>
      <c r="L218" s="25"/>
      <c r="M218" s="25"/>
      <c r="N218" s="25"/>
      <c r="O218" s="25"/>
      <c r="P218" s="25"/>
      <c r="Q218" s="25"/>
      <c r="R218" s="25"/>
      <c r="S218" s="25"/>
      <c r="T218" s="25"/>
      <c r="U218" s="25"/>
      <c r="V218" s="25"/>
      <c r="W218" s="25"/>
      <c r="X218" s="25"/>
      <c r="Y218" s="25"/>
      <c r="Z218" s="25"/>
      <c r="AA218" s="27"/>
    </row>
    <row r="219">
      <c r="A219" s="24"/>
      <c r="B219" s="25"/>
      <c r="C219" s="25"/>
      <c r="D219" s="25"/>
      <c r="E219" s="25"/>
      <c r="F219" s="25"/>
      <c r="G219" s="25"/>
      <c r="H219" s="28"/>
      <c r="I219" s="25"/>
      <c r="J219" s="25"/>
      <c r="K219" s="25"/>
      <c r="L219" s="25"/>
      <c r="M219" s="25"/>
      <c r="N219" s="25"/>
      <c r="O219" s="25"/>
      <c r="P219" s="25"/>
      <c r="Q219" s="25"/>
      <c r="R219" s="25"/>
      <c r="S219" s="25"/>
      <c r="T219" s="25"/>
      <c r="U219" s="25"/>
      <c r="V219" s="25"/>
      <c r="W219" s="25"/>
      <c r="X219" s="25"/>
      <c r="Y219" s="25"/>
      <c r="Z219" s="25"/>
      <c r="AA219" s="27"/>
    </row>
    <row r="220">
      <c r="A220" s="24"/>
      <c r="B220" s="25"/>
      <c r="C220" s="25"/>
      <c r="D220" s="25"/>
      <c r="E220" s="25"/>
      <c r="F220" s="25"/>
      <c r="G220" s="25"/>
      <c r="H220" s="28"/>
      <c r="I220" s="25"/>
      <c r="J220" s="25"/>
      <c r="K220" s="25"/>
      <c r="L220" s="25"/>
      <c r="M220" s="25"/>
      <c r="N220" s="25"/>
      <c r="O220" s="25"/>
      <c r="P220" s="25"/>
      <c r="Q220" s="25"/>
      <c r="R220" s="25"/>
      <c r="S220" s="25"/>
      <c r="T220" s="25"/>
      <c r="U220" s="25"/>
      <c r="V220" s="25"/>
      <c r="W220" s="25"/>
      <c r="X220" s="25"/>
      <c r="Y220" s="25"/>
      <c r="Z220" s="25"/>
      <c r="AA220" s="27"/>
    </row>
    <row r="221">
      <c r="A221" s="24"/>
      <c r="B221" s="25"/>
      <c r="C221" s="25"/>
      <c r="D221" s="25"/>
      <c r="E221" s="25"/>
      <c r="F221" s="25"/>
      <c r="G221" s="25"/>
      <c r="H221" s="28"/>
      <c r="I221" s="25"/>
      <c r="J221" s="25"/>
      <c r="K221" s="25"/>
      <c r="L221" s="25"/>
      <c r="M221" s="25"/>
      <c r="N221" s="25"/>
      <c r="O221" s="25"/>
      <c r="P221" s="25"/>
      <c r="Q221" s="25"/>
      <c r="R221" s="25"/>
      <c r="S221" s="25"/>
      <c r="T221" s="25"/>
      <c r="U221" s="25"/>
      <c r="V221" s="25"/>
      <c r="W221" s="25"/>
      <c r="X221" s="25"/>
      <c r="Y221" s="25"/>
      <c r="Z221" s="25"/>
      <c r="AA221" s="27"/>
    </row>
    <row r="222">
      <c r="A222" s="24"/>
      <c r="B222" s="25"/>
      <c r="C222" s="25"/>
      <c r="D222" s="25"/>
      <c r="E222" s="25"/>
      <c r="F222" s="25"/>
      <c r="G222" s="25"/>
      <c r="H222" s="28"/>
      <c r="I222" s="25"/>
      <c r="J222" s="25"/>
      <c r="K222" s="25"/>
      <c r="L222" s="25"/>
      <c r="M222" s="25"/>
      <c r="N222" s="25"/>
      <c r="O222" s="25"/>
      <c r="P222" s="25"/>
      <c r="Q222" s="25"/>
      <c r="R222" s="25"/>
      <c r="S222" s="25"/>
      <c r="T222" s="25"/>
      <c r="U222" s="25"/>
      <c r="V222" s="25"/>
      <c r="W222" s="25"/>
      <c r="X222" s="25"/>
      <c r="Y222" s="25"/>
      <c r="Z222" s="25"/>
      <c r="AA222" s="27"/>
    </row>
    <row r="223">
      <c r="A223" s="24"/>
      <c r="B223" s="25"/>
      <c r="C223" s="25"/>
      <c r="D223" s="25"/>
      <c r="E223" s="25"/>
      <c r="F223" s="25"/>
      <c r="G223" s="25"/>
      <c r="H223" s="28"/>
      <c r="I223" s="25"/>
      <c r="J223" s="25"/>
      <c r="K223" s="25"/>
      <c r="L223" s="25"/>
      <c r="M223" s="25"/>
      <c r="N223" s="25"/>
      <c r="O223" s="25"/>
      <c r="P223" s="25"/>
      <c r="Q223" s="25"/>
      <c r="R223" s="25"/>
      <c r="S223" s="25"/>
      <c r="T223" s="25"/>
      <c r="U223" s="25"/>
      <c r="V223" s="25"/>
      <c r="W223" s="25"/>
      <c r="X223" s="25"/>
      <c r="Y223" s="25"/>
      <c r="Z223" s="25"/>
      <c r="AA223" s="27"/>
    </row>
    <row r="224">
      <c r="A224" s="24"/>
      <c r="B224" s="25"/>
      <c r="C224" s="25"/>
      <c r="D224" s="25"/>
      <c r="E224" s="25"/>
      <c r="F224" s="25"/>
      <c r="G224" s="25"/>
      <c r="H224" s="28"/>
      <c r="I224" s="25"/>
      <c r="J224" s="25"/>
      <c r="K224" s="25"/>
      <c r="L224" s="25"/>
      <c r="M224" s="25"/>
      <c r="N224" s="25"/>
      <c r="O224" s="25"/>
      <c r="P224" s="25"/>
      <c r="Q224" s="25"/>
      <c r="R224" s="25"/>
      <c r="S224" s="25"/>
      <c r="T224" s="25"/>
      <c r="U224" s="25"/>
      <c r="V224" s="25"/>
      <c r="W224" s="25"/>
      <c r="X224" s="25"/>
      <c r="Y224" s="25"/>
      <c r="Z224" s="25"/>
      <c r="AA224" s="27"/>
    </row>
    <row r="225">
      <c r="A225" s="24"/>
      <c r="B225" s="25"/>
      <c r="C225" s="25"/>
      <c r="D225" s="25"/>
      <c r="E225" s="25"/>
      <c r="F225" s="25"/>
      <c r="G225" s="25"/>
      <c r="H225" s="28"/>
      <c r="I225" s="25"/>
      <c r="J225" s="25"/>
      <c r="K225" s="25"/>
      <c r="L225" s="25"/>
      <c r="M225" s="25"/>
      <c r="N225" s="25"/>
      <c r="O225" s="25"/>
      <c r="P225" s="25"/>
      <c r="Q225" s="25"/>
      <c r="R225" s="25"/>
      <c r="S225" s="25"/>
      <c r="T225" s="25"/>
      <c r="U225" s="25"/>
      <c r="V225" s="25"/>
      <c r="W225" s="25"/>
      <c r="X225" s="25"/>
      <c r="Y225" s="25"/>
      <c r="Z225" s="25"/>
      <c r="AA225" s="27"/>
    </row>
    <row r="226">
      <c r="A226" s="24"/>
      <c r="B226" s="25"/>
      <c r="C226" s="25"/>
      <c r="D226" s="25"/>
      <c r="E226" s="25"/>
      <c r="F226" s="25"/>
      <c r="G226" s="25"/>
      <c r="H226" s="28"/>
      <c r="I226" s="25"/>
      <c r="J226" s="25"/>
      <c r="K226" s="25"/>
      <c r="L226" s="25"/>
      <c r="M226" s="25"/>
      <c r="N226" s="25"/>
      <c r="O226" s="25"/>
      <c r="P226" s="25"/>
      <c r="Q226" s="25"/>
      <c r="R226" s="25"/>
      <c r="S226" s="25"/>
      <c r="T226" s="25"/>
      <c r="U226" s="25"/>
      <c r="V226" s="25"/>
      <c r="W226" s="25"/>
      <c r="X226" s="25"/>
      <c r="Y226" s="25"/>
      <c r="Z226" s="25"/>
      <c r="AA226" s="27"/>
    </row>
    <row r="227">
      <c r="A227" s="24"/>
      <c r="B227" s="25"/>
      <c r="C227" s="25"/>
      <c r="D227" s="25"/>
      <c r="E227" s="25"/>
      <c r="F227" s="25"/>
      <c r="G227" s="25"/>
      <c r="H227" s="28"/>
      <c r="I227" s="25"/>
      <c r="J227" s="25"/>
      <c r="K227" s="25"/>
      <c r="L227" s="25"/>
      <c r="M227" s="25"/>
      <c r="N227" s="25"/>
      <c r="O227" s="25"/>
      <c r="P227" s="25"/>
      <c r="Q227" s="25"/>
      <c r="R227" s="25"/>
      <c r="S227" s="25"/>
      <c r="T227" s="25"/>
      <c r="U227" s="25"/>
      <c r="V227" s="25"/>
      <c r="W227" s="25"/>
      <c r="X227" s="25"/>
      <c r="Y227" s="25"/>
      <c r="Z227" s="25"/>
      <c r="AA227" s="27"/>
    </row>
    <row r="228">
      <c r="A228" s="24"/>
      <c r="B228" s="25"/>
      <c r="C228" s="25"/>
      <c r="D228" s="25"/>
      <c r="E228" s="25"/>
      <c r="F228" s="25"/>
      <c r="G228" s="25"/>
      <c r="H228" s="28"/>
      <c r="I228" s="25"/>
      <c r="J228" s="25"/>
      <c r="K228" s="25"/>
      <c r="L228" s="25"/>
      <c r="M228" s="25"/>
      <c r="N228" s="25"/>
      <c r="O228" s="25"/>
      <c r="P228" s="25"/>
      <c r="Q228" s="25"/>
      <c r="R228" s="25"/>
      <c r="S228" s="25"/>
      <c r="T228" s="25"/>
      <c r="U228" s="25"/>
      <c r="V228" s="25"/>
      <c r="W228" s="25"/>
      <c r="X228" s="25"/>
      <c r="Y228" s="25"/>
      <c r="Z228" s="25"/>
      <c r="AA228" s="27"/>
    </row>
    <row r="229">
      <c r="A229" s="24"/>
      <c r="B229" s="25"/>
      <c r="C229" s="25"/>
      <c r="D229" s="25"/>
      <c r="E229" s="25"/>
      <c r="F229" s="25"/>
      <c r="G229" s="25"/>
      <c r="H229" s="28"/>
      <c r="I229" s="25"/>
      <c r="J229" s="25"/>
      <c r="K229" s="25"/>
      <c r="L229" s="25"/>
      <c r="M229" s="25"/>
      <c r="N229" s="25"/>
      <c r="O229" s="25"/>
      <c r="P229" s="25"/>
      <c r="Q229" s="25"/>
      <c r="R229" s="25"/>
      <c r="S229" s="25"/>
      <c r="T229" s="25"/>
      <c r="U229" s="25"/>
      <c r="V229" s="25"/>
      <c r="W229" s="25"/>
      <c r="X229" s="25"/>
      <c r="Y229" s="25"/>
      <c r="Z229" s="25"/>
      <c r="AA229" s="27"/>
    </row>
    <row r="230">
      <c r="A230" s="24"/>
      <c r="B230" s="25"/>
      <c r="C230" s="25"/>
      <c r="D230" s="25"/>
      <c r="E230" s="25"/>
      <c r="F230" s="25"/>
      <c r="G230" s="25"/>
      <c r="H230" s="28"/>
      <c r="I230" s="25"/>
      <c r="J230" s="25"/>
      <c r="K230" s="25"/>
      <c r="L230" s="25"/>
      <c r="M230" s="25"/>
      <c r="N230" s="25"/>
      <c r="O230" s="25"/>
      <c r="P230" s="25"/>
      <c r="Q230" s="25"/>
      <c r="R230" s="25"/>
      <c r="S230" s="25"/>
      <c r="T230" s="25"/>
      <c r="U230" s="25"/>
      <c r="V230" s="25"/>
      <c r="W230" s="25"/>
      <c r="X230" s="25"/>
      <c r="Y230" s="25"/>
      <c r="Z230" s="25"/>
      <c r="AA230" s="27"/>
    </row>
    <row r="231">
      <c r="A231" s="24"/>
      <c r="B231" s="25"/>
      <c r="C231" s="25"/>
      <c r="D231" s="25"/>
      <c r="E231" s="25"/>
      <c r="F231" s="25"/>
      <c r="G231" s="25"/>
      <c r="H231" s="28"/>
      <c r="I231" s="25"/>
      <c r="J231" s="25"/>
      <c r="K231" s="25"/>
      <c r="L231" s="25"/>
      <c r="M231" s="25"/>
      <c r="N231" s="25"/>
      <c r="O231" s="25"/>
      <c r="P231" s="25"/>
      <c r="Q231" s="25"/>
      <c r="R231" s="25"/>
      <c r="S231" s="25"/>
      <c r="T231" s="25"/>
      <c r="U231" s="25"/>
      <c r="V231" s="25"/>
      <c r="W231" s="25"/>
      <c r="X231" s="25"/>
      <c r="Y231" s="25"/>
      <c r="Z231" s="25"/>
      <c r="AA231" s="27"/>
    </row>
    <row r="232">
      <c r="A232" s="24"/>
      <c r="B232" s="25"/>
      <c r="C232" s="25"/>
      <c r="D232" s="25"/>
      <c r="E232" s="25"/>
      <c r="F232" s="25"/>
      <c r="G232" s="25"/>
      <c r="H232" s="28"/>
      <c r="I232" s="25"/>
      <c r="J232" s="25"/>
      <c r="K232" s="25"/>
      <c r="L232" s="25"/>
      <c r="M232" s="25"/>
      <c r="N232" s="25"/>
      <c r="O232" s="25"/>
      <c r="P232" s="25"/>
      <c r="Q232" s="25"/>
      <c r="R232" s="25"/>
      <c r="S232" s="25"/>
      <c r="T232" s="25"/>
      <c r="U232" s="25"/>
      <c r="V232" s="25"/>
      <c r="W232" s="25"/>
      <c r="X232" s="25"/>
      <c r="Y232" s="25"/>
      <c r="Z232" s="25"/>
      <c r="AA232" s="27"/>
    </row>
    <row r="233">
      <c r="A233" s="24"/>
      <c r="B233" s="25"/>
      <c r="C233" s="25"/>
      <c r="D233" s="25"/>
      <c r="E233" s="25"/>
      <c r="F233" s="25"/>
      <c r="G233" s="25"/>
      <c r="H233" s="28"/>
      <c r="I233" s="25"/>
      <c r="J233" s="25"/>
      <c r="K233" s="25"/>
      <c r="L233" s="25"/>
      <c r="M233" s="25"/>
      <c r="N233" s="25"/>
      <c r="O233" s="25"/>
      <c r="P233" s="25"/>
      <c r="Q233" s="25"/>
      <c r="R233" s="25"/>
      <c r="S233" s="25"/>
      <c r="T233" s="25"/>
      <c r="U233" s="25"/>
      <c r="V233" s="25"/>
      <c r="W233" s="25"/>
      <c r="X233" s="25"/>
      <c r="Y233" s="25"/>
      <c r="Z233" s="25"/>
      <c r="AA233" s="27"/>
    </row>
    <row r="234">
      <c r="A234" s="24"/>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4"/>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4"/>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4"/>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4"/>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4"/>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4"/>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4"/>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4"/>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4"/>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4"/>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4"/>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4"/>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4"/>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4"/>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4"/>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4"/>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4"/>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4"/>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4"/>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4"/>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4"/>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4"/>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4"/>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4"/>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4"/>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4"/>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4"/>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4"/>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4"/>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4"/>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4"/>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4"/>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4"/>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4"/>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4"/>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4"/>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4"/>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4"/>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4"/>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4"/>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4"/>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4"/>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4"/>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4"/>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4"/>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4"/>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4"/>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4"/>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4"/>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4"/>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4"/>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4"/>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4"/>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4"/>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4"/>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4"/>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4"/>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4"/>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4"/>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4"/>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4"/>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4"/>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4"/>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4"/>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4"/>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4"/>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4"/>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4"/>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4"/>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4"/>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4"/>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4"/>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4"/>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4"/>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4"/>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4"/>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4"/>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4"/>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4"/>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4"/>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4"/>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4"/>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4"/>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4"/>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4"/>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4"/>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4"/>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4"/>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4"/>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4"/>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4"/>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4"/>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4"/>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4"/>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4"/>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4"/>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4"/>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4"/>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4"/>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4"/>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4"/>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4"/>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4"/>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4"/>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4"/>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4"/>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4"/>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4"/>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4"/>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4"/>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4"/>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4"/>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4"/>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4"/>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4"/>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4"/>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4"/>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4"/>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4"/>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4"/>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4"/>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4"/>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4"/>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4"/>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4"/>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4"/>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4"/>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4"/>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4"/>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4"/>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4"/>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4"/>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4"/>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4"/>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4"/>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4"/>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4"/>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4"/>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4"/>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4"/>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4"/>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4"/>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4"/>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4"/>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4"/>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4"/>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4"/>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4"/>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4"/>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4"/>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4"/>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4"/>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4"/>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4"/>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4"/>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4"/>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4"/>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4"/>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4"/>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4"/>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4"/>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4"/>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4"/>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4"/>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4"/>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4"/>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4"/>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4"/>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4"/>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4"/>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4"/>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4"/>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4"/>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4"/>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4"/>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4"/>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4"/>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4"/>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4"/>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4"/>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4"/>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4"/>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4"/>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4"/>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4"/>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4"/>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4"/>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4"/>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4"/>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4"/>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4"/>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4"/>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4"/>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4"/>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4"/>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4"/>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4"/>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4"/>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4"/>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4"/>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4"/>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4"/>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4"/>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4"/>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4"/>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4"/>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4"/>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4"/>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4"/>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4"/>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4"/>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4"/>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4"/>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4"/>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4"/>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4"/>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4"/>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4"/>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4"/>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4"/>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4"/>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4"/>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4"/>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4"/>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4"/>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4"/>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4"/>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4"/>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4"/>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4"/>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4"/>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4"/>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4"/>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4"/>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4"/>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4"/>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4"/>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4"/>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4"/>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4"/>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4"/>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4"/>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4"/>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4"/>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4"/>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4"/>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4"/>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4"/>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4"/>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4"/>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4"/>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4"/>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4"/>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4"/>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4"/>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4"/>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4"/>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4"/>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4"/>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4"/>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4"/>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4"/>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4"/>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4"/>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4"/>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4"/>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4"/>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4"/>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4"/>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4"/>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4"/>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4"/>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4"/>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4"/>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4"/>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4"/>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4"/>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4"/>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4"/>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4"/>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4"/>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4"/>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4"/>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4"/>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4"/>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4"/>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4"/>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4"/>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4"/>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4"/>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4"/>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4"/>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4"/>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4"/>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4"/>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4"/>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4"/>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4"/>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4"/>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4"/>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4"/>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4"/>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4"/>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4"/>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4"/>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4"/>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4"/>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4"/>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4"/>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4"/>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4"/>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4"/>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4"/>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4"/>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4"/>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4"/>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4"/>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4"/>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4"/>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4"/>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4"/>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4"/>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4"/>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4"/>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4"/>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4"/>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4"/>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4"/>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4"/>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4"/>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4"/>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4"/>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4"/>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4"/>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4"/>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4"/>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4"/>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4"/>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4"/>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4"/>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4"/>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4"/>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4"/>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4"/>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4"/>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4"/>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4"/>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4"/>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4"/>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4"/>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4"/>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4"/>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4"/>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4"/>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4"/>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4"/>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4"/>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4"/>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4"/>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4"/>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4"/>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4"/>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4"/>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4"/>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4"/>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4"/>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4"/>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4"/>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4"/>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4"/>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4"/>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4"/>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4"/>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4"/>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4"/>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4"/>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4"/>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4"/>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4"/>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4"/>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4"/>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4"/>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4"/>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4"/>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4"/>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4"/>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4"/>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4"/>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4"/>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4"/>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4"/>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4"/>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4"/>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4"/>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4"/>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4"/>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4"/>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4"/>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4"/>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4"/>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4"/>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4"/>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4"/>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4"/>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4"/>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4"/>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4"/>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4"/>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4"/>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4"/>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4"/>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4"/>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4"/>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4"/>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4"/>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4"/>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4"/>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4"/>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4"/>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4"/>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4"/>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4"/>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4"/>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4"/>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4"/>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4"/>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4"/>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4"/>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4"/>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4"/>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4"/>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4"/>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4"/>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4"/>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4"/>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4"/>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4"/>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4"/>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4"/>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4"/>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4"/>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4"/>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4"/>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4"/>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4"/>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4"/>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4"/>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4"/>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4"/>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4"/>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4"/>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4"/>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4"/>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4"/>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4"/>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4"/>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4"/>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4"/>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4"/>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4"/>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4"/>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4"/>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4"/>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4"/>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4"/>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4"/>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4"/>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4"/>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4"/>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4"/>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4"/>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4"/>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4"/>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4"/>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4"/>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4"/>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4"/>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4"/>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4"/>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4"/>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4"/>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4"/>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4"/>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4"/>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4"/>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4"/>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4"/>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4"/>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4"/>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4"/>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4"/>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4"/>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4"/>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4"/>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4"/>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4"/>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4"/>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4"/>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4"/>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4"/>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4"/>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4"/>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4"/>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4"/>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4"/>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4"/>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4"/>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4"/>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4"/>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4"/>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4"/>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4"/>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4"/>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4"/>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4"/>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4"/>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4"/>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4"/>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4"/>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4"/>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4"/>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4"/>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4"/>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4"/>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4"/>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4"/>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4"/>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4"/>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4"/>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4"/>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4"/>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4"/>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4"/>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4"/>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4"/>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4"/>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4"/>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4"/>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4"/>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4"/>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4"/>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4"/>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4"/>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4"/>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4"/>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4"/>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4"/>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4"/>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4"/>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4"/>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4"/>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4"/>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4"/>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4"/>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4"/>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4"/>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4"/>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4"/>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4"/>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4"/>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4"/>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4"/>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4"/>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4"/>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4"/>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4"/>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4"/>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4"/>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4"/>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4"/>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4"/>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4"/>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4"/>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4"/>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4"/>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4"/>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4"/>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4"/>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4"/>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4"/>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4"/>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4"/>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4"/>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4"/>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4"/>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4"/>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4"/>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4"/>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4"/>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4"/>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4"/>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4"/>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4"/>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4"/>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4"/>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4"/>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4"/>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4"/>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4"/>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4"/>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4"/>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4"/>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4"/>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4"/>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4"/>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4"/>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4"/>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4"/>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4"/>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4"/>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4"/>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4"/>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4"/>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4"/>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4"/>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4"/>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4"/>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4"/>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4"/>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4"/>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4"/>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4"/>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4"/>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4"/>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4"/>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4"/>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4"/>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4"/>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4"/>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4"/>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4"/>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4"/>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4"/>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4"/>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4"/>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4"/>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4"/>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4"/>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4"/>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4"/>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4"/>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4"/>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4"/>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4"/>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4"/>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4"/>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4"/>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4"/>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4"/>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4"/>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4"/>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4"/>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4"/>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4"/>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4"/>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4"/>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4"/>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4"/>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4"/>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4"/>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4"/>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4"/>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4"/>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4"/>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4"/>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4"/>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4"/>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4"/>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4"/>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4"/>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4"/>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4"/>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4"/>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4"/>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4"/>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4"/>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4"/>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4"/>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4"/>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4"/>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4"/>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4"/>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4"/>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4"/>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4"/>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4"/>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4"/>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4"/>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4"/>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4"/>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4"/>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4"/>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4"/>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4"/>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4"/>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4"/>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4"/>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4"/>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4"/>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4"/>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4"/>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4"/>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4"/>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4"/>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4"/>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4"/>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4"/>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4"/>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4"/>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4"/>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4"/>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4"/>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4"/>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4"/>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4"/>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4"/>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4"/>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4"/>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4"/>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4"/>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4"/>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4"/>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4"/>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4"/>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4"/>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4"/>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4"/>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4"/>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4"/>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4"/>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4"/>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4"/>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4"/>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4"/>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4"/>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4"/>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4"/>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4"/>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4"/>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4"/>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4"/>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4"/>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4"/>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4"/>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4"/>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4"/>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4"/>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4"/>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4"/>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4"/>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4"/>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4"/>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4"/>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4"/>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4"/>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4"/>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4"/>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4"/>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4"/>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4"/>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4"/>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4"/>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sheetData>
  <mergeCells count="10">
    <mergeCell ref="G34:I34"/>
    <mergeCell ref="G35:I35"/>
    <mergeCell ref="G36:I36"/>
    <mergeCell ref="C1:H1"/>
    <mergeCell ref="B7:B12"/>
    <mergeCell ref="C7:C12"/>
    <mergeCell ref="D7:D12"/>
    <mergeCell ref="E7:E12"/>
    <mergeCell ref="G32:I32"/>
    <mergeCell ref="G33:I33"/>
  </mergeCells>
  <dataValidations>
    <dataValidation type="list" allowBlank="1" showErrorMessage="1" sqref="H6:H12 H14:H27">
      <formula1>"Thêm mới,Cập nhật"</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75"/>
    <col customWidth="1" min="2" max="2" width="29.13"/>
    <col customWidth="1" min="3" max="3" width="50.75"/>
    <col customWidth="1" min="4" max="4" width="30.88"/>
    <col customWidth="1" min="5" max="5" width="52.0"/>
    <col customWidth="1" min="6" max="6" width="13.63"/>
    <col customWidth="1" min="7" max="7" width="14.25"/>
    <col customWidth="1" min="8" max="11" width="6.63"/>
    <col customWidth="1" min="12" max="26" width="14.38"/>
  </cols>
  <sheetData>
    <row r="1" ht="15.75" customHeight="1">
      <c r="A1" s="100"/>
      <c r="B1" s="101"/>
      <c r="C1" s="11"/>
      <c r="D1" s="11"/>
      <c r="E1" s="11"/>
      <c r="F1" s="102"/>
      <c r="G1" s="102"/>
      <c r="H1" s="102"/>
      <c r="I1" s="102"/>
      <c r="J1" s="102"/>
      <c r="K1" s="102"/>
      <c r="L1" s="100"/>
      <c r="M1" s="100"/>
      <c r="N1" s="100"/>
      <c r="O1" s="100"/>
      <c r="P1" s="100"/>
      <c r="Q1" s="100"/>
      <c r="R1" s="100"/>
      <c r="S1" s="100"/>
      <c r="T1" s="100"/>
      <c r="U1" s="100"/>
      <c r="V1" s="100"/>
      <c r="W1" s="100"/>
      <c r="X1" s="100"/>
      <c r="Y1" s="100"/>
      <c r="Z1" s="100"/>
    </row>
    <row r="2" ht="15.75" customHeight="1">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row>
    <row r="3" ht="34.5" customHeight="1">
      <c r="A3" s="100"/>
      <c r="B3" s="103" t="s">
        <v>50</v>
      </c>
      <c r="C3" s="104"/>
      <c r="D3" s="104"/>
      <c r="E3" s="105"/>
      <c r="F3" s="100"/>
      <c r="G3" s="100"/>
      <c r="H3" s="100"/>
      <c r="I3" s="100"/>
      <c r="J3" s="100"/>
      <c r="K3" s="100"/>
      <c r="L3" s="100"/>
      <c r="M3" s="100"/>
      <c r="N3" s="100"/>
      <c r="O3" s="100"/>
      <c r="P3" s="100"/>
      <c r="Q3" s="100"/>
      <c r="R3" s="100"/>
      <c r="S3" s="100"/>
      <c r="T3" s="100"/>
      <c r="U3" s="100"/>
      <c r="V3" s="100"/>
      <c r="W3" s="100"/>
      <c r="X3" s="100"/>
      <c r="Y3" s="100"/>
      <c r="Z3" s="100"/>
    </row>
    <row r="4" ht="34.5" customHeight="1">
      <c r="A4" s="100"/>
      <c r="B4" s="106" t="s">
        <v>51</v>
      </c>
      <c r="E4" s="107"/>
      <c r="F4" s="100"/>
      <c r="G4" s="100"/>
      <c r="H4" s="100"/>
      <c r="I4" s="100"/>
      <c r="J4" s="100"/>
      <c r="K4" s="100"/>
      <c r="L4" s="100"/>
      <c r="M4" s="100"/>
      <c r="N4" s="100"/>
      <c r="O4" s="100"/>
      <c r="P4" s="100"/>
      <c r="Q4" s="100"/>
      <c r="R4" s="100"/>
      <c r="S4" s="100"/>
      <c r="T4" s="100"/>
      <c r="U4" s="100"/>
      <c r="V4" s="100"/>
      <c r="W4" s="100"/>
      <c r="X4" s="100"/>
      <c r="Y4" s="100"/>
      <c r="Z4" s="100"/>
    </row>
    <row r="5" ht="34.5" customHeight="1">
      <c r="A5" s="100"/>
      <c r="B5" s="108" t="s">
        <v>52</v>
      </c>
      <c r="E5" s="107"/>
      <c r="F5" s="100"/>
      <c r="G5" s="100"/>
      <c r="H5" s="100"/>
      <c r="I5" s="100"/>
      <c r="J5" s="100"/>
      <c r="K5" s="100"/>
      <c r="L5" s="100"/>
      <c r="M5" s="100"/>
      <c r="N5" s="100"/>
      <c r="O5" s="100"/>
      <c r="P5" s="100"/>
      <c r="Q5" s="100"/>
      <c r="R5" s="100"/>
      <c r="S5" s="100"/>
      <c r="T5" s="100"/>
      <c r="U5" s="100"/>
      <c r="V5" s="100"/>
      <c r="W5" s="100"/>
      <c r="X5" s="100"/>
      <c r="Y5" s="100"/>
      <c r="Z5" s="100"/>
    </row>
    <row r="6" ht="34.5" customHeight="1">
      <c r="A6" s="100"/>
      <c r="B6" s="108" t="s">
        <v>53</v>
      </c>
      <c r="E6" s="107"/>
      <c r="F6" s="100"/>
      <c r="G6" s="100"/>
      <c r="H6" s="100"/>
      <c r="I6" s="100"/>
      <c r="J6" s="100"/>
      <c r="K6" s="100"/>
      <c r="L6" s="100"/>
      <c r="M6" s="100"/>
      <c r="N6" s="100"/>
      <c r="O6" s="100"/>
      <c r="P6" s="100"/>
      <c r="Q6" s="100"/>
      <c r="R6" s="100"/>
      <c r="S6" s="100"/>
      <c r="T6" s="100"/>
      <c r="U6" s="100"/>
      <c r="V6" s="100"/>
      <c r="W6" s="100"/>
      <c r="X6" s="100"/>
      <c r="Y6" s="100"/>
      <c r="Z6" s="100"/>
    </row>
    <row r="7" ht="34.5" customHeight="1">
      <c r="A7" s="100"/>
      <c r="B7" s="109" t="s">
        <v>54</v>
      </c>
      <c r="E7" s="107"/>
      <c r="F7" s="100"/>
      <c r="G7" s="100"/>
      <c r="H7" s="100"/>
      <c r="I7" s="100"/>
      <c r="J7" s="100"/>
      <c r="K7" s="100"/>
      <c r="L7" s="100"/>
      <c r="M7" s="100"/>
      <c r="N7" s="100"/>
      <c r="O7" s="100"/>
      <c r="P7" s="100"/>
      <c r="Q7" s="100"/>
      <c r="R7" s="100"/>
      <c r="S7" s="100"/>
      <c r="T7" s="100"/>
      <c r="U7" s="100"/>
      <c r="V7" s="100"/>
      <c r="W7" s="100"/>
      <c r="X7" s="100"/>
      <c r="Y7" s="100"/>
      <c r="Z7" s="100"/>
    </row>
    <row r="8" ht="34.5" customHeight="1">
      <c r="A8" s="100"/>
      <c r="B8" s="110" t="s">
        <v>55</v>
      </c>
      <c r="E8" s="107"/>
      <c r="F8" s="100"/>
      <c r="G8" s="100"/>
      <c r="H8" s="100"/>
      <c r="I8" s="100"/>
      <c r="J8" s="100"/>
      <c r="K8" s="100"/>
      <c r="L8" s="100"/>
      <c r="M8" s="100"/>
      <c r="N8" s="100"/>
      <c r="O8" s="100"/>
      <c r="P8" s="100"/>
      <c r="Q8" s="100"/>
      <c r="R8" s="100"/>
      <c r="S8" s="100"/>
      <c r="T8" s="100"/>
      <c r="U8" s="100"/>
      <c r="V8" s="100"/>
      <c r="W8" s="100"/>
      <c r="X8" s="100"/>
      <c r="Y8" s="100"/>
      <c r="Z8" s="100"/>
    </row>
    <row r="9" ht="34.5" customHeight="1">
      <c r="A9" s="100"/>
      <c r="B9" s="111" t="s">
        <v>56</v>
      </c>
      <c r="E9" s="107"/>
      <c r="F9" s="100"/>
      <c r="G9" s="100"/>
      <c r="H9" s="100"/>
      <c r="I9" s="100"/>
      <c r="J9" s="100"/>
      <c r="K9" s="100"/>
      <c r="L9" s="100"/>
      <c r="M9" s="100"/>
      <c r="N9" s="100"/>
      <c r="O9" s="100"/>
      <c r="P9" s="100"/>
      <c r="Q9" s="100"/>
      <c r="R9" s="100"/>
      <c r="S9" s="100"/>
      <c r="T9" s="100"/>
      <c r="U9" s="100"/>
      <c r="V9" s="100"/>
      <c r="W9" s="100"/>
      <c r="X9" s="100"/>
      <c r="Y9" s="100"/>
      <c r="Z9" s="100"/>
    </row>
    <row r="10" ht="34.5" customHeight="1">
      <c r="A10" s="100"/>
      <c r="B10" s="112" t="s">
        <v>57</v>
      </c>
      <c r="E10" s="107"/>
      <c r="F10" s="100"/>
      <c r="G10" s="100"/>
      <c r="H10" s="100"/>
      <c r="I10" s="100"/>
      <c r="J10" s="100"/>
      <c r="K10" s="100"/>
      <c r="L10" s="100"/>
      <c r="M10" s="100"/>
      <c r="N10" s="100"/>
      <c r="O10" s="100"/>
      <c r="P10" s="100"/>
      <c r="Q10" s="100"/>
      <c r="R10" s="100"/>
      <c r="S10" s="100"/>
      <c r="T10" s="100"/>
      <c r="U10" s="100"/>
      <c r="V10" s="100"/>
      <c r="W10" s="100"/>
      <c r="X10" s="100"/>
      <c r="Y10" s="100"/>
      <c r="Z10" s="100"/>
    </row>
    <row r="11" ht="18.75" customHeight="1">
      <c r="A11" s="100"/>
      <c r="B11" s="113" t="s">
        <v>58</v>
      </c>
      <c r="C11" s="114"/>
      <c r="D11" s="114"/>
      <c r="E11" s="115"/>
      <c r="F11" s="100"/>
      <c r="G11" s="100"/>
      <c r="H11" s="100"/>
      <c r="I11" s="100"/>
      <c r="J11" s="100"/>
      <c r="K11" s="100"/>
      <c r="L11" s="100"/>
      <c r="M11" s="100"/>
      <c r="N11" s="100"/>
      <c r="O11" s="100"/>
      <c r="P11" s="100"/>
      <c r="Q11" s="100"/>
      <c r="R11" s="100"/>
      <c r="S11" s="100"/>
      <c r="T11" s="100"/>
      <c r="U11" s="100"/>
      <c r="V11" s="100"/>
      <c r="W11" s="100"/>
      <c r="X11" s="100"/>
      <c r="Y11" s="100"/>
      <c r="Z11" s="100"/>
    </row>
    <row r="12" ht="18.75" customHeight="1">
      <c r="A12" s="100"/>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ht="35.25" customHeight="1">
      <c r="A13" s="100"/>
      <c r="B13" s="116" t="s">
        <v>59</v>
      </c>
      <c r="F13" s="100"/>
      <c r="G13" s="100"/>
      <c r="H13" s="100"/>
      <c r="I13" s="100"/>
      <c r="J13" s="100"/>
      <c r="K13" s="100"/>
      <c r="L13" s="100"/>
      <c r="M13" s="100"/>
      <c r="N13" s="100"/>
      <c r="O13" s="100"/>
      <c r="P13" s="100"/>
      <c r="Q13" s="100"/>
      <c r="R13" s="100"/>
      <c r="S13" s="100"/>
      <c r="T13" s="100"/>
      <c r="U13" s="100"/>
      <c r="V13" s="100"/>
      <c r="W13" s="100"/>
      <c r="X13" s="100"/>
      <c r="Y13" s="100"/>
      <c r="Z13" s="100"/>
    </row>
    <row r="14" ht="15.75" customHeight="1">
      <c r="A14" s="100"/>
      <c r="B14" s="117"/>
      <c r="C14" s="117"/>
      <c r="D14" s="117"/>
      <c r="E14" s="117"/>
      <c r="F14" s="100"/>
      <c r="G14" s="100"/>
      <c r="H14" s="100"/>
      <c r="I14" s="100"/>
      <c r="J14" s="100"/>
      <c r="K14" s="100"/>
      <c r="L14" s="100"/>
      <c r="M14" s="100"/>
      <c r="N14" s="100"/>
      <c r="O14" s="100"/>
      <c r="P14" s="100"/>
      <c r="Q14" s="100"/>
      <c r="R14" s="100"/>
      <c r="S14" s="100"/>
      <c r="T14" s="100"/>
      <c r="U14" s="100"/>
      <c r="V14" s="100"/>
      <c r="W14" s="100"/>
      <c r="X14" s="100"/>
      <c r="Y14" s="100"/>
      <c r="Z14" s="100"/>
    </row>
    <row r="15" ht="30.0" customHeight="1">
      <c r="A15" s="118"/>
      <c r="B15" s="119" t="s">
        <v>60</v>
      </c>
      <c r="C15" s="120" t="s">
        <v>61</v>
      </c>
      <c r="D15" s="121"/>
      <c r="E15" s="122"/>
      <c r="F15" s="118"/>
      <c r="G15" s="118"/>
      <c r="H15" s="118"/>
      <c r="I15" s="118"/>
      <c r="J15" s="118"/>
      <c r="K15" s="118"/>
      <c r="L15" s="118"/>
      <c r="M15" s="118"/>
      <c r="N15" s="118"/>
      <c r="O15" s="118"/>
      <c r="P15" s="118"/>
      <c r="Q15" s="118"/>
      <c r="R15" s="118"/>
      <c r="S15" s="118"/>
      <c r="T15" s="118"/>
      <c r="U15" s="118"/>
      <c r="V15" s="118"/>
      <c r="W15" s="118"/>
      <c r="X15" s="118"/>
      <c r="Y15" s="118"/>
      <c r="Z15" s="118"/>
    </row>
    <row r="16" ht="45.0" customHeight="1">
      <c r="A16" s="100"/>
      <c r="B16" s="123" t="s">
        <v>62</v>
      </c>
      <c r="C16" s="124" t="s">
        <v>63</v>
      </c>
      <c r="D16" s="121"/>
      <c r="E16" s="122"/>
      <c r="F16" s="100"/>
      <c r="G16" s="100"/>
      <c r="H16" s="100"/>
      <c r="I16" s="100"/>
      <c r="J16" s="100"/>
      <c r="K16" s="100"/>
      <c r="L16" s="100"/>
      <c r="M16" s="100"/>
      <c r="N16" s="100"/>
      <c r="O16" s="100"/>
      <c r="P16" s="100"/>
      <c r="Q16" s="100"/>
      <c r="R16" s="100"/>
      <c r="S16" s="100"/>
      <c r="T16" s="100"/>
      <c r="U16" s="100"/>
      <c r="V16" s="100"/>
      <c r="W16" s="100"/>
      <c r="X16" s="100"/>
      <c r="Y16" s="100"/>
      <c r="Z16" s="100"/>
    </row>
    <row r="17" ht="45.0" customHeight="1">
      <c r="A17" s="100"/>
      <c r="B17" s="125" t="s">
        <v>64</v>
      </c>
      <c r="C17" s="124" t="s">
        <v>65</v>
      </c>
      <c r="D17" s="121"/>
      <c r="E17" s="122"/>
      <c r="F17" s="100"/>
      <c r="G17" s="100"/>
      <c r="H17" s="100"/>
      <c r="I17" s="100"/>
      <c r="J17" s="100"/>
      <c r="K17" s="100"/>
      <c r="L17" s="100"/>
      <c r="M17" s="100"/>
      <c r="N17" s="100"/>
      <c r="O17" s="100"/>
      <c r="P17" s="100"/>
      <c r="Q17" s="100"/>
      <c r="R17" s="100"/>
      <c r="S17" s="100"/>
      <c r="T17" s="100"/>
      <c r="U17" s="100"/>
      <c r="V17" s="100"/>
      <c r="W17" s="100"/>
      <c r="X17" s="100"/>
      <c r="Y17" s="100"/>
      <c r="Z17" s="100"/>
    </row>
    <row r="18" ht="45.0" customHeight="1">
      <c r="A18" s="100"/>
      <c r="B18" s="126" t="s">
        <v>66</v>
      </c>
      <c r="C18" s="124" t="s">
        <v>67</v>
      </c>
      <c r="D18" s="121"/>
      <c r="E18" s="122"/>
      <c r="F18" s="100"/>
      <c r="G18" s="100"/>
      <c r="H18" s="100"/>
      <c r="I18" s="100"/>
      <c r="J18" s="100"/>
      <c r="K18" s="100"/>
      <c r="L18" s="100"/>
      <c r="M18" s="100"/>
      <c r="N18" s="100"/>
      <c r="O18" s="100"/>
      <c r="P18" s="100"/>
      <c r="Q18" s="100"/>
      <c r="R18" s="100"/>
      <c r="S18" s="100"/>
      <c r="T18" s="100"/>
      <c r="U18" s="100"/>
      <c r="V18" s="100"/>
      <c r="W18" s="100"/>
      <c r="X18" s="100"/>
      <c r="Y18" s="100"/>
      <c r="Z18" s="100"/>
    </row>
    <row r="19" ht="45.0" customHeight="1">
      <c r="A19" s="100"/>
      <c r="B19" s="127" t="s">
        <v>68</v>
      </c>
      <c r="C19" s="124" t="s">
        <v>69</v>
      </c>
      <c r="D19" s="121"/>
      <c r="E19" s="122"/>
      <c r="F19" s="100"/>
      <c r="G19" s="100"/>
      <c r="H19" s="100"/>
      <c r="I19" s="100"/>
      <c r="J19" s="100"/>
      <c r="K19" s="100"/>
      <c r="L19" s="100"/>
      <c r="M19" s="100"/>
      <c r="N19" s="100"/>
      <c r="O19" s="100"/>
      <c r="P19" s="100"/>
      <c r="Q19" s="100"/>
      <c r="R19" s="100"/>
      <c r="S19" s="100"/>
      <c r="T19" s="100"/>
      <c r="U19" s="100"/>
      <c r="V19" s="100"/>
      <c r="W19" s="100"/>
      <c r="X19" s="100"/>
      <c r="Y19" s="100"/>
      <c r="Z19" s="100"/>
    </row>
    <row r="20" ht="45.0" customHeight="1">
      <c r="A20" s="100"/>
      <c r="B20" s="128" t="s">
        <v>70</v>
      </c>
      <c r="C20" s="129" t="s">
        <v>71</v>
      </c>
      <c r="D20" s="121"/>
      <c r="E20" s="122"/>
      <c r="F20" s="100"/>
      <c r="G20" s="100"/>
      <c r="H20" s="100"/>
      <c r="I20" s="100"/>
      <c r="J20" s="100"/>
      <c r="K20" s="100"/>
      <c r="L20" s="100"/>
      <c r="M20" s="100"/>
      <c r="N20" s="100"/>
      <c r="O20" s="100"/>
      <c r="P20" s="100"/>
      <c r="Q20" s="100"/>
      <c r="R20" s="100"/>
      <c r="S20" s="100"/>
      <c r="T20" s="100"/>
      <c r="U20" s="100"/>
      <c r="V20" s="100"/>
      <c r="W20" s="100"/>
      <c r="X20" s="100"/>
      <c r="Y20" s="100"/>
      <c r="Z20" s="100"/>
    </row>
    <row r="21" ht="15.75" customHeight="1">
      <c r="A21" s="100"/>
      <c r="B21" s="130"/>
      <c r="C21" s="13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ht="15.75" customHeight="1">
      <c r="A22" s="100"/>
      <c r="B22" s="130"/>
      <c r="C22" s="130"/>
      <c r="D22" s="100"/>
      <c r="E22" s="100"/>
      <c r="F22" s="100"/>
      <c r="G22" s="100"/>
      <c r="H22" s="100"/>
      <c r="I22" s="100"/>
      <c r="J22" s="100"/>
      <c r="K22" s="100"/>
      <c r="L22" s="100"/>
      <c r="M22" s="100"/>
      <c r="N22" s="100"/>
      <c r="O22" s="100"/>
      <c r="P22" s="100"/>
      <c r="Q22" s="100"/>
      <c r="R22" s="100"/>
      <c r="S22" s="100"/>
      <c r="T22" s="100"/>
      <c r="U22" s="100"/>
      <c r="V22" s="100"/>
      <c r="W22" s="100"/>
      <c r="X22" s="100"/>
      <c r="Y22" s="100"/>
      <c r="Z22" s="100"/>
    </row>
    <row r="23" ht="43.5" customHeight="1">
      <c r="A23" s="100"/>
      <c r="B23" s="116" t="s">
        <v>72</v>
      </c>
      <c r="F23" s="100"/>
      <c r="G23" s="100"/>
      <c r="H23" s="100"/>
      <c r="I23" s="100"/>
      <c r="J23" s="100"/>
      <c r="K23" s="100"/>
      <c r="L23" s="100"/>
      <c r="M23" s="100"/>
      <c r="N23" s="100"/>
      <c r="O23" s="100"/>
      <c r="P23" s="100"/>
      <c r="Q23" s="100"/>
      <c r="R23" s="100"/>
      <c r="S23" s="100"/>
      <c r="T23" s="100"/>
      <c r="U23" s="100"/>
      <c r="V23" s="100"/>
      <c r="W23" s="100"/>
      <c r="X23" s="100"/>
      <c r="Y23" s="100"/>
      <c r="Z23" s="100"/>
    </row>
    <row r="24" ht="15.75" customHeight="1">
      <c r="A24" s="100"/>
      <c r="B24" s="131"/>
      <c r="C24" s="131"/>
      <c r="D24" s="131"/>
      <c r="E24" s="131"/>
      <c r="F24" s="100"/>
      <c r="G24" s="100"/>
      <c r="H24" s="100"/>
      <c r="I24" s="100"/>
      <c r="J24" s="100"/>
      <c r="K24" s="100"/>
      <c r="L24" s="100"/>
      <c r="M24" s="100"/>
      <c r="N24" s="100"/>
      <c r="O24" s="100"/>
      <c r="P24" s="100"/>
      <c r="Q24" s="100"/>
      <c r="R24" s="100"/>
      <c r="S24" s="100"/>
      <c r="T24" s="100"/>
      <c r="U24" s="100"/>
      <c r="V24" s="100"/>
      <c r="W24" s="100"/>
      <c r="X24" s="100"/>
      <c r="Y24" s="100"/>
      <c r="Z24" s="100"/>
    </row>
    <row r="25" ht="30.0" customHeight="1">
      <c r="A25" s="118"/>
      <c r="B25" s="119" t="s">
        <v>60</v>
      </c>
      <c r="C25" s="120" t="s">
        <v>61</v>
      </c>
      <c r="D25" s="121"/>
      <c r="E25" s="122"/>
      <c r="F25" s="118"/>
      <c r="G25" s="118"/>
      <c r="H25" s="118"/>
      <c r="I25" s="118"/>
      <c r="J25" s="118"/>
      <c r="K25" s="118"/>
      <c r="L25" s="118"/>
      <c r="M25" s="118"/>
      <c r="N25" s="118"/>
      <c r="O25" s="118"/>
      <c r="P25" s="118"/>
      <c r="Q25" s="118"/>
      <c r="R25" s="118"/>
      <c r="S25" s="118"/>
      <c r="T25" s="118"/>
      <c r="U25" s="118"/>
      <c r="V25" s="118"/>
      <c r="W25" s="118"/>
      <c r="X25" s="118"/>
      <c r="Y25" s="118"/>
      <c r="Z25" s="118"/>
    </row>
    <row r="26" ht="57.0" customHeight="1">
      <c r="A26" s="100"/>
      <c r="B26" s="132" t="s">
        <v>73</v>
      </c>
      <c r="C26" s="129" t="s">
        <v>74</v>
      </c>
      <c r="D26" s="121"/>
      <c r="E26" s="122"/>
      <c r="F26" s="100"/>
      <c r="G26" s="100"/>
      <c r="H26" s="100"/>
      <c r="I26" s="100"/>
      <c r="J26" s="100"/>
      <c r="K26" s="100"/>
      <c r="L26" s="100"/>
      <c r="M26" s="100"/>
      <c r="N26" s="100"/>
      <c r="O26" s="100"/>
      <c r="P26" s="100"/>
      <c r="Q26" s="100"/>
      <c r="R26" s="100"/>
      <c r="S26" s="100"/>
      <c r="T26" s="100"/>
      <c r="U26" s="100"/>
      <c r="V26" s="100"/>
      <c r="W26" s="100"/>
      <c r="X26" s="100"/>
      <c r="Y26" s="100"/>
      <c r="Z26" s="100"/>
    </row>
    <row r="27" ht="38.25" customHeight="1">
      <c r="A27" s="100"/>
      <c r="B27" s="132" t="s">
        <v>75</v>
      </c>
      <c r="C27" s="129" t="s">
        <v>76</v>
      </c>
      <c r="D27" s="121"/>
      <c r="E27" s="122"/>
      <c r="F27" s="100"/>
      <c r="G27" s="100"/>
      <c r="H27" s="100"/>
      <c r="I27" s="100"/>
      <c r="J27" s="100"/>
      <c r="K27" s="100"/>
      <c r="L27" s="100"/>
      <c r="M27" s="100"/>
      <c r="N27" s="100"/>
      <c r="O27" s="100"/>
      <c r="P27" s="100"/>
      <c r="Q27" s="100"/>
      <c r="R27" s="100"/>
      <c r="S27" s="100"/>
      <c r="T27" s="100"/>
      <c r="U27" s="100"/>
      <c r="V27" s="100"/>
      <c r="W27" s="100"/>
      <c r="X27" s="100"/>
      <c r="Y27" s="100"/>
      <c r="Z27" s="100"/>
    </row>
    <row r="28" ht="67.5" customHeight="1">
      <c r="A28" s="100"/>
      <c r="B28" s="132" t="s">
        <v>77</v>
      </c>
      <c r="C28" s="129" t="s">
        <v>78</v>
      </c>
      <c r="D28" s="121"/>
      <c r="E28" s="122"/>
      <c r="F28" s="100"/>
      <c r="G28" s="100"/>
      <c r="H28" s="100"/>
      <c r="I28" s="100"/>
      <c r="J28" s="100"/>
      <c r="K28" s="100"/>
      <c r="L28" s="100"/>
      <c r="M28" s="100"/>
      <c r="N28" s="100"/>
      <c r="O28" s="100"/>
      <c r="P28" s="100"/>
      <c r="Q28" s="100"/>
      <c r="R28" s="100"/>
      <c r="S28" s="100"/>
      <c r="T28" s="100"/>
      <c r="U28" s="100"/>
      <c r="V28" s="100"/>
      <c r="W28" s="100"/>
      <c r="X28" s="100"/>
      <c r="Y28" s="100"/>
      <c r="Z28" s="100"/>
    </row>
    <row r="29" ht="15.75" customHeight="1">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ht="15.75" customHeight="1">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ht="15.75" customHeight="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ht="15.75" customHeight="1">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ht="15.75" customHeight="1">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ht="15.75" customHeight="1">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ht="15.75" customHeight="1">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ht="15.75" customHeight="1">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ht="15.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ht="15.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ht="15.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ht="15.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ht="15.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ht="15.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ht="15.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ht="15.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ht="15.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ht="15.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ht="15.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ht="15.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ht="15.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ht="15.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ht="15.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ht="15.75" customHeight="1">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ht="15.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ht="15.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ht="15.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ht="15.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ht="15.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ht="15.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ht="15.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ht="15.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ht="15.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ht="15.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ht="15.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ht="15.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ht="15.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ht="15.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ht="15.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ht="15.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ht="15.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ht="15.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ht="15.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ht="15.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ht="15.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ht="15.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15.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5.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15.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15.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15.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15.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15.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15.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15.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15.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15.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15.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15.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15.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15.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15.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15.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15.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15.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15.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5.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ht="15.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15.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15.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15.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15.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15.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15.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15.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15.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15.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15.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15.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15.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15.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15.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15.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15.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15.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15.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15.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15.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15.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15.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15.7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ht="15.7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ht="15.7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ht="15.7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ht="15.7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ht="15.7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ht="15.7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ht="15.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ht="15.7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ht="15.7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ht="15.75"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ht="15.75"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ht="15.75"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ht="15.75"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ht="15.75"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ht="15.7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ht="15.7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ht="15.7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ht="15.7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ht="15.7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ht="15.7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ht="15.7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ht="15.7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ht="15.7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ht="15.7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ht="15.7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ht="15.7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ht="15.7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ht="15.7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ht="15.7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ht="15.7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ht="15.7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ht="15.7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ht="15.7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ht="15.7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ht="15.7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ht="15.7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ht="15.7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ht="15.7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ht="15.7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ht="15.7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ht="15.7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ht="15.7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ht="15.7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ht="15.7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ht="15.7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ht="15.7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ht="15.7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ht="15.7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ht="15.75"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ht="15.75"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ht="15.75"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ht="15.75"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ht="15.75"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ht="15.75" customHeight="1">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ht="15.75" customHeight="1">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ht="15.75" customHeight="1">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ht="15.75" customHeight="1">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ht="15.75" customHeight="1">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ht="15.75" customHeight="1">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ht="15.75" customHeight="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ht="15.75" customHeight="1">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ht="15.75" customHeight="1">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ht="15.75" customHeight="1">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ht="15.75" customHeight="1">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ht="15.75" customHeight="1">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ht="15.75" customHeight="1">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ht="15.75" customHeight="1">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ht="15.75" customHeight="1">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ht="15.75" customHeight="1">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ht="15.75" customHeight="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ht="15.75" customHeight="1">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ht="15.75" customHeight="1">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ht="15.75" customHeight="1">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ht="15.75" customHeight="1">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ht="15.75" customHeight="1">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ht="15.75" customHeight="1">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ht="15.75"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ht="15.75"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ht="15.75"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ht="15.75" customHeight="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ht="15.75" customHeight="1">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ht="15.75"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15.75"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15.75"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15.75"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15.75"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15.7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15.7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15.7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15.75"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15.75"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15.75"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15.75"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15.75"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15.75"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15.75"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15.75"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15.75"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15.75"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15.75"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15.75"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15.75"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15.75"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15.75"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15.75"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15.75"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15.75"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15.75"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15.75"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15.75"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15.75"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15.75"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15.75"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15.75"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15.75"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15.75"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15.75"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15.75"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15.75"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15.75"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15.75"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15.75"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15.75"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15.75"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15.75"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15.75"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15.75"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15.75"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15.75"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15.75"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15.75"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15.75"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15.75"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15.75"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15.75"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15.75"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15.75"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15.75"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15.75"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15.75"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15.75"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15.75"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15.75"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15.75"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15.75"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15.75"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15.75"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15.75"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15.75"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15.75"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15.75"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15.75"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15.75"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15.75"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15.75"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15.75"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15.75"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15.75"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15.75"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15.75"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15.75"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15.75"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15.75"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15.75"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15.75"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15.75"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15.75"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15.75" customHeight="1">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ht="15.75" customHeight="1">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ht="15.75" customHeight="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ht="15.75" customHeight="1">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ht="15.75" customHeight="1">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ht="15.75" customHeight="1">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ht="15.75" customHeight="1">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ht="15.75" customHeight="1">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ht="15.75" customHeight="1">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ht="15.75" customHeight="1">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ht="15.75" customHeight="1">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ht="15.75" customHeight="1">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ht="15.75" customHeight="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ht="15.75" customHeight="1">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ht="15.75" customHeight="1">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ht="15.75" customHeight="1">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ht="15.75" customHeight="1">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ht="15.75" customHeight="1">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ht="15.75" customHeight="1">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ht="15.75" customHeight="1">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ht="15.75" customHeight="1">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ht="15.75" customHeight="1">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ht="15.75" customHeight="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ht="15.75" customHeight="1">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ht="15.75" customHeight="1">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ht="15.75" customHeight="1">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ht="15.75" customHeight="1">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ht="15.75" customHeight="1">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ht="15.75" customHeight="1">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ht="15.75" customHeight="1">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ht="15.75" customHeight="1">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ht="15.75" customHeight="1">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ht="15.75" customHeight="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ht="15.75" customHeight="1">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ht="15.75" customHeight="1">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ht="15.75" customHeight="1">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ht="15.75" customHeight="1">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ht="15.75" customHeight="1">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ht="15.75" customHeight="1">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ht="15.75" customHeight="1">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ht="15.75" customHeight="1">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ht="15.75" customHeight="1">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ht="15.75" customHeight="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ht="15.75" customHeight="1">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ht="15.75" customHeight="1">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ht="15.75" customHeight="1">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ht="15.75" customHeight="1">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ht="15.75" customHeight="1">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ht="15.75" customHeight="1">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ht="15.75" customHeight="1">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ht="15.75" customHeight="1">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ht="15.75" customHeight="1">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ht="15.75" customHeight="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ht="15.75" customHeight="1">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ht="15.75" customHeight="1">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ht="15.75" customHeight="1">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ht="15.75" customHeight="1">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ht="15.75" customHeight="1">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ht="15.75" customHeight="1">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ht="15.75" customHeight="1">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ht="15.75"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ht="15.75" customHeight="1">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ht="15.75" customHeight="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ht="15.75" customHeight="1">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ht="15.75" customHeight="1">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ht="15.75" customHeight="1">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ht="15.75" customHeight="1">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ht="15.75" customHeight="1">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ht="15.75" customHeight="1">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ht="15.75" customHeight="1">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ht="15.75" customHeight="1">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ht="15.75" customHeight="1">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ht="15.75" customHeight="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ht="15.75" customHeight="1">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ht="15.75" customHeight="1">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ht="15.75" customHeight="1">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ht="15.75" customHeight="1">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ht="15.75" customHeight="1">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ht="15.75" customHeight="1">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ht="15.75" customHeight="1">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ht="15.75" customHeight="1">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ht="15.75" customHeight="1">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ht="15.75" customHeight="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ht="15.75" customHeight="1">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ht="15.75" customHeight="1">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ht="15.75" customHeight="1">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ht="15.75" customHeight="1">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ht="15.75"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ht="15.75" customHeight="1">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ht="15.75" customHeight="1">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ht="15.75" customHeight="1">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ht="15.75" customHeight="1">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ht="15.75" customHeight="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ht="15.75" customHeight="1">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ht="15.75" customHeight="1">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ht="15.75" customHeight="1">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ht="15.75" customHeight="1">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ht="15.75" customHeight="1">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ht="15.75" customHeight="1">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ht="15.75" customHeight="1">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ht="15.75" customHeight="1">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ht="15.75" customHeight="1">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ht="15.75" customHeight="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ht="15.75" customHeight="1">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ht="15.75" customHeight="1">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ht="15.75" customHeight="1">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ht="15.75" customHeight="1">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ht="15.75" customHeight="1">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ht="15.75" customHeight="1">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ht="15.75" customHeight="1">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ht="15.75" customHeight="1">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ht="15.75" customHeight="1">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ht="15.75" customHeight="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ht="15.75" customHeight="1">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ht="15.75"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ht="15.75" customHeight="1">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ht="15.75" customHeight="1">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ht="15.75" customHeight="1">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ht="15.75" customHeight="1">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ht="15.75" customHeight="1">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ht="15.75" customHeight="1">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ht="15.75" customHeight="1">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ht="15.75" customHeight="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ht="15.75" customHeight="1">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ht="15.75" customHeight="1">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ht="15.75" customHeight="1">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ht="15.75" customHeight="1">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ht="15.75" customHeight="1">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ht="15.75" customHeight="1">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ht="15.75" customHeight="1">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ht="15.75" customHeight="1">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ht="15.75" customHeight="1">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ht="15.75" customHeight="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ht="15.75" customHeight="1">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ht="15.75" customHeight="1">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ht="15.75" customHeight="1">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ht="15.75" customHeight="1">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ht="15.75" customHeight="1">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ht="15.75" customHeight="1">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ht="15.75" customHeight="1">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ht="15.75" customHeight="1">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ht="15.75"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ht="15.75" customHeight="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ht="15.75" customHeight="1">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ht="15.75" customHeight="1">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ht="15.75" customHeight="1">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ht="15.75" customHeight="1">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ht="15.75" customHeight="1">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ht="15.75" customHeight="1">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ht="15.75" customHeight="1">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ht="15.75" customHeight="1">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ht="15.75" customHeight="1">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ht="15.75" customHeight="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ht="15.75" customHeight="1">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ht="15.75" customHeight="1">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ht="15.75" customHeight="1">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ht="15.75" customHeight="1">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ht="15.75" customHeight="1">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ht="15.75" customHeight="1">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ht="15.75" customHeight="1">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ht="15.75" customHeight="1">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ht="15.75" customHeight="1">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ht="15.75" customHeight="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ht="15.75" customHeight="1">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ht="15.75" customHeight="1">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ht="15.75" customHeight="1">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ht="15.75" customHeight="1">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ht="15.75" customHeight="1">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ht="15.75"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ht="15.75" customHeight="1">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ht="15.75" customHeight="1">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ht="15.75" customHeight="1">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ht="15.75" customHeight="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ht="15.75" customHeight="1">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ht="15.75" customHeight="1">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ht="15.75" customHeight="1">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ht="15.75" customHeight="1">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ht="15.75" customHeight="1">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ht="15.75" customHeight="1">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ht="15.75" customHeight="1">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ht="15.75" customHeight="1">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ht="15.75" customHeight="1">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ht="15.75" customHeight="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ht="15.75" customHeight="1">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ht="15.75" customHeight="1">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ht="15.75" customHeight="1">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ht="15.75" customHeight="1">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ht="15.75" customHeight="1">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ht="15.75" customHeight="1">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ht="15.75" customHeight="1">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ht="15.75" customHeight="1">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ht="15.75" customHeight="1">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ht="15.75" customHeight="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ht="15.75" customHeight="1">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ht="15.75" customHeight="1">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ht="15.75"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ht="15.75" customHeight="1">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ht="15.75" customHeight="1">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ht="15.75" customHeight="1">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ht="15.75" customHeight="1">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ht="15.75" customHeight="1">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ht="15.75" customHeight="1">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ht="15.75" customHeight="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ht="15.75" customHeight="1">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ht="15.75" customHeight="1">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ht="15.75" customHeight="1">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ht="15.75" customHeight="1">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ht="15.75" customHeight="1">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ht="15.75" customHeight="1">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ht="15.75" customHeight="1">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ht="15.75" customHeight="1">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ht="15.75" customHeight="1">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ht="15.75" customHeight="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ht="15.75" customHeight="1">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ht="15.75" customHeight="1">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ht="15.75" customHeight="1">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ht="15.75" customHeight="1">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ht="15.75" customHeight="1">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ht="15.75" customHeight="1">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ht="15.75" customHeight="1">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ht="15.75" customHeight="1">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ht="15.75" customHeight="1">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ht="15.75"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ht="15.75" customHeight="1">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ht="15.75" customHeight="1">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ht="15.75" customHeight="1">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ht="15.75" customHeight="1">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ht="15.75" customHeight="1">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ht="15.75" customHeight="1">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ht="15.75" customHeight="1">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ht="15.75" customHeight="1">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ht="15.75" customHeight="1">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ht="15.75" customHeight="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ht="15.75" customHeight="1">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ht="15.75" customHeight="1">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ht="15.75" customHeight="1">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ht="15.75" customHeight="1">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ht="15.75" customHeight="1">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ht="15.75" customHeight="1">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ht="15.75" customHeight="1">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ht="15.75" customHeight="1">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ht="15.75" customHeight="1">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ht="15.75" customHeight="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ht="15.75" customHeight="1">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ht="15.75" customHeight="1">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ht="15.75" customHeight="1">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ht="15.75" customHeight="1">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ht="15.75" customHeight="1">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ht="15.75" customHeight="1">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ht="15.75" customHeight="1">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ht="15.75" customHeight="1">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ht="15.75" customHeight="1">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ht="15.75" customHeight="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ht="15.75" customHeight="1">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ht="15.75" customHeight="1">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ht="15.75" customHeight="1">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ht="15.75" customHeight="1">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ht="15.75" customHeight="1">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ht="15.75" customHeight="1">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ht="15.75" customHeight="1">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ht="15.75" customHeight="1">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ht="15.75" customHeight="1">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ht="15.75" customHeight="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ht="15.75" customHeight="1">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ht="15.75" customHeight="1">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ht="15.75" customHeight="1">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ht="15.75" customHeight="1">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ht="15.75" customHeight="1">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ht="15.75" customHeight="1">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ht="15.75" customHeight="1">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ht="15.75" customHeight="1">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ht="15.75" customHeight="1">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ht="15.75" customHeight="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ht="15.75" customHeight="1">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ht="15.75" customHeight="1">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ht="15.75" customHeight="1">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ht="15.75" customHeight="1">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ht="15.75" customHeight="1">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ht="15.75" customHeight="1">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ht="15.75" customHeight="1">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ht="15.75" customHeight="1">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ht="15.75" customHeight="1">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ht="15.75" customHeight="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ht="15.75" customHeight="1">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ht="15.75" customHeight="1">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ht="15.75" customHeight="1">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ht="15.75" customHeight="1">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ht="15.75" customHeight="1">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ht="15.75" customHeight="1">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ht="15.75" customHeight="1">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ht="15.75" customHeight="1">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ht="15.75" customHeight="1">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ht="15.75" customHeight="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ht="15.75" customHeight="1">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ht="15.75" customHeight="1">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ht="15.75" customHeight="1">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ht="15.75" customHeight="1">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ht="15.75" customHeight="1">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ht="15.75" customHeight="1">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ht="15.75" customHeight="1">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ht="15.75" customHeight="1">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ht="15.75" customHeight="1">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ht="15.75" customHeight="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ht="15.75" customHeight="1">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ht="15.75" customHeight="1">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ht="15.75" customHeight="1">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ht="15.75" customHeight="1">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ht="15.75" customHeight="1">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ht="15.75" customHeight="1">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ht="15.75" customHeight="1">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ht="15.75" customHeight="1">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ht="15.75" customHeight="1">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ht="15.75" customHeight="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ht="15.75" customHeight="1">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ht="15.75" customHeight="1">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ht="15.75" customHeight="1">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ht="15.75" customHeight="1">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ht="15.75" customHeight="1">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ht="15.75" customHeight="1">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ht="15.75" customHeight="1">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ht="15.75" customHeight="1">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ht="15.75" customHeight="1">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ht="15.75" customHeight="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ht="15.75" customHeight="1">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ht="15.75" customHeight="1">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ht="15.75" customHeight="1">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ht="15.75" customHeight="1">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ht="15.75" customHeight="1">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ht="15.75" customHeight="1">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ht="15.75" customHeight="1">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ht="15.75" customHeight="1">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ht="15.75" customHeight="1">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ht="15.75" customHeight="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ht="15.75" customHeight="1">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ht="15.75" customHeight="1">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ht="15.75" customHeight="1">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ht="15.75" customHeight="1">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ht="15.75" customHeight="1">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ht="15.75" customHeight="1">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ht="15.75" customHeight="1">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ht="15.75" customHeight="1">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ht="15.75" customHeight="1">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ht="15.75" customHeight="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ht="15.75" customHeight="1">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ht="15.75" customHeight="1">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ht="15.75" customHeight="1">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ht="15.75" customHeight="1">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ht="15.75" customHeight="1">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ht="15.75" customHeight="1">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ht="15.75" customHeight="1">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ht="15.75" customHeight="1">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ht="15.75" customHeight="1">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ht="15.75" customHeight="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ht="15.75" customHeight="1">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ht="15.75" customHeight="1">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ht="15.75" customHeight="1">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ht="15.75" customHeight="1">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ht="15.75" customHeight="1">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ht="15.75" customHeight="1">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ht="15.75" customHeight="1">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ht="15.75" customHeight="1">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ht="15.75" customHeight="1">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ht="15.75" customHeight="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ht="15.75" customHeight="1">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ht="15.75" customHeight="1">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ht="15.75" customHeight="1">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ht="15.75" customHeight="1">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ht="15.75" customHeight="1">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ht="15.75" customHeight="1">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ht="15.75" customHeight="1">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ht="15.75" customHeight="1">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ht="15.75" customHeight="1">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ht="15.75" customHeight="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ht="15.75" customHeight="1">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ht="15.75" customHeight="1">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ht="15.75" customHeight="1">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ht="15.75" customHeight="1">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ht="15.75" customHeight="1">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ht="15.75" customHeight="1">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ht="15.75" customHeight="1">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ht="15.75" customHeight="1">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ht="15.75" customHeight="1">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ht="15.75" customHeight="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ht="15.75" customHeight="1">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ht="15.75" customHeight="1">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ht="15.75" customHeight="1">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ht="15.75" customHeight="1">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ht="15.75" customHeight="1">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ht="15.75" customHeight="1">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ht="15.75" customHeight="1">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ht="15.75" customHeight="1">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ht="15.75" customHeight="1">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ht="15.75" customHeight="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ht="15.75" customHeight="1">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ht="15.75" customHeight="1">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ht="15.75" customHeight="1">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ht="15.75" customHeight="1">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ht="15.75" customHeight="1">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ht="15.75" customHeight="1">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ht="15.75" customHeight="1">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ht="15.75" customHeight="1">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ht="15.75" customHeight="1">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ht="15.75" customHeight="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ht="15.75" customHeight="1">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ht="15.75" customHeight="1">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ht="15.75" customHeight="1">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ht="15.75" customHeight="1">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ht="15.75" customHeight="1">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ht="15.75" customHeight="1">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ht="15.75" customHeight="1">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ht="15.75" customHeight="1">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ht="15.75" customHeight="1">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ht="15.75" customHeight="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ht="15.75" customHeight="1">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ht="15.75" customHeight="1">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ht="15.75" customHeight="1">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ht="15.75" customHeight="1">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ht="15.75" customHeight="1">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ht="15.75" customHeight="1">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ht="15.75" customHeight="1">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ht="15.75" customHeight="1">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ht="15.75" customHeight="1">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ht="15.75" customHeight="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ht="15.75" customHeight="1">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ht="15.75" customHeight="1">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ht="15.75" customHeight="1">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ht="15.75" customHeight="1">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ht="15.75" customHeight="1">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ht="15.75" customHeight="1">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ht="15.75" customHeight="1">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ht="15.75" customHeight="1">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ht="15.75" customHeight="1">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ht="15.75" customHeight="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ht="15.75" customHeight="1">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ht="15.75" customHeight="1">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ht="15.75" customHeight="1">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ht="15.75" customHeight="1">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ht="15.75" customHeight="1">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ht="15.75" customHeight="1">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ht="15.75" customHeight="1">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ht="15.75" customHeight="1">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ht="15.75" customHeight="1">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ht="15.75" customHeight="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ht="15.75"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ht="15.75" customHeight="1">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ht="15.75" customHeight="1">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ht="15.75" customHeight="1">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ht="15.75" customHeight="1">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ht="15.75" customHeight="1">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ht="15.75" customHeight="1">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ht="15.75" customHeight="1">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ht="15.75" customHeight="1">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ht="15.75" customHeight="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ht="15.75" customHeight="1">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ht="15.75" customHeight="1">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ht="15.75" customHeight="1">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ht="15.75" customHeight="1">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ht="15.75" customHeight="1">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ht="15.75" customHeight="1">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ht="15.75" customHeight="1">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ht="15.75" customHeight="1">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ht="15.75" customHeight="1">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ht="15.75" customHeight="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ht="15.75" customHeight="1">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ht="15.75" customHeight="1">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ht="15.75" customHeight="1">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ht="15.75" customHeight="1">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ht="15.75" customHeight="1">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ht="15.75" customHeight="1">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ht="15.75" customHeight="1">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ht="15.75"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ht="15.75" customHeight="1">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ht="15.75" customHeight="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ht="15.75" customHeight="1">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ht="15.75" customHeight="1">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ht="15.75" customHeight="1">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ht="15.75" customHeight="1">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ht="15.75" customHeight="1">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ht="15.75" customHeight="1">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ht="15.75" customHeight="1">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ht="15.75" customHeight="1">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ht="15.75" customHeight="1">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ht="15.75" customHeight="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ht="15.75" customHeight="1">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ht="15.75" customHeight="1">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ht="15.75" customHeight="1">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ht="15.75" customHeight="1">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ht="15.75" customHeight="1">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ht="15.75" customHeight="1">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ht="15.75" customHeight="1">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ht="15.75" customHeight="1">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ht="15.75" customHeight="1">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ht="15.75" customHeight="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ht="15.75" customHeight="1">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ht="15.75" customHeight="1">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ht="15.75" customHeight="1">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ht="15.75" customHeight="1">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ht="15.75"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ht="15.75" customHeight="1">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ht="15.75" customHeight="1">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ht="15.75" customHeight="1">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ht="15.75" customHeight="1">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ht="15.75" customHeight="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ht="15.75" customHeight="1">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ht="15.75" customHeight="1">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ht="15.75" customHeight="1">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ht="15.75" customHeight="1">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ht="15.75" customHeight="1">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ht="15.75" customHeight="1">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ht="15.75" customHeight="1">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ht="15.75" customHeight="1">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ht="15.75" customHeight="1">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ht="15.75" customHeight="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ht="15.75" customHeight="1">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ht="15.75" customHeight="1">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ht="15.75" customHeight="1">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ht="15.75" customHeight="1">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ht="15.75" customHeight="1">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ht="15.75" customHeight="1">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ht="15.75" customHeight="1">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ht="15.75" customHeight="1">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ht="15.75" customHeight="1">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ht="15.75" customHeight="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ht="15.75" customHeight="1">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ht="15.75"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ht="15.75" customHeight="1">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ht="15.75" customHeight="1">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ht="15.75" customHeight="1">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ht="15.75" customHeight="1">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ht="15.75" customHeight="1">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ht="15.75" customHeight="1">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ht="15.75" customHeight="1">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ht="15.75" customHeight="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ht="15.75" customHeight="1">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ht="15.75" customHeight="1">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ht="15.75" customHeight="1">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ht="15.75" customHeight="1">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ht="15.75" customHeight="1">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ht="15.75" customHeight="1">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ht="15.75" customHeight="1">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ht="15.75" customHeight="1">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ht="15.75" customHeight="1">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ht="15.75" customHeight="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ht="15.75" customHeight="1">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ht="15.75" customHeight="1">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ht="15.75" customHeight="1">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ht="15.75" customHeight="1">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ht="15.75" customHeight="1">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ht="15.75" customHeight="1">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ht="15.75" customHeight="1">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ht="15.75" customHeight="1">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ht="15.75"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ht="15.75" customHeight="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ht="15.75" customHeight="1">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ht="15.75" customHeight="1">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ht="15.75" customHeight="1">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ht="15.75" customHeight="1">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ht="15.75" customHeight="1">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ht="15.75" customHeight="1">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ht="15.75" customHeight="1">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ht="15.75" customHeight="1">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ht="15.75" customHeight="1">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ht="15.75" customHeight="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ht="15.75" customHeight="1">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ht="15.75" customHeight="1">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ht="15.75" customHeight="1">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ht="15.75" customHeight="1">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ht="15.75" customHeight="1">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ht="15.75" customHeight="1">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ht="15.75" customHeight="1">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ht="15.75" customHeight="1">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ht="15.75" customHeight="1">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ht="15.75" customHeight="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ht="15.75" customHeight="1">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ht="15.75" customHeight="1">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ht="15.75" customHeight="1">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ht="15.75" customHeight="1">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ht="15.75" customHeight="1">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ht="15.75"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ht="15.75" customHeight="1">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ht="15.75" customHeight="1">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ht="15.75" customHeight="1">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ht="15.75" customHeight="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ht="15.75" customHeight="1">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ht="15.75" customHeight="1">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ht="15.75" customHeight="1">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ht="15.75" customHeight="1">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ht="15.75" customHeight="1">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ht="15.75" customHeight="1">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ht="15.75" customHeight="1">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ht="15.75" customHeight="1">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ht="15.75" customHeight="1">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ht="15.75" customHeight="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ht="15.75" customHeight="1">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ht="15.75" customHeight="1">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ht="15.75" customHeight="1">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ht="15.75" customHeight="1">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ht="15.75" customHeight="1">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ht="15.75" customHeight="1">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ht="15.75" customHeight="1">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ht="15.75" customHeight="1">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ht="15.75" customHeight="1">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ht="15.75" customHeight="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ht="15.75" customHeight="1">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ht="15.75" customHeight="1">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ht="15.75" customHeight="1">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ht="15.75" customHeight="1">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ht="15.75" customHeight="1">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ht="15.75" customHeight="1">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ht="15.75" customHeight="1">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ht="15.75" customHeight="1">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ht="15.75" customHeight="1">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mergeCells count="22">
    <mergeCell ref="B1:E1"/>
    <mergeCell ref="B3:E3"/>
    <mergeCell ref="B4:E4"/>
    <mergeCell ref="B5:E5"/>
    <mergeCell ref="B6:E6"/>
    <mergeCell ref="B7:E7"/>
    <mergeCell ref="B8:E8"/>
    <mergeCell ref="C18:E18"/>
    <mergeCell ref="C19:E19"/>
    <mergeCell ref="C20:E20"/>
    <mergeCell ref="B23:E23"/>
    <mergeCell ref="C25:E25"/>
    <mergeCell ref="C26:E26"/>
    <mergeCell ref="C27:E27"/>
    <mergeCell ref="C28:E28"/>
    <mergeCell ref="B9:E9"/>
    <mergeCell ref="B10:E10"/>
    <mergeCell ref="B11:E11"/>
    <mergeCell ref="B13:E13"/>
    <mergeCell ref="C15:E15"/>
    <mergeCell ref="C16:E16"/>
    <mergeCell ref="C17:E17"/>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9.0" topLeftCell="G10" activePane="bottomRight" state="frozen"/>
      <selection activeCell="G1" sqref="G1" pane="topRight"/>
      <selection activeCell="A10" sqref="A10" pane="bottomLeft"/>
      <selection activeCell="G10" sqref="G10" pane="bottomRight"/>
    </sheetView>
  </sheetViews>
  <sheetFormatPr customHeight="1" defaultColWidth="12.63" defaultRowHeight="15.0"/>
  <cols>
    <col customWidth="1" min="1" max="1" width="7.75"/>
    <col customWidth="1" min="2" max="2" width="5.88"/>
    <col customWidth="1" min="3" max="3" width="13.88"/>
    <col customWidth="1" min="4" max="4" width="21.38"/>
    <col customWidth="1" min="5" max="5" width="28.0"/>
    <col customWidth="1" min="6" max="6" width="9.63"/>
    <col customWidth="1" min="7" max="56" width="10.25"/>
  </cols>
  <sheetData>
    <row r="1">
      <c r="A1" s="130"/>
      <c r="B1" s="130"/>
      <c r="C1" s="133"/>
      <c r="D1" s="134" t="s">
        <v>79</v>
      </c>
      <c r="F1" s="133"/>
      <c r="G1" s="133"/>
      <c r="H1" s="133"/>
      <c r="I1" s="133"/>
      <c r="J1" s="133"/>
      <c r="K1" s="133"/>
      <c r="L1" s="133"/>
      <c r="M1" s="133"/>
      <c r="N1" s="133"/>
      <c r="O1" s="133"/>
      <c r="P1" s="133"/>
      <c r="Q1" s="133"/>
      <c r="R1" s="133"/>
      <c r="S1" s="133"/>
      <c r="T1" s="133"/>
      <c r="U1" s="133"/>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row>
    <row r="2">
      <c r="A2" s="130"/>
      <c r="B2" s="135"/>
      <c r="C2" s="135"/>
      <c r="F2" s="135"/>
      <c r="G2" s="135"/>
      <c r="H2" s="135"/>
      <c r="I2" s="135"/>
      <c r="J2" s="135"/>
      <c r="K2" s="135"/>
      <c r="M2" s="135"/>
      <c r="P2" s="135"/>
      <c r="Q2" s="135"/>
      <c r="T2" s="135"/>
      <c r="U2" s="135"/>
      <c r="V2" s="135"/>
      <c r="Y2" s="135"/>
      <c r="Z2" s="135"/>
      <c r="AA2" s="135"/>
      <c r="AD2" s="135"/>
      <c r="AF2" s="135"/>
      <c r="AI2" s="135"/>
      <c r="AK2" s="135"/>
      <c r="AN2" s="135"/>
      <c r="AP2" s="135"/>
      <c r="AS2" s="135"/>
      <c r="AU2" s="135"/>
      <c r="AX2" s="135"/>
      <c r="AZ2" s="135"/>
      <c r="BC2" s="135"/>
    </row>
    <row r="3">
      <c r="A3" s="130"/>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row>
    <row r="4">
      <c r="A4" s="130"/>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row>
    <row r="5">
      <c r="A5" s="136" t="s">
        <v>80</v>
      </c>
      <c r="B5" s="88"/>
      <c r="C5" s="137" t="s">
        <v>0</v>
      </c>
      <c r="D5" s="138" t="s">
        <v>81</v>
      </c>
      <c r="E5" s="139" t="s">
        <v>82</v>
      </c>
      <c r="F5" s="140"/>
      <c r="G5" s="141"/>
      <c r="H5" s="141"/>
      <c r="I5" s="142"/>
      <c r="J5" s="11"/>
      <c r="K5" s="11"/>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row>
    <row r="6">
      <c r="A6" s="143" t="s">
        <v>83</v>
      </c>
      <c r="B6" s="88"/>
      <c r="C6" s="139" t="s">
        <v>84</v>
      </c>
      <c r="D6" s="138" t="s">
        <v>85</v>
      </c>
      <c r="E6" s="139" t="s">
        <v>86</v>
      </c>
      <c r="F6" s="140"/>
      <c r="G6" s="141"/>
      <c r="H6" s="141"/>
      <c r="I6" s="142"/>
      <c r="J6" s="11"/>
      <c r="K6" s="11"/>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row>
    <row r="7">
      <c r="A7" s="130"/>
      <c r="B7" s="144"/>
      <c r="C7" s="144"/>
      <c r="D7" s="144"/>
      <c r="E7" s="144"/>
      <c r="F7" s="144"/>
      <c r="G7" s="144"/>
      <c r="H7" s="144"/>
      <c r="I7" s="144"/>
      <c r="J7" s="144"/>
      <c r="K7" s="144"/>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c r="AY7" s="130"/>
      <c r="AZ7" s="130"/>
      <c r="BA7" s="130"/>
      <c r="BB7" s="130"/>
      <c r="BC7" s="130"/>
      <c r="BD7" s="130"/>
    </row>
    <row r="8" ht="24.75" customHeight="1">
      <c r="A8" s="145"/>
      <c r="B8" s="146" t="s">
        <v>87</v>
      </c>
      <c r="C8" s="146" t="s">
        <v>88</v>
      </c>
      <c r="D8" s="146" t="s">
        <v>89</v>
      </c>
      <c r="E8" s="146" t="s">
        <v>90</v>
      </c>
      <c r="F8" s="146" t="s">
        <v>91</v>
      </c>
      <c r="G8" s="147" t="s">
        <v>92</v>
      </c>
      <c r="H8" s="148"/>
      <c r="I8" s="148"/>
      <c r="J8" s="148"/>
      <c r="K8" s="149" t="s">
        <v>93</v>
      </c>
      <c r="L8" s="147" t="s">
        <v>94</v>
      </c>
      <c r="M8" s="148"/>
      <c r="N8" s="148"/>
      <c r="O8" s="148"/>
      <c r="P8" s="150" t="s">
        <v>95</v>
      </c>
      <c r="Q8" s="147" t="s">
        <v>96</v>
      </c>
      <c r="R8" s="148"/>
      <c r="S8" s="148"/>
      <c r="T8" s="148"/>
      <c r="U8" s="150" t="s">
        <v>97</v>
      </c>
      <c r="V8" s="147" t="s">
        <v>98</v>
      </c>
      <c r="W8" s="148"/>
      <c r="X8" s="148"/>
      <c r="Y8" s="148"/>
      <c r="Z8" s="150" t="s">
        <v>99</v>
      </c>
      <c r="AA8" s="147" t="s">
        <v>100</v>
      </c>
      <c r="AB8" s="148"/>
      <c r="AC8" s="148"/>
      <c r="AD8" s="148"/>
      <c r="AE8" s="150" t="s">
        <v>101</v>
      </c>
      <c r="AF8" s="147" t="s">
        <v>102</v>
      </c>
      <c r="AG8" s="148"/>
      <c r="AH8" s="148"/>
      <c r="AI8" s="148"/>
      <c r="AJ8" s="149" t="s">
        <v>103</v>
      </c>
      <c r="AK8" s="147" t="s">
        <v>104</v>
      </c>
      <c r="AL8" s="148"/>
      <c r="AM8" s="148"/>
      <c r="AN8" s="148"/>
      <c r="AO8" s="149" t="s">
        <v>105</v>
      </c>
      <c r="AP8" s="147" t="s">
        <v>106</v>
      </c>
      <c r="AQ8" s="148"/>
      <c r="AR8" s="148"/>
      <c r="AS8" s="148"/>
      <c r="AT8" s="149" t="s">
        <v>107</v>
      </c>
      <c r="AU8" s="147" t="s">
        <v>108</v>
      </c>
      <c r="AV8" s="148"/>
      <c r="AW8" s="148"/>
      <c r="AX8" s="148"/>
      <c r="AY8" s="149" t="s">
        <v>109</v>
      </c>
      <c r="AZ8" s="147" t="s">
        <v>110</v>
      </c>
      <c r="BA8" s="148"/>
      <c r="BB8" s="148"/>
      <c r="BC8" s="148"/>
      <c r="BD8" s="149" t="s">
        <v>111</v>
      </c>
    </row>
    <row r="9">
      <c r="A9" s="145"/>
      <c r="B9" s="55"/>
      <c r="C9" s="55"/>
      <c r="D9" s="55"/>
      <c r="E9" s="55"/>
      <c r="F9" s="56"/>
      <c r="G9" s="151" t="s">
        <v>112</v>
      </c>
      <c r="H9" s="152" t="s">
        <v>64</v>
      </c>
      <c r="I9" s="153" t="s">
        <v>66</v>
      </c>
      <c r="J9" s="154" t="s">
        <v>70</v>
      </c>
      <c r="K9" s="155" t="s">
        <v>68</v>
      </c>
      <c r="L9" s="151" t="s">
        <v>112</v>
      </c>
      <c r="M9" s="152" t="s">
        <v>64</v>
      </c>
      <c r="N9" s="153" t="s">
        <v>66</v>
      </c>
      <c r="O9" s="154" t="s">
        <v>70</v>
      </c>
      <c r="P9" s="155" t="s">
        <v>68</v>
      </c>
      <c r="Q9" s="151" t="s">
        <v>112</v>
      </c>
      <c r="R9" s="152" t="s">
        <v>64</v>
      </c>
      <c r="S9" s="153" t="s">
        <v>66</v>
      </c>
      <c r="T9" s="154" t="s">
        <v>70</v>
      </c>
      <c r="U9" s="155" t="s">
        <v>68</v>
      </c>
      <c r="V9" s="151" t="s">
        <v>112</v>
      </c>
      <c r="W9" s="152" t="s">
        <v>64</v>
      </c>
      <c r="X9" s="153" t="s">
        <v>66</v>
      </c>
      <c r="Y9" s="154" t="s">
        <v>70</v>
      </c>
      <c r="Z9" s="155" t="s">
        <v>68</v>
      </c>
      <c r="AA9" s="151" t="s">
        <v>112</v>
      </c>
      <c r="AB9" s="152" t="s">
        <v>64</v>
      </c>
      <c r="AC9" s="153" t="s">
        <v>66</v>
      </c>
      <c r="AD9" s="154" t="s">
        <v>70</v>
      </c>
      <c r="AE9" s="155" t="s">
        <v>68</v>
      </c>
      <c r="AF9" s="151" t="s">
        <v>112</v>
      </c>
      <c r="AG9" s="152" t="s">
        <v>64</v>
      </c>
      <c r="AH9" s="153" t="s">
        <v>66</v>
      </c>
      <c r="AI9" s="154" t="s">
        <v>70</v>
      </c>
      <c r="AJ9" s="155" t="s">
        <v>68</v>
      </c>
      <c r="AK9" s="151" t="s">
        <v>112</v>
      </c>
      <c r="AL9" s="152" t="s">
        <v>64</v>
      </c>
      <c r="AM9" s="153" t="s">
        <v>66</v>
      </c>
      <c r="AN9" s="154" t="s">
        <v>70</v>
      </c>
      <c r="AO9" s="155" t="s">
        <v>68</v>
      </c>
      <c r="AP9" s="156" t="s">
        <v>113</v>
      </c>
      <c r="AQ9" s="152" t="s">
        <v>64</v>
      </c>
      <c r="AR9" s="153" t="s">
        <v>66</v>
      </c>
      <c r="AS9" s="154" t="s">
        <v>70</v>
      </c>
      <c r="AT9" s="155" t="s">
        <v>68</v>
      </c>
      <c r="AU9" s="151" t="s">
        <v>112</v>
      </c>
      <c r="AV9" s="152" t="s">
        <v>64</v>
      </c>
      <c r="AW9" s="153" t="s">
        <v>66</v>
      </c>
      <c r="AX9" s="154" t="s">
        <v>70</v>
      </c>
      <c r="AY9" s="155" t="s">
        <v>68</v>
      </c>
      <c r="AZ9" s="151" t="s">
        <v>112</v>
      </c>
      <c r="BA9" s="152" t="s">
        <v>64</v>
      </c>
      <c r="BB9" s="153" t="s">
        <v>66</v>
      </c>
      <c r="BC9" s="154" t="s">
        <v>70</v>
      </c>
      <c r="BD9" s="155" t="s">
        <v>68</v>
      </c>
    </row>
    <row r="10" ht="19.5" customHeight="1">
      <c r="A10" s="157"/>
      <c r="B10" s="158">
        <v>1.0</v>
      </c>
      <c r="C10" s="159" t="s">
        <v>114</v>
      </c>
      <c r="D10" s="160" t="s">
        <v>22</v>
      </c>
      <c r="E10" s="160" t="s">
        <v>22</v>
      </c>
      <c r="F10" s="161">
        <v>300.0</v>
      </c>
      <c r="G10" s="158">
        <f t="shared" ref="G10:G15" si="1">SUM(H10:J10)</f>
        <v>0</v>
      </c>
      <c r="H10" s="158">
        <f t="shared" ref="H10:H15" si="2">COUNTIF(INDIRECT("'"&amp;$D10&amp;"'!"&amp;K$8),"Pass")</f>
        <v>0</v>
      </c>
      <c r="I10" s="158">
        <f t="shared" ref="I10:I15" si="3">COUNTIF(INDIRECT("'"&amp;$D10&amp;"'!"&amp;K$8),"Fail")</f>
        <v>0</v>
      </c>
      <c r="J10" s="158">
        <f t="shared" ref="J10:J15" si="4">COUNTIF(INDIRECT("'"&amp;$D10&amp;"'!"&amp;K$8),"N/A")</f>
        <v>0</v>
      </c>
      <c r="K10" s="158">
        <f t="shared" ref="K10:K15" si="5">COUNTIF(INDIRECT("'"&amp;$D10&amp;"'!"&amp;K$8),"Block")</f>
        <v>0</v>
      </c>
      <c r="L10" s="158">
        <f t="shared" ref="L10:L15" si="6">SUM(M10:O10)</f>
        <v>0</v>
      </c>
      <c r="M10" s="158">
        <f t="shared" ref="M10:M15" si="7">COUNTIF(INDIRECT("'"&amp;$D10&amp;"'!"&amp;P$8),"Pass")</f>
        <v>0</v>
      </c>
      <c r="N10" s="158">
        <f t="shared" ref="N10:N15" si="8">COUNTIF(INDIRECT("'"&amp;$D10&amp;"'!"&amp;P$8),"Fail")</f>
        <v>0</v>
      </c>
      <c r="O10" s="158">
        <f t="shared" ref="O10:O15" si="9">COUNTIF(INDIRECT("'"&amp;$D10&amp;"'!"&amp;P$8),"N/A")</f>
        <v>0</v>
      </c>
      <c r="P10" s="158">
        <f t="shared" ref="P10:P15" si="10">COUNTIF(INDIRECT("'"&amp;$D10&amp;"'!"&amp;P$8),"Block")</f>
        <v>0</v>
      </c>
      <c r="Q10" s="158">
        <f t="shared" ref="Q10:Q15" si="11">SUM(R10:T10)</f>
        <v>0</v>
      </c>
      <c r="R10" s="158">
        <f t="shared" ref="R10:R15" si="12">COUNTIF(INDIRECT("'"&amp;$D10&amp;"'!"&amp;U$8),"Pass")</f>
        <v>0</v>
      </c>
      <c r="S10" s="158">
        <f t="shared" ref="S10:S15" si="13">COUNTIF(INDIRECT("'"&amp;$D10&amp;"'!"&amp;U$8),"Fail")</f>
        <v>0</v>
      </c>
      <c r="T10" s="158">
        <f t="shared" ref="T10:T15" si="14">COUNTIF(INDIRECT("'"&amp;$D10&amp;"'!"&amp;U$8),"N/A")</f>
        <v>0</v>
      </c>
      <c r="U10" s="158">
        <f t="shared" ref="U10:U15" si="15">COUNTIF(INDIRECT("'"&amp;$D10&amp;"'!"&amp;U$8),"Block")</f>
        <v>0</v>
      </c>
      <c r="V10" s="158">
        <f t="shared" ref="V10:V15" si="16">SUM(W10:Y10)</f>
        <v>0</v>
      </c>
      <c r="W10" s="158">
        <f t="shared" ref="W10:W15" si="17">COUNTIF(INDIRECT("'"&amp;$D10&amp;"'!"&amp;Z$8),"Pass")</f>
        <v>0</v>
      </c>
      <c r="X10" s="158">
        <f t="shared" ref="X10:X15" si="18">COUNTIF(INDIRECT("'"&amp;$D10&amp;"'!"&amp;Z$8),"Fail")</f>
        <v>0</v>
      </c>
      <c r="Y10" s="158">
        <f t="shared" ref="Y10:Y15" si="19">COUNTIF(INDIRECT("'"&amp;$D10&amp;"'!"&amp;Z$8),"N/A")</f>
        <v>0</v>
      </c>
      <c r="Z10" s="158">
        <f t="shared" ref="Z10:Z15" si="20">COUNTIF(INDIRECT("'"&amp;$D10&amp;"'!"&amp;Z$8),"Block")</f>
        <v>0</v>
      </c>
      <c r="AA10" s="158">
        <f t="shared" ref="AA10:AA15" si="21">SUM(AB10:AD10)</f>
        <v>0</v>
      </c>
      <c r="AB10" s="158">
        <f t="shared" ref="AB10:AB15" si="22">COUNTIF(INDIRECT("'"&amp;$D10&amp;"'!"&amp;AE$8),"Pass")</f>
        <v>0</v>
      </c>
      <c r="AC10" s="158">
        <f t="shared" ref="AC10:AC15" si="23">COUNTIF(INDIRECT("'"&amp;$D10&amp;"'!"&amp;AE$8),"Fail")</f>
        <v>0</v>
      </c>
      <c r="AD10" s="158">
        <f t="shared" ref="AD10:AD15" si="24">COUNTIF(INDIRECT("'"&amp;$D10&amp;"'!"&amp;AE$8),"N/A")</f>
        <v>0</v>
      </c>
      <c r="AE10" s="158">
        <f t="shared" ref="AE10:AE15" si="25">COUNTIF(INDIRECT("'"&amp;$D10&amp;"'!"&amp;AE$8),"Block")</f>
        <v>0</v>
      </c>
      <c r="AF10" s="158">
        <f t="shared" ref="AF10:AF15" si="26">SUM(AG10:AI10)</f>
        <v>0</v>
      </c>
      <c r="AG10" s="158">
        <f t="shared" ref="AG10:AG15" si="27">COUNTIF(INDIRECT("'"&amp;$D10&amp;"'!"&amp;AJ$8),"Pass")</f>
        <v>0</v>
      </c>
      <c r="AH10" s="158">
        <f t="shared" ref="AH10:AH15" si="28">COUNTIF(INDIRECT("'"&amp;$D10&amp;"'!"&amp;AJ$8),"Fail")</f>
        <v>0</v>
      </c>
      <c r="AI10" s="158">
        <f t="shared" ref="AI10:AI15" si="29">COUNTIF(INDIRECT("'"&amp;$D10&amp;"'!"&amp;AJ$8),"N/A")</f>
        <v>0</v>
      </c>
      <c r="AJ10" s="158">
        <f t="shared" ref="AJ10:AJ15" si="30">COUNTIF(INDIRECT("'"&amp;$D10&amp;"'!"&amp;AJ$8),"Block")</f>
        <v>0</v>
      </c>
      <c r="AK10" s="158">
        <f t="shared" ref="AK10:AK15" si="31">SUM(AL10:AN10)</f>
        <v>0</v>
      </c>
      <c r="AL10" s="158">
        <f t="shared" ref="AL10:AL15" si="32">COUNTIF(INDIRECT("'"&amp;$D10&amp;"'!"&amp;AO$8),"Pass")</f>
        <v>0</v>
      </c>
      <c r="AM10" s="158">
        <f t="shared" ref="AM10:AM15" si="33">COUNTIF(INDIRECT("'"&amp;$D10&amp;"'!"&amp;AO$8),"Fail")</f>
        <v>0</v>
      </c>
      <c r="AN10" s="158">
        <f t="shared" ref="AN10:AN15" si="34">COUNTIF(INDIRECT("'"&amp;$D10&amp;"'!"&amp;AO$8),"N/A")</f>
        <v>0</v>
      </c>
      <c r="AO10" s="158">
        <f t="shared" ref="AO10:AO15" si="35">COUNTIF(INDIRECT("'"&amp;$D10&amp;"'!"&amp;AO$8),"Block")</f>
        <v>0</v>
      </c>
      <c r="AP10" s="158">
        <f t="shared" ref="AP10:AP15" si="36">SUM(AQ10:AS10)</f>
        <v>0</v>
      </c>
      <c r="AQ10" s="158">
        <f t="shared" ref="AQ10:AQ15" si="37">COUNTIF(INDIRECT("'"&amp;$D10&amp;"'!"&amp;AT$8),"Pass")</f>
        <v>0</v>
      </c>
      <c r="AR10" s="158">
        <f t="shared" ref="AR10:AR15" si="38">COUNTIF(INDIRECT("'"&amp;$D10&amp;"'!"&amp;AT$8),"Fail")</f>
        <v>0</v>
      </c>
      <c r="AS10" s="158">
        <f t="shared" ref="AS10:AS15" si="39">COUNTIF(INDIRECT("'"&amp;$D10&amp;"'!"&amp;AT$8),"N/A")</f>
        <v>0</v>
      </c>
      <c r="AT10" s="158">
        <f t="shared" ref="AT10:AT15" si="40">COUNTIF(INDIRECT("'"&amp;$D10&amp;"'!"&amp;AT$8),"Block")</f>
        <v>0</v>
      </c>
      <c r="AU10" s="158">
        <f t="shared" ref="AU10:AU15" si="41">SUM(AV10:AX10)</f>
        <v>0</v>
      </c>
      <c r="AV10" s="158">
        <f t="shared" ref="AV10:AV15" si="42">COUNTIF(INDIRECT("'"&amp;$D10&amp;"'!"&amp;AY$8),"Pass")</f>
        <v>0</v>
      </c>
      <c r="AW10" s="158">
        <f t="shared" ref="AW10:AW15" si="43">COUNTIF(INDIRECT("'"&amp;$D10&amp;"'!"&amp;AY$8),"Fail")</f>
        <v>0</v>
      </c>
      <c r="AX10" s="158">
        <f t="shared" ref="AX10:AX15" si="44">COUNTIF(INDIRECT("'"&amp;$D10&amp;"'!"&amp;AY$8),"N/A")</f>
        <v>0</v>
      </c>
      <c r="AY10" s="158">
        <f t="shared" ref="AY10:AY15" si="45">COUNTIF(INDIRECT("'"&amp;$D10&amp;"'!"&amp;AY$8),"Block")</f>
        <v>0</v>
      </c>
      <c r="AZ10" s="158">
        <f t="shared" ref="AZ10:AZ15" si="46">SUM(BA10:BC10)</f>
        <v>0</v>
      </c>
      <c r="BA10" s="158">
        <f t="shared" ref="BA10:BA15" si="47">COUNTIF(INDIRECT("'"&amp;$D10&amp;"'!"&amp;BD$8),"Pass")</f>
        <v>0</v>
      </c>
      <c r="BB10" s="158">
        <f t="shared" ref="BB10:BB15" si="48">COUNTIF(INDIRECT("'"&amp;$D10&amp;"'!"&amp;BD$8),"Fail")</f>
        <v>0</v>
      </c>
      <c r="BC10" s="158">
        <f t="shared" ref="BC10:BC15" si="49">COUNTIF(INDIRECT("'"&amp;$D10&amp;"'!"&amp;BD$8),"N/A")</f>
        <v>0</v>
      </c>
      <c r="BD10" s="158">
        <f t="shared" ref="BD10:BD15" si="50">COUNTIF(INDIRECT("'"&amp;$D10&amp;"'!"&amp;BD$8),"Block")</f>
        <v>0</v>
      </c>
    </row>
    <row r="11" ht="19.5" customHeight="1">
      <c r="A11" s="157"/>
      <c r="B11" s="162">
        <v>2.0</v>
      </c>
      <c r="C11" s="159" t="s">
        <v>115</v>
      </c>
      <c r="D11" s="160" t="s">
        <v>24</v>
      </c>
      <c r="E11" s="160" t="s">
        <v>24</v>
      </c>
      <c r="F11" s="163">
        <f t="shared" ref="F11:F13" si="51">COUNTIF(INDIRECT("'"&amp;D11&amp;"'!A:A"),C11&amp;"*")</f>
        <v>0</v>
      </c>
      <c r="G11" s="158">
        <f t="shared" si="1"/>
        <v>0</v>
      </c>
      <c r="H11" s="158">
        <f t="shared" si="2"/>
        <v>0</v>
      </c>
      <c r="I11" s="158">
        <f t="shared" si="3"/>
        <v>0</v>
      </c>
      <c r="J11" s="158">
        <f t="shared" si="4"/>
        <v>0</v>
      </c>
      <c r="K11" s="158">
        <f t="shared" si="5"/>
        <v>0</v>
      </c>
      <c r="L11" s="158">
        <f t="shared" si="6"/>
        <v>0</v>
      </c>
      <c r="M11" s="158">
        <f t="shared" si="7"/>
        <v>0</v>
      </c>
      <c r="N11" s="158">
        <f t="shared" si="8"/>
        <v>0</v>
      </c>
      <c r="O11" s="158">
        <f t="shared" si="9"/>
        <v>0</v>
      </c>
      <c r="P11" s="158">
        <f t="shared" si="10"/>
        <v>0</v>
      </c>
      <c r="Q11" s="158">
        <f t="shared" si="11"/>
        <v>0</v>
      </c>
      <c r="R11" s="158">
        <f t="shared" si="12"/>
        <v>0</v>
      </c>
      <c r="S11" s="158">
        <f t="shared" si="13"/>
        <v>0</v>
      </c>
      <c r="T11" s="158">
        <f t="shared" si="14"/>
        <v>0</v>
      </c>
      <c r="U11" s="158">
        <f t="shared" si="15"/>
        <v>0</v>
      </c>
      <c r="V11" s="158">
        <f t="shared" si="16"/>
        <v>0</v>
      </c>
      <c r="W11" s="158">
        <f t="shared" si="17"/>
        <v>0</v>
      </c>
      <c r="X11" s="158">
        <f t="shared" si="18"/>
        <v>0</v>
      </c>
      <c r="Y11" s="158">
        <f t="shared" si="19"/>
        <v>0</v>
      </c>
      <c r="Z11" s="158">
        <f t="shared" si="20"/>
        <v>0</v>
      </c>
      <c r="AA11" s="158">
        <f t="shared" si="21"/>
        <v>0</v>
      </c>
      <c r="AB11" s="158">
        <f t="shared" si="22"/>
        <v>0</v>
      </c>
      <c r="AC11" s="158">
        <f t="shared" si="23"/>
        <v>0</v>
      </c>
      <c r="AD11" s="158">
        <f t="shared" si="24"/>
        <v>0</v>
      </c>
      <c r="AE11" s="158">
        <f t="shared" si="25"/>
        <v>0</v>
      </c>
      <c r="AF11" s="158">
        <f t="shared" si="26"/>
        <v>0</v>
      </c>
      <c r="AG11" s="158">
        <f t="shared" si="27"/>
        <v>0</v>
      </c>
      <c r="AH11" s="158">
        <f t="shared" si="28"/>
        <v>0</v>
      </c>
      <c r="AI11" s="158">
        <f t="shared" si="29"/>
        <v>0</v>
      </c>
      <c r="AJ11" s="158">
        <f t="shared" si="30"/>
        <v>0</v>
      </c>
      <c r="AK11" s="158">
        <f t="shared" si="31"/>
        <v>0</v>
      </c>
      <c r="AL11" s="158">
        <f t="shared" si="32"/>
        <v>0</v>
      </c>
      <c r="AM11" s="158">
        <f t="shared" si="33"/>
        <v>0</v>
      </c>
      <c r="AN11" s="158">
        <f t="shared" si="34"/>
        <v>0</v>
      </c>
      <c r="AO11" s="158">
        <f t="shared" si="35"/>
        <v>0</v>
      </c>
      <c r="AP11" s="158">
        <f t="shared" si="36"/>
        <v>0</v>
      </c>
      <c r="AQ11" s="158">
        <f t="shared" si="37"/>
        <v>0</v>
      </c>
      <c r="AR11" s="158">
        <f t="shared" si="38"/>
        <v>0</v>
      </c>
      <c r="AS11" s="158">
        <f t="shared" si="39"/>
        <v>0</v>
      </c>
      <c r="AT11" s="158">
        <f t="shared" si="40"/>
        <v>0</v>
      </c>
      <c r="AU11" s="158">
        <f t="shared" si="41"/>
        <v>0</v>
      </c>
      <c r="AV11" s="158">
        <f t="shared" si="42"/>
        <v>0</v>
      </c>
      <c r="AW11" s="158">
        <f t="shared" si="43"/>
        <v>0</v>
      </c>
      <c r="AX11" s="158">
        <f t="shared" si="44"/>
        <v>0</v>
      </c>
      <c r="AY11" s="158">
        <f t="shared" si="45"/>
        <v>0</v>
      </c>
      <c r="AZ11" s="158">
        <f t="shared" si="46"/>
        <v>0</v>
      </c>
      <c r="BA11" s="158">
        <f t="shared" si="47"/>
        <v>0</v>
      </c>
      <c r="BB11" s="158">
        <f t="shared" si="48"/>
        <v>0</v>
      </c>
      <c r="BC11" s="158">
        <f t="shared" si="49"/>
        <v>0</v>
      </c>
      <c r="BD11" s="158">
        <f t="shared" si="50"/>
        <v>0</v>
      </c>
    </row>
    <row r="12" ht="19.5" customHeight="1">
      <c r="A12" s="157"/>
      <c r="B12" s="162">
        <v>3.0</v>
      </c>
      <c r="C12" s="159" t="s">
        <v>116</v>
      </c>
      <c r="D12" s="160" t="s">
        <v>26</v>
      </c>
      <c r="E12" s="160" t="s">
        <v>26</v>
      </c>
      <c r="F12" s="163">
        <f t="shared" si="51"/>
        <v>0</v>
      </c>
      <c r="G12" s="158">
        <f t="shared" si="1"/>
        <v>0</v>
      </c>
      <c r="H12" s="158">
        <f t="shared" si="2"/>
        <v>0</v>
      </c>
      <c r="I12" s="158">
        <f t="shared" si="3"/>
        <v>0</v>
      </c>
      <c r="J12" s="158">
        <f t="shared" si="4"/>
        <v>0</v>
      </c>
      <c r="K12" s="158">
        <f t="shared" si="5"/>
        <v>0</v>
      </c>
      <c r="L12" s="158">
        <f t="shared" si="6"/>
        <v>0</v>
      </c>
      <c r="M12" s="158">
        <f t="shared" si="7"/>
        <v>0</v>
      </c>
      <c r="N12" s="158">
        <f t="shared" si="8"/>
        <v>0</v>
      </c>
      <c r="O12" s="158">
        <f t="shared" si="9"/>
        <v>0</v>
      </c>
      <c r="P12" s="158">
        <f t="shared" si="10"/>
        <v>0</v>
      </c>
      <c r="Q12" s="158">
        <f t="shared" si="11"/>
        <v>0</v>
      </c>
      <c r="R12" s="158">
        <f t="shared" si="12"/>
        <v>0</v>
      </c>
      <c r="S12" s="158">
        <f t="shared" si="13"/>
        <v>0</v>
      </c>
      <c r="T12" s="158">
        <f t="shared" si="14"/>
        <v>0</v>
      </c>
      <c r="U12" s="158">
        <f t="shared" si="15"/>
        <v>0</v>
      </c>
      <c r="V12" s="158">
        <f t="shared" si="16"/>
        <v>0</v>
      </c>
      <c r="W12" s="158">
        <f t="shared" si="17"/>
        <v>0</v>
      </c>
      <c r="X12" s="158">
        <f t="shared" si="18"/>
        <v>0</v>
      </c>
      <c r="Y12" s="158">
        <f t="shared" si="19"/>
        <v>0</v>
      </c>
      <c r="Z12" s="158">
        <f t="shared" si="20"/>
        <v>0</v>
      </c>
      <c r="AA12" s="158">
        <f t="shared" si="21"/>
        <v>0</v>
      </c>
      <c r="AB12" s="158">
        <f t="shared" si="22"/>
        <v>0</v>
      </c>
      <c r="AC12" s="158">
        <f t="shared" si="23"/>
        <v>0</v>
      </c>
      <c r="AD12" s="158">
        <f t="shared" si="24"/>
        <v>0</v>
      </c>
      <c r="AE12" s="158">
        <f t="shared" si="25"/>
        <v>0</v>
      </c>
      <c r="AF12" s="158">
        <f t="shared" si="26"/>
        <v>0</v>
      </c>
      <c r="AG12" s="158">
        <f t="shared" si="27"/>
        <v>0</v>
      </c>
      <c r="AH12" s="158">
        <f t="shared" si="28"/>
        <v>0</v>
      </c>
      <c r="AI12" s="158">
        <f t="shared" si="29"/>
        <v>0</v>
      </c>
      <c r="AJ12" s="158">
        <f t="shared" si="30"/>
        <v>0</v>
      </c>
      <c r="AK12" s="158">
        <f t="shared" si="31"/>
        <v>0</v>
      </c>
      <c r="AL12" s="158">
        <f t="shared" si="32"/>
        <v>0</v>
      </c>
      <c r="AM12" s="158">
        <f t="shared" si="33"/>
        <v>0</v>
      </c>
      <c r="AN12" s="158">
        <f t="shared" si="34"/>
        <v>0</v>
      </c>
      <c r="AO12" s="158">
        <f t="shared" si="35"/>
        <v>0</v>
      </c>
      <c r="AP12" s="158">
        <f t="shared" si="36"/>
        <v>0</v>
      </c>
      <c r="AQ12" s="158">
        <f t="shared" si="37"/>
        <v>0</v>
      </c>
      <c r="AR12" s="158">
        <f t="shared" si="38"/>
        <v>0</v>
      </c>
      <c r="AS12" s="158">
        <f t="shared" si="39"/>
        <v>0</v>
      </c>
      <c r="AT12" s="158">
        <f t="shared" si="40"/>
        <v>0</v>
      </c>
      <c r="AU12" s="158">
        <f t="shared" si="41"/>
        <v>0</v>
      </c>
      <c r="AV12" s="158">
        <f t="shared" si="42"/>
        <v>0</v>
      </c>
      <c r="AW12" s="158">
        <f t="shared" si="43"/>
        <v>0</v>
      </c>
      <c r="AX12" s="158">
        <f t="shared" si="44"/>
        <v>0</v>
      </c>
      <c r="AY12" s="158">
        <f t="shared" si="45"/>
        <v>0</v>
      </c>
      <c r="AZ12" s="158">
        <f t="shared" si="46"/>
        <v>0</v>
      </c>
      <c r="BA12" s="158">
        <f t="shared" si="47"/>
        <v>0</v>
      </c>
      <c r="BB12" s="158">
        <f t="shared" si="48"/>
        <v>0</v>
      </c>
      <c r="BC12" s="158">
        <f t="shared" si="49"/>
        <v>0</v>
      </c>
      <c r="BD12" s="158">
        <f t="shared" si="50"/>
        <v>0</v>
      </c>
    </row>
    <row r="13" ht="19.5" customHeight="1">
      <c r="A13" s="157"/>
      <c r="B13" s="162">
        <v>4.0</v>
      </c>
      <c r="C13" s="159" t="s">
        <v>117</v>
      </c>
      <c r="D13" s="160" t="s">
        <v>28</v>
      </c>
      <c r="E13" s="160" t="s">
        <v>28</v>
      </c>
      <c r="F13" s="163">
        <f t="shared" si="51"/>
        <v>0</v>
      </c>
      <c r="G13" s="158">
        <f t="shared" si="1"/>
        <v>0</v>
      </c>
      <c r="H13" s="158">
        <f t="shared" si="2"/>
        <v>0</v>
      </c>
      <c r="I13" s="158">
        <f t="shared" si="3"/>
        <v>0</v>
      </c>
      <c r="J13" s="158">
        <f t="shared" si="4"/>
        <v>0</v>
      </c>
      <c r="K13" s="158">
        <f t="shared" si="5"/>
        <v>0</v>
      </c>
      <c r="L13" s="158">
        <f t="shared" si="6"/>
        <v>0</v>
      </c>
      <c r="M13" s="158">
        <f t="shared" si="7"/>
        <v>0</v>
      </c>
      <c r="N13" s="158">
        <f t="shared" si="8"/>
        <v>0</v>
      </c>
      <c r="O13" s="158">
        <f t="shared" si="9"/>
        <v>0</v>
      </c>
      <c r="P13" s="158">
        <f t="shared" si="10"/>
        <v>0</v>
      </c>
      <c r="Q13" s="158">
        <f t="shared" si="11"/>
        <v>0</v>
      </c>
      <c r="R13" s="158">
        <f t="shared" si="12"/>
        <v>0</v>
      </c>
      <c r="S13" s="158">
        <f t="shared" si="13"/>
        <v>0</v>
      </c>
      <c r="T13" s="158">
        <f t="shared" si="14"/>
        <v>0</v>
      </c>
      <c r="U13" s="158">
        <f t="shared" si="15"/>
        <v>0</v>
      </c>
      <c r="V13" s="158">
        <f t="shared" si="16"/>
        <v>0</v>
      </c>
      <c r="W13" s="158">
        <f t="shared" si="17"/>
        <v>0</v>
      </c>
      <c r="X13" s="158">
        <f t="shared" si="18"/>
        <v>0</v>
      </c>
      <c r="Y13" s="158">
        <f t="shared" si="19"/>
        <v>0</v>
      </c>
      <c r="Z13" s="158">
        <f t="shared" si="20"/>
        <v>0</v>
      </c>
      <c r="AA13" s="158">
        <f t="shared" si="21"/>
        <v>0</v>
      </c>
      <c r="AB13" s="158">
        <f t="shared" si="22"/>
        <v>0</v>
      </c>
      <c r="AC13" s="158">
        <f t="shared" si="23"/>
        <v>0</v>
      </c>
      <c r="AD13" s="158">
        <f t="shared" si="24"/>
        <v>0</v>
      </c>
      <c r="AE13" s="158">
        <f t="shared" si="25"/>
        <v>0</v>
      </c>
      <c r="AF13" s="158">
        <f t="shared" si="26"/>
        <v>0</v>
      </c>
      <c r="AG13" s="158">
        <f t="shared" si="27"/>
        <v>0</v>
      </c>
      <c r="AH13" s="158">
        <f t="shared" si="28"/>
        <v>0</v>
      </c>
      <c r="AI13" s="158">
        <f t="shared" si="29"/>
        <v>0</v>
      </c>
      <c r="AJ13" s="158">
        <f t="shared" si="30"/>
        <v>0</v>
      </c>
      <c r="AK13" s="158">
        <f t="shared" si="31"/>
        <v>0</v>
      </c>
      <c r="AL13" s="158">
        <f t="shared" si="32"/>
        <v>0</v>
      </c>
      <c r="AM13" s="158">
        <f t="shared" si="33"/>
        <v>0</v>
      </c>
      <c r="AN13" s="158">
        <f t="shared" si="34"/>
        <v>0</v>
      </c>
      <c r="AO13" s="158">
        <f t="shared" si="35"/>
        <v>0</v>
      </c>
      <c r="AP13" s="158">
        <f t="shared" si="36"/>
        <v>0</v>
      </c>
      <c r="AQ13" s="158">
        <f t="shared" si="37"/>
        <v>0</v>
      </c>
      <c r="AR13" s="158">
        <f t="shared" si="38"/>
        <v>0</v>
      </c>
      <c r="AS13" s="158">
        <f t="shared" si="39"/>
        <v>0</v>
      </c>
      <c r="AT13" s="158">
        <f t="shared" si="40"/>
        <v>0</v>
      </c>
      <c r="AU13" s="158">
        <f t="shared" si="41"/>
        <v>0</v>
      </c>
      <c r="AV13" s="158">
        <f t="shared" si="42"/>
        <v>0</v>
      </c>
      <c r="AW13" s="158">
        <f t="shared" si="43"/>
        <v>0</v>
      </c>
      <c r="AX13" s="158">
        <f t="shared" si="44"/>
        <v>0</v>
      </c>
      <c r="AY13" s="158">
        <f t="shared" si="45"/>
        <v>0</v>
      </c>
      <c r="AZ13" s="158">
        <f t="shared" si="46"/>
        <v>0</v>
      </c>
      <c r="BA13" s="158">
        <f t="shared" si="47"/>
        <v>0</v>
      </c>
      <c r="BB13" s="158">
        <f t="shared" si="48"/>
        <v>0</v>
      </c>
      <c r="BC13" s="158">
        <f t="shared" si="49"/>
        <v>0</v>
      </c>
      <c r="BD13" s="158">
        <f t="shared" si="50"/>
        <v>0</v>
      </c>
    </row>
    <row r="14" ht="19.5" customHeight="1">
      <c r="A14" s="157"/>
      <c r="B14" s="162">
        <v>5.0</v>
      </c>
      <c r="C14" s="159" t="s">
        <v>118</v>
      </c>
      <c r="D14" s="160" t="s">
        <v>40</v>
      </c>
      <c r="E14" s="160" t="s">
        <v>40</v>
      </c>
      <c r="F14" s="163">
        <f t="array" ref="F14">COUNTIF(INDIRECT("'"&amp;D14&amp;"'!A:A"),C14&amp;"*")*3</f>
        <v>0</v>
      </c>
      <c r="G14" s="158">
        <f t="shared" si="1"/>
        <v>0</v>
      </c>
      <c r="H14" s="158">
        <f t="shared" si="2"/>
        <v>0</v>
      </c>
      <c r="I14" s="158">
        <f t="shared" si="3"/>
        <v>0</v>
      </c>
      <c r="J14" s="158">
        <f t="shared" si="4"/>
        <v>0</v>
      </c>
      <c r="K14" s="158">
        <f t="shared" si="5"/>
        <v>0</v>
      </c>
      <c r="L14" s="158">
        <f t="shared" si="6"/>
        <v>0</v>
      </c>
      <c r="M14" s="158">
        <f t="shared" si="7"/>
        <v>0</v>
      </c>
      <c r="N14" s="158">
        <f t="shared" si="8"/>
        <v>0</v>
      </c>
      <c r="O14" s="158">
        <f t="shared" si="9"/>
        <v>0</v>
      </c>
      <c r="P14" s="158">
        <f t="shared" si="10"/>
        <v>0</v>
      </c>
      <c r="Q14" s="158">
        <f t="shared" si="11"/>
        <v>0</v>
      </c>
      <c r="R14" s="158">
        <f t="shared" si="12"/>
        <v>0</v>
      </c>
      <c r="S14" s="158">
        <f t="shared" si="13"/>
        <v>0</v>
      </c>
      <c r="T14" s="158">
        <f t="shared" si="14"/>
        <v>0</v>
      </c>
      <c r="U14" s="158">
        <f t="shared" si="15"/>
        <v>0</v>
      </c>
      <c r="V14" s="158">
        <f t="shared" si="16"/>
        <v>0</v>
      </c>
      <c r="W14" s="158">
        <f t="shared" si="17"/>
        <v>0</v>
      </c>
      <c r="X14" s="158">
        <f t="shared" si="18"/>
        <v>0</v>
      </c>
      <c r="Y14" s="158">
        <f t="shared" si="19"/>
        <v>0</v>
      </c>
      <c r="Z14" s="158">
        <f t="shared" si="20"/>
        <v>0</v>
      </c>
      <c r="AA14" s="158">
        <f t="shared" si="21"/>
        <v>0</v>
      </c>
      <c r="AB14" s="158">
        <f t="shared" si="22"/>
        <v>0</v>
      </c>
      <c r="AC14" s="158">
        <f t="shared" si="23"/>
        <v>0</v>
      </c>
      <c r="AD14" s="158">
        <f t="shared" si="24"/>
        <v>0</v>
      </c>
      <c r="AE14" s="158">
        <f t="shared" si="25"/>
        <v>0</v>
      </c>
      <c r="AF14" s="158">
        <f t="shared" si="26"/>
        <v>0</v>
      </c>
      <c r="AG14" s="158">
        <f t="shared" si="27"/>
        <v>0</v>
      </c>
      <c r="AH14" s="158">
        <f t="shared" si="28"/>
        <v>0</v>
      </c>
      <c r="AI14" s="158">
        <f t="shared" si="29"/>
        <v>0</v>
      </c>
      <c r="AJ14" s="158">
        <f t="shared" si="30"/>
        <v>0</v>
      </c>
      <c r="AK14" s="158">
        <f t="shared" si="31"/>
        <v>0</v>
      </c>
      <c r="AL14" s="158">
        <f t="shared" si="32"/>
        <v>0</v>
      </c>
      <c r="AM14" s="158">
        <f t="shared" si="33"/>
        <v>0</v>
      </c>
      <c r="AN14" s="158">
        <f t="shared" si="34"/>
        <v>0</v>
      </c>
      <c r="AO14" s="158">
        <f t="shared" si="35"/>
        <v>0</v>
      </c>
      <c r="AP14" s="158">
        <f t="shared" si="36"/>
        <v>0</v>
      </c>
      <c r="AQ14" s="158">
        <f t="shared" si="37"/>
        <v>0</v>
      </c>
      <c r="AR14" s="158">
        <f t="shared" si="38"/>
        <v>0</v>
      </c>
      <c r="AS14" s="158">
        <f t="shared" si="39"/>
        <v>0</v>
      </c>
      <c r="AT14" s="158">
        <f t="shared" si="40"/>
        <v>0</v>
      </c>
      <c r="AU14" s="158">
        <f t="shared" si="41"/>
        <v>0</v>
      </c>
      <c r="AV14" s="158">
        <f t="shared" si="42"/>
        <v>0</v>
      </c>
      <c r="AW14" s="158">
        <f t="shared" si="43"/>
        <v>0</v>
      </c>
      <c r="AX14" s="158">
        <f t="shared" si="44"/>
        <v>0</v>
      </c>
      <c r="AY14" s="158">
        <f t="shared" si="45"/>
        <v>0</v>
      </c>
      <c r="AZ14" s="158">
        <f t="shared" si="46"/>
        <v>0</v>
      </c>
      <c r="BA14" s="158">
        <f t="shared" si="47"/>
        <v>0</v>
      </c>
      <c r="BB14" s="158">
        <f t="shared" si="48"/>
        <v>0</v>
      </c>
      <c r="BC14" s="158">
        <f t="shared" si="49"/>
        <v>0</v>
      </c>
      <c r="BD14" s="158">
        <f t="shared" si="50"/>
        <v>0</v>
      </c>
    </row>
    <row r="15" ht="19.5" customHeight="1">
      <c r="A15" s="157"/>
      <c r="B15" s="162">
        <v>4.0</v>
      </c>
      <c r="C15" s="159" t="s">
        <v>119</v>
      </c>
      <c r="D15" s="160" t="s">
        <v>32</v>
      </c>
      <c r="E15" s="160" t="s">
        <v>32</v>
      </c>
      <c r="F15" s="163">
        <f t="array" ref="F15">COUNTIF(INDIRECT("'"&amp;D15&amp;"'!A:A"),C15&amp;"*")</f>
        <v>0</v>
      </c>
      <c r="G15" s="158">
        <f t="shared" si="1"/>
        <v>0</v>
      </c>
      <c r="H15" s="158">
        <f t="shared" si="2"/>
        <v>0</v>
      </c>
      <c r="I15" s="158">
        <f t="shared" si="3"/>
        <v>0</v>
      </c>
      <c r="J15" s="158">
        <f t="shared" si="4"/>
        <v>0</v>
      </c>
      <c r="K15" s="158">
        <f t="shared" si="5"/>
        <v>0</v>
      </c>
      <c r="L15" s="158">
        <f t="shared" si="6"/>
        <v>0</v>
      </c>
      <c r="M15" s="158">
        <f t="shared" si="7"/>
        <v>0</v>
      </c>
      <c r="N15" s="158">
        <f t="shared" si="8"/>
        <v>0</v>
      </c>
      <c r="O15" s="158">
        <f t="shared" si="9"/>
        <v>0</v>
      </c>
      <c r="P15" s="158">
        <f t="shared" si="10"/>
        <v>0</v>
      </c>
      <c r="Q15" s="158">
        <f t="shared" si="11"/>
        <v>0</v>
      </c>
      <c r="R15" s="158">
        <f t="shared" si="12"/>
        <v>0</v>
      </c>
      <c r="S15" s="158">
        <f t="shared" si="13"/>
        <v>0</v>
      </c>
      <c r="T15" s="158">
        <f t="shared" si="14"/>
        <v>0</v>
      </c>
      <c r="U15" s="158">
        <f t="shared" si="15"/>
        <v>0</v>
      </c>
      <c r="V15" s="158">
        <f t="shared" si="16"/>
        <v>0</v>
      </c>
      <c r="W15" s="158">
        <f t="shared" si="17"/>
        <v>0</v>
      </c>
      <c r="X15" s="158">
        <f t="shared" si="18"/>
        <v>0</v>
      </c>
      <c r="Y15" s="158">
        <f t="shared" si="19"/>
        <v>0</v>
      </c>
      <c r="Z15" s="158">
        <f t="shared" si="20"/>
        <v>0</v>
      </c>
      <c r="AA15" s="158">
        <f t="shared" si="21"/>
        <v>0</v>
      </c>
      <c r="AB15" s="158">
        <f t="shared" si="22"/>
        <v>0</v>
      </c>
      <c r="AC15" s="158">
        <f t="shared" si="23"/>
        <v>0</v>
      </c>
      <c r="AD15" s="158">
        <f t="shared" si="24"/>
        <v>0</v>
      </c>
      <c r="AE15" s="158">
        <f t="shared" si="25"/>
        <v>0</v>
      </c>
      <c r="AF15" s="158">
        <f t="shared" si="26"/>
        <v>0</v>
      </c>
      <c r="AG15" s="158">
        <f t="shared" si="27"/>
        <v>0</v>
      </c>
      <c r="AH15" s="158">
        <f t="shared" si="28"/>
        <v>0</v>
      </c>
      <c r="AI15" s="158">
        <f t="shared" si="29"/>
        <v>0</v>
      </c>
      <c r="AJ15" s="158">
        <f t="shared" si="30"/>
        <v>0</v>
      </c>
      <c r="AK15" s="158">
        <f t="shared" si="31"/>
        <v>0</v>
      </c>
      <c r="AL15" s="158">
        <f t="shared" si="32"/>
        <v>0</v>
      </c>
      <c r="AM15" s="158">
        <f t="shared" si="33"/>
        <v>0</v>
      </c>
      <c r="AN15" s="158">
        <f t="shared" si="34"/>
        <v>0</v>
      </c>
      <c r="AO15" s="158">
        <f t="shared" si="35"/>
        <v>0</v>
      </c>
      <c r="AP15" s="158">
        <f t="shared" si="36"/>
        <v>0</v>
      </c>
      <c r="AQ15" s="158">
        <f t="shared" si="37"/>
        <v>0</v>
      </c>
      <c r="AR15" s="158">
        <f t="shared" si="38"/>
        <v>0</v>
      </c>
      <c r="AS15" s="158">
        <f t="shared" si="39"/>
        <v>0</v>
      </c>
      <c r="AT15" s="158">
        <f t="shared" si="40"/>
        <v>0</v>
      </c>
      <c r="AU15" s="158">
        <f t="shared" si="41"/>
        <v>0</v>
      </c>
      <c r="AV15" s="158">
        <f t="shared" si="42"/>
        <v>0</v>
      </c>
      <c r="AW15" s="158">
        <f t="shared" si="43"/>
        <v>0</v>
      </c>
      <c r="AX15" s="158">
        <f t="shared" si="44"/>
        <v>0</v>
      </c>
      <c r="AY15" s="158">
        <f t="shared" si="45"/>
        <v>0</v>
      </c>
      <c r="AZ15" s="158">
        <f t="shared" si="46"/>
        <v>0</v>
      </c>
      <c r="BA15" s="158">
        <f t="shared" si="47"/>
        <v>0</v>
      </c>
      <c r="BB15" s="158">
        <f t="shared" si="48"/>
        <v>0</v>
      </c>
      <c r="BC15" s="158">
        <f t="shared" si="49"/>
        <v>0</v>
      </c>
      <c r="BD15" s="158">
        <f t="shared" si="50"/>
        <v>0</v>
      </c>
    </row>
    <row r="16">
      <c r="A16" s="157"/>
      <c r="B16" s="164" t="s">
        <v>120</v>
      </c>
      <c r="C16" s="165"/>
      <c r="D16" s="165"/>
      <c r="E16" s="166"/>
      <c r="F16" s="167">
        <f t="shared" ref="F16:G16" si="52">SUM(F10:F15)</f>
        <v>300</v>
      </c>
      <c r="G16" s="168">
        <f t="shared" si="52"/>
        <v>0</v>
      </c>
      <c r="H16" s="168">
        <f>SUM(H10:H14)</f>
        <v>0</v>
      </c>
      <c r="I16" s="168">
        <f t="shared" ref="I16:K16" si="53">SUM(I10:I15)</f>
        <v>0</v>
      </c>
      <c r="J16" s="168">
        <f t="shared" si="53"/>
        <v>0</v>
      </c>
      <c r="K16" s="168">
        <f t="shared" si="53"/>
        <v>0</v>
      </c>
      <c r="L16" s="168">
        <f t="shared" ref="L16:BD16" si="54">SUM(L10)</f>
        <v>0</v>
      </c>
      <c r="M16" s="168">
        <f t="shared" si="54"/>
        <v>0</v>
      </c>
      <c r="N16" s="168">
        <f t="shared" si="54"/>
        <v>0</v>
      </c>
      <c r="O16" s="168">
        <f t="shared" si="54"/>
        <v>0</v>
      </c>
      <c r="P16" s="168">
        <f t="shared" si="54"/>
        <v>0</v>
      </c>
      <c r="Q16" s="168">
        <f t="shared" si="54"/>
        <v>0</v>
      </c>
      <c r="R16" s="168">
        <f t="shared" si="54"/>
        <v>0</v>
      </c>
      <c r="S16" s="168">
        <f t="shared" si="54"/>
        <v>0</v>
      </c>
      <c r="T16" s="168">
        <f t="shared" si="54"/>
        <v>0</v>
      </c>
      <c r="U16" s="168">
        <f t="shared" si="54"/>
        <v>0</v>
      </c>
      <c r="V16" s="168">
        <f t="shared" si="54"/>
        <v>0</v>
      </c>
      <c r="W16" s="168">
        <f t="shared" si="54"/>
        <v>0</v>
      </c>
      <c r="X16" s="168">
        <f t="shared" si="54"/>
        <v>0</v>
      </c>
      <c r="Y16" s="168">
        <f t="shared" si="54"/>
        <v>0</v>
      </c>
      <c r="Z16" s="168">
        <f t="shared" si="54"/>
        <v>0</v>
      </c>
      <c r="AA16" s="168">
        <f t="shared" si="54"/>
        <v>0</v>
      </c>
      <c r="AB16" s="168">
        <f t="shared" si="54"/>
        <v>0</v>
      </c>
      <c r="AC16" s="168">
        <f t="shared" si="54"/>
        <v>0</v>
      </c>
      <c r="AD16" s="168">
        <f t="shared" si="54"/>
        <v>0</v>
      </c>
      <c r="AE16" s="168">
        <f t="shared" si="54"/>
        <v>0</v>
      </c>
      <c r="AF16" s="168">
        <f t="shared" si="54"/>
        <v>0</v>
      </c>
      <c r="AG16" s="168">
        <f t="shared" si="54"/>
        <v>0</v>
      </c>
      <c r="AH16" s="168">
        <f t="shared" si="54"/>
        <v>0</v>
      </c>
      <c r="AI16" s="168">
        <f t="shared" si="54"/>
        <v>0</v>
      </c>
      <c r="AJ16" s="168">
        <f t="shared" si="54"/>
        <v>0</v>
      </c>
      <c r="AK16" s="168">
        <f t="shared" si="54"/>
        <v>0</v>
      </c>
      <c r="AL16" s="168">
        <f t="shared" si="54"/>
        <v>0</v>
      </c>
      <c r="AM16" s="168">
        <f t="shared" si="54"/>
        <v>0</v>
      </c>
      <c r="AN16" s="168">
        <f t="shared" si="54"/>
        <v>0</v>
      </c>
      <c r="AO16" s="168">
        <f t="shared" si="54"/>
        <v>0</v>
      </c>
      <c r="AP16" s="168">
        <f t="shared" si="54"/>
        <v>0</v>
      </c>
      <c r="AQ16" s="168">
        <f t="shared" si="54"/>
        <v>0</v>
      </c>
      <c r="AR16" s="168">
        <f t="shared" si="54"/>
        <v>0</v>
      </c>
      <c r="AS16" s="168">
        <f t="shared" si="54"/>
        <v>0</v>
      </c>
      <c r="AT16" s="168">
        <f t="shared" si="54"/>
        <v>0</v>
      </c>
      <c r="AU16" s="168">
        <f t="shared" si="54"/>
        <v>0</v>
      </c>
      <c r="AV16" s="168">
        <f t="shared" si="54"/>
        <v>0</v>
      </c>
      <c r="AW16" s="168">
        <f t="shared" si="54"/>
        <v>0</v>
      </c>
      <c r="AX16" s="168">
        <f t="shared" si="54"/>
        <v>0</v>
      </c>
      <c r="AY16" s="168">
        <f t="shared" si="54"/>
        <v>0</v>
      </c>
      <c r="AZ16" s="168">
        <f t="shared" si="54"/>
        <v>0</v>
      </c>
      <c r="BA16" s="168">
        <f t="shared" si="54"/>
        <v>0</v>
      </c>
      <c r="BB16" s="168">
        <f t="shared" si="54"/>
        <v>0</v>
      </c>
      <c r="BC16" s="168">
        <f t="shared" si="54"/>
        <v>0</v>
      </c>
      <c r="BD16" s="168">
        <f t="shared" si="54"/>
        <v>0</v>
      </c>
    </row>
    <row r="17">
      <c r="A17" s="169"/>
      <c r="B17" s="170" t="s">
        <v>121</v>
      </c>
      <c r="C17" s="148"/>
      <c r="D17" s="148"/>
      <c r="E17" s="171"/>
      <c r="F17" s="172"/>
      <c r="G17" s="173">
        <f>IFERROR(G16/$F$16,0)</f>
        <v>0</v>
      </c>
      <c r="H17" s="174">
        <f>IFERROR(H16/G$16,0)</f>
        <v>0</v>
      </c>
      <c r="I17" s="174">
        <f>IFERROR(I16/G$16,0)</f>
        <v>0</v>
      </c>
      <c r="J17" s="174">
        <f>IFERROR(J16/G$16,0)</f>
        <v>0</v>
      </c>
      <c r="K17" s="174">
        <f t="shared" ref="K17:L17" si="55">IFERROR(K16/$F$16,0)</f>
        <v>0</v>
      </c>
      <c r="L17" s="173">
        <f t="shared" si="55"/>
        <v>0</v>
      </c>
      <c r="M17" s="174">
        <f>IFERROR(M16/L$16,0)</f>
        <v>0</v>
      </c>
      <c r="N17" s="174">
        <f>IFERROR(N16/L$16,0)</f>
        <v>0</v>
      </c>
      <c r="O17" s="174">
        <f>IFERROR(O16/L$16,0)</f>
        <v>0</v>
      </c>
      <c r="P17" s="174">
        <f t="shared" ref="P17:Q17" si="56">IFERROR(P16/$F$16,0)</f>
        <v>0</v>
      </c>
      <c r="Q17" s="173">
        <f t="shared" si="56"/>
        <v>0</v>
      </c>
      <c r="R17" s="174">
        <f>IFERROR(R16/Q$16,0)</f>
        <v>0</v>
      </c>
      <c r="S17" s="174">
        <f>IFERROR(S16/Q$16,0)</f>
        <v>0</v>
      </c>
      <c r="T17" s="174">
        <f>IFERROR(T16/Q$16,0)</f>
        <v>0</v>
      </c>
      <c r="U17" s="174">
        <f t="shared" ref="U17:V17" si="57">IFERROR(U16/$F$16,0)</f>
        <v>0</v>
      </c>
      <c r="V17" s="173">
        <f t="shared" si="57"/>
        <v>0</v>
      </c>
      <c r="W17" s="174">
        <f>IFERROR(W16/V$16,0)</f>
        <v>0</v>
      </c>
      <c r="X17" s="174">
        <f>IFERROR(X16/V$16,0)</f>
        <v>0</v>
      </c>
      <c r="Y17" s="174">
        <f>IFERROR(Y16/V$16,0)</f>
        <v>0</v>
      </c>
      <c r="Z17" s="174">
        <f t="shared" ref="Z17:AA17" si="58">IFERROR(Z16/$F$16,0)</f>
        <v>0</v>
      </c>
      <c r="AA17" s="173">
        <f t="shared" si="58"/>
        <v>0</v>
      </c>
      <c r="AB17" s="174">
        <f>IFERROR(AB16/AA$16,0)</f>
        <v>0</v>
      </c>
      <c r="AC17" s="174">
        <f>IFERROR(AC16/AA$16,0)</f>
        <v>0</v>
      </c>
      <c r="AD17" s="174">
        <f>IFERROR(AD16/AA$16,0)</f>
        <v>0</v>
      </c>
      <c r="AE17" s="174">
        <f t="shared" ref="AE17:AF17" si="59">IFERROR(AE16/$F$16,0)</f>
        <v>0</v>
      </c>
      <c r="AF17" s="173">
        <f t="shared" si="59"/>
        <v>0</v>
      </c>
      <c r="AG17" s="174">
        <f>IFERROR(AG16/AF$16,0)</f>
        <v>0</v>
      </c>
      <c r="AH17" s="174">
        <f>IFERROR(AH16/AF$16,0)</f>
        <v>0</v>
      </c>
      <c r="AI17" s="174">
        <f>IFERROR(AI16/AF$16,0)</f>
        <v>0</v>
      </c>
      <c r="AJ17" s="174">
        <f t="shared" ref="AJ17:AK17" si="60">IFERROR(AJ16/$F$16,0)</f>
        <v>0</v>
      </c>
      <c r="AK17" s="173">
        <f t="shared" si="60"/>
        <v>0</v>
      </c>
      <c r="AL17" s="174">
        <f>IFERROR(AL16/AK$16,0)</f>
        <v>0</v>
      </c>
      <c r="AM17" s="174">
        <f>IFERROR(AM16/AK$16,0)</f>
        <v>0</v>
      </c>
      <c r="AN17" s="174">
        <f>IFERROR(AN16/AK$16,0)</f>
        <v>0</v>
      </c>
      <c r="AO17" s="174">
        <f t="shared" ref="AO17:AP17" si="61">IFERROR(AO16/$F$16,0)</f>
        <v>0</v>
      </c>
      <c r="AP17" s="173">
        <f t="shared" si="61"/>
        <v>0</v>
      </c>
      <c r="AQ17" s="174">
        <f>IFERROR(AQ16/AP$16,0)</f>
        <v>0</v>
      </c>
      <c r="AR17" s="174">
        <f>IFERROR(AR16/AP$16,0)</f>
        <v>0</v>
      </c>
      <c r="AS17" s="174">
        <f>IFERROR(AS16/AP$16,0)</f>
        <v>0</v>
      </c>
      <c r="AT17" s="174">
        <f t="shared" ref="AT17:AU17" si="62">IFERROR(AT16/$F$16,0)</f>
        <v>0</v>
      </c>
      <c r="AU17" s="173">
        <f t="shared" si="62"/>
        <v>0</v>
      </c>
      <c r="AV17" s="174">
        <f>IFERROR(AV16/AU$16,0)</f>
        <v>0</v>
      </c>
      <c r="AW17" s="174">
        <f>IFERROR(AW16/AU$16,0)</f>
        <v>0</v>
      </c>
      <c r="AX17" s="174">
        <f>IFERROR(AX16/AU$16,0)</f>
        <v>0</v>
      </c>
      <c r="AY17" s="174">
        <f t="shared" ref="AY17:AZ17" si="63">IFERROR(AY16/$F$16,0)</f>
        <v>0</v>
      </c>
      <c r="AZ17" s="173">
        <f t="shared" si="63"/>
        <v>0</v>
      </c>
      <c r="BA17" s="174">
        <f>IFERROR(BA16/AZ$16,0)</f>
        <v>0</v>
      </c>
      <c r="BB17" s="174">
        <f>IFERROR(BB16/AZ$16,0)</f>
        <v>0</v>
      </c>
      <c r="BC17" s="174">
        <f>IFERROR(BC16/AZ$16,0)</f>
        <v>0</v>
      </c>
      <c r="BD17" s="174">
        <f>IFERROR(BD16/$F$16,0)</f>
        <v>0</v>
      </c>
    </row>
    <row r="18">
      <c r="A18" s="130"/>
      <c r="B18" s="130"/>
      <c r="C18" s="130"/>
      <c r="D18" s="130"/>
      <c r="E18" s="130"/>
      <c r="F18" s="14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row>
    <row r="19">
      <c r="A19" s="130"/>
      <c r="B19" s="130"/>
      <c r="C19" s="130"/>
      <c r="D19" s="130"/>
      <c r="E19" s="130"/>
      <c r="F19" s="140"/>
      <c r="G19" s="130"/>
      <c r="H19" s="175"/>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row>
    <row r="20">
      <c r="A20" s="130"/>
      <c r="B20" s="130"/>
      <c r="C20" s="130"/>
      <c r="D20" s="130"/>
      <c r="E20" s="130"/>
      <c r="F20" s="14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row>
    <row r="21">
      <c r="A21" s="130"/>
      <c r="B21" s="130"/>
      <c r="C21" s="130"/>
      <c r="D21" s="130"/>
      <c r="E21" s="130"/>
      <c r="F21" s="14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30"/>
      <c r="BD21" s="130"/>
    </row>
    <row r="22">
      <c r="A22" s="130"/>
      <c r="B22" s="130"/>
      <c r="C22" s="130"/>
      <c r="D22" s="130"/>
      <c r="E22" s="130"/>
      <c r="F22" s="14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row>
    <row r="23">
      <c r="A23" s="130"/>
      <c r="B23" s="130"/>
      <c r="C23" s="130"/>
      <c r="D23" s="130"/>
      <c r="E23" s="130"/>
      <c r="F23" s="14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row>
    <row r="24">
      <c r="A24" s="130"/>
      <c r="B24" s="130"/>
      <c r="C24" s="130"/>
      <c r="D24" s="130"/>
      <c r="E24" s="130"/>
      <c r="F24" s="14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row>
    <row r="25">
      <c r="A25" s="130"/>
      <c r="B25" s="130"/>
      <c r="C25" s="130"/>
      <c r="D25" s="130"/>
      <c r="E25" s="130"/>
      <c r="F25" s="14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row>
    <row r="26">
      <c r="A26" s="130"/>
      <c r="B26" s="130"/>
      <c r="C26" s="130"/>
      <c r="D26" s="130"/>
      <c r="E26" s="130"/>
      <c r="F26" s="140"/>
      <c r="G26" s="130"/>
      <c r="H26" s="130"/>
      <c r="I26" s="175"/>
      <c r="J26" s="175"/>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row>
    <row r="27">
      <c r="A27" s="130"/>
      <c r="B27" s="130"/>
      <c r="C27" s="130"/>
      <c r="D27" s="130"/>
      <c r="E27" s="130"/>
      <c r="F27" s="14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row>
    <row r="28">
      <c r="A28" s="130"/>
      <c r="B28" s="130"/>
      <c r="C28" s="130"/>
      <c r="D28" s="130"/>
      <c r="E28" s="130"/>
      <c r="F28" s="14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row>
    <row r="29">
      <c r="A29" s="130"/>
      <c r="B29" s="130"/>
      <c r="C29" s="130"/>
      <c r="D29" s="130"/>
      <c r="E29" s="130"/>
      <c r="F29" s="14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row>
    <row r="30">
      <c r="A30" s="130"/>
      <c r="B30" s="130"/>
      <c r="C30" s="130"/>
      <c r="D30" s="130"/>
      <c r="E30" s="130"/>
      <c r="F30" s="14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row>
    <row r="31">
      <c r="A31" s="130"/>
      <c r="B31" s="130"/>
      <c r="C31" s="130"/>
      <c r="D31" s="130"/>
      <c r="E31" s="130"/>
      <c r="F31" s="14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row>
    <row r="32">
      <c r="A32" s="130"/>
      <c r="B32" s="130"/>
      <c r="C32" s="130"/>
      <c r="D32" s="130"/>
      <c r="E32" s="130"/>
      <c r="F32" s="14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row>
    <row r="33">
      <c r="A33" s="130"/>
      <c r="B33" s="130"/>
      <c r="C33" s="130"/>
      <c r="D33" s="130"/>
      <c r="E33" s="130"/>
      <c r="F33" s="14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row>
    <row r="34">
      <c r="A34" s="130"/>
      <c r="B34" s="130"/>
      <c r="C34" s="130"/>
      <c r="D34" s="130"/>
      <c r="E34" s="130"/>
      <c r="F34" s="14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row>
    <row r="35">
      <c r="A35" s="130"/>
      <c r="B35" s="130"/>
      <c r="C35" s="130"/>
      <c r="D35" s="130"/>
      <c r="E35" s="130"/>
      <c r="F35" s="14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row>
    <row r="36">
      <c r="A36" s="130"/>
      <c r="B36" s="130"/>
      <c r="C36" s="130"/>
      <c r="D36" s="130"/>
      <c r="E36" s="130"/>
      <c r="F36" s="14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row>
    <row r="37">
      <c r="A37" s="130"/>
      <c r="B37" s="130"/>
      <c r="C37" s="130"/>
      <c r="D37" s="130"/>
      <c r="E37" s="130"/>
      <c r="F37" s="14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row>
    <row r="38">
      <c r="A38" s="130"/>
      <c r="B38" s="130"/>
      <c r="C38" s="130"/>
      <c r="D38" s="130"/>
      <c r="E38" s="130"/>
      <c r="F38" s="14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row>
    <row r="39">
      <c r="A39" s="130"/>
      <c r="B39" s="130"/>
      <c r="C39" s="130"/>
      <c r="D39" s="130"/>
      <c r="E39" s="130"/>
      <c r="F39" s="14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row>
    <row r="40">
      <c r="A40" s="130"/>
      <c r="B40" s="130"/>
      <c r="C40" s="130"/>
      <c r="D40" s="130"/>
      <c r="E40" s="130"/>
      <c r="F40" s="14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row>
    <row r="41">
      <c r="A41" s="130"/>
      <c r="B41" s="130"/>
      <c r="C41" s="130"/>
      <c r="D41" s="130"/>
      <c r="E41" s="130"/>
      <c r="F41" s="14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row>
    <row r="42">
      <c r="A42" s="130"/>
      <c r="B42" s="130"/>
      <c r="C42" s="130"/>
      <c r="D42" s="130"/>
      <c r="E42" s="130"/>
      <c r="F42" s="14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row>
    <row r="43">
      <c r="A43" s="130"/>
      <c r="B43" s="130"/>
      <c r="C43" s="130"/>
      <c r="D43" s="130"/>
      <c r="E43" s="130"/>
      <c r="F43" s="14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row>
    <row r="44">
      <c r="A44" s="130"/>
      <c r="B44" s="130"/>
      <c r="C44" s="130"/>
      <c r="D44" s="130"/>
      <c r="E44" s="130"/>
      <c r="F44" s="14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row>
    <row r="45">
      <c r="A45" s="130"/>
      <c r="B45" s="130"/>
      <c r="C45" s="130"/>
      <c r="D45" s="130"/>
      <c r="E45" s="130"/>
      <c r="F45" s="14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row>
    <row r="46">
      <c r="A46" s="130"/>
      <c r="B46" s="130"/>
      <c r="C46" s="130"/>
      <c r="D46" s="130"/>
      <c r="E46" s="130"/>
      <c r="F46" s="14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0"/>
      <c r="AX46" s="130"/>
      <c r="AY46" s="130"/>
      <c r="AZ46" s="130"/>
      <c r="BA46" s="130"/>
      <c r="BB46" s="130"/>
      <c r="BC46" s="130"/>
      <c r="BD46" s="130"/>
    </row>
    <row r="47">
      <c r="A47" s="130"/>
      <c r="B47" s="130"/>
      <c r="C47" s="130"/>
      <c r="D47" s="130"/>
      <c r="E47" s="130"/>
      <c r="F47" s="14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0"/>
    </row>
    <row r="48">
      <c r="A48" s="130"/>
      <c r="B48" s="130"/>
      <c r="C48" s="130"/>
      <c r="D48" s="130"/>
      <c r="E48" s="130"/>
      <c r="F48" s="14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row>
    <row r="49">
      <c r="A49" s="130"/>
      <c r="B49" s="130"/>
      <c r="C49" s="130"/>
      <c r="D49" s="130"/>
      <c r="E49" s="130"/>
      <c r="F49" s="14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row>
    <row r="50">
      <c r="A50" s="130"/>
      <c r="B50" s="130"/>
      <c r="C50" s="130"/>
      <c r="D50" s="130"/>
      <c r="E50" s="130"/>
      <c r="F50" s="14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row>
    <row r="51">
      <c r="A51" s="130"/>
      <c r="B51" s="130"/>
      <c r="C51" s="130"/>
      <c r="D51" s="130"/>
      <c r="E51" s="130"/>
      <c r="F51" s="14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row>
    <row r="52">
      <c r="A52" s="130"/>
      <c r="B52" s="130"/>
      <c r="C52" s="130"/>
      <c r="D52" s="130"/>
      <c r="E52" s="130"/>
      <c r="F52" s="14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0"/>
      <c r="AX52" s="130"/>
      <c r="AY52" s="130"/>
      <c r="AZ52" s="130"/>
      <c r="BA52" s="130"/>
      <c r="BB52" s="130"/>
      <c r="BC52" s="130"/>
      <c r="BD52" s="130"/>
    </row>
    <row r="53">
      <c r="A53" s="130"/>
      <c r="B53" s="130"/>
      <c r="C53" s="130"/>
      <c r="D53" s="130"/>
      <c r="E53" s="130"/>
      <c r="F53" s="140"/>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0"/>
      <c r="AR53" s="130"/>
      <c r="AS53" s="130"/>
      <c r="AT53" s="130"/>
      <c r="AU53" s="130"/>
      <c r="AV53" s="130"/>
      <c r="AW53" s="130"/>
      <c r="AX53" s="130"/>
      <c r="AY53" s="130"/>
      <c r="AZ53" s="130"/>
      <c r="BA53" s="130"/>
      <c r="BB53" s="130"/>
      <c r="BC53" s="130"/>
      <c r="BD53" s="130"/>
    </row>
    <row r="54">
      <c r="A54" s="130"/>
      <c r="B54" s="130"/>
      <c r="C54" s="130"/>
      <c r="D54" s="130"/>
      <c r="E54" s="130"/>
      <c r="F54" s="14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row>
    <row r="55">
      <c r="A55" s="130"/>
      <c r="B55" s="130"/>
      <c r="C55" s="130"/>
      <c r="D55" s="130"/>
      <c r="E55" s="130"/>
      <c r="F55" s="14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c r="AM55" s="130"/>
      <c r="AN55" s="130"/>
      <c r="AO55" s="130"/>
      <c r="AP55" s="130"/>
      <c r="AQ55" s="130"/>
      <c r="AR55" s="130"/>
      <c r="AS55" s="130"/>
      <c r="AT55" s="130"/>
      <c r="AU55" s="130"/>
      <c r="AV55" s="130"/>
      <c r="AW55" s="130"/>
      <c r="AX55" s="130"/>
      <c r="AY55" s="130"/>
      <c r="AZ55" s="130"/>
      <c r="BA55" s="130"/>
      <c r="BB55" s="130"/>
      <c r="BC55" s="130"/>
      <c r="BD55" s="130"/>
    </row>
    <row r="56">
      <c r="A56" s="130"/>
      <c r="B56" s="130"/>
      <c r="C56" s="130"/>
      <c r="D56" s="130"/>
      <c r="E56" s="130"/>
      <c r="F56" s="14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c r="AH56" s="130"/>
      <c r="AI56" s="130"/>
      <c r="AJ56" s="130"/>
      <c r="AK56" s="130"/>
      <c r="AL56" s="130"/>
      <c r="AM56" s="130"/>
      <c r="AN56" s="130"/>
      <c r="AO56" s="130"/>
      <c r="AP56" s="130"/>
      <c r="AQ56" s="130"/>
      <c r="AR56" s="130"/>
      <c r="AS56" s="130"/>
      <c r="AT56" s="130"/>
      <c r="AU56" s="130"/>
      <c r="AV56" s="130"/>
      <c r="AW56" s="130"/>
      <c r="AX56" s="130"/>
      <c r="AY56" s="130"/>
      <c r="AZ56" s="130"/>
      <c r="BA56" s="130"/>
      <c r="BB56" s="130"/>
      <c r="BC56" s="130"/>
      <c r="BD56" s="130"/>
    </row>
    <row r="57">
      <c r="A57" s="130"/>
      <c r="B57" s="130"/>
      <c r="C57" s="130"/>
      <c r="D57" s="130"/>
      <c r="E57" s="130"/>
      <c r="F57" s="14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c r="AM57" s="130"/>
      <c r="AN57" s="130"/>
      <c r="AO57" s="130"/>
      <c r="AP57" s="130"/>
      <c r="AQ57" s="130"/>
      <c r="AR57" s="130"/>
      <c r="AS57" s="130"/>
      <c r="AT57" s="130"/>
      <c r="AU57" s="130"/>
      <c r="AV57" s="130"/>
      <c r="AW57" s="130"/>
      <c r="AX57" s="130"/>
      <c r="AY57" s="130"/>
      <c r="AZ57" s="130"/>
      <c r="BA57" s="130"/>
      <c r="BB57" s="130"/>
      <c r="BC57" s="130"/>
      <c r="BD57" s="130"/>
    </row>
    <row r="58">
      <c r="A58" s="130"/>
      <c r="B58" s="130"/>
      <c r="C58" s="130"/>
      <c r="D58" s="130"/>
      <c r="E58" s="130"/>
      <c r="F58" s="14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c r="AM58" s="130"/>
      <c r="AN58" s="130"/>
      <c r="AO58" s="130"/>
      <c r="AP58" s="130"/>
      <c r="AQ58" s="130"/>
      <c r="AR58" s="130"/>
      <c r="AS58" s="130"/>
      <c r="AT58" s="130"/>
      <c r="AU58" s="130"/>
      <c r="AV58" s="130"/>
      <c r="AW58" s="130"/>
      <c r="AX58" s="130"/>
      <c r="AY58" s="130"/>
      <c r="AZ58" s="130"/>
      <c r="BA58" s="130"/>
      <c r="BB58" s="130"/>
      <c r="BC58" s="130"/>
      <c r="BD58" s="130"/>
    </row>
    <row r="59">
      <c r="A59" s="130"/>
      <c r="B59" s="130"/>
      <c r="C59" s="130"/>
      <c r="D59" s="130"/>
      <c r="E59" s="130"/>
      <c r="F59" s="14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row>
    <row r="60">
      <c r="A60" s="130"/>
      <c r="B60" s="130"/>
      <c r="C60" s="130"/>
      <c r="D60" s="130"/>
      <c r="E60" s="130"/>
      <c r="F60" s="14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row>
    <row r="61">
      <c r="A61" s="130"/>
      <c r="B61" s="130"/>
      <c r="C61" s="130"/>
      <c r="D61" s="130"/>
      <c r="E61" s="130"/>
      <c r="F61" s="14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row>
    <row r="62">
      <c r="A62" s="130"/>
      <c r="B62" s="130"/>
      <c r="C62" s="130"/>
      <c r="D62" s="130"/>
      <c r="E62" s="130"/>
      <c r="F62" s="14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row>
    <row r="63">
      <c r="A63" s="130"/>
      <c r="B63" s="130"/>
      <c r="C63" s="130"/>
      <c r="D63" s="130"/>
      <c r="E63" s="130"/>
      <c r="F63" s="14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row>
    <row r="64">
      <c r="A64" s="130"/>
      <c r="B64" s="130"/>
      <c r="C64" s="130"/>
      <c r="D64" s="130"/>
      <c r="E64" s="130"/>
      <c r="F64" s="14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row>
    <row r="65">
      <c r="A65" s="130"/>
      <c r="B65" s="130"/>
      <c r="C65" s="130"/>
      <c r="D65" s="130"/>
      <c r="E65" s="130"/>
      <c r="F65" s="14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row>
    <row r="66">
      <c r="A66" s="130"/>
      <c r="B66" s="130"/>
      <c r="C66" s="130"/>
      <c r="D66" s="130"/>
      <c r="E66" s="130"/>
      <c r="F66" s="14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row>
    <row r="67">
      <c r="A67" s="130"/>
      <c r="B67" s="130"/>
      <c r="C67" s="130"/>
      <c r="D67" s="130"/>
      <c r="E67" s="130"/>
      <c r="F67" s="14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row>
    <row r="68">
      <c r="A68" s="130"/>
      <c r="B68" s="130"/>
      <c r="C68" s="130"/>
      <c r="D68" s="130"/>
      <c r="E68" s="130"/>
      <c r="F68" s="14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row>
    <row r="69">
      <c r="A69" s="130"/>
      <c r="B69" s="130"/>
      <c r="C69" s="130"/>
      <c r="D69" s="130"/>
      <c r="E69" s="130"/>
      <c r="F69" s="14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row>
    <row r="70">
      <c r="A70" s="130"/>
      <c r="B70" s="130"/>
      <c r="C70" s="130"/>
      <c r="D70" s="130"/>
      <c r="E70" s="130"/>
      <c r="F70" s="14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c r="AW70" s="130"/>
      <c r="AX70" s="130"/>
      <c r="AY70" s="130"/>
      <c r="AZ70" s="130"/>
      <c r="BA70" s="130"/>
      <c r="BB70" s="130"/>
      <c r="BC70" s="130"/>
      <c r="BD70" s="130"/>
    </row>
    <row r="71">
      <c r="A71" s="130"/>
      <c r="B71" s="130"/>
      <c r="C71" s="130"/>
      <c r="D71" s="130"/>
      <c r="E71" s="130"/>
      <c r="F71" s="14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row>
    <row r="72">
      <c r="A72" s="130"/>
      <c r="B72" s="130"/>
      <c r="C72" s="130"/>
      <c r="D72" s="130"/>
      <c r="E72" s="130"/>
      <c r="F72" s="14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row>
    <row r="73">
      <c r="A73" s="130"/>
      <c r="B73" s="130"/>
      <c r="C73" s="130"/>
      <c r="D73" s="130"/>
      <c r="E73" s="130"/>
      <c r="F73" s="14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c r="AZ73" s="130"/>
      <c r="BA73" s="130"/>
      <c r="BB73" s="130"/>
      <c r="BC73" s="130"/>
      <c r="BD73" s="130"/>
    </row>
    <row r="74">
      <c r="A74" s="130"/>
      <c r="B74" s="130"/>
      <c r="C74" s="130"/>
      <c r="D74" s="130"/>
      <c r="E74" s="130"/>
      <c r="F74" s="14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row>
    <row r="75">
      <c r="A75" s="130"/>
      <c r="B75" s="130"/>
      <c r="C75" s="130"/>
      <c r="D75" s="130"/>
      <c r="E75" s="130"/>
      <c r="F75" s="14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row>
    <row r="76">
      <c r="A76" s="130"/>
      <c r="B76" s="130"/>
      <c r="C76" s="130"/>
      <c r="D76" s="130"/>
      <c r="E76" s="130"/>
      <c r="F76" s="14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row>
    <row r="77">
      <c r="A77" s="130"/>
      <c r="B77" s="130"/>
      <c r="C77" s="130"/>
      <c r="D77" s="130"/>
      <c r="E77" s="130"/>
      <c r="F77" s="14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row>
    <row r="78">
      <c r="A78" s="130"/>
      <c r="B78" s="130"/>
      <c r="C78" s="130"/>
      <c r="D78" s="130"/>
      <c r="E78" s="130"/>
      <c r="F78" s="14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row>
    <row r="79">
      <c r="A79" s="130"/>
      <c r="B79" s="130"/>
      <c r="C79" s="130"/>
      <c r="D79" s="130"/>
      <c r="E79" s="130"/>
      <c r="F79" s="14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row>
    <row r="80">
      <c r="A80" s="130"/>
      <c r="B80" s="130"/>
      <c r="C80" s="130"/>
      <c r="D80" s="130"/>
      <c r="E80" s="130"/>
      <c r="F80" s="14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row>
    <row r="81">
      <c r="A81" s="130"/>
      <c r="B81" s="130"/>
      <c r="C81" s="130"/>
      <c r="D81" s="130"/>
      <c r="E81" s="130"/>
      <c r="F81" s="14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c r="BA81" s="130"/>
      <c r="BB81" s="130"/>
      <c r="BC81" s="130"/>
      <c r="BD81" s="130"/>
    </row>
    <row r="82">
      <c r="A82" s="130"/>
      <c r="B82" s="130"/>
      <c r="C82" s="130"/>
      <c r="D82" s="130"/>
      <c r="E82" s="130"/>
      <c r="F82" s="14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c r="BA82" s="130"/>
      <c r="BB82" s="130"/>
      <c r="BC82" s="130"/>
      <c r="BD82" s="130"/>
    </row>
    <row r="83">
      <c r="A83" s="130"/>
      <c r="B83" s="130"/>
      <c r="C83" s="130"/>
      <c r="D83" s="130"/>
      <c r="E83" s="130"/>
      <c r="F83" s="14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c r="BA83" s="130"/>
      <c r="BB83" s="130"/>
      <c r="BC83" s="130"/>
      <c r="BD83" s="130"/>
    </row>
    <row r="84">
      <c r="A84" s="130"/>
      <c r="B84" s="130"/>
      <c r="C84" s="130"/>
      <c r="D84" s="130"/>
      <c r="E84" s="130"/>
      <c r="F84" s="14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row>
    <row r="85">
      <c r="A85" s="130"/>
      <c r="B85" s="130"/>
      <c r="C85" s="130"/>
      <c r="D85" s="130"/>
      <c r="E85" s="130"/>
      <c r="F85" s="14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c r="BA85" s="130"/>
      <c r="BB85" s="130"/>
      <c r="BC85" s="130"/>
      <c r="BD85" s="130"/>
    </row>
    <row r="86">
      <c r="A86" s="130"/>
      <c r="B86" s="130"/>
      <c r="C86" s="130"/>
      <c r="D86" s="130"/>
      <c r="E86" s="130"/>
      <c r="F86" s="14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c r="BA86" s="130"/>
      <c r="BB86" s="130"/>
      <c r="BC86" s="130"/>
      <c r="BD86" s="130"/>
    </row>
    <row r="87">
      <c r="A87" s="130"/>
      <c r="B87" s="130"/>
      <c r="C87" s="130"/>
      <c r="D87" s="130"/>
      <c r="E87" s="130"/>
      <c r="F87" s="14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c r="BA87" s="130"/>
      <c r="BB87" s="130"/>
      <c r="BC87" s="130"/>
      <c r="BD87" s="130"/>
    </row>
    <row r="88">
      <c r="A88" s="130"/>
      <c r="B88" s="130"/>
      <c r="C88" s="130"/>
      <c r="D88" s="130"/>
      <c r="E88" s="130"/>
      <c r="F88" s="14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c r="BA88" s="130"/>
      <c r="BB88" s="130"/>
      <c r="BC88" s="130"/>
      <c r="BD88" s="130"/>
    </row>
    <row r="89">
      <c r="A89" s="130"/>
      <c r="B89" s="130"/>
      <c r="C89" s="130"/>
      <c r="D89" s="130"/>
      <c r="E89" s="130"/>
      <c r="F89" s="14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row>
    <row r="90">
      <c r="A90" s="130"/>
      <c r="B90" s="130"/>
      <c r="C90" s="130"/>
      <c r="D90" s="130"/>
      <c r="E90" s="130"/>
      <c r="F90" s="14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c r="BA90" s="130"/>
      <c r="BB90" s="130"/>
      <c r="BC90" s="130"/>
      <c r="BD90" s="130"/>
    </row>
    <row r="91">
      <c r="A91" s="130"/>
      <c r="B91" s="130"/>
      <c r="C91" s="130"/>
      <c r="D91" s="130"/>
      <c r="E91" s="130"/>
      <c r="F91" s="14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c r="BA91" s="130"/>
      <c r="BB91" s="130"/>
      <c r="BC91" s="130"/>
      <c r="BD91" s="130"/>
    </row>
    <row r="92">
      <c r="A92" s="130"/>
      <c r="B92" s="130"/>
      <c r="C92" s="130"/>
      <c r="D92" s="130"/>
      <c r="E92" s="130"/>
      <c r="F92" s="14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row>
    <row r="93">
      <c r="A93" s="130"/>
      <c r="B93" s="130"/>
      <c r="C93" s="130"/>
      <c r="D93" s="130"/>
      <c r="E93" s="130"/>
      <c r="F93" s="14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row>
    <row r="94">
      <c r="A94" s="130"/>
      <c r="B94" s="130"/>
      <c r="C94" s="130"/>
      <c r="D94" s="130"/>
      <c r="E94" s="130"/>
      <c r="F94" s="14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row>
    <row r="95">
      <c r="A95" s="130"/>
      <c r="B95" s="130"/>
      <c r="C95" s="130"/>
      <c r="D95" s="130"/>
      <c r="E95" s="130"/>
      <c r="F95" s="14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c r="BB95" s="130"/>
      <c r="BC95" s="130"/>
      <c r="BD95" s="130"/>
    </row>
    <row r="96">
      <c r="A96" s="130"/>
      <c r="B96" s="130"/>
      <c r="C96" s="130"/>
      <c r="D96" s="130"/>
      <c r="E96" s="130"/>
      <c r="F96" s="14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row>
    <row r="97">
      <c r="A97" s="130"/>
      <c r="B97" s="130"/>
      <c r="C97" s="130"/>
      <c r="D97" s="130"/>
      <c r="E97" s="130"/>
      <c r="F97" s="14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row>
    <row r="98">
      <c r="A98" s="130"/>
      <c r="B98" s="130"/>
      <c r="C98" s="130"/>
      <c r="D98" s="130"/>
      <c r="E98" s="130"/>
      <c r="F98" s="14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row>
    <row r="99">
      <c r="A99" s="130"/>
      <c r="B99" s="130"/>
      <c r="C99" s="130"/>
      <c r="D99" s="130"/>
      <c r="E99" s="130"/>
      <c r="F99" s="14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row>
    <row r="100">
      <c r="A100" s="130"/>
      <c r="B100" s="130"/>
      <c r="C100" s="130"/>
      <c r="D100" s="130"/>
      <c r="E100" s="130"/>
      <c r="F100" s="14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c r="BA100" s="130"/>
      <c r="BB100" s="130"/>
      <c r="BC100" s="130"/>
      <c r="BD100" s="130"/>
    </row>
    <row r="101">
      <c r="A101" s="130"/>
      <c r="B101" s="130"/>
      <c r="C101" s="130"/>
      <c r="D101" s="130"/>
      <c r="E101" s="130"/>
      <c r="F101" s="14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c r="BA101" s="130"/>
      <c r="BB101" s="130"/>
      <c r="BC101" s="130"/>
      <c r="BD101" s="130"/>
    </row>
    <row r="102">
      <c r="A102" s="130"/>
      <c r="B102" s="130"/>
      <c r="C102" s="130"/>
      <c r="D102" s="130"/>
      <c r="E102" s="130"/>
      <c r="F102" s="14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c r="BA102" s="130"/>
      <c r="BB102" s="130"/>
      <c r="BC102" s="130"/>
      <c r="BD102" s="130"/>
    </row>
    <row r="103">
      <c r="A103" s="130"/>
      <c r="B103" s="130"/>
      <c r="C103" s="130"/>
      <c r="D103" s="130"/>
      <c r="E103" s="130"/>
      <c r="F103" s="14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c r="BA103" s="130"/>
      <c r="BB103" s="130"/>
      <c r="BC103" s="130"/>
      <c r="BD103" s="130"/>
    </row>
    <row r="104">
      <c r="A104" s="130"/>
      <c r="B104" s="130"/>
      <c r="C104" s="130"/>
      <c r="D104" s="130"/>
      <c r="E104" s="130"/>
      <c r="F104" s="14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c r="AZ104" s="130"/>
      <c r="BA104" s="130"/>
      <c r="BB104" s="130"/>
      <c r="BC104" s="130"/>
      <c r="BD104" s="130"/>
    </row>
    <row r="105">
      <c r="A105" s="130"/>
      <c r="B105" s="130"/>
      <c r="C105" s="130"/>
      <c r="D105" s="130"/>
      <c r="E105" s="130"/>
      <c r="F105" s="14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c r="BA105" s="130"/>
      <c r="BB105" s="130"/>
      <c r="BC105" s="130"/>
      <c r="BD105" s="130"/>
    </row>
    <row r="106">
      <c r="A106" s="130"/>
      <c r="B106" s="130"/>
      <c r="C106" s="130"/>
      <c r="D106" s="130"/>
      <c r="E106" s="130"/>
      <c r="F106" s="14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c r="AZ106" s="130"/>
      <c r="BA106" s="130"/>
      <c r="BB106" s="130"/>
      <c r="BC106" s="130"/>
      <c r="BD106" s="130"/>
    </row>
    <row r="107">
      <c r="A107" s="130"/>
      <c r="B107" s="130"/>
      <c r="C107" s="130"/>
      <c r="D107" s="130"/>
      <c r="E107" s="130"/>
      <c r="F107" s="14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c r="BA107" s="130"/>
      <c r="BB107" s="130"/>
      <c r="BC107" s="130"/>
      <c r="BD107" s="130"/>
    </row>
    <row r="108">
      <c r="A108" s="130"/>
      <c r="B108" s="130"/>
      <c r="C108" s="130"/>
      <c r="D108" s="130"/>
      <c r="E108" s="130"/>
      <c r="F108" s="14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c r="BA108" s="130"/>
      <c r="BB108" s="130"/>
      <c r="BC108" s="130"/>
      <c r="BD108" s="130"/>
    </row>
    <row r="109">
      <c r="A109" s="130"/>
      <c r="B109" s="130"/>
      <c r="C109" s="130"/>
      <c r="D109" s="130"/>
      <c r="E109" s="130"/>
      <c r="F109" s="14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c r="BA109" s="130"/>
      <c r="BB109" s="130"/>
      <c r="BC109" s="130"/>
      <c r="BD109" s="130"/>
    </row>
    <row r="110">
      <c r="A110" s="130"/>
      <c r="B110" s="130"/>
      <c r="C110" s="130"/>
      <c r="D110" s="130"/>
      <c r="E110" s="130"/>
      <c r="F110" s="14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c r="AZ110" s="130"/>
      <c r="BA110" s="130"/>
      <c r="BB110" s="130"/>
      <c r="BC110" s="130"/>
      <c r="BD110" s="130"/>
    </row>
    <row r="111">
      <c r="A111" s="130"/>
      <c r="B111" s="130"/>
      <c r="C111" s="130"/>
      <c r="D111" s="130"/>
      <c r="E111" s="130"/>
      <c r="F111" s="14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c r="AZ111" s="130"/>
      <c r="BA111" s="130"/>
      <c r="BB111" s="130"/>
      <c r="BC111" s="130"/>
      <c r="BD111" s="130"/>
    </row>
    <row r="112">
      <c r="A112" s="130"/>
      <c r="B112" s="130"/>
      <c r="C112" s="130"/>
      <c r="D112" s="130"/>
      <c r="E112" s="130"/>
      <c r="F112" s="14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c r="AZ112" s="130"/>
      <c r="BA112" s="130"/>
      <c r="BB112" s="130"/>
      <c r="BC112" s="130"/>
      <c r="BD112" s="130"/>
    </row>
    <row r="113">
      <c r="A113" s="130"/>
      <c r="B113" s="130"/>
      <c r="C113" s="130"/>
      <c r="D113" s="130"/>
      <c r="E113" s="130"/>
      <c r="F113" s="14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c r="BA113" s="130"/>
      <c r="BB113" s="130"/>
      <c r="BC113" s="130"/>
      <c r="BD113" s="130"/>
    </row>
    <row r="114">
      <c r="A114" s="130"/>
      <c r="B114" s="130"/>
      <c r="C114" s="130"/>
      <c r="D114" s="130"/>
      <c r="E114" s="130"/>
      <c r="F114" s="14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c r="AZ114" s="130"/>
      <c r="BA114" s="130"/>
      <c r="BB114" s="130"/>
      <c r="BC114" s="130"/>
      <c r="BD114" s="130"/>
    </row>
    <row r="115">
      <c r="A115" s="130"/>
      <c r="B115" s="130"/>
      <c r="C115" s="130"/>
      <c r="D115" s="130"/>
      <c r="E115" s="130"/>
      <c r="F115" s="14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c r="AZ115" s="130"/>
      <c r="BA115" s="130"/>
      <c r="BB115" s="130"/>
      <c r="BC115" s="130"/>
      <c r="BD115" s="130"/>
    </row>
    <row r="116">
      <c r="A116" s="130"/>
      <c r="B116" s="130"/>
      <c r="C116" s="130"/>
      <c r="D116" s="130"/>
      <c r="E116" s="130"/>
      <c r="F116" s="14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c r="AZ116" s="130"/>
      <c r="BA116" s="130"/>
      <c r="BB116" s="130"/>
      <c r="BC116" s="130"/>
      <c r="BD116" s="130"/>
    </row>
    <row r="117">
      <c r="A117" s="130"/>
      <c r="B117" s="130"/>
      <c r="C117" s="130"/>
      <c r="D117" s="130"/>
      <c r="E117" s="130"/>
      <c r="F117" s="14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c r="AZ117" s="130"/>
      <c r="BA117" s="130"/>
      <c r="BB117" s="130"/>
      <c r="BC117" s="130"/>
      <c r="BD117" s="130"/>
    </row>
    <row r="118">
      <c r="A118" s="130"/>
      <c r="B118" s="130"/>
      <c r="C118" s="130"/>
      <c r="D118" s="130"/>
      <c r="E118" s="130"/>
      <c r="F118" s="14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c r="AZ118" s="130"/>
      <c r="BA118" s="130"/>
      <c r="BB118" s="130"/>
      <c r="BC118" s="130"/>
      <c r="BD118" s="130"/>
    </row>
    <row r="119">
      <c r="A119" s="130"/>
      <c r="B119" s="130"/>
      <c r="C119" s="130"/>
      <c r="D119" s="130"/>
      <c r="E119" s="130"/>
      <c r="F119" s="14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c r="BA119" s="130"/>
      <c r="BB119" s="130"/>
      <c r="BC119" s="130"/>
      <c r="BD119" s="130"/>
    </row>
    <row r="120">
      <c r="A120" s="130"/>
      <c r="B120" s="130"/>
      <c r="C120" s="130"/>
      <c r="D120" s="130"/>
      <c r="E120" s="130"/>
      <c r="F120" s="14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c r="BA120" s="130"/>
      <c r="BB120" s="130"/>
      <c r="BC120" s="130"/>
      <c r="BD120" s="130"/>
    </row>
    <row r="121">
      <c r="A121" s="130"/>
      <c r="B121" s="130"/>
      <c r="C121" s="130"/>
      <c r="D121" s="130"/>
      <c r="E121" s="130"/>
      <c r="F121" s="14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c r="AZ121" s="130"/>
      <c r="BA121" s="130"/>
      <c r="BB121" s="130"/>
      <c r="BC121" s="130"/>
      <c r="BD121" s="130"/>
    </row>
    <row r="122">
      <c r="A122" s="130"/>
      <c r="B122" s="130"/>
      <c r="C122" s="130"/>
      <c r="D122" s="130"/>
      <c r="E122" s="130"/>
      <c r="F122" s="14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c r="AZ122" s="130"/>
      <c r="BA122" s="130"/>
      <c r="BB122" s="130"/>
      <c r="BC122" s="130"/>
      <c r="BD122" s="130"/>
    </row>
    <row r="123">
      <c r="A123" s="130"/>
      <c r="B123" s="130"/>
      <c r="C123" s="130"/>
      <c r="D123" s="130"/>
      <c r="E123" s="130"/>
      <c r="F123" s="14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c r="BA123" s="130"/>
      <c r="BB123" s="130"/>
      <c r="BC123" s="130"/>
      <c r="BD123" s="130"/>
    </row>
    <row r="124">
      <c r="A124" s="130"/>
      <c r="B124" s="130"/>
      <c r="C124" s="130"/>
      <c r="D124" s="130"/>
      <c r="E124" s="130"/>
      <c r="F124" s="14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c r="AZ124" s="130"/>
      <c r="BA124" s="130"/>
      <c r="BB124" s="130"/>
      <c r="BC124" s="130"/>
      <c r="BD124" s="130"/>
    </row>
    <row r="125">
      <c r="A125" s="130"/>
      <c r="B125" s="130"/>
      <c r="C125" s="130"/>
      <c r="D125" s="130"/>
      <c r="E125" s="130"/>
      <c r="F125" s="14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c r="AZ125" s="130"/>
      <c r="BA125" s="130"/>
      <c r="BB125" s="130"/>
      <c r="BC125" s="130"/>
      <c r="BD125" s="130"/>
    </row>
    <row r="126">
      <c r="A126" s="130"/>
      <c r="B126" s="130"/>
      <c r="C126" s="130"/>
      <c r="D126" s="130"/>
      <c r="E126" s="130"/>
      <c r="F126" s="14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c r="BA126" s="130"/>
      <c r="BB126" s="130"/>
      <c r="BC126" s="130"/>
      <c r="BD126" s="130"/>
    </row>
    <row r="127">
      <c r="A127" s="130"/>
      <c r="B127" s="130"/>
      <c r="C127" s="130"/>
      <c r="D127" s="130"/>
      <c r="E127" s="130"/>
      <c r="F127" s="14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c r="BA127" s="130"/>
      <c r="BB127" s="130"/>
      <c r="BC127" s="130"/>
      <c r="BD127" s="130"/>
    </row>
    <row r="128">
      <c r="A128" s="130"/>
      <c r="B128" s="130"/>
      <c r="C128" s="130"/>
      <c r="D128" s="130"/>
      <c r="E128" s="130"/>
      <c r="F128" s="14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c r="AZ128" s="130"/>
      <c r="BA128" s="130"/>
      <c r="BB128" s="130"/>
      <c r="BC128" s="130"/>
      <c r="BD128" s="130"/>
    </row>
    <row r="129">
      <c r="A129" s="130"/>
      <c r="B129" s="130"/>
      <c r="C129" s="130"/>
      <c r="D129" s="130"/>
      <c r="E129" s="130"/>
      <c r="F129" s="14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c r="AZ129" s="130"/>
      <c r="BA129" s="130"/>
      <c r="BB129" s="130"/>
      <c r="BC129" s="130"/>
      <c r="BD129" s="130"/>
    </row>
    <row r="130">
      <c r="A130" s="130"/>
      <c r="B130" s="130"/>
      <c r="C130" s="130"/>
      <c r="D130" s="130"/>
      <c r="E130" s="130"/>
      <c r="F130" s="14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c r="BA130" s="130"/>
      <c r="BB130" s="130"/>
      <c r="BC130" s="130"/>
      <c r="BD130" s="130"/>
    </row>
    <row r="131">
      <c r="A131" s="130"/>
      <c r="B131" s="130"/>
      <c r="C131" s="130"/>
      <c r="D131" s="130"/>
      <c r="E131" s="130"/>
      <c r="F131" s="14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c r="BA131" s="130"/>
      <c r="BB131" s="130"/>
      <c r="BC131" s="130"/>
      <c r="BD131" s="130"/>
    </row>
    <row r="132">
      <c r="A132" s="130"/>
      <c r="B132" s="130"/>
      <c r="C132" s="130"/>
      <c r="D132" s="130"/>
      <c r="E132" s="130"/>
      <c r="F132" s="14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c r="BA132" s="130"/>
      <c r="BB132" s="130"/>
      <c r="BC132" s="130"/>
      <c r="BD132" s="130"/>
    </row>
    <row r="133">
      <c r="A133" s="130"/>
      <c r="B133" s="130"/>
      <c r="C133" s="130"/>
      <c r="D133" s="130"/>
      <c r="E133" s="130"/>
      <c r="F133" s="14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c r="BA133" s="130"/>
      <c r="BB133" s="130"/>
      <c r="BC133" s="130"/>
      <c r="BD133" s="130"/>
    </row>
    <row r="134">
      <c r="A134" s="130"/>
      <c r="B134" s="130"/>
      <c r="C134" s="130"/>
      <c r="D134" s="130"/>
      <c r="E134" s="130"/>
      <c r="F134" s="14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c r="BA134" s="130"/>
      <c r="BB134" s="130"/>
      <c r="BC134" s="130"/>
      <c r="BD134" s="130"/>
    </row>
    <row r="135">
      <c r="A135" s="130"/>
      <c r="B135" s="130"/>
      <c r="C135" s="130"/>
      <c r="D135" s="130"/>
      <c r="E135" s="130"/>
      <c r="F135" s="14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c r="BB135" s="130"/>
      <c r="BC135" s="130"/>
      <c r="BD135" s="130"/>
    </row>
    <row r="136">
      <c r="A136" s="130"/>
      <c r="B136" s="130"/>
      <c r="C136" s="130"/>
      <c r="D136" s="130"/>
      <c r="E136" s="130"/>
      <c r="F136" s="14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c r="BA136" s="130"/>
      <c r="BB136" s="130"/>
      <c r="BC136" s="130"/>
      <c r="BD136" s="130"/>
    </row>
    <row r="137">
      <c r="A137" s="130"/>
      <c r="B137" s="130"/>
      <c r="C137" s="130"/>
      <c r="D137" s="130"/>
      <c r="E137" s="130"/>
      <c r="F137" s="14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c r="BA137" s="130"/>
      <c r="BB137" s="130"/>
      <c r="BC137" s="130"/>
      <c r="BD137" s="130"/>
    </row>
    <row r="138">
      <c r="A138" s="130"/>
      <c r="B138" s="130"/>
      <c r="C138" s="130"/>
      <c r="D138" s="130"/>
      <c r="E138" s="130"/>
      <c r="F138" s="14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c r="BA138" s="130"/>
      <c r="BB138" s="130"/>
      <c r="BC138" s="130"/>
      <c r="BD138" s="130"/>
    </row>
    <row r="139">
      <c r="A139" s="130"/>
      <c r="B139" s="130"/>
      <c r="C139" s="130"/>
      <c r="D139" s="130"/>
      <c r="E139" s="130"/>
      <c r="F139" s="14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c r="BA139" s="130"/>
      <c r="BB139" s="130"/>
      <c r="BC139" s="130"/>
      <c r="BD139" s="130"/>
    </row>
    <row r="140">
      <c r="A140" s="130"/>
      <c r="B140" s="130"/>
      <c r="C140" s="130"/>
      <c r="D140" s="130"/>
      <c r="E140" s="130"/>
      <c r="F140" s="14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c r="BA140" s="130"/>
      <c r="BB140" s="130"/>
      <c r="BC140" s="130"/>
      <c r="BD140" s="130"/>
    </row>
    <row r="141">
      <c r="A141" s="130"/>
      <c r="B141" s="130"/>
      <c r="C141" s="130"/>
      <c r="D141" s="130"/>
      <c r="E141" s="130"/>
      <c r="F141" s="14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c r="BA141" s="130"/>
      <c r="BB141" s="130"/>
      <c r="BC141" s="130"/>
      <c r="BD141" s="130"/>
    </row>
    <row r="142">
      <c r="A142" s="130"/>
      <c r="B142" s="130"/>
      <c r="C142" s="130"/>
      <c r="D142" s="130"/>
      <c r="E142" s="130"/>
      <c r="F142" s="14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c r="AZ142" s="130"/>
      <c r="BA142" s="130"/>
      <c r="BB142" s="130"/>
      <c r="BC142" s="130"/>
      <c r="BD142" s="130"/>
    </row>
    <row r="143">
      <c r="A143" s="130"/>
      <c r="B143" s="130"/>
      <c r="C143" s="130"/>
      <c r="D143" s="130"/>
      <c r="E143" s="130"/>
      <c r="F143" s="14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c r="AZ143" s="130"/>
      <c r="BA143" s="130"/>
      <c r="BB143" s="130"/>
      <c r="BC143" s="130"/>
      <c r="BD143" s="130"/>
    </row>
    <row r="144">
      <c r="A144" s="130"/>
      <c r="B144" s="130"/>
      <c r="C144" s="130"/>
      <c r="D144" s="130"/>
      <c r="E144" s="130"/>
      <c r="F144" s="14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c r="BA144" s="130"/>
      <c r="BB144" s="130"/>
      <c r="BC144" s="130"/>
      <c r="BD144" s="130"/>
    </row>
    <row r="145">
      <c r="A145" s="130"/>
      <c r="B145" s="130"/>
      <c r="C145" s="130"/>
      <c r="D145" s="130"/>
      <c r="E145" s="130"/>
      <c r="F145" s="14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c r="BA145" s="130"/>
      <c r="BB145" s="130"/>
      <c r="BC145" s="130"/>
      <c r="BD145" s="130"/>
    </row>
    <row r="146">
      <c r="A146" s="130"/>
      <c r="B146" s="130"/>
      <c r="C146" s="130"/>
      <c r="D146" s="130"/>
      <c r="E146" s="130"/>
      <c r="F146" s="14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c r="AZ146" s="130"/>
      <c r="BA146" s="130"/>
      <c r="BB146" s="130"/>
      <c r="BC146" s="130"/>
      <c r="BD146" s="130"/>
    </row>
    <row r="147">
      <c r="A147" s="130"/>
      <c r="B147" s="130"/>
      <c r="C147" s="130"/>
      <c r="D147" s="130"/>
      <c r="E147" s="130"/>
      <c r="F147" s="14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c r="BA147" s="130"/>
      <c r="BB147" s="130"/>
      <c r="BC147" s="130"/>
      <c r="BD147" s="130"/>
    </row>
    <row r="148">
      <c r="A148" s="130"/>
      <c r="B148" s="130"/>
      <c r="C148" s="130"/>
      <c r="D148" s="130"/>
      <c r="E148" s="130"/>
      <c r="F148" s="14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c r="BA148" s="130"/>
      <c r="BB148" s="130"/>
      <c r="BC148" s="130"/>
      <c r="BD148" s="130"/>
    </row>
    <row r="149">
      <c r="A149" s="130"/>
      <c r="B149" s="130"/>
      <c r="C149" s="130"/>
      <c r="D149" s="130"/>
      <c r="E149" s="130"/>
      <c r="F149" s="14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c r="AZ149" s="130"/>
      <c r="BA149" s="130"/>
      <c r="BB149" s="130"/>
      <c r="BC149" s="130"/>
      <c r="BD149" s="130"/>
    </row>
    <row r="150">
      <c r="A150" s="130"/>
      <c r="B150" s="130"/>
      <c r="C150" s="130"/>
      <c r="D150" s="130"/>
      <c r="E150" s="130"/>
      <c r="F150" s="14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c r="BA150" s="130"/>
      <c r="BB150" s="130"/>
      <c r="BC150" s="130"/>
      <c r="BD150" s="130"/>
    </row>
    <row r="151">
      <c r="A151" s="130"/>
      <c r="B151" s="130"/>
      <c r="C151" s="130"/>
      <c r="D151" s="130"/>
      <c r="E151" s="130"/>
      <c r="F151" s="14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c r="BA151" s="130"/>
      <c r="BB151" s="130"/>
      <c r="BC151" s="130"/>
      <c r="BD151" s="130"/>
    </row>
    <row r="152">
      <c r="A152" s="130"/>
      <c r="B152" s="130"/>
      <c r="C152" s="130"/>
      <c r="D152" s="130"/>
      <c r="E152" s="130"/>
      <c r="F152" s="14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c r="BA152" s="130"/>
      <c r="BB152" s="130"/>
      <c r="BC152" s="130"/>
      <c r="BD152" s="130"/>
    </row>
    <row r="153">
      <c r="A153" s="130"/>
      <c r="B153" s="130"/>
      <c r="C153" s="130"/>
      <c r="D153" s="130"/>
      <c r="E153" s="130"/>
      <c r="F153" s="14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c r="BA153" s="130"/>
      <c r="BB153" s="130"/>
      <c r="BC153" s="130"/>
      <c r="BD153" s="130"/>
    </row>
    <row r="154">
      <c r="A154" s="130"/>
      <c r="B154" s="130"/>
      <c r="C154" s="130"/>
      <c r="D154" s="130"/>
      <c r="E154" s="130"/>
      <c r="F154" s="14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c r="AZ154" s="130"/>
      <c r="BA154" s="130"/>
      <c r="BB154" s="130"/>
      <c r="BC154" s="130"/>
      <c r="BD154" s="130"/>
    </row>
    <row r="155">
      <c r="A155" s="130"/>
      <c r="B155" s="130"/>
      <c r="C155" s="130"/>
      <c r="D155" s="130"/>
      <c r="E155" s="130"/>
      <c r="F155" s="14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c r="AZ155" s="130"/>
      <c r="BA155" s="130"/>
      <c r="BB155" s="130"/>
      <c r="BC155" s="130"/>
      <c r="BD155" s="130"/>
    </row>
    <row r="156">
      <c r="A156" s="130"/>
      <c r="B156" s="130"/>
      <c r="C156" s="130"/>
      <c r="D156" s="130"/>
      <c r="E156" s="130"/>
      <c r="F156" s="14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c r="AZ156" s="130"/>
      <c r="BA156" s="130"/>
      <c r="BB156" s="130"/>
      <c r="BC156" s="130"/>
      <c r="BD156" s="130"/>
    </row>
    <row r="157">
      <c r="A157" s="130"/>
      <c r="B157" s="130"/>
      <c r="C157" s="130"/>
      <c r="D157" s="130"/>
      <c r="E157" s="130"/>
      <c r="F157" s="14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c r="BA157" s="130"/>
      <c r="BB157" s="130"/>
      <c r="BC157" s="130"/>
      <c r="BD157" s="130"/>
    </row>
    <row r="158">
      <c r="A158" s="130"/>
      <c r="B158" s="130"/>
      <c r="C158" s="130"/>
      <c r="D158" s="130"/>
      <c r="E158" s="130"/>
      <c r="F158" s="14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c r="AZ158" s="130"/>
      <c r="BA158" s="130"/>
      <c r="BB158" s="130"/>
      <c r="BC158" s="130"/>
      <c r="BD158" s="130"/>
    </row>
    <row r="159">
      <c r="A159" s="130"/>
      <c r="B159" s="130"/>
      <c r="C159" s="130"/>
      <c r="D159" s="130"/>
      <c r="E159" s="130"/>
      <c r="F159" s="14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c r="AZ159" s="130"/>
      <c r="BA159" s="130"/>
      <c r="BB159" s="130"/>
      <c r="BC159" s="130"/>
      <c r="BD159" s="130"/>
    </row>
    <row r="160">
      <c r="A160" s="130"/>
      <c r="B160" s="130"/>
      <c r="C160" s="130"/>
      <c r="D160" s="130"/>
      <c r="E160" s="130"/>
      <c r="F160" s="14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c r="BA160" s="130"/>
      <c r="BB160" s="130"/>
      <c r="BC160" s="130"/>
      <c r="BD160" s="130"/>
    </row>
    <row r="161">
      <c r="A161" s="130"/>
      <c r="B161" s="130"/>
      <c r="C161" s="130"/>
      <c r="D161" s="130"/>
      <c r="E161" s="130"/>
      <c r="F161" s="14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c r="BA161" s="130"/>
      <c r="BB161" s="130"/>
      <c r="BC161" s="130"/>
      <c r="BD161" s="130"/>
    </row>
    <row r="162">
      <c r="A162" s="130"/>
      <c r="B162" s="130"/>
      <c r="C162" s="130"/>
      <c r="D162" s="130"/>
      <c r="E162" s="130"/>
      <c r="F162" s="14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c r="BA162" s="130"/>
      <c r="BB162" s="130"/>
      <c r="BC162" s="130"/>
      <c r="BD162" s="130"/>
    </row>
    <row r="163">
      <c r="A163" s="130"/>
      <c r="B163" s="130"/>
      <c r="C163" s="130"/>
      <c r="D163" s="130"/>
      <c r="E163" s="130"/>
      <c r="F163" s="14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c r="AZ163" s="130"/>
      <c r="BA163" s="130"/>
      <c r="BB163" s="130"/>
      <c r="BC163" s="130"/>
      <c r="BD163" s="130"/>
    </row>
    <row r="164">
      <c r="A164" s="130"/>
      <c r="B164" s="130"/>
      <c r="C164" s="130"/>
      <c r="D164" s="130"/>
      <c r="E164" s="130"/>
      <c r="F164" s="14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c r="BA164" s="130"/>
      <c r="BB164" s="130"/>
      <c r="BC164" s="130"/>
      <c r="BD164" s="130"/>
    </row>
    <row r="165">
      <c r="A165" s="130"/>
      <c r="B165" s="130"/>
      <c r="C165" s="130"/>
      <c r="D165" s="130"/>
      <c r="E165" s="130"/>
      <c r="F165" s="14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c r="AZ165" s="130"/>
      <c r="BA165" s="130"/>
      <c r="BB165" s="130"/>
      <c r="BC165" s="130"/>
      <c r="BD165" s="130"/>
    </row>
    <row r="166">
      <c r="A166" s="130"/>
      <c r="B166" s="130"/>
      <c r="C166" s="130"/>
      <c r="D166" s="130"/>
      <c r="E166" s="130"/>
      <c r="F166" s="14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c r="AZ166" s="130"/>
      <c r="BA166" s="130"/>
      <c r="BB166" s="130"/>
      <c r="BC166" s="130"/>
      <c r="BD166" s="130"/>
    </row>
    <row r="167">
      <c r="A167" s="130"/>
      <c r="B167" s="130"/>
      <c r="C167" s="130"/>
      <c r="D167" s="130"/>
      <c r="E167" s="130"/>
      <c r="F167" s="14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c r="BA167" s="130"/>
      <c r="BB167" s="130"/>
      <c r="BC167" s="130"/>
      <c r="BD167" s="130"/>
    </row>
    <row r="168">
      <c r="A168" s="130"/>
      <c r="B168" s="130"/>
      <c r="C168" s="130"/>
      <c r="D168" s="130"/>
      <c r="E168" s="130"/>
      <c r="F168" s="14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c r="BA168" s="130"/>
      <c r="BB168" s="130"/>
      <c r="BC168" s="130"/>
      <c r="BD168" s="130"/>
    </row>
    <row r="169">
      <c r="A169" s="130"/>
      <c r="B169" s="130"/>
      <c r="C169" s="130"/>
      <c r="D169" s="130"/>
      <c r="E169" s="130"/>
      <c r="F169" s="14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c r="AZ169" s="130"/>
      <c r="BA169" s="130"/>
      <c r="BB169" s="130"/>
      <c r="BC169" s="130"/>
      <c r="BD169" s="130"/>
    </row>
    <row r="170">
      <c r="A170" s="130"/>
      <c r="B170" s="130"/>
      <c r="C170" s="130"/>
      <c r="D170" s="130"/>
      <c r="E170" s="130"/>
      <c r="F170" s="14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c r="BA170" s="130"/>
      <c r="BB170" s="130"/>
      <c r="BC170" s="130"/>
      <c r="BD170" s="130"/>
    </row>
    <row r="171">
      <c r="A171" s="130"/>
      <c r="B171" s="130"/>
      <c r="C171" s="130"/>
      <c r="D171" s="130"/>
      <c r="E171" s="130"/>
      <c r="F171" s="14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c r="AZ171" s="130"/>
      <c r="BA171" s="130"/>
      <c r="BB171" s="130"/>
      <c r="BC171" s="130"/>
      <c r="BD171" s="130"/>
    </row>
    <row r="172">
      <c r="A172" s="130"/>
      <c r="B172" s="130"/>
      <c r="C172" s="130"/>
      <c r="D172" s="130"/>
      <c r="E172" s="130"/>
      <c r="F172" s="14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c r="AZ172" s="130"/>
      <c r="BA172" s="130"/>
      <c r="BB172" s="130"/>
      <c r="BC172" s="130"/>
      <c r="BD172" s="130"/>
    </row>
    <row r="173">
      <c r="A173" s="130"/>
      <c r="B173" s="130"/>
      <c r="C173" s="130"/>
      <c r="D173" s="130"/>
      <c r="E173" s="130"/>
      <c r="F173" s="14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c r="BA173" s="130"/>
      <c r="BB173" s="130"/>
      <c r="BC173" s="130"/>
      <c r="BD173" s="130"/>
    </row>
    <row r="174">
      <c r="A174" s="130"/>
      <c r="B174" s="130"/>
      <c r="C174" s="130"/>
      <c r="D174" s="130"/>
      <c r="E174" s="130"/>
      <c r="F174" s="14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c r="AZ174" s="130"/>
      <c r="BA174" s="130"/>
      <c r="BB174" s="130"/>
      <c r="BC174" s="130"/>
      <c r="BD174" s="130"/>
    </row>
    <row r="175">
      <c r="A175" s="130"/>
      <c r="B175" s="130"/>
      <c r="C175" s="130"/>
      <c r="D175" s="130"/>
      <c r="E175" s="130"/>
      <c r="F175" s="14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c r="AZ175" s="130"/>
      <c r="BA175" s="130"/>
      <c r="BB175" s="130"/>
      <c r="BC175" s="130"/>
      <c r="BD175" s="130"/>
    </row>
    <row r="176">
      <c r="A176" s="130"/>
      <c r="B176" s="130"/>
      <c r="C176" s="130"/>
      <c r="D176" s="130"/>
      <c r="E176" s="130"/>
      <c r="F176" s="14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c r="BA176" s="130"/>
      <c r="BB176" s="130"/>
      <c r="BC176" s="130"/>
      <c r="BD176" s="130"/>
    </row>
    <row r="177">
      <c r="A177" s="130"/>
      <c r="B177" s="130"/>
      <c r="C177" s="130"/>
      <c r="D177" s="130"/>
      <c r="E177" s="130"/>
      <c r="F177" s="14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c r="AZ177" s="130"/>
      <c r="BA177" s="130"/>
      <c r="BB177" s="130"/>
      <c r="BC177" s="130"/>
      <c r="BD177" s="130"/>
    </row>
    <row r="178">
      <c r="A178" s="130"/>
      <c r="B178" s="130"/>
      <c r="C178" s="130"/>
      <c r="D178" s="130"/>
      <c r="E178" s="130"/>
      <c r="F178" s="14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c r="AZ178" s="130"/>
      <c r="BA178" s="130"/>
      <c r="BB178" s="130"/>
      <c r="BC178" s="130"/>
      <c r="BD178" s="130"/>
    </row>
    <row r="179">
      <c r="A179" s="130"/>
      <c r="B179" s="130"/>
      <c r="C179" s="130"/>
      <c r="D179" s="130"/>
      <c r="E179" s="130"/>
      <c r="F179" s="14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c r="AZ179" s="130"/>
      <c r="BA179" s="130"/>
      <c r="BB179" s="130"/>
      <c r="BC179" s="130"/>
      <c r="BD179" s="130"/>
    </row>
    <row r="180">
      <c r="A180" s="130"/>
      <c r="B180" s="130"/>
      <c r="C180" s="130"/>
      <c r="D180" s="130"/>
      <c r="E180" s="130"/>
      <c r="F180" s="14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c r="AZ180" s="130"/>
      <c r="BA180" s="130"/>
      <c r="BB180" s="130"/>
      <c r="BC180" s="130"/>
      <c r="BD180" s="130"/>
    </row>
    <row r="181">
      <c r="A181" s="130"/>
      <c r="B181" s="130"/>
      <c r="C181" s="130"/>
      <c r="D181" s="130"/>
      <c r="E181" s="130"/>
      <c r="F181" s="14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c r="AZ181" s="130"/>
      <c r="BA181" s="130"/>
      <c r="BB181" s="130"/>
      <c r="BC181" s="130"/>
      <c r="BD181" s="130"/>
    </row>
    <row r="182">
      <c r="A182" s="130"/>
      <c r="B182" s="130"/>
      <c r="C182" s="130"/>
      <c r="D182" s="130"/>
      <c r="E182" s="130"/>
      <c r="F182" s="14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c r="BA182" s="130"/>
      <c r="BB182" s="130"/>
      <c r="BC182" s="130"/>
      <c r="BD182" s="130"/>
    </row>
    <row r="183">
      <c r="A183" s="130"/>
      <c r="B183" s="130"/>
      <c r="C183" s="130"/>
      <c r="D183" s="130"/>
      <c r="E183" s="130"/>
      <c r="F183" s="14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c r="AZ183" s="130"/>
      <c r="BA183" s="130"/>
      <c r="BB183" s="130"/>
      <c r="BC183" s="130"/>
      <c r="BD183" s="130"/>
    </row>
    <row r="184">
      <c r="A184" s="130"/>
      <c r="B184" s="130"/>
      <c r="C184" s="130"/>
      <c r="D184" s="130"/>
      <c r="E184" s="130"/>
      <c r="F184" s="14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c r="BA184" s="130"/>
      <c r="BB184" s="130"/>
      <c r="BC184" s="130"/>
      <c r="BD184" s="130"/>
    </row>
    <row r="185">
      <c r="A185" s="130"/>
      <c r="B185" s="130"/>
      <c r="C185" s="130"/>
      <c r="D185" s="130"/>
      <c r="E185" s="130"/>
      <c r="F185" s="14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c r="AZ185" s="130"/>
      <c r="BA185" s="130"/>
      <c r="BB185" s="130"/>
      <c r="BC185" s="130"/>
      <c r="BD185" s="130"/>
    </row>
    <row r="186">
      <c r="A186" s="130"/>
      <c r="B186" s="130"/>
      <c r="C186" s="130"/>
      <c r="D186" s="130"/>
      <c r="E186" s="130"/>
      <c r="F186" s="14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c r="AZ186" s="130"/>
      <c r="BA186" s="130"/>
      <c r="BB186" s="130"/>
      <c r="BC186" s="130"/>
      <c r="BD186" s="130"/>
    </row>
    <row r="187">
      <c r="A187" s="130"/>
      <c r="B187" s="130"/>
      <c r="C187" s="130"/>
      <c r="D187" s="130"/>
      <c r="E187" s="130"/>
      <c r="F187" s="14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c r="AZ187" s="130"/>
      <c r="BA187" s="130"/>
      <c r="BB187" s="130"/>
      <c r="BC187" s="130"/>
      <c r="BD187" s="130"/>
    </row>
    <row r="188">
      <c r="A188" s="130"/>
      <c r="B188" s="130"/>
      <c r="C188" s="130"/>
      <c r="D188" s="130"/>
      <c r="E188" s="130"/>
      <c r="F188" s="14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c r="AZ188" s="130"/>
      <c r="BA188" s="130"/>
      <c r="BB188" s="130"/>
      <c r="BC188" s="130"/>
      <c r="BD188" s="130"/>
    </row>
    <row r="189">
      <c r="A189" s="130"/>
      <c r="B189" s="130"/>
      <c r="C189" s="130"/>
      <c r="D189" s="130"/>
      <c r="E189" s="130"/>
      <c r="F189" s="14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c r="AZ189" s="130"/>
      <c r="BA189" s="130"/>
      <c r="BB189" s="130"/>
      <c r="BC189" s="130"/>
      <c r="BD189" s="130"/>
    </row>
    <row r="190">
      <c r="A190" s="130"/>
      <c r="B190" s="130"/>
      <c r="C190" s="130"/>
      <c r="D190" s="130"/>
      <c r="E190" s="130"/>
      <c r="F190" s="14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c r="BA190" s="130"/>
      <c r="BB190" s="130"/>
      <c r="BC190" s="130"/>
      <c r="BD190" s="130"/>
    </row>
    <row r="191">
      <c r="A191" s="130"/>
      <c r="B191" s="130"/>
      <c r="C191" s="130"/>
      <c r="D191" s="130"/>
      <c r="E191" s="130"/>
      <c r="F191" s="14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c r="BB191" s="130"/>
      <c r="BC191" s="130"/>
      <c r="BD191" s="130"/>
    </row>
    <row r="192">
      <c r="A192" s="130"/>
      <c r="B192" s="130"/>
      <c r="C192" s="130"/>
      <c r="D192" s="130"/>
      <c r="E192" s="130"/>
      <c r="F192" s="14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c r="BA192" s="130"/>
      <c r="BB192" s="130"/>
      <c r="BC192" s="130"/>
      <c r="BD192" s="130"/>
    </row>
    <row r="193">
      <c r="A193" s="130"/>
      <c r="B193" s="130"/>
      <c r="C193" s="130"/>
      <c r="D193" s="130"/>
      <c r="E193" s="130"/>
      <c r="F193" s="14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c r="BA193" s="130"/>
      <c r="BB193" s="130"/>
      <c r="BC193" s="130"/>
      <c r="BD193" s="130"/>
    </row>
    <row r="194">
      <c r="A194" s="130"/>
      <c r="B194" s="130"/>
      <c r="C194" s="130"/>
      <c r="D194" s="130"/>
      <c r="E194" s="130"/>
      <c r="F194" s="14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c r="BA194" s="130"/>
      <c r="BB194" s="130"/>
      <c r="BC194" s="130"/>
      <c r="BD194" s="130"/>
    </row>
    <row r="195">
      <c r="A195" s="130"/>
      <c r="B195" s="130"/>
      <c r="C195" s="130"/>
      <c r="D195" s="130"/>
      <c r="E195" s="130"/>
      <c r="F195" s="14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row>
    <row r="196">
      <c r="A196" s="130"/>
      <c r="B196" s="130"/>
      <c r="C196" s="130"/>
      <c r="D196" s="130"/>
      <c r="E196" s="130"/>
      <c r="F196" s="14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c r="BA196" s="130"/>
      <c r="BB196" s="130"/>
      <c r="BC196" s="130"/>
      <c r="BD196" s="130"/>
    </row>
    <row r="197">
      <c r="A197" s="130"/>
      <c r="B197" s="130"/>
      <c r="C197" s="130"/>
      <c r="D197" s="130"/>
      <c r="E197" s="130"/>
      <c r="F197" s="14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c r="BA197" s="130"/>
      <c r="BB197" s="130"/>
      <c r="BC197" s="130"/>
      <c r="BD197" s="130"/>
    </row>
    <row r="198">
      <c r="A198" s="130"/>
      <c r="B198" s="130"/>
      <c r="C198" s="130"/>
      <c r="D198" s="130"/>
      <c r="E198" s="130"/>
      <c r="F198" s="14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c r="BA198" s="130"/>
      <c r="BB198" s="130"/>
      <c r="BC198" s="130"/>
      <c r="BD198" s="130"/>
    </row>
    <row r="199">
      <c r="A199" s="130"/>
      <c r="B199" s="130"/>
      <c r="C199" s="130"/>
      <c r="D199" s="130"/>
      <c r="E199" s="130"/>
      <c r="F199" s="14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c r="BA199" s="130"/>
      <c r="BB199" s="130"/>
      <c r="BC199" s="130"/>
      <c r="BD199" s="130"/>
    </row>
    <row r="200">
      <c r="A200" s="130"/>
      <c r="B200" s="130"/>
      <c r="C200" s="130"/>
      <c r="D200" s="130"/>
      <c r="E200" s="130"/>
      <c r="F200" s="14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c r="BA200" s="130"/>
      <c r="BB200" s="130"/>
      <c r="BC200" s="130"/>
      <c r="BD200" s="130"/>
    </row>
    <row r="201">
      <c r="A201" s="130"/>
      <c r="B201" s="130"/>
      <c r="C201" s="130"/>
      <c r="D201" s="130"/>
      <c r="E201" s="130"/>
      <c r="F201" s="14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c r="BA201" s="130"/>
      <c r="BB201" s="130"/>
      <c r="BC201" s="130"/>
      <c r="BD201" s="130"/>
    </row>
    <row r="202">
      <c r="A202" s="130"/>
      <c r="B202" s="130"/>
      <c r="C202" s="130"/>
      <c r="D202" s="130"/>
      <c r="E202" s="130"/>
      <c r="F202" s="14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c r="BA202" s="130"/>
      <c r="BB202" s="130"/>
      <c r="BC202" s="130"/>
      <c r="BD202" s="130"/>
    </row>
    <row r="203">
      <c r="A203" s="130"/>
      <c r="B203" s="130"/>
      <c r="C203" s="130"/>
      <c r="D203" s="130"/>
      <c r="E203" s="130"/>
      <c r="F203" s="14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c r="BA203" s="130"/>
      <c r="BB203" s="130"/>
      <c r="BC203" s="130"/>
      <c r="BD203" s="130"/>
    </row>
    <row r="204">
      <c r="A204" s="130"/>
      <c r="B204" s="130"/>
      <c r="C204" s="130"/>
      <c r="D204" s="130"/>
      <c r="E204" s="130"/>
      <c r="F204" s="14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c r="BA204" s="130"/>
      <c r="BB204" s="130"/>
      <c r="BC204" s="130"/>
      <c r="BD204" s="130"/>
    </row>
    <row r="205">
      <c r="A205" s="130"/>
      <c r="B205" s="130"/>
      <c r="C205" s="130"/>
      <c r="D205" s="130"/>
      <c r="E205" s="130"/>
      <c r="F205" s="14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c r="BA205" s="130"/>
      <c r="BB205" s="130"/>
      <c r="BC205" s="130"/>
      <c r="BD205" s="130"/>
    </row>
    <row r="206">
      <c r="A206" s="130"/>
      <c r="B206" s="130"/>
      <c r="C206" s="130"/>
      <c r="D206" s="130"/>
      <c r="E206" s="130"/>
      <c r="F206" s="14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c r="BA206" s="130"/>
      <c r="BB206" s="130"/>
      <c r="BC206" s="130"/>
      <c r="BD206" s="130"/>
    </row>
    <row r="207">
      <c r="A207" s="130"/>
      <c r="B207" s="130"/>
      <c r="C207" s="130"/>
      <c r="D207" s="130"/>
      <c r="E207" s="130"/>
      <c r="F207" s="14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c r="BA207" s="130"/>
      <c r="BB207" s="130"/>
      <c r="BC207" s="130"/>
      <c r="BD207" s="130"/>
    </row>
    <row r="208">
      <c r="A208" s="130"/>
      <c r="B208" s="130"/>
      <c r="C208" s="130"/>
      <c r="D208" s="130"/>
      <c r="E208" s="130"/>
      <c r="F208" s="14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c r="BA208" s="130"/>
      <c r="BB208" s="130"/>
      <c r="BC208" s="130"/>
      <c r="BD208" s="130"/>
    </row>
    <row r="209">
      <c r="A209" s="130"/>
      <c r="B209" s="130"/>
      <c r="C209" s="130"/>
      <c r="D209" s="130"/>
      <c r="E209" s="130"/>
      <c r="F209" s="14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c r="BA209" s="130"/>
      <c r="BB209" s="130"/>
      <c r="BC209" s="130"/>
      <c r="BD209" s="130"/>
    </row>
    <row r="210">
      <c r="A210" s="130"/>
      <c r="B210" s="130"/>
      <c r="C210" s="130"/>
      <c r="D210" s="130"/>
      <c r="E210" s="130"/>
      <c r="F210" s="14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c r="BA210" s="130"/>
      <c r="BB210" s="130"/>
      <c r="BC210" s="130"/>
      <c r="BD210" s="130"/>
    </row>
    <row r="211">
      <c r="A211" s="130"/>
      <c r="B211" s="130"/>
      <c r="C211" s="130"/>
      <c r="D211" s="130"/>
      <c r="E211" s="130"/>
      <c r="F211" s="14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c r="BA211" s="130"/>
      <c r="BB211" s="130"/>
      <c r="BC211" s="130"/>
      <c r="BD211" s="130"/>
    </row>
    <row r="212">
      <c r="A212" s="130"/>
      <c r="B212" s="130"/>
      <c r="C212" s="130"/>
      <c r="D212" s="130"/>
      <c r="E212" s="130"/>
      <c r="F212" s="14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c r="AZ212" s="130"/>
      <c r="BA212" s="130"/>
      <c r="BB212" s="130"/>
      <c r="BC212" s="130"/>
      <c r="BD212" s="130"/>
    </row>
    <row r="213">
      <c r="A213" s="130"/>
      <c r="B213" s="130"/>
      <c r="C213" s="130"/>
      <c r="D213" s="130"/>
      <c r="E213" s="130"/>
      <c r="F213" s="14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c r="BA213" s="130"/>
      <c r="BB213" s="130"/>
      <c r="BC213" s="130"/>
      <c r="BD213" s="130"/>
    </row>
    <row r="214">
      <c r="A214" s="130"/>
      <c r="B214" s="130"/>
      <c r="C214" s="130"/>
      <c r="D214" s="130"/>
      <c r="E214" s="130"/>
      <c r="F214" s="14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c r="BA214" s="130"/>
      <c r="BB214" s="130"/>
      <c r="BC214" s="130"/>
      <c r="BD214" s="130"/>
    </row>
    <row r="215">
      <c r="A215" s="130"/>
      <c r="B215" s="130"/>
      <c r="C215" s="130"/>
      <c r="D215" s="130"/>
      <c r="E215" s="130"/>
      <c r="F215" s="14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c r="BA215" s="130"/>
      <c r="BB215" s="130"/>
      <c r="BC215" s="130"/>
      <c r="BD215" s="130"/>
    </row>
    <row r="216">
      <c r="A216" s="130"/>
      <c r="B216" s="130"/>
      <c r="C216" s="130"/>
      <c r="D216" s="130"/>
      <c r="E216" s="130"/>
      <c r="F216" s="14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c r="BA216" s="130"/>
      <c r="BB216" s="130"/>
      <c r="BC216" s="130"/>
      <c r="BD216" s="130"/>
    </row>
    <row r="217">
      <c r="A217" s="130"/>
      <c r="B217" s="130"/>
      <c r="C217" s="130"/>
      <c r="D217" s="130"/>
      <c r="E217" s="130"/>
      <c r="F217" s="14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c r="BA217" s="130"/>
      <c r="BB217" s="130"/>
      <c r="BC217" s="130"/>
      <c r="BD217" s="130"/>
    </row>
    <row r="218">
      <c r="A218" s="130"/>
      <c r="B218" s="130"/>
      <c r="C218" s="130"/>
      <c r="D218" s="130"/>
      <c r="E218" s="130"/>
      <c r="F218" s="14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c r="BA218" s="130"/>
      <c r="BB218" s="130"/>
      <c r="BC218" s="130"/>
      <c r="BD218" s="130"/>
    </row>
    <row r="219">
      <c r="A219" s="130"/>
      <c r="B219" s="130"/>
      <c r="C219" s="130"/>
      <c r="D219" s="130"/>
      <c r="E219" s="130"/>
      <c r="F219" s="14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c r="BA219" s="130"/>
      <c r="BB219" s="130"/>
      <c r="BC219" s="130"/>
      <c r="BD219" s="130"/>
    </row>
    <row r="220">
      <c r="A220" s="130"/>
      <c r="B220" s="130"/>
      <c r="C220" s="130"/>
      <c r="D220" s="130"/>
      <c r="E220" s="130"/>
      <c r="F220" s="14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c r="BA220" s="130"/>
      <c r="BB220" s="130"/>
      <c r="BC220" s="130"/>
      <c r="BD220" s="130"/>
    </row>
    <row r="221">
      <c r="A221" s="130"/>
      <c r="B221" s="130"/>
      <c r="C221" s="130"/>
      <c r="D221" s="130"/>
      <c r="E221" s="130"/>
      <c r="F221" s="14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c r="BA221" s="130"/>
      <c r="BB221" s="130"/>
      <c r="BC221" s="130"/>
      <c r="BD221" s="130"/>
    </row>
    <row r="222">
      <c r="A222" s="130"/>
      <c r="B222" s="130"/>
      <c r="C222" s="130"/>
      <c r="D222" s="130"/>
      <c r="E222" s="130"/>
      <c r="F222" s="14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c r="BB222" s="130"/>
      <c r="BC222" s="130"/>
      <c r="BD222" s="130"/>
    </row>
    <row r="223">
      <c r="A223" s="130"/>
      <c r="B223" s="130"/>
      <c r="C223" s="130"/>
      <c r="D223" s="130"/>
      <c r="E223" s="130"/>
      <c r="F223" s="14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c r="BB223" s="130"/>
      <c r="BC223" s="130"/>
      <c r="BD223" s="130"/>
    </row>
    <row r="224">
      <c r="A224" s="130"/>
      <c r="B224" s="130"/>
      <c r="C224" s="130"/>
      <c r="D224" s="130"/>
      <c r="E224" s="130"/>
      <c r="F224" s="14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c r="BA224" s="130"/>
      <c r="BB224" s="130"/>
      <c r="BC224" s="130"/>
      <c r="BD224" s="130"/>
    </row>
    <row r="225">
      <c r="A225" s="130"/>
      <c r="B225" s="130"/>
      <c r="C225" s="130"/>
      <c r="D225" s="130"/>
      <c r="E225" s="130"/>
      <c r="F225" s="14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c r="BA225" s="130"/>
      <c r="BB225" s="130"/>
      <c r="BC225" s="130"/>
      <c r="BD225" s="130"/>
    </row>
    <row r="226">
      <c r="A226" s="130"/>
      <c r="B226" s="130"/>
      <c r="C226" s="130"/>
      <c r="D226" s="130"/>
      <c r="E226" s="130"/>
      <c r="F226" s="14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c r="BA226" s="130"/>
      <c r="BB226" s="130"/>
      <c r="BC226" s="130"/>
      <c r="BD226" s="130"/>
    </row>
    <row r="227">
      <c r="A227" s="130"/>
      <c r="B227" s="130"/>
      <c r="C227" s="130"/>
      <c r="D227" s="130"/>
      <c r="E227" s="130"/>
      <c r="F227" s="14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c r="BA227" s="130"/>
      <c r="BB227" s="130"/>
      <c r="BC227" s="130"/>
      <c r="BD227" s="130"/>
    </row>
    <row r="228">
      <c r="A228" s="130"/>
      <c r="B228" s="130"/>
      <c r="C228" s="130"/>
      <c r="D228" s="130"/>
      <c r="E228" s="130"/>
      <c r="F228" s="14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c r="BA228" s="130"/>
      <c r="BB228" s="130"/>
      <c r="BC228" s="130"/>
      <c r="BD228" s="130"/>
    </row>
    <row r="229">
      <c r="A229" s="130"/>
      <c r="B229" s="130"/>
      <c r="C229" s="130"/>
      <c r="D229" s="130"/>
      <c r="E229" s="130"/>
      <c r="F229" s="14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c r="BA229" s="130"/>
      <c r="BB229" s="130"/>
      <c r="BC229" s="130"/>
      <c r="BD229" s="130"/>
    </row>
    <row r="230">
      <c r="A230" s="130"/>
      <c r="B230" s="130"/>
      <c r="C230" s="130"/>
      <c r="D230" s="130"/>
      <c r="E230" s="130"/>
      <c r="F230" s="14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c r="BA230" s="130"/>
      <c r="BB230" s="130"/>
      <c r="BC230" s="130"/>
      <c r="BD230" s="130"/>
    </row>
    <row r="231">
      <c r="A231" s="130"/>
      <c r="B231" s="130"/>
      <c r="C231" s="130"/>
      <c r="D231" s="130"/>
      <c r="E231" s="130"/>
      <c r="F231" s="14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c r="BA231" s="130"/>
      <c r="BB231" s="130"/>
      <c r="BC231" s="130"/>
      <c r="BD231" s="130"/>
    </row>
    <row r="232">
      <c r="A232" s="130"/>
      <c r="B232" s="130"/>
      <c r="C232" s="130"/>
      <c r="D232" s="130"/>
      <c r="E232" s="130"/>
      <c r="F232" s="14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c r="BA232" s="130"/>
      <c r="BB232" s="130"/>
      <c r="BC232" s="130"/>
      <c r="BD232" s="130"/>
    </row>
    <row r="233">
      <c r="A233" s="130"/>
      <c r="B233" s="130"/>
      <c r="C233" s="130"/>
      <c r="D233" s="130"/>
      <c r="E233" s="130"/>
      <c r="F233" s="14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c r="BA233" s="130"/>
      <c r="BB233" s="130"/>
      <c r="BC233" s="130"/>
      <c r="BD233" s="130"/>
    </row>
    <row r="234">
      <c r="A234" s="130"/>
      <c r="B234" s="130"/>
      <c r="C234" s="130"/>
      <c r="D234" s="130"/>
      <c r="E234" s="130"/>
      <c r="F234" s="14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c r="AZ234" s="130"/>
      <c r="BA234" s="130"/>
      <c r="BB234" s="130"/>
      <c r="BC234" s="130"/>
      <c r="BD234" s="130"/>
    </row>
    <row r="235">
      <c r="A235" s="130"/>
      <c r="B235" s="130"/>
      <c r="C235" s="130"/>
      <c r="D235" s="130"/>
      <c r="E235" s="130"/>
      <c r="F235" s="14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c r="BA235" s="130"/>
      <c r="BB235" s="130"/>
      <c r="BC235" s="130"/>
      <c r="BD235" s="130"/>
    </row>
    <row r="236">
      <c r="A236" s="130"/>
      <c r="B236" s="130"/>
      <c r="C236" s="130"/>
      <c r="D236" s="130"/>
      <c r="E236" s="130"/>
      <c r="F236" s="14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c r="AZ236" s="130"/>
      <c r="BA236" s="130"/>
      <c r="BB236" s="130"/>
      <c r="BC236" s="130"/>
      <c r="BD236" s="130"/>
    </row>
    <row r="237">
      <c r="A237" s="130"/>
      <c r="B237" s="130"/>
      <c r="C237" s="130"/>
      <c r="D237" s="130"/>
      <c r="E237" s="130"/>
      <c r="F237" s="14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c r="BA237" s="130"/>
      <c r="BB237" s="130"/>
      <c r="BC237" s="130"/>
      <c r="BD237" s="130"/>
    </row>
    <row r="238">
      <c r="A238" s="130"/>
      <c r="B238" s="130"/>
      <c r="C238" s="130"/>
      <c r="D238" s="130"/>
      <c r="E238" s="130"/>
      <c r="F238" s="14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c r="BA238" s="130"/>
      <c r="BB238" s="130"/>
      <c r="BC238" s="130"/>
      <c r="BD238" s="130"/>
    </row>
    <row r="239">
      <c r="A239" s="130"/>
      <c r="B239" s="130"/>
      <c r="C239" s="130"/>
      <c r="D239" s="130"/>
      <c r="E239" s="130"/>
      <c r="F239" s="14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row>
    <row r="240">
      <c r="A240" s="130"/>
      <c r="B240" s="130"/>
      <c r="C240" s="130"/>
      <c r="D240" s="130"/>
      <c r="E240" s="130"/>
      <c r="F240" s="14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c r="BB240" s="130"/>
      <c r="BC240" s="130"/>
      <c r="BD240" s="130"/>
    </row>
    <row r="241">
      <c r="A241" s="130"/>
      <c r="B241" s="130"/>
      <c r="C241" s="130"/>
      <c r="D241" s="130"/>
      <c r="E241" s="130"/>
      <c r="F241" s="14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c r="BA241" s="130"/>
      <c r="BB241" s="130"/>
      <c r="BC241" s="130"/>
      <c r="BD241" s="130"/>
    </row>
    <row r="242">
      <c r="A242" s="130"/>
      <c r="B242" s="130"/>
      <c r="C242" s="130"/>
      <c r="D242" s="130"/>
      <c r="E242" s="130"/>
      <c r="F242" s="14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c r="BA242" s="130"/>
      <c r="BB242" s="130"/>
      <c r="BC242" s="130"/>
      <c r="BD242" s="130"/>
    </row>
    <row r="243">
      <c r="A243" s="130"/>
      <c r="B243" s="130"/>
      <c r="C243" s="130"/>
      <c r="D243" s="130"/>
      <c r="E243" s="130"/>
      <c r="F243" s="14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row>
    <row r="244">
      <c r="A244" s="130"/>
      <c r="B244" s="130"/>
      <c r="C244" s="130"/>
      <c r="D244" s="130"/>
      <c r="E244" s="130"/>
      <c r="F244" s="14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c r="BA244" s="130"/>
      <c r="BB244" s="130"/>
      <c r="BC244" s="130"/>
      <c r="BD244" s="130"/>
    </row>
    <row r="245">
      <c r="A245" s="130"/>
      <c r="B245" s="130"/>
      <c r="C245" s="130"/>
      <c r="D245" s="130"/>
      <c r="E245" s="130"/>
      <c r="F245" s="14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c r="BB245" s="130"/>
      <c r="BC245" s="130"/>
      <c r="BD245" s="130"/>
    </row>
    <row r="246">
      <c r="A246" s="130"/>
      <c r="B246" s="130"/>
      <c r="C246" s="130"/>
      <c r="D246" s="130"/>
      <c r="E246" s="130"/>
      <c r="F246" s="14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c r="BA246" s="130"/>
      <c r="BB246" s="130"/>
      <c r="BC246" s="130"/>
      <c r="BD246" s="130"/>
    </row>
    <row r="247">
      <c r="A247" s="130"/>
      <c r="B247" s="130"/>
      <c r="C247" s="130"/>
      <c r="D247" s="130"/>
      <c r="E247" s="130"/>
      <c r="F247" s="14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c r="BA247" s="130"/>
      <c r="BB247" s="130"/>
      <c r="BC247" s="130"/>
      <c r="BD247" s="130"/>
    </row>
    <row r="248">
      <c r="A248" s="130"/>
      <c r="B248" s="130"/>
      <c r="C248" s="130"/>
      <c r="D248" s="130"/>
      <c r="E248" s="130"/>
      <c r="F248" s="14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c r="BA248" s="130"/>
      <c r="BB248" s="130"/>
      <c r="BC248" s="130"/>
      <c r="BD248" s="130"/>
    </row>
    <row r="249">
      <c r="A249" s="130"/>
      <c r="B249" s="130"/>
      <c r="C249" s="130"/>
      <c r="D249" s="130"/>
      <c r="E249" s="130"/>
      <c r="F249" s="14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c r="BA249" s="130"/>
      <c r="BB249" s="130"/>
      <c r="BC249" s="130"/>
      <c r="BD249" s="130"/>
    </row>
    <row r="250">
      <c r="A250" s="130"/>
      <c r="B250" s="130"/>
      <c r="C250" s="130"/>
      <c r="D250" s="130"/>
      <c r="E250" s="130"/>
      <c r="F250" s="14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c r="AZ250" s="130"/>
      <c r="BA250" s="130"/>
      <c r="BB250" s="130"/>
      <c r="BC250" s="130"/>
      <c r="BD250" s="130"/>
    </row>
    <row r="251">
      <c r="A251" s="130"/>
      <c r="B251" s="130"/>
      <c r="C251" s="130"/>
      <c r="D251" s="130"/>
      <c r="E251" s="130"/>
      <c r="F251" s="14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c r="BA251" s="130"/>
      <c r="BB251" s="130"/>
      <c r="BC251" s="130"/>
      <c r="BD251" s="130"/>
    </row>
    <row r="252">
      <c r="A252" s="130"/>
      <c r="B252" s="130"/>
      <c r="C252" s="130"/>
      <c r="D252" s="130"/>
      <c r="E252" s="130"/>
      <c r="F252" s="14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c r="AZ252" s="130"/>
      <c r="BA252" s="130"/>
      <c r="BB252" s="130"/>
      <c r="BC252" s="130"/>
      <c r="BD252" s="130"/>
    </row>
    <row r="253">
      <c r="A253" s="130"/>
      <c r="B253" s="130"/>
      <c r="C253" s="130"/>
      <c r="D253" s="130"/>
      <c r="E253" s="130"/>
      <c r="F253" s="14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c r="AZ253" s="130"/>
      <c r="BA253" s="130"/>
      <c r="BB253" s="130"/>
      <c r="BC253" s="130"/>
      <c r="BD253" s="130"/>
    </row>
    <row r="254">
      <c r="A254" s="130"/>
      <c r="B254" s="130"/>
      <c r="C254" s="130"/>
      <c r="D254" s="130"/>
      <c r="E254" s="130"/>
      <c r="F254" s="14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c r="AZ254" s="130"/>
      <c r="BA254" s="130"/>
      <c r="BB254" s="130"/>
      <c r="BC254" s="130"/>
      <c r="BD254" s="130"/>
    </row>
    <row r="255">
      <c r="A255" s="130"/>
      <c r="B255" s="130"/>
      <c r="C255" s="130"/>
      <c r="D255" s="130"/>
      <c r="E255" s="130"/>
      <c r="F255" s="14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c r="AZ255" s="130"/>
      <c r="BA255" s="130"/>
      <c r="BB255" s="130"/>
      <c r="BC255" s="130"/>
      <c r="BD255" s="130"/>
    </row>
    <row r="256">
      <c r="A256" s="130"/>
      <c r="B256" s="130"/>
      <c r="C256" s="130"/>
      <c r="D256" s="130"/>
      <c r="E256" s="130"/>
      <c r="F256" s="14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c r="AZ256" s="130"/>
      <c r="BA256" s="130"/>
      <c r="BB256" s="130"/>
      <c r="BC256" s="130"/>
      <c r="BD256" s="130"/>
    </row>
    <row r="257">
      <c r="A257" s="130"/>
      <c r="B257" s="130"/>
      <c r="C257" s="130"/>
      <c r="D257" s="130"/>
      <c r="E257" s="130"/>
      <c r="F257" s="14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c r="AZ257" s="130"/>
      <c r="BA257" s="130"/>
      <c r="BB257" s="130"/>
      <c r="BC257" s="130"/>
      <c r="BD257" s="130"/>
    </row>
    <row r="258">
      <c r="A258" s="130"/>
      <c r="B258" s="130"/>
      <c r="C258" s="130"/>
      <c r="D258" s="130"/>
      <c r="E258" s="130"/>
      <c r="F258" s="14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c r="BA258" s="130"/>
      <c r="BB258" s="130"/>
      <c r="BC258" s="130"/>
      <c r="BD258" s="130"/>
    </row>
    <row r="259">
      <c r="A259" s="130"/>
      <c r="B259" s="130"/>
      <c r="C259" s="130"/>
      <c r="D259" s="130"/>
      <c r="E259" s="130"/>
      <c r="F259" s="14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c r="AZ259" s="130"/>
      <c r="BA259" s="130"/>
      <c r="BB259" s="130"/>
      <c r="BC259" s="130"/>
      <c r="BD259" s="130"/>
    </row>
    <row r="260">
      <c r="A260" s="130"/>
      <c r="B260" s="130"/>
      <c r="C260" s="130"/>
      <c r="D260" s="130"/>
      <c r="E260" s="130"/>
      <c r="F260" s="14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c r="AZ260" s="130"/>
      <c r="BA260" s="130"/>
      <c r="BB260" s="130"/>
      <c r="BC260" s="130"/>
      <c r="BD260" s="130"/>
    </row>
    <row r="261">
      <c r="A261" s="130"/>
      <c r="B261" s="130"/>
      <c r="C261" s="130"/>
      <c r="D261" s="130"/>
      <c r="E261" s="130"/>
      <c r="F261" s="14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c r="AZ261" s="130"/>
      <c r="BA261" s="130"/>
      <c r="BB261" s="130"/>
      <c r="BC261" s="130"/>
      <c r="BD261" s="130"/>
    </row>
    <row r="262">
      <c r="A262" s="130"/>
      <c r="B262" s="130"/>
      <c r="C262" s="130"/>
      <c r="D262" s="130"/>
      <c r="E262" s="130"/>
      <c r="F262" s="14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c r="AZ262" s="130"/>
      <c r="BA262" s="130"/>
      <c r="BB262" s="130"/>
      <c r="BC262" s="130"/>
      <c r="BD262" s="130"/>
    </row>
    <row r="263">
      <c r="A263" s="130"/>
      <c r="B263" s="130"/>
      <c r="C263" s="130"/>
      <c r="D263" s="130"/>
      <c r="E263" s="130"/>
      <c r="F263" s="14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c r="BA263" s="130"/>
      <c r="BB263" s="130"/>
      <c r="BC263" s="130"/>
      <c r="BD263" s="130"/>
    </row>
    <row r="264">
      <c r="A264" s="130"/>
      <c r="B264" s="130"/>
      <c r="C264" s="130"/>
      <c r="D264" s="130"/>
      <c r="E264" s="130"/>
      <c r="F264" s="14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c r="BA264" s="130"/>
      <c r="BB264" s="130"/>
      <c r="BC264" s="130"/>
      <c r="BD264" s="130"/>
    </row>
    <row r="265">
      <c r="A265" s="130"/>
      <c r="B265" s="130"/>
      <c r="C265" s="130"/>
      <c r="D265" s="130"/>
      <c r="E265" s="130"/>
      <c r="F265" s="14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c r="AZ265" s="130"/>
      <c r="BA265" s="130"/>
      <c r="BB265" s="130"/>
      <c r="BC265" s="130"/>
      <c r="BD265" s="130"/>
    </row>
    <row r="266">
      <c r="A266" s="130"/>
      <c r="B266" s="130"/>
      <c r="C266" s="130"/>
      <c r="D266" s="130"/>
      <c r="E266" s="130"/>
      <c r="F266" s="14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c r="AZ266" s="130"/>
      <c r="BA266" s="130"/>
      <c r="BB266" s="130"/>
      <c r="BC266" s="130"/>
      <c r="BD266" s="130"/>
    </row>
    <row r="267">
      <c r="A267" s="130"/>
      <c r="B267" s="130"/>
      <c r="C267" s="130"/>
      <c r="D267" s="130"/>
      <c r="E267" s="130"/>
      <c r="F267" s="14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c r="BA267" s="130"/>
      <c r="BB267" s="130"/>
      <c r="BC267" s="130"/>
      <c r="BD267" s="130"/>
    </row>
    <row r="268">
      <c r="A268" s="130"/>
      <c r="B268" s="130"/>
      <c r="C268" s="130"/>
      <c r="D268" s="130"/>
      <c r="E268" s="130"/>
      <c r="F268" s="14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c r="AZ268" s="130"/>
      <c r="BA268" s="130"/>
      <c r="BB268" s="130"/>
      <c r="BC268" s="130"/>
      <c r="BD268" s="130"/>
    </row>
    <row r="269">
      <c r="A269" s="130"/>
      <c r="B269" s="130"/>
      <c r="C269" s="130"/>
      <c r="D269" s="130"/>
      <c r="E269" s="130"/>
      <c r="F269" s="14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c r="AZ269" s="130"/>
      <c r="BA269" s="130"/>
      <c r="BB269" s="130"/>
      <c r="BC269" s="130"/>
      <c r="BD269" s="130"/>
    </row>
    <row r="270">
      <c r="A270" s="130"/>
      <c r="B270" s="130"/>
      <c r="C270" s="130"/>
      <c r="D270" s="130"/>
      <c r="E270" s="130"/>
      <c r="F270" s="14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c r="AZ270" s="130"/>
      <c r="BA270" s="130"/>
      <c r="BB270" s="130"/>
      <c r="BC270" s="130"/>
      <c r="BD270" s="130"/>
    </row>
    <row r="271">
      <c r="A271" s="130"/>
      <c r="B271" s="130"/>
      <c r="C271" s="130"/>
      <c r="D271" s="130"/>
      <c r="E271" s="130"/>
      <c r="F271" s="14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c r="BA271" s="130"/>
      <c r="BB271" s="130"/>
      <c r="BC271" s="130"/>
      <c r="BD271" s="130"/>
    </row>
    <row r="272">
      <c r="A272" s="130"/>
      <c r="B272" s="130"/>
      <c r="C272" s="130"/>
      <c r="D272" s="130"/>
      <c r="E272" s="130"/>
      <c r="F272" s="14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c r="AZ272" s="130"/>
      <c r="BA272" s="130"/>
      <c r="BB272" s="130"/>
      <c r="BC272" s="130"/>
      <c r="BD272" s="130"/>
    </row>
    <row r="273">
      <c r="A273" s="130"/>
      <c r="B273" s="130"/>
      <c r="C273" s="130"/>
      <c r="D273" s="130"/>
      <c r="E273" s="130"/>
      <c r="F273" s="14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c r="AZ273" s="130"/>
      <c r="BA273" s="130"/>
      <c r="BB273" s="130"/>
      <c r="BC273" s="130"/>
      <c r="BD273" s="130"/>
    </row>
    <row r="274">
      <c r="A274" s="130"/>
      <c r="B274" s="130"/>
      <c r="C274" s="130"/>
      <c r="D274" s="130"/>
      <c r="E274" s="130"/>
      <c r="F274" s="14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c r="AZ274" s="130"/>
      <c r="BA274" s="130"/>
      <c r="BB274" s="130"/>
      <c r="BC274" s="130"/>
      <c r="BD274" s="130"/>
    </row>
    <row r="275">
      <c r="A275" s="130"/>
      <c r="B275" s="130"/>
      <c r="C275" s="130"/>
      <c r="D275" s="130"/>
      <c r="E275" s="130"/>
      <c r="F275" s="14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c r="AZ275" s="130"/>
      <c r="BA275" s="130"/>
      <c r="BB275" s="130"/>
      <c r="BC275" s="130"/>
      <c r="BD275" s="130"/>
    </row>
    <row r="276">
      <c r="A276" s="130"/>
      <c r="B276" s="130"/>
      <c r="C276" s="130"/>
      <c r="D276" s="130"/>
      <c r="E276" s="130"/>
      <c r="F276" s="14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c r="BA276" s="130"/>
      <c r="BB276" s="130"/>
      <c r="BC276" s="130"/>
      <c r="BD276" s="130"/>
    </row>
    <row r="277">
      <c r="A277" s="130"/>
      <c r="B277" s="130"/>
      <c r="C277" s="130"/>
      <c r="D277" s="130"/>
      <c r="E277" s="130"/>
      <c r="F277" s="14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c r="BA277" s="130"/>
      <c r="BB277" s="130"/>
      <c r="BC277" s="130"/>
      <c r="BD277" s="130"/>
    </row>
    <row r="278">
      <c r="A278" s="130"/>
      <c r="B278" s="130"/>
      <c r="C278" s="130"/>
      <c r="D278" s="130"/>
      <c r="E278" s="130"/>
      <c r="F278" s="14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c r="BA278" s="130"/>
      <c r="BB278" s="130"/>
      <c r="BC278" s="130"/>
      <c r="BD278" s="130"/>
    </row>
    <row r="279">
      <c r="A279" s="130"/>
      <c r="B279" s="130"/>
      <c r="C279" s="130"/>
      <c r="D279" s="130"/>
      <c r="E279" s="130"/>
      <c r="F279" s="14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c r="BA279" s="130"/>
      <c r="BB279" s="130"/>
      <c r="BC279" s="130"/>
      <c r="BD279" s="130"/>
    </row>
    <row r="280">
      <c r="A280" s="130"/>
      <c r="B280" s="130"/>
      <c r="C280" s="130"/>
      <c r="D280" s="130"/>
      <c r="E280" s="130"/>
      <c r="F280" s="14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c r="BA280" s="130"/>
      <c r="BB280" s="130"/>
      <c r="BC280" s="130"/>
      <c r="BD280" s="130"/>
    </row>
    <row r="281">
      <c r="A281" s="130"/>
      <c r="B281" s="130"/>
      <c r="C281" s="130"/>
      <c r="D281" s="130"/>
      <c r="E281" s="130"/>
      <c r="F281" s="14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c r="BA281" s="130"/>
      <c r="BB281" s="130"/>
      <c r="BC281" s="130"/>
      <c r="BD281" s="130"/>
    </row>
    <row r="282">
      <c r="A282" s="130"/>
      <c r="B282" s="130"/>
      <c r="C282" s="130"/>
      <c r="D282" s="130"/>
      <c r="E282" s="130"/>
      <c r="F282" s="14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c r="AZ282" s="130"/>
      <c r="BA282" s="130"/>
      <c r="BB282" s="130"/>
      <c r="BC282" s="130"/>
      <c r="BD282" s="130"/>
    </row>
    <row r="283">
      <c r="A283" s="130"/>
      <c r="B283" s="130"/>
      <c r="C283" s="130"/>
      <c r="D283" s="130"/>
      <c r="E283" s="130"/>
      <c r="F283" s="14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c r="BA283" s="130"/>
      <c r="BB283" s="130"/>
      <c r="BC283" s="130"/>
      <c r="BD283" s="130"/>
    </row>
    <row r="284">
      <c r="A284" s="130"/>
      <c r="B284" s="130"/>
      <c r="C284" s="130"/>
      <c r="D284" s="130"/>
      <c r="E284" s="130"/>
      <c r="F284" s="14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c r="BA284" s="130"/>
      <c r="BB284" s="130"/>
      <c r="BC284" s="130"/>
      <c r="BD284" s="130"/>
    </row>
    <row r="285">
      <c r="A285" s="130"/>
      <c r="B285" s="130"/>
      <c r="C285" s="130"/>
      <c r="D285" s="130"/>
      <c r="E285" s="130"/>
      <c r="F285" s="14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c r="BA285" s="130"/>
      <c r="BB285" s="130"/>
      <c r="BC285" s="130"/>
      <c r="BD285" s="130"/>
    </row>
    <row r="286">
      <c r="A286" s="130"/>
      <c r="B286" s="130"/>
      <c r="C286" s="130"/>
      <c r="D286" s="130"/>
      <c r="E286" s="130"/>
      <c r="F286" s="14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c r="BA286" s="130"/>
      <c r="BB286" s="130"/>
      <c r="BC286" s="130"/>
      <c r="BD286" s="130"/>
    </row>
    <row r="287">
      <c r="A287" s="130"/>
      <c r="B287" s="130"/>
      <c r="C287" s="130"/>
      <c r="D287" s="130"/>
      <c r="E287" s="130"/>
      <c r="F287" s="14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c r="BA287" s="130"/>
      <c r="BB287" s="130"/>
      <c r="BC287" s="130"/>
      <c r="BD287" s="130"/>
    </row>
    <row r="288">
      <c r="A288" s="130"/>
      <c r="B288" s="130"/>
      <c r="C288" s="130"/>
      <c r="D288" s="130"/>
      <c r="E288" s="130"/>
      <c r="F288" s="14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c r="BA288" s="130"/>
      <c r="BB288" s="130"/>
      <c r="BC288" s="130"/>
      <c r="BD288" s="130"/>
    </row>
    <row r="289">
      <c r="A289" s="130"/>
      <c r="B289" s="130"/>
      <c r="C289" s="130"/>
      <c r="D289" s="130"/>
      <c r="E289" s="130"/>
      <c r="F289" s="14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c r="AZ289" s="130"/>
      <c r="BA289" s="130"/>
      <c r="BB289" s="130"/>
      <c r="BC289" s="130"/>
      <c r="BD289" s="130"/>
    </row>
    <row r="290">
      <c r="A290" s="130"/>
      <c r="B290" s="130"/>
      <c r="C290" s="130"/>
      <c r="D290" s="130"/>
      <c r="E290" s="130"/>
      <c r="F290" s="14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c r="BA290" s="130"/>
      <c r="BB290" s="130"/>
      <c r="BC290" s="130"/>
      <c r="BD290" s="130"/>
    </row>
    <row r="291">
      <c r="A291" s="130"/>
      <c r="B291" s="130"/>
      <c r="C291" s="130"/>
      <c r="D291" s="130"/>
      <c r="E291" s="130"/>
      <c r="F291" s="14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c r="AZ291" s="130"/>
      <c r="BA291" s="130"/>
      <c r="BB291" s="130"/>
      <c r="BC291" s="130"/>
      <c r="BD291" s="130"/>
    </row>
    <row r="292">
      <c r="A292" s="130"/>
      <c r="B292" s="130"/>
      <c r="C292" s="130"/>
      <c r="D292" s="130"/>
      <c r="E292" s="130"/>
      <c r="F292" s="14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c r="AZ292" s="130"/>
      <c r="BA292" s="130"/>
      <c r="BB292" s="130"/>
      <c r="BC292" s="130"/>
      <c r="BD292" s="130"/>
    </row>
    <row r="293">
      <c r="A293" s="130"/>
      <c r="B293" s="130"/>
      <c r="C293" s="130"/>
      <c r="D293" s="130"/>
      <c r="E293" s="130"/>
      <c r="F293" s="14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c r="BA293" s="130"/>
      <c r="BB293" s="130"/>
      <c r="BC293" s="130"/>
      <c r="BD293" s="130"/>
    </row>
    <row r="294">
      <c r="A294" s="130"/>
      <c r="B294" s="130"/>
      <c r="C294" s="130"/>
      <c r="D294" s="130"/>
      <c r="E294" s="130"/>
      <c r="F294" s="14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c r="BA294" s="130"/>
      <c r="BB294" s="130"/>
      <c r="BC294" s="130"/>
      <c r="BD294" s="130"/>
    </row>
    <row r="295">
      <c r="A295" s="130"/>
      <c r="B295" s="130"/>
      <c r="C295" s="130"/>
      <c r="D295" s="130"/>
      <c r="E295" s="130"/>
      <c r="F295" s="14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c r="BA295" s="130"/>
      <c r="BB295" s="130"/>
      <c r="BC295" s="130"/>
      <c r="BD295" s="130"/>
    </row>
    <row r="296">
      <c r="A296" s="130"/>
      <c r="B296" s="130"/>
      <c r="C296" s="130"/>
      <c r="D296" s="130"/>
      <c r="E296" s="130"/>
      <c r="F296" s="14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c r="BA296" s="130"/>
      <c r="BB296" s="130"/>
      <c r="BC296" s="130"/>
      <c r="BD296" s="130"/>
    </row>
    <row r="297">
      <c r="A297" s="130"/>
      <c r="B297" s="130"/>
      <c r="C297" s="130"/>
      <c r="D297" s="130"/>
      <c r="E297" s="130"/>
      <c r="F297" s="14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c r="BA297" s="130"/>
      <c r="BB297" s="130"/>
      <c r="BC297" s="130"/>
      <c r="BD297" s="130"/>
    </row>
    <row r="298">
      <c r="A298" s="130"/>
      <c r="B298" s="130"/>
      <c r="C298" s="130"/>
      <c r="D298" s="130"/>
      <c r="E298" s="130"/>
      <c r="F298" s="14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c r="AZ298" s="130"/>
      <c r="BA298" s="130"/>
      <c r="BB298" s="130"/>
      <c r="BC298" s="130"/>
      <c r="BD298" s="130"/>
    </row>
    <row r="299">
      <c r="A299" s="130"/>
      <c r="B299" s="130"/>
      <c r="C299" s="130"/>
      <c r="D299" s="130"/>
      <c r="E299" s="130"/>
      <c r="F299" s="14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c r="BA299" s="130"/>
      <c r="BB299" s="130"/>
      <c r="BC299" s="130"/>
      <c r="BD299" s="130"/>
    </row>
    <row r="300">
      <c r="A300" s="130"/>
      <c r="B300" s="130"/>
      <c r="C300" s="130"/>
      <c r="D300" s="130"/>
      <c r="E300" s="130"/>
      <c r="F300" s="14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c r="BA300" s="130"/>
      <c r="BB300" s="130"/>
      <c r="BC300" s="130"/>
      <c r="BD300" s="130"/>
    </row>
    <row r="301">
      <c r="A301" s="130"/>
      <c r="B301" s="130"/>
      <c r="C301" s="130"/>
      <c r="D301" s="130"/>
      <c r="E301" s="130"/>
      <c r="F301" s="14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c r="BA301" s="130"/>
      <c r="BB301" s="130"/>
      <c r="BC301" s="130"/>
      <c r="BD301" s="130"/>
    </row>
    <row r="302">
      <c r="A302" s="130"/>
      <c r="B302" s="130"/>
      <c r="C302" s="130"/>
      <c r="D302" s="130"/>
      <c r="E302" s="130"/>
      <c r="F302" s="14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c r="BA302" s="130"/>
      <c r="BB302" s="130"/>
      <c r="BC302" s="130"/>
      <c r="BD302" s="130"/>
    </row>
    <row r="303">
      <c r="A303" s="130"/>
      <c r="B303" s="130"/>
      <c r="C303" s="130"/>
      <c r="D303" s="130"/>
      <c r="E303" s="130"/>
      <c r="F303" s="14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c r="BA303" s="130"/>
      <c r="BB303" s="130"/>
      <c r="BC303" s="130"/>
      <c r="BD303" s="130"/>
    </row>
    <row r="304">
      <c r="A304" s="130"/>
      <c r="B304" s="130"/>
      <c r="C304" s="130"/>
      <c r="D304" s="130"/>
      <c r="E304" s="130"/>
      <c r="F304" s="14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c r="BA304" s="130"/>
      <c r="BB304" s="130"/>
      <c r="BC304" s="130"/>
      <c r="BD304" s="130"/>
    </row>
    <row r="305">
      <c r="A305" s="130"/>
      <c r="B305" s="130"/>
      <c r="C305" s="130"/>
      <c r="D305" s="130"/>
      <c r="E305" s="130"/>
      <c r="F305" s="14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c r="BA305" s="130"/>
      <c r="BB305" s="130"/>
      <c r="BC305" s="130"/>
      <c r="BD305" s="130"/>
    </row>
    <row r="306">
      <c r="A306" s="130"/>
      <c r="B306" s="130"/>
      <c r="C306" s="130"/>
      <c r="D306" s="130"/>
      <c r="E306" s="130"/>
      <c r="F306" s="14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c r="BA306" s="130"/>
      <c r="BB306" s="130"/>
      <c r="BC306" s="130"/>
      <c r="BD306" s="130"/>
    </row>
    <row r="307">
      <c r="A307" s="130"/>
      <c r="B307" s="130"/>
      <c r="C307" s="130"/>
      <c r="D307" s="130"/>
      <c r="E307" s="130"/>
      <c r="F307" s="14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c r="BA307" s="130"/>
      <c r="BB307" s="130"/>
      <c r="BC307" s="130"/>
      <c r="BD307" s="130"/>
    </row>
    <row r="308">
      <c r="A308" s="130"/>
      <c r="B308" s="130"/>
      <c r="C308" s="130"/>
      <c r="D308" s="130"/>
      <c r="E308" s="130"/>
      <c r="F308" s="14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c r="BA308" s="130"/>
      <c r="BB308" s="130"/>
      <c r="BC308" s="130"/>
      <c r="BD308" s="130"/>
    </row>
    <row r="309">
      <c r="A309" s="130"/>
      <c r="B309" s="130"/>
      <c r="C309" s="130"/>
      <c r="D309" s="130"/>
      <c r="E309" s="130"/>
      <c r="F309" s="14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c r="BA309" s="130"/>
      <c r="BB309" s="130"/>
      <c r="BC309" s="130"/>
      <c r="BD309" s="130"/>
    </row>
    <row r="310">
      <c r="A310" s="130"/>
      <c r="B310" s="130"/>
      <c r="C310" s="130"/>
      <c r="D310" s="130"/>
      <c r="E310" s="130"/>
      <c r="F310" s="14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c r="BA310" s="130"/>
      <c r="BB310" s="130"/>
      <c r="BC310" s="130"/>
      <c r="BD310" s="130"/>
    </row>
    <row r="311">
      <c r="A311" s="130"/>
      <c r="B311" s="130"/>
      <c r="C311" s="130"/>
      <c r="D311" s="130"/>
      <c r="E311" s="130"/>
      <c r="F311" s="14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c r="BA311" s="130"/>
      <c r="BB311" s="130"/>
      <c r="BC311" s="130"/>
      <c r="BD311" s="130"/>
    </row>
    <row r="312">
      <c r="A312" s="130"/>
      <c r="B312" s="130"/>
      <c r="C312" s="130"/>
      <c r="D312" s="130"/>
      <c r="E312" s="130"/>
      <c r="F312" s="14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c r="BB312" s="130"/>
      <c r="BC312" s="130"/>
      <c r="BD312" s="130"/>
    </row>
    <row r="313">
      <c r="A313" s="130"/>
      <c r="B313" s="130"/>
      <c r="C313" s="130"/>
      <c r="D313" s="130"/>
      <c r="E313" s="130"/>
      <c r="F313" s="14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c r="BB313" s="130"/>
      <c r="BC313" s="130"/>
      <c r="BD313" s="130"/>
    </row>
    <row r="314">
      <c r="A314" s="130"/>
      <c r="B314" s="130"/>
      <c r="C314" s="130"/>
      <c r="D314" s="130"/>
      <c r="E314" s="130"/>
      <c r="F314" s="14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row>
    <row r="315">
      <c r="A315" s="130"/>
      <c r="B315" s="130"/>
      <c r="C315" s="130"/>
      <c r="D315" s="130"/>
      <c r="E315" s="130"/>
      <c r="F315" s="14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c r="BB315" s="130"/>
      <c r="BC315" s="130"/>
      <c r="BD315" s="130"/>
    </row>
    <row r="316">
      <c r="A316" s="130"/>
      <c r="B316" s="130"/>
      <c r="C316" s="130"/>
      <c r="D316" s="130"/>
      <c r="E316" s="130"/>
      <c r="F316" s="14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c r="BA316" s="130"/>
      <c r="BB316" s="130"/>
      <c r="BC316" s="130"/>
      <c r="BD316" s="130"/>
    </row>
    <row r="317">
      <c r="A317" s="130"/>
      <c r="B317" s="130"/>
      <c r="C317" s="130"/>
      <c r="D317" s="130"/>
      <c r="E317" s="130"/>
      <c r="F317" s="14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c r="BA317" s="130"/>
      <c r="BB317" s="130"/>
      <c r="BC317" s="130"/>
      <c r="BD317" s="130"/>
    </row>
    <row r="318">
      <c r="A318" s="130"/>
      <c r="B318" s="130"/>
      <c r="C318" s="130"/>
      <c r="D318" s="130"/>
      <c r="E318" s="130"/>
      <c r="F318" s="14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c r="BA318" s="130"/>
      <c r="BB318" s="130"/>
      <c r="BC318" s="130"/>
      <c r="BD318" s="130"/>
    </row>
    <row r="319">
      <c r="A319" s="130"/>
      <c r="B319" s="130"/>
      <c r="C319" s="130"/>
      <c r="D319" s="130"/>
      <c r="E319" s="130"/>
      <c r="F319" s="14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c r="BA319" s="130"/>
      <c r="BB319" s="130"/>
      <c r="BC319" s="130"/>
      <c r="BD319" s="130"/>
    </row>
    <row r="320">
      <c r="A320" s="130"/>
      <c r="B320" s="130"/>
      <c r="C320" s="130"/>
      <c r="D320" s="130"/>
      <c r="E320" s="130"/>
      <c r="F320" s="14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c r="BB320" s="130"/>
      <c r="BC320" s="130"/>
      <c r="BD320" s="130"/>
    </row>
    <row r="321">
      <c r="A321" s="130"/>
      <c r="B321" s="130"/>
      <c r="C321" s="130"/>
      <c r="D321" s="130"/>
      <c r="E321" s="130"/>
      <c r="F321" s="14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c r="BA321" s="130"/>
      <c r="BB321" s="130"/>
      <c r="BC321" s="130"/>
      <c r="BD321" s="130"/>
    </row>
    <row r="322">
      <c r="A322" s="130"/>
      <c r="B322" s="130"/>
      <c r="C322" s="130"/>
      <c r="D322" s="130"/>
      <c r="E322" s="130"/>
      <c r="F322" s="14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c r="BA322" s="130"/>
      <c r="BB322" s="130"/>
      <c r="BC322" s="130"/>
      <c r="BD322" s="130"/>
    </row>
    <row r="323">
      <c r="A323" s="130"/>
      <c r="B323" s="130"/>
      <c r="C323" s="130"/>
      <c r="D323" s="130"/>
      <c r="E323" s="130"/>
      <c r="F323" s="14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c r="BA323" s="130"/>
      <c r="BB323" s="130"/>
      <c r="BC323" s="130"/>
      <c r="BD323" s="130"/>
    </row>
    <row r="324">
      <c r="A324" s="130"/>
      <c r="B324" s="130"/>
      <c r="C324" s="130"/>
      <c r="D324" s="130"/>
      <c r="E324" s="130"/>
      <c r="F324" s="14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c r="BA324" s="130"/>
      <c r="BB324" s="130"/>
      <c r="BC324" s="130"/>
      <c r="BD324" s="130"/>
    </row>
    <row r="325">
      <c r="A325" s="130"/>
      <c r="B325" s="130"/>
      <c r="C325" s="130"/>
      <c r="D325" s="130"/>
      <c r="E325" s="130"/>
      <c r="F325" s="14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c r="BA325" s="130"/>
      <c r="BB325" s="130"/>
      <c r="BC325" s="130"/>
      <c r="BD325" s="130"/>
    </row>
    <row r="326">
      <c r="A326" s="130"/>
      <c r="B326" s="130"/>
      <c r="C326" s="130"/>
      <c r="D326" s="130"/>
      <c r="E326" s="130"/>
      <c r="F326" s="14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c r="BB326" s="130"/>
      <c r="BC326" s="130"/>
      <c r="BD326" s="130"/>
    </row>
    <row r="327">
      <c r="A327" s="130"/>
      <c r="B327" s="130"/>
      <c r="C327" s="130"/>
      <c r="D327" s="130"/>
      <c r="E327" s="130"/>
      <c r="F327" s="14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c r="BA327" s="130"/>
      <c r="BB327" s="130"/>
      <c r="BC327" s="130"/>
      <c r="BD327" s="130"/>
    </row>
    <row r="328">
      <c r="A328" s="130"/>
      <c r="B328" s="130"/>
      <c r="C328" s="130"/>
      <c r="D328" s="130"/>
      <c r="E328" s="130"/>
      <c r="F328" s="14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c r="BB328" s="130"/>
      <c r="BC328" s="130"/>
      <c r="BD328" s="130"/>
    </row>
    <row r="329">
      <c r="A329" s="130"/>
      <c r="B329" s="130"/>
      <c r="C329" s="130"/>
      <c r="D329" s="130"/>
      <c r="E329" s="130"/>
      <c r="F329" s="14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c r="BA329" s="130"/>
      <c r="BB329" s="130"/>
      <c r="BC329" s="130"/>
      <c r="BD329" s="130"/>
    </row>
    <row r="330">
      <c r="A330" s="130"/>
      <c r="B330" s="130"/>
      <c r="C330" s="130"/>
      <c r="D330" s="130"/>
      <c r="E330" s="130"/>
      <c r="F330" s="14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c r="BA330" s="130"/>
      <c r="BB330" s="130"/>
      <c r="BC330" s="130"/>
      <c r="BD330" s="130"/>
    </row>
    <row r="331">
      <c r="A331" s="130"/>
      <c r="B331" s="130"/>
      <c r="C331" s="130"/>
      <c r="D331" s="130"/>
      <c r="E331" s="130"/>
      <c r="F331" s="14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c r="BA331" s="130"/>
      <c r="BB331" s="130"/>
      <c r="BC331" s="130"/>
      <c r="BD331" s="130"/>
    </row>
    <row r="332">
      <c r="A332" s="130"/>
      <c r="B332" s="130"/>
      <c r="C332" s="130"/>
      <c r="D332" s="130"/>
      <c r="E332" s="130"/>
      <c r="F332" s="14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c r="BB332" s="130"/>
      <c r="BC332" s="130"/>
      <c r="BD332" s="130"/>
    </row>
    <row r="333">
      <c r="A333" s="130"/>
      <c r="B333" s="130"/>
      <c r="C333" s="130"/>
      <c r="D333" s="130"/>
      <c r="E333" s="130"/>
      <c r="F333" s="14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c r="BA333" s="130"/>
      <c r="BB333" s="130"/>
      <c r="BC333" s="130"/>
      <c r="BD333" s="130"/>
    </row>
    <row r="334">
      <c r="A334" s="130"/>
      <c r="B334" s="130"/>
      <c r="C334" s="130"/>
      <c r="D334" s="130"/>
      <c r="E334" s="130"/>
      <c r="F334" s="14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c r="BA334" s="130"/>
      <c r="BB334" s="130"/>
      <c r="BC334" s="130"/>
      <c r="BD334" s="130"/>
    </row>
    <row r="335">
      <c r="A335" s="130"/>
      <c r="B335" s="130"/>
      <c r="C335" s="130"/>
      <c r="D335" s="130"/>
      <c r="E335" s="130"/>
      <c r="F335" s="14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c r="BA335" s="130"/>
      <c r="BB335" s="130"/>
      <c r="BC335" s="130"/>
      <c r="BD335" s="130"/>
    </row>
    <row r="336">
      <c r="A336" s="130"/>
      <c r="B336" s="130"/>
      <c r="C336" s="130"/>
      <c r="D336" s="130"/>
      <c r="E336" s="130"/>
      <c r="F336" s="14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c r="BA336" s="130"/>
      <c r="BB336" s="130"/>
      <c r="BC336" s="130"/>
      <c r="BD336" s="130"/>
    </row>
    <row r="337">
      <c r="A337" s="130"/>
      <c r="B337" s="130"/>
      <c r="C337" s="130"/>
      <c r="D337" s="130"/>
      <c r="E337" s="130"/>
      <c r="F337" s="14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c r="BB337" s="130"/>
      <c r="BC337" s="130"/>
      <c r="BD337" s="130"/>
    </row>
    <row r="338">
      <c r="A338" s="130"/>
      <c r="B338" s="130"/>
      <c r="C338" s="130"/>
      <c r="D338" s="130"/>
      <c r="E338" s="130"/>
      <c r="F338" s="14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c r="BB338" s="130"/>
      <c r="BC338" s="130"/>
      <c r="BD338" s="130"/>
    </row>
    <row r="339">
      <c r="A339" s="130"/>
      <c r="B339" s="130"/>
      <c r="C339" s="130"/>
      <c r="D339" s="130"/>
      <c r="E339" s="130"/>
      <c r="F339" s="14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c r="BA339" s="130"/>
      <c r="BB339" s="130"/>
      <c r="BC339" s="130"/>
      <c r="BD339" s="130"/>
    </row>
    <row r="340">
      <c r="A340" s="130"/>
      <c r="B340" s="130"/>
      <c r="C340" s="130"/>
      <c r="D340" s="130"/>
      <c r="E340" s="130"/>
      <c r="F340" s="14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c r="BA340" s="130"/>
      <c r="BB340" s="130"/>
      <c r="BC340" s="130"/>
      <c r="BD340" s="130"/>
    </row>
    <row r="341">
      <c r="A341" s="130"/>
      <c r="B341" s="130"/>
      <c r="C341" s="130"/>
      <c r="D341" s="130"/>
      <c r="E341" s="130"/>
      <c r="F341" s="14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c r="BA341" s="130"/>
      <c r="BB341" s="130"/>
      <c r="BC341" s="130"/>
      <c r="BD341" s="130"/>
    </row>
    <row r="342">
      <c r="A342" s="130"/>
      <c r="B342" s="130"/>
      <c r="C342" s="130"/>
      <c r="D342" s="130"/>
      <c r="E342" s="130"/>
      <c r="F342" s="14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c r="BA342" s="130"/>
      <c r="BB342" s="130"/>
      <c r="BC342" s="130"/>
      <c r="BD342" s="130"/>
    </row>
    <row r="343">
      <c r="A343" s="130"/>
      <c r="B343" s="130"/>
      <c r="C343" s="130"/>
      <c r="D343" s="130"/>
      <c r="E343" s="130"/>
      <c r="F343" s="14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c r="BA343" s="130"/>
      <c r="BB343" s="130"/>
      <c r="BC343" s="130"/>
      <c r="BD343" s="130"/>
    </row>
    <row r="344">
      <c r="A344" s="130"/>
      <c r="B344" s="130"/>
      <c r="C344" s="130"/>
      <c r="D344" s="130"/>
      <c r="E344" s="130"/>
      <c r="F344" s="14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c r="BA344" s="130"/>
      <c r="BB344" s="130"/>
      <c r="BC344" s="130"/>
      <c r="BD344" s="130"/>
    </row>
    <row r="345">
      <c r="A345" s="130"/>
      <c r="B345" s="130"/>
      <c r="C345" s="130"/>
      <c r="D345" s="130"/>
      <c r="E345" s="130"/>
      <c r="F345" s="14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c r="BB345" s="130"/>
      <c r="BC345" s="130"/>
      <c r="BD345" s="130"/>
    </row>
    <row r="346">
      <c r="A346" s="130"/>
      <c r="B346" s="130"/>
      <c r="C346" s="130"/>
      <c r="D346" s="130"/>
      <c r="E346" s="130"/>
      <c r="F346" s="14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c r="BA346" s="130"/>
      <c r="BB346" s="130"/>
      <c r="BC346" s="130"/>
      <c r="BD346" s="130"/>
    </row>
    <row r="347">
      <c r="A347" s="130"/>
      <c r="B347" s="130"/>
      <c r="C347" s="130"/>
      <c r="D347" s="130"/>
      <c r="E347" s="130"/>
      <c r="F347" s="14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c r="BA347" s="130"/>
      <c r="BB347" s="130"/>
      <c r="BC347" s="130"/>
      <c r="BD347" s="130"/>
    </row>
    <row r="348">
      <c r="A348" s="130"/>
      <c r="B348" s="130"/>
      <c r="C348" s="130"/>
      <c r="D348" s="130"/>
      <c r="E348" s="130"/>
      <c r="F348" s="14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c r="BA348" s="130"/>
      <c r="BB348" s="130"/>
      <c r="BC348" s="130"/>
      <c r="BD348" s="130"/>
    </row>
    <row r="349">
      <c r="A349" s="130"/>
      <c r="B349" s="130"/>
      <c r="C349" s="130"/>
      <c r="D349" s="130"/>
      <c r="E349" s="130"/>
      <c r="F349" s="14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c r="BA349" s="130"/>
      <c r="BB349" s="130"/>
      <c r="BC349" s="130"/>
      <c r="BD349" s="130"/>
    </row>
    <row r="350">
      <c r="A350" s="130"/>
      <c r="B350" s="130"/>
      <c r="C350" s="130"/>
      <c r="D350" s="130"/>
      <c r="E350" s="130"/>
      <c r="F350" s="14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c r="BA350" s="130"/>
      <c r="BB350" s="130"/>
      <c r="BC350" s="130"/>
      <c r="BD350" s="130"/>
    </row>
    <row r="351">
      <c r="A351" s="130"/>
      <c r="B351" s="130"/>
      <c r="C351" s="130"/>
      <c r="D351" s="130"/>
      <c r="E351" s="130"/>
      <c r="F351" s="14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c r="BA351" s="130"/>
      <c r="BB351" s="130"/>
      <c r="BC351" s="130"/>
      <c r="BD351" s="130"/>
    </row>
    <row r="352">
      <c r="A352" s="130"/>
      <c r="B352" s="130"/>
      <c r="C352" s="130"/>
      <c r="D352" s="130"/>
      <c r="E352" s="130"/>
      <c r="F352" s="14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c r="BA352" s="130"/>
      <c r="BB352" s="130"/>
      <c r="BC352" s="130"/>
      <c r="BD352" s="130"/>
    </row>
    <row r="353">
      <c r="A353" s="130"/>
      <c r="B353" s="130"/>
      <c r="C353" s="130"/>
      <c r="D353" s="130"/>
      <c r="E353" s="130"/>
      <c r="F353" s="14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c r="BA353" s="130"/>
      <c r="BB353" s="130"/>
      <c r="BC353" s="130"/>
      <c r="BD353" s="130"/>
    </row>
    <row r="354">
      <c r="A354" s="130"/>
      <c r="B354" s="130"/>
      <c r="C354" s="130"/>
      <c r="D354" s="130"/>
      <c r="E354" s="130"/>
      <c r="F354" s="14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c r="BB354" s="130"/>
      <c r="BC354" s="130"/>
      <c r="BD354" s="130"/>
    </row>
    <row r="355">
      <c r="A355" s="130"/>
      <c r="B355" s="130"/>
      <c r="C355" s="130"/>
      <c r="D355" s="130"/>
      <c r="E355" s="130"/>
      <c r="F355" s="14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c r="BA355" s="130"/>
      <c r="BB355" s="130"/>
      <c r="BC355" s="130"/>
      <c r="BD355" s="130"/>
    </row>
    <row r="356">
      <c r="A356" s="130"/>
      <c r="B356" s="130"/>
      <c r="C356" s="130"/>
      <c r="D356" s="130"/>
      <c r="E356" s="130"/>
      <c r="F356" s="14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c r="BA356" s="130"/>
      <c r="BB356" s="130"/>
      <c r="BC356" s="130"/>
      <c r="BD356" s="130"/>
    </row>
    <row r="357">
      <c r="A357" s="130"/>
      <c r="B357" s="130"/>
      <c r="C357" s="130"/>
      <c r="D357" s="130"/>
      <c r="E357" s="130"/>
      <c r="F357" s="14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c r="BA357" s="130"/>
      <c r="BB357" s="130"/>
      <c r="BC357" s="130"/>
      <c r="BD357" s="130"/>
    </row>
    <row r="358">
      <c r="A358" s="130"/>
      <c r="B358" s="130"/>
      <c r="C358" s="130"/>
      <c r="D358" s="130"/>
      <c r="E358" s="130"/>
      <c r="F358" s="14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c r="BA358" s="130"/>
      <c r="BB358" s="130"/>
      <c r="BC358" s="130"/>
      <c r="BD358" s="130"/>
    </row>
    <row r="359">
      <c r="A359" s="130"/>
      <c r="B359" s="130"/>
      <c r="C359" s="130"/>
      <c r="D359" s="130"/>
      <c r="E359" s="130"/>
      <c r="F359" s="14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c r="BA359" s="130"/>
      <c r="BB359" s="130"/>
      <c r="BC359" s="130"/>
      <c r="BD359" s="130"/>
    </row>
    <row r="360">
      <c r="A360" s="130"/>
      <c r="B360" s="130"/>
      <c r="C360" s="130"/>
      <c r="D360" s="130"/>
      <c r="E360" s="130"/>
      <c r="F360" s="14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c r="BA360" s="130"/>
      <c r="BB360" s="130"/>
      <c r="BC360" s="130"/>
      <c r="BD360" s="130"/>
    </row>
    <row r="361">
      <c r="A361" s="130"/>
      <c r="B361" s="130"/>
      <c r="C361" s="130"/>
      <c r="D361" s="130"/>
      <c r="E361" s="130"/>
      <c r="F361" s="14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c r="BA361" s="130"/>
      <c r="BB361" s="130"/>
      <c r="BC361" s="130"/>
      <c r="BD361" s="130"/>
    </row>
    <row r="362">
      <c r="A362" s="130"/>
      <c r="B362" s="130"/>
      <c r="C362" s="130"/>
      <c r="D362" s="130"/>
      <c r="E362" s="130"/>
      <c r="F362" s="14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c r="BA362" s="130"/>
      <c r="BB362" s="130"/>
      <c r="BC362" s="130"/>
      <c r="BD362" s="130"/>
    </row>
    <row r="363">
      <c r="A363" s="130"/>
      <c r="B363" s="130"/>
      <c r="C363" s="130"/>
      <c r="D363" s="130"/>
      <c r="E363" s="130"/>
      <c r="F363" s="14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c r="BA363" s="130"/>
      <c r="BB363" s="130"/>
      <c r="BC363" s="130"/>
      <c r="BD363" s="130"/>
    </row>
    <row r="364">
      <c r="A364" s="130"/>
      <c r="B364" s="130"/>
      <c r="C364" s="130"/>
      <c r="D364" s="130"/>
      <c r="E364" s="130"/>
      <c r="F364" s="14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c r="BA364" s="130"/>
      <c r="BB364" s="130"/>
      <c r="BC364" s="130"/>
      <c r="BD364" s="130"/>
    </row>
    <row r="365">
      <c r="A365" s="130"/>
      <c r="B365" s="130"/>
      <c r="C365" s="130"/>
      <c r="D365" s="130"/>
      <c r="E365" s="130"/>
      <c r="F365" s="14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c r="BA365" s="130"/>
      <c r="BB365" s="130"/>
      <c r="BC365" s="130"/>
      <c r="BD365" s="130"/>
    </row>
    <row r="366">
      <c r="A366" s="130"/>
      <c r="B366" s="130"/>
      <c r="C366" s="130"/>
      <c r="D366" s="130"/>
      <c r="E366" s="130"/>
      <c r="F366" s="14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c r="BA366" s="130"/>
      <c r="BB366" s="130"/>
      <c r="BC366" s="130"/>
      <c r="BD366" s="130"/>
    </row>
    <row r="367">
      <c r="A367" s="130"/>
      <c r="B367" s="130"/>
      <c r="C367" s="130"/>
      <c r="D367" s="130"/>
      <c r="E367" s="130"/>
      <c r="F367" s="14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c r="BA367" s="130"/>
      <c r="BB367" s="130"/>
      <c r="BC367" s="130"/>
      <c r="BD367" s="130"/>
    </row>
    <row r="368">
      <c r="A368" s="130"/>
      <c r="B368" s="130"/>
      <c r="C368" s="130"/>
      <c r="D368" s="130"/>
      <c r="E368" s="130"/>
      <c r="F368" s="14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c r="BA368" s="130"/>
      <c r="BB368" s="130"/>
      <c r="BC368" s="130"/>
      <c r="BD368" s="130"/>
    </row>
    <row r="369">
      <c r="A369" s="130"/>
      <c r="B369" s="130"/>
      <c r="C369" s="130"/>
      <c r="D369" s="130"/>
      <c r="E369" s="130"/>
      <c r="F369" s="14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c r="BA369" s="130"/>
      <c r="BB369" s="130"/>
      <c r="BC369" s="130"/>
      <c r="BD369" s="130"/>
    </row>
    <row r="370">
      <c r="A370" s="130"/>
      <c r="B370" s="130"/>
      <c r="C370" s="130"/>
      <c r="D370" s="130"/>
      <c r="E370" s="130"/>
      <c r="F370" s="14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c r="BA370" s="130"/>
      <c r="BB370" s="130"/>
      <c r="BC370" s="130"/>
      <c r="BD370" s="130"/>
    </row>
    <row r="371">
      <c r="A371" s="130"/>
      <c r="B371" s="130"/>
      <c r="C371" s="130"/>
      <c r="D371" s="130"/>
      <c r="E371" s="130"/>
      <c r="F371" s="14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c r="BA371" s="130"/>
      <c r="BB371" s="130"/>
      <c r="BC371" s="130"/>
      <c r="BD371" s="130"/>
    </row>
    <row r="372">
      <c r="A372" s="130"/>
      <c r="B372" s="130"/>
      <c r="C372" s="130"/>
      <c r="D372" s="130"/>
      <c r="E372" s="130"/>
      <c r="F372" s="14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c r="BA372" s="130"/>
      <c r="BB372" s="130"/>
      <c r="BC372" s="130"/>
      <c r="BD372" s="130"/>
    </row>
    <row r="373">
      <c r="A373" s="130"/>
      <c r="B373" s="130"/>
      <c r="C373" s="130"/>
      <c r="D373" s="130"/>
      <c r="E373" s="130"/>
      <c r="F373" s="14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c r="BA373" s="130"/>
      <c r="BB373" s="130"/>
      <c r="BC373" s="130"/>
      <c r="BD373" s="130"/>
    </row>
    <row r="374">
      <c r="A374" s="130"/>
      <c r="B374" s="130"/>
      <c r="C374" s="130"/>
      <c r="D374" s="130"/>
      <c r="E374" s="130"/>
      <c r="F374" s="14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c r="BA374" s="130"/>
      <c r="BB374" s="130"/>
      <c r="BC374" s="130"/>
      <c r="BD374" s="130"/>
    </row>
    <row r="375">
      <c r="A375" s="130"/>
      <c r="B375" s="130"/>
      <c r="C375" s="130"/>
      <c r="D375" s="130"/>
      <c r="E375" s="130"/>
      <c r="F375" s="14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c r="BA375" s="130"/>
      <c r="BB375" s="130"/>
      <c r="BC375" s="130"/>
      <c r="BD375" s="130"/>
    </row>
    <row r="376">
      <c r="A376" s="130"/>
      <c r="B376" s="130"/>
      <c r="C376" s="130"/>
      <c r="D376" s="130"/>
      <c r="E376" s="130"/>
      <c r="F376" s="14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c r="BA376" s="130"/>
      <c r="BB376" s="130"/>
      <c r="BC376" s="130"/>
      <c r="BD376" s="130"/>
    </row>
    <row r="377">
      <c r="A377" s="130"/>
      <c r="B377" s="130"/>
      <c r="C377" s="130"/>
      <c r="D377" s="130"/>
      <c r="E377" s="130"/>
      <c r="F377" s="14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c r="BA377" s="130"/>
      <c r="BB377" s="130"/>
      <c r="BC377" s="130"/>
      <c r="BD377" s="130"/>
    </row>
    <row r="378">
      <c r="A378" s="130"/>
      <c r="B378" s="130"/>
      <c r="C378" s="130"/>
      <c r="D378" s="130"/>
      <c r="E378" s="130"/>
      <c r="F378" s="14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c r="BA378" s="130"/>
      <c r="BB378" s="130"/>
      <c r="BC378" s="130"/>
      <c r="BD378" s="130"/>
    </row>
    <row r="379">
      <c r="A379" s="130"/>
      <c r="B379" s="130"/>
      <c r="C379" s="130"/>
      <c r="D379" s="130"/>
      <c r="E379" s="130"/>
      <c r="F379" s="14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c r="BA379" s="130"/>
      <c r="BB379" s="130"/>
      <c r="BC379" s="130"/>
      <c r="BD379" s="130"/>
    </row>
    <row r="380">
      <c r="A380" s="130"/>
      <c r="B380" s="130"/>
      <c r="C380" s="130"/>
      <c r="D380" s="130"/>
      <c r="E380" s="130"/>
      <c r="F380" s="14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c r="BA380" s="130"/>
      <c r="BB380" s="130"/>
      <c r="BC380" s="130"/>
      <c r="BD380" s="130"/>
    </row>
    <row r="381">
      <c r="A381" s="130"/>
      <c r="B381" s="130"/>
      <c r="C381" s="130"/>
      <c r="D381" s="130"/>
      <c r="E381" s="130"/>
      <c r="F381" s="14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c r="BA381" s="130"/>
      <c r="BB381" s="130"/>
      <c r="BC381" s="130"/>
      <c r="BD381" s="130"/>
    </row>
    <row r="382">
      <c r="A382" s="130"/>
      <c r="B382" s="130"/>
      <c r="C382" s="130"/>
      <c r="D382" s="130"/>
      <c r="E382" s="130"/>
      <c r="F382" s="14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c r="BA382" s="130"/>
      <c r="BB382" s="130"/>
      <c r="BC382" s="130"/>
      <c r="BD382" s="130"/>
    </row>
    <row r="383">
      <c r="A383" s="130"/>
      <c r="B383" s="130"/>
      <c r="C383" s="130"/>
      <c r="D383" s="130"/>
      <c r="E383" s="130"/>
      <c r="F383" s="14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c r="BA383" s="130"/>
      <c r="BB383" s="130"/>
      <c r="BC383" s="130"/>
      <c r="BD383" s="130"/>
    </row>
    <row r="384">
      <c r="A384" s="130"/>
      <c r="B384" s="130"/>
      <c r="C384" s="130"/>
      <c r="D384" s="130"/>
      <c r="E384" s="130"/>
      <c r="F384" s="14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c r="BA384" s="130"/>
      <c r="BB384" s="130"/>
      <c r="BC384" s="130"/>
      <c r="BD384" s="130"/>
    </row>
    <row r="385">
      <c r="A385" s="130"/>
      <c r="B385" s="130"/>
      <c r="C385" s="130"/>
      <c r="D385" s="130"/>
      <c r="E385" s="130"/>
      <c r="F385" s="14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c r="BA385" s="130"/>
      <c r="BB385" s="130"/>
      <c r="BC385" s="130"/>
      <c r="BD385" s="130"/>
    </row>
    <row r="386">
      <c r="A386" s="130"/>
      <c r="B386" s="130"/>
      <c r="C386" s="130"/>
      <c r="D386" s="130"/>
      <c r="E386" s="130"/>
      <c r="F386" s="14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c r="BA386" s="130"/>
      <c r="BB386" s="130"/>
      <c r="BC386" s="130"/>
      <c r="BD386" s="130"/>
    </row>
    <row r="387">
      <c r="A387" s="130"/>
      <c r="B387" s="130"/>
      <c r="C387" s="130"/>
      <c r="D387" s="130"/>
      <c r="E387" s="130"/>
      <c r="F387" s="14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c r="BA387" s="130"/>
      <c r="BB387" s="130"/>
      <c r="BC387" s="130"/>
      <c r="BD387" s="130"/>
    </row>
    <row r="388">
      <c r="A388" s="130"/>
      <c r="B388" s="130"/>
      <c r="C388" s="130"/>
      <c r="D388" s="130"/>
      <c r="E388" s="130"/>
      <c r="F388" s="14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c r="BA388" s="130"/>
      <c r="BB388" s="130"/>
      <c r="BC388" s="130"/>
      <c r="BD388" s="130"/>
    </row>
    <row r="389">
      <c r="A389" s="130"/>
      <c r="B389" s="130"/>
      <c r="C389" s="130"/>
      <c r="D389" s="130"/>
      <c r="E389" s="130"/>
      <c r="F389" s="14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c r="BA389" s="130"/>
      <c r="BB389" s="130"/>
      <c r="BC389" s="130"/>
      <c r="BD389" s="130"/>
    </row>
    <row r="390">
      <c r="A390" s="130"/>
      <c r="B390" s="130"/>
      <c r="C390" s="130"/>
      <c r="D390" s="130"/>
      <c r="E390" s="130"/>
      <c r="F390" s="14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c r="BA390" s="130"/>
      <c r="BB390" s="130"/>
      <c r="BC390" s="130"/>
      <c r="BD390" s="130"/>
    </row>
    <row r="391">
      <c r="A391" s="130"/>
      <c r="B391" s="130"/>
      <c r="C391" s="130"/>
      <c r="D391" s="130"/>
      <c r="E391" s="130"/>
      <c r="F391" s="14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c r="BA391" s="130"/>
      <c r="BB391" s="130"/>
      <c r="BC391" s="130"/>
      <c r="BD391" s="130"/>
    </row>
    <row r="392">
      <c r="A392" s="130"/>
      <c r="B392" s="130"/>
      <c r="C392" s="130"/>
      <c r="D392" s="130"/>
      <c r="E392" s="130"/>
      <c r="F392" s="14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c r="BA392" s="130"/>
      <c r="BB392" s="130"/>
      <c r="BC392" s="130"/>
      <c r="BD392" s="130"/>
    </row>
    <row r="393">
      <c r="A393" s="130"/>
      <c r="B393" s="130"/>
      <c r="C393" s="130"/>
      <c r="D393" s="130"/>
      <c r="E393" s="130"/>
      <c r="F393" s="14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c r="BA393" s="130"/>
      <c r="BB393" s="130"/>
      <c r="BC393" s="130"/>
      <c r="BD393" s="130"/>
    </row>
    <row r="394">
      <c r="A394" s="130"/>
      <c r="B394" s="130"/>
      <c r="C394" s="130"/>
      <c r="D394" s="130"/>
      <c r="E394" s="130"/>
      <c r="F394" s="14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c r="BA394" s="130"/>
      <c r="BB394" s="130"/>
      <c r="BC394" s="130"/>
      <c r="BD394" s="130"/>
    </row>
    <row r="395">
      <c r="A395" s="130"/>
      <c r="B395" s="130"/>
      <c r="C395" s="130"/>
      <c r="D395" s="130"/>
      <c r="E395" s="130"/>
      <c r="F395" s="14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c r="BA395" s="130"/>
      <c r="BB395" s="130"/>
      <c r="BC395" s="130"/>
      <c r="BD395" s="130"/>
    </row>
    <row r="396">
      <c r="A396" s="130"/>
      <c r="B396" s="130"/>
      <c r="C396" s="130"/>
      <c r="D396" s="130"/>
      <c r="E396" s="130"/>
      <c r="F396" s="14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c r="BA396" s="130"/>
      <c r="BB396" s="130"/>
      <c r="BC396" s="130"/>
      <c r="BD396" s="130"/>
    </row>
    <row r="397">
      <c r="A397" s="130"/>
      <c r="B397" s="130"/>
      <c r="C397" s="130"/>
      <c r="D397" s="130"/>
      <c r="E397" s="130"/>
      <c r="F397" s="14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c r="BA397" s="130"/>
      <c r="BB397" s="130"/>
      <c r="BC397" s="130"/>
      <c r="BD397" s="130"/>
    </row>
    <row r="398">
      <c r="A398" s="130"/>
      <c r="B398" s="130"/>
      <c r="C398" s="130"/>
      <c r="D398" s="130"/>
      <c r="E398" s="130"/>
      <c r="F398" s="14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c r="BA398" s="130"/>
      <c r="BB398" s="130"/>
      <c r="BC398" s="130"/>
      <c r="BD398" s="130"/>
    </row>
    <row r="399">
      <c r="A399" s="130"/>
      <c r="B399" s="130"/>
      <c r="C399" s="130"/>
      <c r="D399" s="130"/>
      <c r="E399" s="130"/>
      <c r="F399" s="14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c r="BA399" s="130"/>
      <c r="BB399" s="130"/>
      <c r="BC399" s="130"/>
      <c r="BD399" s="130"/>
    </row>
    <row r="400">
      <c r="A400" s="130"/>
      <c r="B400" s="130"/>
      <c r="C400" s="130"/>
      <c r="D400" s="130"/>
      <c r="E400" s="130"/>
      <c r="F400" s="14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c r="BA400" s="130"/>
      <c r="BB400" s="130"/>
      <c r="BC400" s="130"/>
      <c r="BD400" s="130"/>
    </row>
    <row r="401">
      <c r="A401" s="130"/>
      <c r="B401" s="130"/>
      <c r="C401" s="130"/>
      <c r="D401" s="130"/>
      <c r="E401" s="130"/>
      <c r="F401" s="14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c r="BA401" s="130"/>
      <c r="BB401" s="130"/>
      <c r="BC401" s="130"/>
      <c r="BD401" s="130"/>
    </row>
    <row r="402">
      <c r="A402" s="130"/>
      <c r="B402" s="130"/>
      <c r="C402" s="130"/>
      <c r="D402" s="130"/>
      <c r="E402" s="130"/>
      <c r="F402" s="14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c r="BA402" s="130"/>
      <c r="BB402" s="130"/>
      <c r="BC402" s="130"/>
      <c r="BD402" s="130"/>
    </row>
    <row r="403">
      <c r="A403" s="130"/>
      <c r="B403" s="130"/>
      <c r="C403" s="130"/>
      <c r="D403" s="130"/>
      <c r="E403" s="130"/>
      <c r="F403" s="14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c r="BA403" s="130"/>
      <c r="BB403" s="130"/>
      <c r="BC403" s="130"/>
      <c r="BD403" s="130"/>
    </row>
    <row r="404">
      <c r="A404" s="130"/>
      <c r="B404" s="130"/>
      <c r="C404" s="130"/>
      <c r="D404" s="130"/>
      <c r="E404" s="130"/>
      <c r="F404" s="14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c r="BA404" s="130"/>
      <c r="BB404" s="130"/>
      <c r="BC404" s="130"/>
      <c r="BD404" s="130"/>
    </row>
    <row r="405">
      <c r="A405" s="130"/>
      <c r="B405" s="130"/>
      <c r="C405" s="130"/>
      <c r="D405" s="130"/>
      <c r="E405" s="130"/>
      <c r="F405" s="14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c r="BA405" s="130"/>
      <c r="BB405" s="130"/>
      <c r="BC405" s="130"/>
      <c r="BD405" s="130"/>
    </row>
    <row r="406">
      <c r="A406" s="130"/>
      <c r="B406" s="130"/>
      <c r="C406" s="130"/>
      <c r="D406" s="130"/>
      <c r="E406" s="130"/>
      <c r="F406" s="14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c r="BA406" s="130"/>
      <c r="BB406" s="130"/>
      <c r="BC406" s="130"/>
      <c r="BD406" s="130"/>
    </row>
    <row r="407">
      <c r="A407" s="130"/>
      <c r="B407" s="130"/>
      <c r="C407" s="130"/>
      <c r="D407" s="130"/>
      <c r="E407" s="130"/>
      <c r="F407" s="14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c r="BA407" s="130"/>
      <c r="BB407" s="130"/>
      <c r="BC407" s="130"/>
      <c r="BD407" s="130"/>
    </row>
    <row r="408">
      <c r="A408" s="130"/>
      <c r="B408" s="130"/>
      <c r="C408" s="130"/>
      <c r="D408" s="130"/>
      <c r="E408" s="130"/>
      <c r="F408" s="14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c r="BA408" s="130"/>
      <c r="BB408" s="130"/>
      <c r="BC408" s="130"/>
      <c r="BD408" s="130"/>
    </row>
    <row r="409">
      <c r="A409" s="130"/>
      <c r="B409" s="130"/>
      <c r="C409" s="130"/>
      <c r="D409" s="130"/>
      <c r="E409" s="130"/>
      <c r="F409" s="14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c r="BA409" s="130"/>
      <c r="BB409" s="130"/>
      <c r="BC409" s="130"/>
      <c r="BD409" s="130"/>
    </row>
    <row r="410">
      <c r="A410" s="130"/>
      <c r="B410" s="130"/>
      <c r="C410" s="130"/>
      <c r="D410" s="130"/>
      <c r="E410" s="130"/>
      <c r="F410" s="14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c r="BA410" s="130"/>
      <c r="BB410" s="130"/>
      <c r="BC410" s="130"/>
      <c r="BD410" s="130"/>
    </row>
    <row r="411">
      <c r="A411" s="130"/>
      <c r="B411" s="130"/>
      <c r="C411" s="130"/>
      <c r="D411" s="130"/>
      <c r="E411" s="130"/>
      <c r="F411" s="14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c r="BA411" s="130"/>
      <c r="BB411" s="130"/>
      <c r="BC411" s="130"/>
      <c r="BD411" s="130"/>
    </row>
    <row r="412">
      <c r="A412" s="130"/>
      <c r="B412" s="130"/>
      <c r="C412" s="130"/>
      <c r="D412" s="130"/>
      <c r="E412" s="130"/>
      <c r="F412" s="14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c r="BA412" s="130"/>
      <c r="BB412" s="130"/>
      <c r="BC412" s="130"/>
      <c r="BD412" s="130"/>
    </row>
    <row r="413">
      <c r="A413" s="130"/>
      <c r="B413" s="130"/>
      <c r="C413" s="130"/>
      <c r="D413" s="130"/>
      <c r="E413" s="130"/>
      <c r="F413" s="14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c r="BA413" s="130"/>
      <c r="BB413" s="130"/>
      <c r="BC413" s="130"/>
      <c r="BD413" s="130"/>
    </row>
    <row r="414">
      <c r="A414" s="130"/>
      <c r="B414" s="130"/>
      <c r="C414" s="130"/>
      <c r="D414" s="130"/>
      <c r="E414" s="130"/>
      <c r="F414" s="14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c r="BA414" s="130"/>
      <c r="BB414" s="130"/>
      <c r="BC414" s="130"/>
      <c r="BD414" s="130"/>
    </row>
    <row r="415">
      <c r="A415" s="130"/>
      <c r="B415" s="130"/>
      <c r="C415" s="130"/>
      <c r="D415" s="130"/>
      <c r="E415" s="130"/>
      <c r="F415" s="14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c r="BA415" s="130"/>
      <c r="BB415" s="130"/>
      <c r="BC415" s="130"/>
      <c r="BD415" s="130"/>
    </row>
    <row r="416">
      <c r="A416" s="130"/>
      <c r="B416" s="130"/>
      <c r="C416" s="130"/>
      <c r="D416" s="130"/>
      <c r="E416" s="130"/>
      <c r="F416" s="14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c r="BA416" s="130"/>
      <c r="BB416" s="130"/>
      <c r="BC416" s="130"/>
      <c r="BD416" s="130"/>
    </row>
    <row r="417">
      <c r="A417" s="130"/>
      <c r="B417" s="130"/>
      <c r="C417" s="130"/>
      <c r="D417" s="130"/>
      <c r="E417" s="130"/>
      <c r="F417" s="14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c r="BA417" s="130"/>
      <c r="BB417" s="130"/>
      <c r="BC417" s="130"/>
      <c r="BD417" s="130"/>
    </row>
    <row r="418">
      <c r="A418" s="130"/>
      <c r="B418" s="130"/>
      <c r="C418" s="130"/>
      <c r="D418" s="130"/>
      <c r="E418" s="130"/>
      <c r="F418" s="14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c r="BA418" s="130"/>
      <c r="BB418" s="130"/>
      <c r="BC418" s="130"/>
      <c r="BD418" s="130"/>
    </row>
    <row r="419">
      <c r="A419" s="130"/>
      <c r="B419" s="130"/>
      <c r="C419" s="130"/>
      <c r="D419" s="130"/>
      <c r="E419" s="130"/>
      <c r="F419" s="14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c r="BA419" s="130"/>
      <c r="BB419" s="130"/>
      <c r="BC419" s="130"/>
      <c r="BD419" s="130"/>
    </row>
    <row r="420">
      <c r="A420" s="130"/>
      <c r="B420" s="130"/>
      <c r="C420" s="130"/>
      <c r="D420" s="130"/>
      <c r="E420" s="130"/>
      <c r="F420" s="14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c r="BA420" s="130"/>
      <c r="BB420" s="130"/>
      <c r="BC420" s="130"/>
      <c r="BD420" s="130"/>
    </row>
    <row r="421">
      <c r="A421" s="130"/>
      <c r="B421" s="130"/>
      <c r="C421" s="130"/>
      <c r="D421" s="130"/>
      <c r="E421" s="130"/>
      <c r="F421" s="14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c r="BA421" s="130"/>
      <c r="BB421" s="130"/>
      <c r="BC421" s="130"/>
      <c r="BD421" s="130"/>
    </row>
    <row r="422">
      <c r="A422" s="130"/>
      <c r="B422" s="130"/>
      <c r="C422" s="130"/>
      <c r="D422" s="130"/>
      <c r="E422" s="130"/>
      <c r="F422" s="14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c r="BA422" s="130"/>
      <c r="BB422" s="130"/>
      <c r="BC422" s="130"/>
      <c r="BD422" s="130"/>
    </row>
    <row r="423">
      <c r="A423" s="130"/>
      <c r="B423" s="130"/>
      <c r="C423" s="130"/>
      <c r="D423" s="130"/>
      <c r="E423" s="130"/>
      <c r="F423" s="14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c r="BA423" s="130"/>
      <c r="BB423" s="130"/>
      <c r="BC423" s="130"/>
      <c r="BD423" s="130"/>
    </row>
    <row r="424">
      <c r="A424" s="130"/>
      <c r="B424" s="130"/>
      <c r="C424" s="130"/>
      <c r="D424" s="130"/>
      <c r="E424" s="130"/>
      <c r="F424" s="14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c r="BA424" s="130"/>
      <c r="BB424" s="130"/>
      <c r="BC424" s="130"/>
      <c r="BD424" s="130"/>
    </row>
    <row r="425">
      <c r="A425" s="130"/>
      <c r="B425" s="130"/>
      <c r="C425" s="130"/>
      <c r="D425" s="130"/>
      <c r="E425" s="130"/>
      <c r="F425" s="14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c r="BA425" s="130"/>
      <c r="BB425" s="130"/>
      <c r="BC425" s="130"/>
      <c r="BD425" s="130"/>
    </row>
    <row r="426">
      <c r="A426" s="130"/>
      <c r="B426" s="130"/>
      <c r="C426" s="130"/>
      <c r="D426" s="130"/>
      <c r="E426" s="130"/>
      <c r="F426" s="14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c r="BA426" s="130"/>
      <c r="BB426" s="130"/>
      <c r="BC426" s="130"/>
      <c r="BD426" s="130"/>
    </row>
    <row r="427">
      <c r="A427" s="130"/>
      <c r="B427" s="130"/>
      <c r="C427" s="130"/>
      <c r="D427" s="130"/>
      <c r="E427" s="130"/>
      <c r="F427" s="14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c r="BB427" s="130"/>
      <c r="BC427" s="130"/>
      <c r="BD427" s="130"/>
    </row>
    <row r="428">
      <c r="A428" s="130"/>
      <c r="B428" s="130"/>
      <c r="C428" s="130"/>
      <c r="D428" s="130"/>
      <c r="E428" s="130"/>
      <c r="F428" s="14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c r="BA428" s="130"/>
      <c r="BB428" s="130"/>
      <c r="BC428" s="130"/>
      <c r="BD428" s="130"/>
    </row>
    <row r="429">
      <c r="A429" s="130"/>
      <c r="B429" s="130"/>
      <c r="C429" s="130"/>
      <c r="D429" s="130"/>
      <c r="E429" s="130"/>
      <c r="F429" s="14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c r="BA429" s="130"/>
      <c r="BB429" s="130"/>
      <c r="BC429" s="130"/>
      <c r="BD429" s="130"/>
    </row>
    <row r="430">
      <c r="A430" s="130"/>
      <c r="B430" s="130"/>
      <c r="C430" s="130"/>
      <c r="D430" s="130"/>
      <c r="E430" s="130"/>
      <c r="F430" s="14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c r="BA430" s="130"/>
      <c r="BB430" s="130"/>
      <c r="BC430" s="130"/>
      <c r="BD430" s="130"/>
    </row>
    <row r="431">
      <c r="A431" s="130"/>
      <c r="B431" s="130"/>
      <c r="C431" s="130"/>
      <c r="D431" s="130"/>
      <c r="E431" s="130"/>
      <c r="F431" s="14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c r="BA431" s="130"/>
      <c r="BB431" s="130"/>
      <c r="BC431" s="130"/>
      <c r="BD431" s="130"/>
    </row>
    <row r="432">
      <c r="A432" s="130"/>
      <c r="B432" s="130"/>
      <c r="C432" s="130"/>
      <c r="D432" s="130"/>
      <c r="E432" s="130"/>
      <c r="F432" s="14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c r="BB432" s="130"/>
      <c r="BC432" s="130"/>
      <c r="BD432" s="130"/>
    </row>
    <row r="433">
      <c r="A433" s="130"/>
      <c r="B433" s="130"/>
      <c r="C433" s="130"/>
      <c r="D433" s="130"/>
      <c r="E433" s="130"/>
      <c r="F433" s="14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c r="BA433" s="130"/>
      <c r="BB433" s="130"/>
      <c r="BC433" s="130"/>
      <c r="BD433" s="130"/>
    </row>
    <row r="434">
      <c r="A434" s="130"/>
      <c r="B434" s="130"/>
      <c r="C434" s="130"/>
      <c r="D434" s="130"/>
      <c r="E434" s="130"/>
      <c r="F434" s="14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c r="BA434" s="130"/>
      <c r="BB434" s="130"/>
      <c r="BC434" s="130"/>
      <c r="BD434" s="130"/>
    </row>
    <row r="435">
      <c r="A435" s="130"/>
      <c r="B435" s="130"/>
      <c r="C435" s="130"/>
      <c r="D435" s="130"/>
      <c r="E435" s="130"/>
      <c r="F435" s="14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c r="BB435" s="130"/>
      <c r="BC435" s="130"/>
      <c r="BD435" s="130"/>
    </row>
    <row r="436">
      <c r="A436" s="130"/>
      <c r="B436" s="130"/>
      <c r="C436" s="130"/>
      <c r="D436" s="130"/>
      <c r="E436" s="130"/>
      <c r="F436" s="14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c r="BA436" s="130"/>
      <c r="BB436" s="130"/>
      <c r="BC436" s="130"/>
      <c r="BD436" s="130"/>
    </row>
    <row r="437">
      <c r="A437" s="130"/>
      <c r="B437" s="130"/>
      <c r="C437" s="130"/>
      <c r="D437" s="130"/>
      <c r="E437" s="130"/>
      <c r="F437" s="14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c r="BA437" s="130"/>
      <c r="BB437" s="130"/>
      <c r="BC437" s="130"/>
      <c r="BD437" s="130"/>
    </row>
    <row r="438">
      <c r="A438" s="130"/>
      <c r="B438" s="130"/>
      <c r="C438" s="130"/>
      <c r="D438" s="130"/>
      <c r="E438" s="130"/>
      <c r="F438" s="14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c r="BA438" s="130"/>
      <c r="BB438" s="130"/>
      <c r="BC438" s="130"/>
      <c r="BD438" s="130"/>
    </row>
    <row r="439">
      <c r="A439" s="130"/>
      <c r="B439" s="130"/>
      <c r="C439" s="130"/>
      <c r="D439" s="130"/>
      <c r="E439" s="130"/>
      <c r="F439" s="14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c r="BA439" s="130"/>
      <c r="BB439" s="130"/>
      <c r="BC439" s="130"/>
      <c r="BD439" s="130"/>
    </row>
    <row r="440">
      <c r="A440" s="130"/>
      <c r="B440" s="130"/>
      <c r="C440" s="130"/>
      <c r="D440" s="130"/>
      <c r="E440" s="130"/>
      <c r="F440" s="14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c r="BA440" s="130"/>
      <c r="BB440" s="130"/>
      <c r="BC440" s="130"/>
      <c r="BD440" s="130"/>
    </row>
    <row r="441">
      <c r="A441" s="130"/>
      <c r="B441" s="130"/>
      <c r="C441" s="130"/>
      <c r="D441" s="130"/>
      <c r="E441" s="130"/>
      <c r="F441" s="14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c r="BB441" s="130"/>
      <c r="BC441" s="130"/>
      <c r="BD441" s="130"/>
    </row>
    <row r="442">
      <c r="A442" s="130"/>
      <c r="B442" s="130"/>
      <c r="C442" s="130"/>
      <c r="D442" s="130"/>
      <c r="E442" s="130"/>
      <c r="F442" s="14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c r="BA442" s="130"/>
      <c r="BB442" s="130"/>
      <c r="BC442" s="130"/>
      <c r="BD442" s="130"/>
    </row>
    <row r="443">
      <c r="A443" s="130"/>
      <c r="B443" s="130"/>
      <c r="C443" s="130"/>
      <c r="D443" s="130"/>
      <c r="E443" s="130"/>
      <c r="F443" s="14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c r="BA443" s="130"/>
      <c r="BB443" s="130"/>
      <c r="BC443" s="130"/>
      <c r="BD443" s="130"/>
    </row>
    <row r="444">
      <c r="A444" s="130"/>
      <c r="B444" s="130"/>
      <c r="C444" s="130"/>
      <c r="D444" s="130"/>
      <c r="E444" s="130"/>
      <c r="F444" s="14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c r="BA444" s="130"/>
      <c r="BB444" s="130"/>
      <c r="BC444" s="130"/>
      <c r="BD444" s="130"/>
    </row>
    <row r="445">
      <c r="A445" s="130"/>
      <c r="B445" s="130"/>
      <c r="C445" s="130"/>
      <c r="D445" s="130"/>
      <c r="E445" s="130"/>
      <c r="F445" s="14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c r="BA445" s="130"/>
      <c r="BB445" s="130"/>
      <c r="BC445" s="130"/>
      <c r="BD445" s="130"/>
    </row>
    <row r="446">
      <c r="A446" s="130"/>
      <c r="B446" s="130"/>
      <c r="C446" s="130"/>
      <c r="D446" s="130"/>
      <c r="E446" s="130"/>
      <c r="F446" s="14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c r="BA446" s="130"/>
      <c r="BB446" s="130"/>
      <c r="BC446" s="130"/>
      <c r="BD446" s="130"/>
    </row>
    <row r="447">
      <c r="A447" s="130"/>
      <c r="B447" s="130"/>
      <c r="C447" s="130"/>
      <c r="D447" s="130"/>
      <c r="E447" s="130"/>
      <c r="F447" s="14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c r="BB447" s="130"/>
      <c r="BC447" s="130"/>
      <c r="BD447" s="130"/>
    </row>
    <row r="448">
      <c r="A448" s="130"/>
      <c r="B448" s="130"/>
      <c r="C448" s="130"/>
      <c r="D448" s="130"/>
      <c r="E448" s="130"/>
      <c r="F448" s="14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c r="BB448" s="130"/>
      <c r="BC448" s="130"/>
      <c r="BD448" s="130"/>
    </row>
    <row r="449">
      <c r="A449" s="130"/>
      <c r="B449" s="130"/>
      <c r="C449" s="130"/>
      <c r="D449" s="130"/>
      <c r="E449" s="130"/>
      <c r="F449" s="14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c r="BA449" s="130"/>
      <c r="BB449" s="130"/>
      <c r="BC449" s="130"/>
      <c r="BD449" s="130"/>
    </row>
    <row r="450">
      <c r="A450" s="130"/>
      <c r="B450" s="130"/>
      <c r="C450" s="130"/>
      <c r="D450" s="130"/>
      <c r="E450" s="130"/>
      <c r="F450" s="14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c r="BA450" s="130"/>
      <c r="BB450" s="130"/>
      <c r="BC450" s="130"/>
      <c r="BD450" s="130"/>
    </row>
    <row r="451">
      <c r="A451" s="130"/>
      <c r="B451" s="130"/>
      <c r="C451" s="130"/>
      <c r="D451" s="130"/>
      <c r="E451" s="130"/>
      <c r="F451" s="14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c r="BB451" s="130"/>
      <c r="BC451" s="130"/>
      <c r="BD451" s="130"/>
    </row>
    <row r="452">
      <c r="A452" s="130"/>
      <c r="B452" s="130"/>
      <c r="C452" s="130"/>
      <c r="D452" s="130"/>
      <c r="E452" s="130"/>
      <c r="F452" s="14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c r="BB452" s="130"/>
      <c r="BC452" s="130"/>
      <c r="BD452" s="130"/>
    </row>
    <row r="453">
      <c r="A453" s="130"/>
      <c r="B453" s="130"/>
      <c r="C453" s="130"/>
      <c r="D453" s="130"/>
      <c r="E453" s="130"/>
      <c r="F453" s="14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row>
    <row r="454">
      <c r="A454" s="130"/>
      <c r="B454" s="130"/>
      <c r="C454" s="130"/>
      <c r="D454" s="130"/>
      <c r="E454" s="130"/>
      <c r="F454" s="14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c r="BA454" s="130"/>
      <c r="BB454" s="130"/>
      <c r="BC454" s="130"/>
      <c r="BD454" s="130"/>
    </row>
    <row r="455">
      <c r="A455" s="130"/>
      <c r="B455" s="130"/>
      <c r="C455" s="130"/>
      <c r="D455" s="130"/>
      <c r="E455" s="130"/>
      <c r="F455" s="14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c r="BA455" s="130"/>
      <c r="BB455" s="130"/>
      <c r="BC455" s="130"/>
      <c r="BD455" s="130"/>
    </row>
    <row r="456">
      <c r="A456" s="130"/>
      <c r="B456" s="130"/>
      <c r="C456" s="130"/>
      <c r="D456" s="130"/>
      <c r="E456" s="130"/>
      <c r="F456" s="14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c r="BA456" s="130"/>
      <c r="BB456" s="130"/>
      <c r="BC456" s="130"/>
      <c r="BD456" s="130"/>
    </row>
    <row r="457">
      <c r="A457" s="130"/>
      <c r="B457" s="130"/>
      <c r="C457" s="130"/>
      <c r="D457" s="130"/>
      <c r="E457" s="130"/>
      <c r="F457" s="14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c r="BA457" s="130"/>
      <c r="BB457" s="130"/>
      <c r="BC457" s="130"/>
      <c r="BD457" s="130"/>
    </row>
    <row r="458">
      <c r="A458" s="130"/>
      <c r="B458" s="130"/>
      <c r="C458" s="130"/>
      <c r="D458" s="130"/>
      <c r="E458" s="130"/>
      <c r="F458" s="14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c r="BA458" s="130"/>
      <c r="BB458" s="130"/>
      <c r="BC458" s="130"/>
      <c r="BD458" s="130"/>
    </row>
    <row r="459">
      <c r="A459" s="130"/>
      <c r="B459" s="130"/>
      <c r="C459" s="130"/>
      <c r="D459" s="130"/>
      <c r="E459" s="130"/>
      <c r="F459" s="14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c r="BB459" s="130"/>
      <c r="BC459" s="130"/>
      <c r="BD459" s="130"/>
    </row>
    <row r="460">
      <c r="A460" s="130"/>
      <c r="B460" s="130"/>
      <c r="C460" s="130"/>
      <c r="D460" s="130"/>
      <c r="E460" s="130"/>
      <c r="F460" s="14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c r="BA460" s="130"/>
      <c r="BB460" s="130"/>
      <c r="BC460" s="130"/>
      <c r="BD460" s="130"/>
    </row>
    <row r="461">
      <c r="A461" s="130"/>
      <c r="B461" s="130"/>
      <c r="C461" s="130"/>
      <c r="D461" s="130"/>
      <c r="E461" s="130"/>
      <c r="F461" s="14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c r="BA461" s="130"/>
      <c r="BB461" s="130"/>
      <c r="BC461" s="130"/>
      <c r="BD461" s="130"/>
    </row>
    <row r="462">
      <c r="A462" s="130"/>
      <c r="B462" s="130"/>
      <c r="C462" s="130"/>
      <c r="D462" s="130"/>
      <c r="E462" s="130"/>
      <c r="F462" s="14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c r="BA462" s="130"/>
      <c r="BB462" s="130"/>
      <c r="BC462" s="130"/>
      <c r="BD462" s="130"/>
    </row>
    <row r="463">
      <c r="A463" s="130"/>
      <c r="B463" s="130"/>
      <c r="C463" s="130"/>
      <c r="D463" s="130"/>
      <c r="E463" s="130"/>
      <c r="F463" s="14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c r="BA463" s="130"/>
      <c r="BB463" s="130"/>
      <c r="BC463" s="130"/>
      <c r="BD463" s="130"/>
    </row>
    <row r="464">
      <c r="A464" s="130"/>
      <c r="B464" s="130"/>
      <c r="C464" s="130"/>
      <c r="D464" s="130"/>
      <c r="E464" s="130"/>
      <c r="F464" s="14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c r="BA464" s="130"/>
      <c r="BB464" s="130"/>
      <c r="BC464" s="130"/>
      <c r="BD464" s="130"/>
    </row>
    <row r="465">
      <c r="A465" s="130"/>
      <c r="B465" s="130"/>
      <c r="C465" s="130"/>
      <c r="D465" s="130"/>
      <c r="E465" s="130"/>
      <c r="F465" s="14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c r="BA465" s="130"/>
      <c r="BB465" s="130"/>
      <c r="BC465" s="130"/>
      <c r="BD465" s="130"/>
    </row>
    <row r="466">
      <c r="A466" s="130"/>
      <c r="B466" s="130"/>
      <c r="C466" s="130"/>
      <c r="D466" s="130"/>
      <c r="E466" s="130"/>
      <c r="F466" s="14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c r="BA466" s="130"/>
      <c r="BB466" s="130"/>
      <c r="BC466" s="130"/>
      <c r="BD466" s="130"/>
    </row>
    <row r="467">
      <c r="A467" s="130"/>
      <c r="B467" s="130"/>
      <c r="C467" s="130"/>
      <c r="D467" s="130"/>
      <c r="E467" s="130"/>
      <c r="F467" s="14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c r="BA467" s="130"/>
      <c r="BB467" s="130"/>
      <c r="BC467" s="130"/>
      <c r="BD467" s="130"/>
    </row>
    <row r="468">
      <c r="A468" s="130"/>
      <c r="B468" s="130"/>
      <c r="C468" s="130"/>
      <c r="D468" s="130"/>
      <c r="E468" s="130"/>
      <c r="F468" s="14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c r="BA468" s="130"/>
      <c r="BB468" s="130"/>
      <c r="BC468" s="130"/>
      <c r="BD468" s="130"/>
    </row>
    <row r="469">
      <c r="A469" s="130"/>
      <c r="B469" s="130"/>
      <c r="C469" s="130"/>
      <c r="D469" s="130"/>
      <c r="E469" s="130"/>
      <c r="F469" s="14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c r="BA469" s="130"/>
      <c r="BB469" s="130"/>
      <c r="BC469" s="130"/>
      <c r="BD469" s="130"/>
    </row>
    <row r="470">
      <c r="A470" s="130"/>
      <c r="B470" s="130"/>
      <c r="C470" s="130"/>
      <c r="D470" s="130"/>
      <c r="E470" s="130"/>
      <c r="F470" s="14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c r="BA470" s="130"/>
      <c r="BB470" s="130"/>
      <c r="BC470" s="130"/>
      <c r="BD470" s="130"/>
    </row>
    <row r="471">
      <c r="A471" s="130"/>
      <c r="B471" s="130"/>
      <c r="C471" s="130"/>
      <c r="D471" s="130"/>
      <c r="E471" s="130"/>
      <c r="F471" s="14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c r="BA471" s="130"/>
      <c r="BB471" s="130"/>
      <c r="BC471" s="130"/>
      <c r="BD471" s="130"/>
    </row>
    <row r="472">
      <c r="A472" s="130"/>
      <c r="B472" s="130"/>
      <c r="C472" s="130"/>
      <c r="D472" s="130"/>
      <c r="E472" s="130"/>
      <c r="F472" s="14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c r="BA472" s="130"/>
      <c r="BB472" s="130"/>
      <c r="BC472" s="130"/>
      <c r="BD472" s="130"/>
    </row>
    <row r="473">
      <c r="A473" s="130"/>
      <c r="B473" s="130"/>
      <c r="C473" s="130"/>
      <c r="D473" s="130"/>
      <c r="E473" s="130"/>
      <c r="F473" s="14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c r="BA473" s="130"/>
      <c r="BB473" s="130"/>
      <c r="BC473" s="130"/>
      <c r="BD473" s="130"/>
    </row>
    <row r="474">
      <c r="A474" s="130"/>
      <c r="B474" s="130"/>
      <c r="C474" s="130"/>
      <c r="D474" s="130"/>
      <c r="E474" s="130"/>
      <c r="F474" s="14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c r="BA474" s="130"/>
      <c r="BB474" s="130"/>
      <c r="BC474" s="130"/>
      <c r="BD474" s="130"/>
    </row>
    <row r="475">
      <c r="A475" s="130"/>
      <c r="B475" s="130"/>
      <c r="C475" s="130"/>
      <c r="D475" s="130"/>
      <c r="E475" s="130"/>
      <c r="F475" s="14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c r="BA475" s="130"/>
      <c r="BB475" s="130"/>
      <c r="BC475" s="130"/>
      <c r="BD475" s="130"/>
    </row>
    <row r="476">
      <c r="A476" s="130"/>
      <c r="B476" s="130"/>
      <c r="C476" s="130"/>
      <c r="D476" s="130"/>
      <c r="E476" s="130"/>
      <c r="F476" s="14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c r="BA476" s="130"/>
      <c r="BB476" s="130"/>
      <c r="BC476" s="130"/>
      <c r="BD476" s="130"/>
    </row>
    <row r="477">
      <c r="A477" s="130"/>
      <c r="B477" s="130"/>
      <c r="C477" s="130"/>
      <c r="D477" s="130"/>
      <c r="E477" s="130"/>
      <c r="F477" s="14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c r="BA477" s="130"/>
      <c r="BB477" s="130"/>
      <c r="BC477" s="130"/>
      <c r="BD477" s="130"/>
    </row>
    <row r="478">
      <c r="A478" s="130"/>
      <c r="B478" s="130"/>
      <c r="C478" s="130"/>
      <c r="D478" s="130"/>
      <c r="E478" s="130"/>
      <c r="F478" s="14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c r="BA478" s="130"/>
      <c r="BB478" s="130"/>
      <c r="BC478" s="130"/>
      <c r="BD478" s="130"/>
    </row>
    <row r="479">
      <c r="A479" s="130"/>
      <c r="B479" s="130"/>
      <c r="C479" s="130"/>
      <c r="D479" s="130"/>
      <c r="E479" s="130"/>
      <c r="F479" s="14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c r="BA479" s="130"/>
      <c r="BB479" s="130"/>
      <c r="BC479" s="130"/>
      <c r="BD479" s="130"/>
    </row>
    <row r="480">
      <c r="A480" s="130"/>
      <c r="B480" s="130"/>
      <c r="C480" s="130"/>
      <c r="D480" s="130"/>
      <c r="E480" s="130"/>
      <c r="F480" s="14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c r="BA480" s="130"/>
      <c r="BB480" s="130"/>
      <c r="BC480" s="130"/>
      <c r="BD480" s="130"/>
    </row>
    <row r="481">
      <c r="A481" s="130"/>
      <c r="B481" s="130"/>
      <c r="C481" s="130"/>
      <c r="D481" s="130"/>
      <c r="E481" s="130"/>
      <c r="F481" s="14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c r="BA481" s="130"/>
      <c r="BB481" s="130"/>
      <c r="BC481" s="130"/>
      <c r="BD481" s="130"/>
    </row>
    <row r="482">
      <c r="A482" s="130"/>
      <c r="B482" s="130"/>
      <c r="C482" s="130"/>
      <c r="D482" s="130"/>
      <c r="E482" s="130"/>
      <c r="F482" s="14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c r="BA482" s="130"/>
      <c r="BB482" s="130"/>
      <c r="BC482" s="130"/>
      <c r="BD482" s="130"/>
    </row>
    <row r="483">
      <c r="A483" s="130"/>
      <c r="B483" s="130"/>
      <c r="C483" s="130"/>
      <c r="D483" s="130"/>
      <c r="E483" s="130"/>
      <c r="F483" s="14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c r="BA483" s="130"/>
      <c r="BB483" s="130"/>
      <c r="BC483" s="130"/>
      <c r="BD483" s="130"/>
    </row>
    <row r="484">
      <c r="A484" s="130"/>
      <c r="B484" s="130"/>
      <c r="C484" s="130"/>
      <c r="D484" s="130"/>
      <c r="E484" s="130"/>
      <c r="F484" s="14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c r="BA484" s="130"/>
      <c r="BB484" s="130"/>
      <c r="BC484" s="130"/>
      <c r="BD484" s="130"/>
    </row>
    <row r="485">
      <c r="A485" s="130"/>
      <c r="B485" s="130"/>
      <c r="C485" s="130"/>
      <c r="D485" s="130"/>
      <c r="E485" s="130"/>
      <c r="F485" s="14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c r="BA485" s="130"/>
      <c r="BB485" s="130"/>
      <c r="BC485" s="130"/>
      <c r="BD485" s="130"/>
    </row>
    <row r="486">
      <c r="A486" s="130"/>
      <c r="B486" s="130"/>
      <c r="C486" s="130"/>
      <c r="D486" s="130"/>
      <c r="E486" s="130"/>
      <c r="F486" s="14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c r="BA486" s="130"/>
      <c r="BB486" s="130"/>
      <c r="BC486" s="130"/>
      <c r="BD486" s="130"/>
    </row>
    <row r="487">
      <c r="A487" s="130"/>
      <c r="B487" s="130"/>
      <c r="C487" s="130"/>
      <c r="D487" s="130"/>
      <c r="E487" s="130"/>
      <c r="F487" s="14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c r="BA487" s="130"/>
      <c r="BB487" s="130"/>
      <c r="BC487" s="130"/>
      <c r="BD487" s="130"/>
    </row>
    <row r="488">
      <c r="A488" s="130"/>
      <c r="B488" s="130"/>
      <c r="C488" s="130"/>
      <c r="D488" s="130"/>
      <c r="E488" s="130"/>
      <c r="F488" s="14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c r="BA488" s="130"/>
      <c r="BB488" s="130"/>
      <c r="BC488" s="130"/>
      <c r="BD488" s="130"/>
    </row>
    <row r="489">
      <c r="A489" s="130"/>
      <c r="B489" s="130"/>
      <c r="C489" s="130"/>
      <c r="D489" s="130"/>
      <c r="E489" s="130"/>
      <c r="F489" s="14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c r="BA489" s="130"/>
      <c r="BB489" s="130"/>
      <c r="BC489" s="130"/>
      <c r="BD489" s="130"/>
    </row>
    <row r="490">
      <c r="A490" s="130"/>
      <c r="B490" s="130"/>
      <c r="C490" s="130"/>
      <c r="D490" s="130"/>
      <c r="E490" s="130"/>
      <c r="F490" s="14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c r="BA490" s="130"/>
      <c r="BB490" s="130"/>
      <c r="BC490" s="130"/>
      <c r="BD490" s="130"/>
    </row>
    <row r="491">
      <c r="A491" s="130"/>
      <c r="B491" s="130"/>
      <c r="C491" s="130"/>
      <c r="D491" s="130"/>
      <c r="E491" s="130"/>
      <c r="F491" s="14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c r="BA491" s="130"/>
      <c r="BB491" s="130"/>
      <c r="BC491" s="130"/>
      <c r="BD491" s="130"/>
    </row>
    <row r="492">
      <c r="A492" s="130"/>
      <c r="B492" s="130"/>
      <c r="C492" s="130"/>
      <c r="D492" s="130"/>
      <c r="E492" s="130"/>
      <c r="F492" s="14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c r="BA492" s="130"/>
      <c r="BB492" s="130"/>
      <c r="BC492" s="130"/>
      <c r="BD492" s="130"/>
    </row>
    <row r="493">
      <c r="A493" s="130"/>
      <c r="B493" s="130"/>
      <c r="C493" s="130"/>
      <c r="D493" s="130"/>
      <c r="E493" s="130"/>
      <c r="F493" s="14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c r="BA493" s="130"/>
      <c r="BB493" s="130"/>
      <c r="BC493" s="130"/>
      <c r="BD493" s="130"/>
    </row>
    <row r="494">
      <c r="A494" s="130"/>
      <c r="B494" s="130"/>
      <c r="C494" s="130"/>
      <c r="D494" s="130"/>
      <c r="E494" s="130"/>
      <c r="F494" s="14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c r="BA494" s="130"/>
      <c r="BB494" s="130"/>
      <c r="BC494" s="130"/>
      <c r="BD494" s="130"/>
    </row>
    <row r="495">
      <c r="A495" s="130"/>
      <c r="B495" s="130"/>
      <c r="C495" s="130"/>
      <c r="D495" s="130"/>
      <c r="E495" s="130"/>
      <c r="F495" s="14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c r="BB495" s="130"/>
      <c r="BC495" s="130"/>
      <c r="BD495" s="130"/>
    </row>
    <row r="496">
      <c r="A496" s="130"/>
      <c r="B496" s="130"/>
      <c r="C496" s="130"/>
      <c r="D496" s="130"/>
      <c r="E496" s="130"/>
      <c r="F496" s="14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c r="BA496" s="130"/>
      <c r="BB496" s="130"/>
      <c r="BC496" s="130"/>
      <c r="BD496" s="130"/>
    </row>
    <row r="497">
      <c r="A497" s="130"/>
      <c r="B497" s="130"/>
      <c r="C497" s="130"/>
      <c r="D497" s="130"/>
      <c r="E497" s="130"/>
      <c r="F497" s="14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c r="BA497" s="130"/>
      <c r="BB497" s="130"/>
      <c r="BC497" s="130"/>
      <c r="BD497" s="130"/>
    </row>
    <row r="498">
      <c r="A498" s="130"/>
      <c r="B498" s="130"/>
      <c r="C498" s="130"/>
      <c r="D498" s="130"/>
      <c r="E498" s="130"/>
      <c r="F498" s="14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c r="BA498" s="130"/>
      <c r="BB498" s="130"/>
      <c r="BC498" s="130"/>
      <c r="BD498" s="130"/>
    </row>
    <row r="499">
      <c r="A499" s="130"/>
      <c r="B499" s="130"/>
      <c r="C499" s="130"/>
      <c r="D499" s="130"/>
      <c r="E499" s="130"/>
      <c r="F499" s="14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c r="BA499" s="130"/>
      <c r="BB499" s="130"/>
      <c r="BC499" s="130"/>
      <c r="BD499" s="130"/>
    </row>
    <row r="500">
      <c r="A500" s="130"/>
      <c r="B500" s="130"/>
      <c r="C500" s="130"/>
      <c r="D500" s="130"/>
      <c r="E500" s="130"/>
      <c r="F500" s="14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c r="BA500" s="130"/>
      <c r="BB500" s="130"/>
      <c r="BC500" s="130"/>
      <c r="BD500" s="130"/>
    </row>
    <row r="501">
      <c r="A501" s="130"/>
      <c r="B501" s="130"/>
      <c r="C501" s="130"/>
      <c r="D501" s="130"/>
      <c r="E501" s="130"/>
      <c r="F501" s="14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c r="BA501" s="130"/>
      <c r="BB501" s="130"/>
      <c r="BC501" s="130"/>
      <c r="BD501" s="130"/>
    </row>
    <row r="502">
      <c r="A502" s="130"/>
      <c r="B502" s="130"/>
      <c r="C502" s="130"/>
      <c r="D502" s="130"/>
      <c r="E502" s="130"/>
      <c r="F502" s="14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c r="BA502" s="130"/>
      <c r="BB502" s="130"/>
      <c r="BC502" s="130"/>
      <c r="BD502" s="130"/>
    </row>
    <row r="503">
      <c r="A503" s="130"/>
      <c r="B503" s="130"/>
      <c r="C503" s="130"/>
      <c r="D503" s="130"/>
      <c r="E503" s="130"/>
      <c r="F503" s="14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c r="BA503" s="130"/>
      <c r="BB503" s="130"/>
      <c r="BC503" s="130"/>
      <c r="BD503" s="130"/>
    </row>
    <row r="504">
      <c r="A504" s="130"/>
      <c r="B504" s="130"/>
      <c r="C504" s="130"/>
      <c r="D504" s="130"/>
      <c r="E504" s="130"/>
      <c r="F504" s="14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c r="BA504" s="130"/>
      <c r="BB504" s="130"/>
      <c r="BC504" s="130"/>
      <c r="BD504" s="130"/>
    </row>
    <row r="505">
      <c r="A505" s="130"/>
      <c r="B505" s="130"/>
      <c r="C505" s="130"/>
      <c r="D505" s="130"/>
      <c r="E505" s="130"/>
      <c r="F505" s="14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c r="BA505" s="130"/>
      <c r="BB505" s="130"/>
      <c r="BC505" s="130"/>
      <c r="BD505" s="130"/>
    </row>
    <row r="506">
      <c r="A506" s="130"/>
      <c r="B506" s="130"/>
      <c r="C506" s="130"/>
      <c r="D506" s="130"/>
      <c r="E506" s="130"/>
      <c r="F506" s="14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c r="BA506" s="130"/>
      <c r="BB506" s="130"/>
      <c r="BC506" s="130"/>
      <c r="BD506" s="130"/>
    </row>
    <row r="507">
      <c r="A507" s="130"/>
      <c r="B507" s="130"/>
      <c r="C507" s="130"/>
      <c r="D507" s="130"/>
      <c r="E507" s="130"/>
      <c r="F507" s="14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c r="BA507" s="130"/>
      <c r="BB507" s="130"/>
      <c r="BC507" s="130"/>
      <c r="BD507" s="130"/>
    </row>
    <row r="508">
      <c r="A508" s="130"/>
      <c r="B508" s="130"/>
      <c r="C508" s="130"/>
      <c r="D508" s="130"/>
      <c r="E508" s="130"/>
      <c r="F508" s="14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c r="BA508" s="130"/>
      <c r="BB508" s="130"/>
      <c r="BC508" s="130"/>
      <c r="BD508" s="130"/>
    </row>
    <row r="509">
      <c r="A509" s="130"/>
      <c r="B509" s="130"/>
      <c r="C509" s="130"/>
      <c r="D509" s="130"/>
      <c r="E509" s="130"/>
      <c r="F509" s="14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c r="BA509" s="130"/>
      <c r="BB509" s="130"/>
      <c r="BC509" s="130"/>
      <c r="BD509" s="130"/>
    </row>
    <row r="510">
      <c r="A510" s="130"/>
      <c r="B510" s="130"/>
      <c r="C510" s="130"/>
      <c r="D510" s="130"/>
      <c r="E510" s="130"/>
      <c r="F510" s="14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c r="BA510" s="130"/>
      <c r="BB510" s="130"/>
      <c r="BC510" s="130"/>
      <c r="BD510" s="130"/>
    </row>
    <row r="511">
      <c r="A511" s="130"/>
      <c r="B511" s="130"/>
      <c r="C511" s="130"/>
      <c r="D511" s="130"/>
      <c r="E511" s="130"/>
      <c r="F511" s="14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c r="BA511" s="130"/>
      <c r="BB511" s="130"/>
      <c r="BC511" s="130"/>
      <c r="BD511" s="130"/>
    </row>
    <row r="512">
      <c r="A512" s="130"/>
      <c r="B512" s="130"/>
      <c r="C512" s="130"/>
      <c r="D512" s="130"/>
      <c r="E512" s="130"/>
      <c r="F512" s="14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c r="BA512" s="130"/>
      <c r="BB512" s="130"/>
      <c r="BC512" s="130"/>
      <c r="BD512" s="130"/>
    </row>
    <row r="513">
      <c r="A513" s="130"/>
      <c r="B513" s="130"/>
      <c r="C513" s="130"/>
      <c r="D513" s="130"/>
      <c r="E513" s="130"/>
      <c r="F513" s="14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c r="BA513" s="130"/>
      <c r="BB513" s="130"/>
      <c r="BC513" s="130"/>
      <c r="BD513" s="130"/>
    </row>
    <row r="514">
      <c r="A514" s="130"/>
      <c r="B514" s="130"/>
      <c r="C514" s="130"/>
      <c r="D514" s="130"/>
      <c r="E514" s="130"/>
      <c r="F514" s="14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c r="BA514" s="130"/>
      <c r="BB514" s="130"/>
      <c r="BC514" s="130"/>
      <c r="BD514" s="130"/>
    </row>
    <row r="515">
      <c r="A515" s="130"/>
      <c r="B515" s="130"/>
      <c r="C515" s="130"/>
      <c r="D515" s="130"/>
      <c r="E515" s="130"/>
      <c r="F515" s="14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c r="BA515" s="130"/>
      <c r="BB515" s="130"/>
      <c r="BC515" s="130"/>
      <c r="BD515" s="130"/>
    </row>
    <row r="516">
      <c r="A516" s="130"/>
      <c r="B516" s="130"/>
      <c r="C516" s="130"/>
      <c r="D516" s="130"/>
      <c r="E516" s="130"/>
      <c r="F516" s="14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c r="BA516" s="130"/>
      <c r="BB516" s="130"/>
      <c r="BC516" s="130"/>
      <c r="BD516" s="130"/>
    </row>
    <row r="517">
      <c r="A517" s="130"/>
      <c r="B517" s="130"/>
      <c r="C517" s="130"/>
      <c r="D517" s="130"/>
      <c r="E517" s="130"/>
      <c r="F517" s="14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c r="BA517" s="130"/>
      <c r="BB517" s="130"/>
      <c r="BC517" s="130"/>
      <c r="BD517" s="130"/>
    </row>
    <row r="518">
      <c r="A518" s="130"/>
      <c r="B518" s="130"/>
      <c r="C518" s="130"/>
      <c r="D518" s="130"/>
      <c r="E518" s="130"/>
      <c r="F518" s="14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c r="BA518" s="130"/>
      <c r="BB518" s="130"/>
      <c r="BC518" s="130"/>
      <c r="BD518" s="130"/>
    </row>
    <row r="519">
      <c r="A519" s="130"/>
      <c r="B519" s="130"/>
      <c r="C519" s="130"/>
      <c r="D519" s="130"/>
      <c r="E519" s="130"/>
      <c r="F519" s="14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c r="BA519" s="130"/>
      <c r="BB519" s="130"/>
      <c r="BC519" s="130"/>
      <c r="BD519" s="130"/>
    </row>
    <row r="520">
      <c r="A520" s="130"/>
      <c r="B520" s="130"/>
      <c r="C520" s="130"/>
      <c r="D520" s="130"/>
      <c r="E520" s="130"/>
      <c r="F520" s="14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c r="BA520" s="130"/>
      <c r="BB520" s="130"/>
      <c r="BC520" s="130"/>
      <c r="BD520" s="130"/>
    </row>
    <row r="521">
      <c r="A521" s="130"/>
      <c r="B521" s="130"/>
      <c r="C521" s="130"/>
      <c r="D521" s="130"/>
      <c r="E521" s="130"/>
      <c r="F521" s="14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c r="BA521" s="130"/>
      <c r="BB521" s="130"/>
      <c r="BC521" s="130"/>
      <c r="BD521" s="130"/>
    </row>
    <row r="522">
      <c r="A522" s="130"/>
      <c r="B522" s="130"/>
      <c r="C522" s="130"/>
      <c r="D522" s="130"/>
      <c r="E522" s="130"/>
      <c r="F522" s="14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c r="BA522" s="130"/>
      <c r="BB522" s="130"/>
      <c r="BC522" s="130"/>
      <c r="BD522" s="130"/>
    </row>
    <row r="523">
      <c r="A523" s="130"/>
      <c r="B523" s="130"/>
      <c r="C523" s="130"/>
      <c r="D523" s="130"/>
      <c r="E523" s="130"/>
      <c r="F523" s="14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c r="BA523" s="130"/>
      <c r="BB523" s="130"/>
      <c r="BC523" s="130"/>
      <c r="BD523" s="130"/>
    </row>
    <row r="524">
      <c r="A524" s="130"/>
      <c r="B524" s="130"/>
      <c r="C524" s="130"/>
      <c r="D524" s="130"/>
      <c r="E524" s="130"/>
      <c r="F524" s="14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c r="BA524" s="130"/>
      <c r="BB524" s="130"/>
      <c r="BC524" s="130"/>
      <c r="BD524" s="130"/>
    </row>
    <row r="525">
      <c r="A525" s="130"/>
      <c r="B525" s="130"/>
      <c r="C525" s="130"/>
      <c r="D525" s="130"/>
      <c r="E525" s="130"/>
      <c r="F525" s="14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c r="BA525" s="130"/>
      <c r="BB525" s="130"/>
      <c r="BC525" s="130"/>
      <c r="BD525" s="130"/>
    </row>
    <row r="526">
      <c r="A526" s="130"/>
      <c r="B526" s="130"/>
      <c r="C526" s="130"/>
      <c r="D526" s="130"/>
      <c r="E526" s="130"/>
      <c r="F526" s="14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c r="BA526" s="130"/>
      <c r="BB526" s="130"/>
      <c r="BC526" s="130"/>
      <c r="BD526" s="130"/>
    </row>
    <row r="527">
      <c r="A527" s="130"/>
      <c r="B527" s="130"/>
      <c r="C527" s="130"/>
      <c r="D527" s="130"/>
      <c r="E527" s="130"/>
      <c r="F527" s="14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c r="BA527" s="130"/>
      <c r="BB527" s="130"/>
      <c r="BC527" s="130"/>
      <c r="BD527" s="130"/>
    </row>
    <row r="528">
      <c r="A528" s="130"/>
      <c r="B528" s="130"/>
      <c r="C528" s="130"/>
      <c r="D528" s="130"/>
      <c r="E528" s="130"/>
      <c r="F528" s="14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c r="BA528" s="130"/>
      <c r="BB528" s="130"/>
      <c r="BC528" s="130"/>
      <c r="BD528" s="130"/>
    </row>
    <row r="529">
      <c r="A529" s="130"/>
      <c r="B529" s="130"/>
      <c r="C529" s="130"/>
      <c r="D529" s="130"/>
      <c r="E529" s="130"/>
      <c r="F529" s="14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c r="BA529" s="130"/>
      <c r="BB529" s="130"/>
      <c r="BC529" s="130"/>
      <c r="BD529" s="130"/>
    </row>
    <row r="530">
      <c r="A530" s="130"/>
      <c r="B530" s="130"/>
      <c r="C530" s="130"/>
      <c r="D530" s="130"/>
      <c r="E530" s="130"/>
      <c r="F530" s="14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c r="BA530" s="130"/>
      <c r="BB530" s="130"/>
      <c r="BC530" s="130"/>
      <c r="BD530" s="130"/>
    </row>
    <row r="531">
      <c r="A531" s="130"/>
      <c r="B531" s="130"/>
      <c r="C531" s="130"/>
      <c r="D531" s="130"/>
      <c r="E531" s="130"/>
      <c r="F531" s="14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c r="BA531" s="130"/>
      <c r="BB531" s="130"/>
      <c r="BC531" s="130"/>
      <c r="BD531" s="130"/>
    </row>
    <row r="532">
      <c r="A532" s="130"/>
      <c r="B532" s="130"/>
      <c r="C532" s="130"/>
      <c r="D532" s="130"/>
      <c r="E532" s="130"/>
      <c r="F532" s="14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c r="BA532" s="130"/>
      <c r="BB532" s="130"/>
      <c r="BC532" s="130"/>
      <c r="BD532" s="130"/>
    </row>
    <row r="533">
      <c r="A533" s="130"/>
      <c r="B533" s="130"/>
      <c r="C533" s="130"/>
      <c r="D533" s="130"/>
      <c r="E533" s="130"/>
      <c r="F533" s="14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c r="BA533" s="130"/>
      <c r="BB533" s="130"/>
      <c r="BC533" s="130"/>
      <c r="BD533" s="130"/>
    </row>
    <row r="534">
      <c r="A534" s="130"/>
      <c r="B534" s="130"/>
      <c r="C534" s="130"/>
      <c r="D534" s="130"/>
      <c r="E534" s="130"/>
      <c r="F534" s="14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c r="BA534" s="130"/>
      <c r="BB534" s="130"/>
      <c r="BC534" s="130"/>
      <c r="BD534" s="130"/>
    </row>
    <row r="535">
      <c r="A535" s="130"/>
      <c r="B535" s="130"/>
      <c r="C535" s="130"/>
      <c r="D535" s="130"/>
      <c r="E535" s="130"/>
      <c r="F535" s="14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c r="BA535" s="130"/>
      <c r="BB535" s="130"/>
      <c r="BC535" s="130"/>
      <c r="BD535" s="130"/>
    </row>
    <row r="536">
      <c r="A536" s="130"/>
      <c r="B536" s="130"/>
      <c r="C536" s="130"/>
      <c r="D536" s="130"/>
      <c r="E536" s="130"/>
      <c r="F536" s="14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c r="BA536" s="130"/>
      <c r="BB536" s="130"/>
      <c r="BC536" s="130"/>
      <c r="BD536" s="130"/>
    </row>
    <row r="537">
      <c r="A537" s="130"/>
      <c r="B537" s="130"/>
      <c r="C537" s="130"/>
      <c r="D537" s="130"/>
      <c r="E537" s="130"/>
      <c r="F537" s="14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c r="BA537" s="130"/>
      <c r="BB537" s="130"/>
      <c r="BC537" s="130"/>
      <c r="BD537" s="130"/>
    </row>
    <row r="538">
      <c r="A538" s="130"/>
      <c r="B538" s="130"/>
      <c r="C538" s="130"/>
      <c r="D538" s="130"/>
      <c r="E538" s="130"/>
      <c r="F538" s="14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c r="BA538" s="130"/>
      <c r="BB538" s="130"/>
      <c r="BC538" s="130"/>
      <c r="BD538" s="130"/>
    </row>
    <row r="539">
      <c r="A539" s="130"/>
      <c r="B539" s="130"/>
      <c r="C539" s="130"/>
      <c r="D539" s="130"/>
      <c r="E539" s="130"/>
      <c r="F539" s="14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c r="BA539" s="130"/>
      <c r="BB539" s="130"/>
      <c r="BC539" s="130"/>
      <c r="BD539" s="130"/>
    </row>
    <row r="540">
      <c r="A540" s="130"/>
      <c r="B540" s="130"/>
      <c r="C540" s="130"/>
      <c r="D540" s="130"/>
      <c r="E540" s="130"/>
      <c r="F540" s="14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c r="BA540" s="130"/>
      <c r="BB540" s="130"/>
      <c r="BC540" s="130"/>
      <c r="BD540" s="130"/>
    </row>
    <row r="541">
      <c r="A541" s="130"/>
      <c r="B541" s="130"/>
      <c r="C541" s="130"/>
      <c r="D541" s="130"/>
      <c r="E541" s="130"/>
      <c r="F541" s="14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c r="BA541" s="130"/>
      <c r="BB541" s="130"/>
      <c r="BC541" s="130"/>
      <c r="BD541" s="130"/>
    </row>
    <row r="542">
      <c r="A542" s="130"/>
      <c r="B542" s="130"/>
      <c r="C542" s="130"/>
      <c r="D542" s="130"/>
      <c r="E542" s="130"/>
      <c r="F542" s="14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c r="BA542" s="130"/>
      <c r="BB542" s="130"/>
      <c r="BC542" s="130"/>
      <c r="BD542" s="130"/>
    </row>
    <row r="543">
      <c r="A543" s="130"/>
      <c r="B543" s="130"/>
      <c r="C543" s="130"/>
      <c r="D543" s="130"/>
      <c r="E543" s="130"/>
      <c r="F543" s="14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c r="BA543" s="130"/>
      <c r="BB543" s="130"/>
      <c r="BC543" s="130"/>
      <c r="BD543" s="130"/>
    </row>
    <row r="544">
      <c r="A544" s="130"/>
      <c r="B544" s="130"/>
      <c r="C544" s="130"/>
      <c r="D544" s="130"/>
      <c r="E544" s="130"/>
      <c r="F544" s="14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c r="BA544" s="130"/>
      <c r="BB544" s="130"/>
      <c r="BC544" s="130"/>
      <c r="BD544" s="130"/>
    </row>
    <row r="545">
      <c r="A545" s="130"/>
      <c r="B545" s="130"/>
      <c r="C545" s="130"/>
      <c r="D545" s="130"/>
      <c r="E545" s="130"/>
      <c r="F545" s="14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c r="BA545" s="130"/>
      <c r="BB545" s="130"/>
      <c r="BC545" s="130"/>
      <c r="BD545" s="130"/>
    </row>
    <row r="546">
      <c r="A546" s="130"/>
      <c r="B546" s="130"/>
      <c r="C546" s="130"/>
      <c r="D546" s="130"/>
      <c r="E546" s="130"/>
      <c r="F546" s="14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c r="BA546" s="130"/>
      <c r="BB546" s="130"/>
      <c r="BC546" s="130"/>
      <c r="BD546" s="130"/>
    </row>
    <row r="547">
      <c r="A547" s="130"/>
      <c r="B547" s="130"/>
      <c r="C547" s="130"/>
      <c r="D547" s="130"/>
      <c r="E547" s="130"/>
      <c r="F547" s="14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c r="BA547" s="130"/>
      <c r="BB547" s="130"/>
      <c r="BC547" s="130"/>
      <c r="BD547" s="130"/>
    </row>
    <row r="548">
      <c r="A548" s="130"/>
      <c r="B548" s="130"/>
      <c r="C548" s="130"/>
      <c r="D548" s="130"/>
      <c r="E548" s="130"/>
      <c r="F548" s="14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c r="BA548" s="130"/>
      <c r="BB548" s="130"/>
      <c r="BC548" s="130"/>
      <c r="BD548" s="130"/>
    </row>
    <row r="549">
      <c r="A549" s="130"/>
      <c r="B549" s="130"/>
      <c r="C549" s="130"/>
      <c r="D549" s="130"/>
      <c r="E549" s="130"/>
      <c r="F549" s="14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c r="BA549" s="130"/>
      <c r="BB549" s="130"/>
      <c r="BC549" s="130"/>
      <c r="BD549" s="130"/>
    </row>
    <row r="550">
      <c r="A550" s="130"/>
      <c r="B550" s="130"/>
      <c r="C550" s="130"/>
      <c r="D550" s="130"/>
      <c r="E550" s="130"/>
      <c r="F550" s="14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c r="BA550" s="130"/>
      <c r="BB550" s="130"/>
      <c r="BC550" s="130"/>
      <c r="BD550" s="130"/>
    </row>
    <row r="551">
      <c r="A551" s="130"/>
      <c r="B551" s="130"/>
      <c r="C551" s="130"/>
      <c r="D551" s="130"/>
      <c r="E551" s="130"/>
      <c r="F551" s="14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c r="BA551" s="130"/>
      <c r="BB551" s="130"/>
      <c r="BC551" s="130"/>
      <c r="BD551" s="130"/>
    </row>
    <row r="552">
      <c r="A552" s="130"/>
      <c r="B552" s="130"/>
      <c r="C552" s="130"/>
      <c r="D552" s="130"/>
      <c r="E552" s="130"/>
      <c r="F552" s="14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c r="BA552" s="130"/>
      <c r="BB552" s="130"/>
      <c r="BC552" s="130"/>
      <c r="BD552" s="130"/>
    </row>
    <row r="553">
      <c r="A553" s="130"/>
      <c r="B553" s="130"/>
      <c r="C553" s="130"/>
      <c r="D553" s="130"/>
      <c r="E553" s="130"/>
      <c r="F553" s="14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c r="BA553" s="130"/>
      <c r="BB553" s="130"/>
      <c r="BC553" s="130"/>
      <c r="BD553" s="130"/>
    </row>
    <row r="554">
      <c r="A554" s="130"/>
      <c r="B554" s="130"/>
      <c r="C554" s="130"/>
      <c r="D554" s="130"/>
      <c r="E554" s="130"/>
      <c r="F554" s="14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c r="BA554" s="130"/>
      <c r="BB554" s="130"/>
      <c r="BC554" s="130"/>
      <c r="BD554" s="130"/>
    </row>
    <row r="555">
      <c r="A555" s="130"/>
      <c r="B555" s="130"/>
      <c r="C555" s="130"/>
      <c r="D555" s="130"/>
      <c r="E555" s="130"/>
      <c r="F555" s="14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c r="BA555" s="130"/>
      <c r="BB555" s="130"/>
      <c r="BC555" s="130"/>
      <c r="BD555" s="130"/>
    </row>
    <row r="556">
      <c r="A556" s="130"/>
      <c r="B556" s="130"/>
      <c r="C556" s="130"/>
      <c r="D556" s="130"/>
      <c r="E556" s="130"/>
      <c r="F556" s="14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c r="BA556" s="130"/>
      <c r="BB556" s="130"/>
      <c r="BC556" s="130"/>
      <c r="BD556" s="130"/>
    </row>
    <row r="557">
      <c r="A557" s="130"/>
      <c r="B557" s="130"/>
      <c r="C557" s="130"/>
      <c r="D557" s="130"/>
      <c r="E557" s="130"/>
      <c r="F557" s="14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c r="BA557" s="130"/>
      <c r="BB557" s="130"/>
      <c r="BC557" s="130"/>
      <c r="BD557" s="130"/>
    </row>
    <row r="558">
      <c r="A558" s="130"/>
      <c r="B558" s="130"/>
      <c r="C558" s="130"/>
      <c r="D558" s="130"/>
      <c r="E558" s="130"/>
      <c r="F558" s="14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c r="BA558" s="130"/>
      <c r="BB558" s="130"/>
      <c r="BC558" s="130"/>
      <c r="BD558" s="130"/>
    </row>
    <row r="559">
      <c r="A559" s="130"/>
      <c r="B559" s="130"/>
      <c r="C559" s="130"/>
      <c r="D559" s="130"/>
      <c r="E559" s="130"/>
      <c r="F559" s="14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c r="BA559" s="130"/>
      <c r="BB559" s="130"/>
      <c r="BC559" s="130"/>
      <c r="BD559" s="130"/>
    </row>
    <row r="560">
      <c r="A560" s="130"/>
      <c r="B560" s="130"/>
      <c r="C560" s="130"/>
      <c r="D560" s="130"/>
      <c r="E560" s="130"/>
      <c r="F560" s="14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c r="BA560" s="130"/>
      <c r="BB560" s="130"/>
      <c r="BC560" s="130"/>
      <c r="BD560" s="130"/>
    </row>
    <row r="561">
      <c r="A561" s="130"/>
      <c r="B561" s="130"/>
      <c r="C561" s="130"/>
      <c r="D561" s="130"/>
      <c r="E561" s="130"/>
      <c r="F561" s="14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c r="BA561" s="130"/>
      <c r="BB561" s="130"/>
      <c r="BC561" s="130"/>
      <c r="BD561" s="130"/>
    </row>
    <row r="562">
      <c r="A562" s="130"/>
      <c r="B562" s="130"/>
      <c r="C562" s="130"/>
      <c r="D562" s="130"/>
      <c r="E562" s="130"/>
      <c r="F562" s="14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c r="BA562" s="130"/>
      <c r="BB562" s="130"/>
      <c r="BC562" s="130"/>
      <c r="BD562" s="130"/>
    </row>
    <row r="563">
      <c r="A563" s="130"/>
      <c r="B563" s="130"/>
      <c r="C563" s="130"/>
      <c r="D563" s="130"/>
      <c r="E563" s="130"/>
      <c r="F563" s="14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c r="BA563" s="130"/>
      <c r="BB563" s="130"/>
      <c r="BC563" s="130"/>
      <c r="BD563" s="130"/>
    </row>
    <row r="564">
      <c r="A564" s="130"/>
      <c r="B564" s="130"/>
      <c r="C564" s="130"/>
      <c r="D564" s="130"/>
      <c r="E564" s="130"/>
      <c r="F564" s="14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c r="BA564" s="130"/>
      <c r="BB564" s="130"/>
      <c r="BC564" s="130"/>
      <c r="BD564" s="130"/>
    </row>
    <row r="565">
      <c r="A565" s="130"/>
      <c r="B565" s="130"/>
      <c r="C565" s="130"/>
      <c r="D565" s="130"/>
      <c r="E565" s="130"/>
      <c r="F565" s="14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c r="BA565" s="130"/>
      <c r="BB565" s="130"/>
      <c r="BC565" s="130"/>
      <c r="BD565" s="130"/>
    </row>
    <row r="566">
      <c r="A566" s="130"/>
      <c r="B566" s="130"/>
      <c r="C566" s="130"/>
      <c r="D566" s="130"/>
      <c r="E566" s="130"/>
      <c r="F566" s="14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c r="BA566" s="130"/>
      <c r="BB566" s="130"/>
      <c r="BC566" s="130"/>
      <c r="BD566" s="130"/>
    </row>
    <row r="567">
      <c r="A567" s="130"/>
      <c r="B567" s="130"/>
      <c r="C567" s="130"/>
      <c r="D567" s="130"/>
      <c r="E567" s="130"/>
      <c r="F567" s="14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c r="BA567" s="130"/>
      <c r="BB567" s="130"/>
      <c r="BC567" s="130"/>
      <c r="BD567" s="130"/>
    </row>
    <row r="568">
      <c r="A568" s="130"/>
      <c r="B568" s="130"/>
      <c r="C568" s="130"/>
      <c r="D568" s="130"/>
      <c r="E568" s="130"/>
      <c r="F568" s="14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c r="BA568" s="130"/>
      <c r="BB568" s="130"/>
      <c r="BC568" s="130"/>
      <c r="BD568" s="130"/>
    </row>
    <row r="569">
      <c r="A569" s="130"/>
      <c r="B569" s="130"/>
      <c r="C569" s="130"/>
      <c r="D569" s="130"/>
      <c r="E569" s="130"/>
      <c r="F569" s="14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c r="BA569" s="130"/>
      <c r="BB569" s="130"/>
      <c r="BC569" s="130"/>
      <c r="BD569" s="130"/>
    </row>
    <row r="570">
      <c r="A570" s="130"/>
      <c r="B570" s="130"/>
      <c r="C570" s="130"/>
      <c r="D570" s="130"/>
      <c r="E570" s="130"/>
      <c r="F570" s="14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c r="BA570" s="130"/>
      <c r="BB570" s="130"/>
      <c r="BC570" s="130"/>
      <c r="BD570" s="130"/>
    </row>
    <row r="571">
      <c r="A571" s="130"/>
      <c r="B571" s="130"/>
      <c r="C571" s="130"/>
      <c r="D571" s="130"/>
      <c r="E571" s="130"/>
      <c r="F571" s="14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c r="BA571" s="130"/>
      <c r="BB571" s="130"/>
      <c r="BC571" s="130"/>
      <c r="BD571" s="130"/>
    </row>
    <row r="572">
      <c r="A572" s="130"/>
      <c r="B572" s="130"/>
      <c r="C572" s="130"/>
      <c r="D572" s="130"/>
      <c r="E572" s="130"/>
      <c r="F572" s="14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c r="BA572" s="130"/>
      <c r="BB572" s="130"/>
      <c r="BC572" s="130"/>
      <c r="BD572" s="130"/>
    </row>
    <row r="573">
      <c r="A573" s="130"/>
      <c r="B573" s="130"/>
      <c r="C573" s="130"/>
      <c r="D573" s="130"/>
      <c r="E573" s="130"/>
      <c r="F573" s="14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c r="BA573" s="130"/>
      <c r="BB573" s="130"/>
      <c r="BC573" s="130"/>
      <c r="BD573" s="130"/>
    </row>
    <row r="574">
      <c r="A574" s="130"/>
      <c r="B574" s="130"/>
      <c r="C574" s="130"/>
      <c r="D574" s="130"/>
      <c r="E574" s="130"/>
      <c r="F574" s="14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c r="BA574" s="130"/>
      <c r="BB574" s="130"/>
      <c r="BC574" s="130"/>
      <c r="BD574" s="130"/>
    </row>
    <row r="575">
      <c r="A575" s="130"/>
      <c r="B575" s="130"/>
      <c r="C575" s="130"/>
      <c r="D575" s="130"/>
      <c r="E575" s="130"/>
      <c r="F575" s="14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c r="BA575" s="130"/>
      <c r="BB575" s="130"/>
      <c r="BC575" s="130"/>
      <c r="BD575" s="130"/>
    </row>
    <row r="576">
      <c r="A576" s="130"/>
      <c r="B576" s="130"/>
      <c r="C576" s="130"/>
      <c r="D576" s="130"/>
      <c r="E576" s="130"/>
      <c r="F576" s="14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c r="BA576" s="130"/>
      <c r="BB576" s="130"/>
      <c r="BC576" s="130"/>
      <c r="BD576" s="130"/>
    </row>
    <row r="577">
      <c r="A577" s="130"/>
      <c r="B577" s="130"/>
      <c r="C577" s="130"/>
      <c r="D577" s="130"/>
      <c r="E577" s="130"/>
      <c r="F577" s="14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c r="BA577" s="130"/>
      <c r="BB577" s="130"/>
      <c r="BC577" s="130"/>
      <c r="BD577" s="130"/>
    </row>
    <row r="578">
      <c r="A578" s="130"/>
      <c r="B578" s="130"/>
      <c r="C578" s="130"/>
      <c r="D578" s="130"/>
      <c r="E578" s="130"/>
      <c r="F578" s="14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c r="BA578" s="130"/>
      <c r="BB578" s="130"/>
      <c r="BC578" s="130"/>
      <c r="BD578" s="130"/>
    </row>
    <row r="579">
      <c r="A579" s="130"/>
      <c r="B579" s="130"/>
      <c r="C579" s="130"/>
      <c r="D579" s="130"/>
      <c r="E579" s="130"/>
      <c r="F579" s="14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c r="BA579" s="130"/>
      <c r="BB579" s="130"/>
      <c r="BC579" s="130"/>
      <c r="BD579" s="130"/>
    </row>
    <row r="580">
      <c r="A580" s="130"/>
      <c r="B580" s="130"/>
      <c r="C580" s="130"/>
      <c r="D580" s="130"/>
      <c r="E580" s="130"/>
      <c r="F580" s="14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c r="BA580" s="130"/>
      <c r="BB580" s="130"/>
      <c r="BC580" s="130"/>
      <c r="BD580" s="130"/>
    </row>
    <row r="581">
      <c r="A581" s="130"/>
      <c r="B581" s="130"/>
      <c r="C581" s="130"/>
      <c r="D581" s="130"/>
      <c r="E581" s="130"/>
      <c r="F581" s="14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c r="BA581" s="130"/>
      <c r="BB581" s="130"/>
      <c r="BC581" s="130"/>
      <c r="BD581" s="130"/>
    </row>
    <row r="582">
      <c r="A582" s="130"/>
      <c r="B582" s="130"/>
      <c r="C582" s="130"/>
      <c r="D582" s="130"/>
      <c r="E582" s="130"/>
      <c r="F582" s="14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c r="BA582" s="130"/>
      <c r="BB582" s="130"/>
      <c r="BC582" s="130"/>
      <c r="BD582" s="130"/>
    </row>
    <row r="583">
      <c r="A583" s="130"/>
      <c r="B583" s="130"/>
      <c r="C583" s="130"/>
      <c r="D583" s="130"/>
      <c r="E583" s="130"/>
      <c r="F583" s="14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c r="BA583" s="130"/>
      <c r="BB583" s="130"/>
      <c r="BC583" s="130"/>
      <c r="BD583" s="130"/>
    </row>
    <row r="584">
      <c r="A584" s="130"/>
      <c r="B584" s="130"/>
      <c r="C584" s="130"/>
      <c r="D584" s="130"/>
      <c r="E584" s="130"/>
      <c r="F584" s="14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c r="BA584" s="130"/>
      <c r="BB584" s="130"/>
      <c r="BC584" s="130"/>
      <c r="BD584" s="130"/>
    </row>
    <row r="585">
      <c r="A585" s="130"/>
      <c r="B585" s="130"/>
      <c r="C585" s="130"/>
      <c r="D585" s="130"/>
      <c r="E585" s="130"/>
      <c r="F585" s="14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c r="BA585" s="130"/>
      <c r="BB585" s="130"/>
      <c r="BC585" s="130"/>
      <c r="BD585" s="130"/>
    </row>
    <row r="586">
      <c r="A586" s="130"/>
      <c r="B586" s="130"/>
      <c r="C586" s="130"/>
      <c r="D586" s="130"/>
      <c r="E586" s="130"/>
      <c r="F586" s="14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c r="BA586" s="130"/>
      <c r="BB586" s="130"/>
      <c r="BC586" s="130"/>
      <c r="BD586" s="130"/>
    </row>
    <row r="587">
      <c r="A587" s="130"/>
      <c r="B587" s="130"/>
      <c r="C587" s="130"/>
      <c r="D587" s="130"/>
      <c r="E587" s="130"/>
      <c r="F587" s="14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c r="BA587" s="130"/>
      <c r="BB587" s="130"/>
      <c r="BC587" s="130"/>
      <c r="BD587" s="130"/>
    </row>
    <row r="588">
      <c r="A588" s="130"/>
      <c r="B588" s="130"/>
      <c r="C588" s="130"/>
      <c r="D588" s="130"/>
      <c r="E588" s="130"/>
      <c r="F588" s="14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c r="BA588" s="130"/>
      <c r="BB588" s="130"/>
      <c r="BC588" s="130"/>
      <c r="BD588" s="130"/>
    </row>
    <row r="589">
      <c r="A589" s="130"/>
      <c r="B589" s="130"/>
      <c r="C589" s="130"/>
      <c r="D589" s="130"/>
      <c r="E589" s="130"/>
      <c r="F589" s="14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c r="BA589" s="130"/>
      <c r="BB589" s="130"/>
      <c r="BC589" s="130"/>
      <c r="BD589" s="130"/>
    </row>
    <row r="590">
      <c r="A590" s="130"/>
      <c r="B590" s="130"/>
      <c r="C590" s="130"/>
      <c r="D590" s="130"/>
      <c r="E590" s="130"/>
      <c r="F590" s="14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c r="BA590" s="130"/>
      <c r="BB590" s="130"/>
      <c r="BC590" s="130"/>
      <c r="BD590" s="130"/>
    </row>
    <row r="591">
      <c r="A591" s="130"/>
      <c r="B591" s="130"/>
      <c r="C591" s="130"/>
      <c r="D591" s="130"/>
      <c r="E591" s="130"/>
      <c r="F591" s="14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c r="BA591" s="130"/>
      <c r="BB591" s="130"/>
      <c r="BC591" s="130"/>
      <c r="BD591" s="130"/>
    </row>
    <row r="592">
      <c r="A592" s="130"/>
      <c r="B592" s="130"/>
      <c r="C592" s="130"/>
      <c r="D592" s="130"/>
      <c r="E592" s="130"/>
      <c r="F592" s="14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c r="BA592" s="130"/>
      <c r="BB592" s="130"/>
      <c r="BC592" s="130"/>
      <c r="BD592" s="130"/>
    </row>
    <row r="593">
      <c r="A593" s="130"/>
      <c r="B593" s="130"/>
      <c r="C593" s="130"/>
      <c r="D593" s="130"/>
      <c r="E593" s="130"/>
      <c r="F593" s="14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c r="BA593" s="130"/>
      <c r="BB593" s="130"/>
      <c r="BC593" s="130"/>
      <c r="BD593" s="130"/>
    </row>
    <row r="594">
      <c r="A594" s="130"/>
      <c r="B594" s="130"/>
      <c r="C594" s="130"/>
      <c r="D594" s="130"/>
      <c r="E594" s="130"/>
      <c r="F594" s="14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c r="BA594" s="130"/>
      <c r="BB594" s="130"/>
      <c r="BC594" s="130"/>
      <c r="BD594" s="130"/>
    </row>
    <row r="595">
      <c r="A595" s="130"/>
      <c r="B595" s="130"/>
      <c r="C595" s="130"/>
      <c r="D595" s="130"/>
      <c r="E595" s="130"/>
      <c r="F595" s="14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c r="BA595" s="130"/>
      <c r="BB595" s="130"/>
      <c r="BC595" s="130"/>
      <c r="BD595" s="130"/>
    </row>
    <row r="596">
      <c r="A596" s="130"/>
      <c r="B596" s="130"/>
      <c r="C596" s="130"/>
      <c r="D596" s="130"/>
      <c r="E596" s="130"/>
      <c r="F596" s="14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c r="BA596" s="130"/>
      <c r="BB596" s="130"/>
      <c r="BC596" s="130"/>
      <c r="BD596" s="130"/>
    </row>
    <row r="597">
      <c r="A597" s="130"/>
      <c r="B597" s="130"/>
      <c r="C597" s="130"/>
      <c r="D597" s="130"/>
      <c r="E597" s="130"/>
      <c r="F597" s="14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c r="BA597" s="130"/>
      <c r="BB597" s="130"/>
      <c r="BC597" s="130"/>
      <c r="BD597" s="130"/>
    </row>
    <row r="598">
      <c r="A598" s="130"/>
      <c r="B598" s="130"/>
      <c r="C598" s="130"/>
      <c r="D598" s="130"/>
      <c r="E598" s="130"/>
      <c r="F598" s="14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c r="BA598" s="130"/>
      <c r="BB598" s="130"/>
      <c r="BC598" s="130"/>
      <c r="BD598" s="130"/>
    </row>
    <row r="599">
      <c r="A599" s="130"/>
      <c r="B599" s="130"/>
      <c r="C599" s="130"/>
      <c r="D599" s="130"/>
      <c r="E599" s="130"/>
      <c r="F599" s="14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c r="BA599" s="130"/>
      <c r="BB599" s="130"/>
      <c r="BC599" s="130"/>
      <c r="BD599" s="130"/>
    </row>
    <row r="600">
      <c r="A600" s="130"/>
      <c r="B600" s="130"/>
      <c r="C600" s="130"/>
      <c r="D600" s="130"/>
      <c r="E600" s="130"/>
      <c r="F600" s="14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c r="BA600" s="130"/>
      <c r="BB600" s="130"/>
      <c r="BC600" s="130"/>
      <c r="BD600" s="130"/>
    </row>
    <row r="601">
      <c r="A601" s="130"/>
      <c r="B601" s="130"/>
      <c r="C601" s="130"/>
      <c r="D601" s="130"/>
      <c r="E601" s="130"/>
      <c r="F601" s="14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c r="BA601" s="130"/>
      <c r="BB601" s="130"/>
      <c r="BC601" s="130"/>
      <c r="BD601" s="130"/>
    </row>
    <row r="602">
      <c r="A602" s="130"/>
      <c r="B602" s="130"/>
      <c r="C602" s="130"/>
      <c r="D602" s="130"/>
      <c r="E602" s="130"/>
      <c r="F602" s="14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c r="BA602" s="130"/>
      <c r="BB602" s="130"/>
      <c r="BC602" s="130"/>
      <c r="BD602" s="130"/>
    </row>
    <row r="603">
      <c r="A603" s="130"/>
      <c r="B603" s="130"/>
      <c r="C603" s="130"/>
      <c r="D603" s="130"/>
      <c r="E603" s="130"/>
      <c r="F603" s="14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c r="BA603" s="130"/>
      <c r="BB603" s="130"/>
      <c r="BC603" s="130"/>
      <c r="BD603" s="130"/>
    </row>
    <row r="604">
      <c r="A604" s="130"/>
      <c r="B604" s="130"/>
      <c r="C604" s="130"/>
      <c r="D604" s="130"/>
      <c r="E604" s="130"/>
      <c r="F604" s="14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c r="BA604" s="130"/>
      <c r="BB604" s="130"/>
      <c r="BC604" s="130"/>
      <c r="BD604" s="130"/>
    </row>
    <row r="605">
      <c r="A605" s="130"/>
      <c r="B605" s="130"/>
      <c r="C605" s="130"/>
      <c r="D605" s="130"/>
      <c r="E605" s="130"/>
      <c r="F605" s="14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c r="BA605" s="130"/>
      <c r="BB605" s="130"/>
      <c r="BC605" s="130"/>
      <c r="BD605" s="130"/>
    </row>
    <row r="606">
      <c r="A606" s="130"/>
      <c r="B606" s="130"/>
      <c r="C606" s="130"/>
      <c r="D606" s="130"/>
      <c r="E606" s="130"/>
      <c r="F606" s="14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c r="BA606" s="130"/>
      <c r="BB606" s="130"/>
      <c r="BC606" s="130"/>
      <c r="BD606" s="130"/>
    </row>
    <row r="607">
      <c r="A607" s="130"/>
      <c r="B607" s="130"/>
      <c r="C607" s="130"/>
      <c r="D607" s="130"/>
      <c r="E607" s="130"/>
      <c r="F607" s="14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c r="BA607" s="130"/>
      <c r="BB607" s="130"/>
      <c r="BC607" s="130"/>
      <c r="BD607" s="130"/>
    </row>
    <row r="608">
      <c r="A608" s="130"/>
      <c r="B608" s="130"/>
      <c r="C608" s="130"/>
      <c r="D608" s="130"/>
      <c r="E608" s="130"/>
      <c r="F608" s="14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c r="BA608" s="130"/>
      <c r="BB608" s="130"/>
      <c r="BC608" s="130"/>
      <c r="BD608" s="130"/>
    </row>
    <row r="609">
      <c r="A609" s="130"/>
      <c r="B609" s="130"/>
      <c r="C609" s="130"/>
      <c r="D609" s="130"/>
      <c r="E609" s="130"/>
      <c r="F609" s="14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c r="BA609" s="130"/>
      <c r="BB609" s="130"/>
      <c r="BC609" s="130"/>
      <c r="BD609" s="130"/>
    </row>
    <row r="610">
      <c r="A610" s="130"/>
      <c r="B610" s="130"/>
      <c r="C610" s="130"/>
      <c r="D610" s="130"/>
      <c r="E610" s="130"/>
      <c r="F610" s="14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c r="BA610" s="130"/>
      <c r="BB610" s="130"/>
      <c r="BC610" s="130"/>
      <c r="BD610" s="130"/>
    </row>
    <row r="611">
      <c r="A611" s="130"/>
      <c r="B611" s="130"/>
      <c r="C611" s="130"/>
      <c r="D611" s="130"/>
      <c r="E611" s="130"/>
      <c r="F611" s="14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c r="BA611" s="130"/>
      <c r="BB611" s="130"/>
      <c r="BC611" s="130"/>
      <c r="BD611" s="130"/>
    </row>
    <row r="612">
      <c r="A612" s="130"/>
      <c r="B612" s="130"/>
      <c r="C612" s="130"/>
      <c r="D612" s="130"/>
      <c r="E612" s="130"/>
      <c r="F612" s="14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c r="BA612" s="130"/>
      <c r="BB612" s="130"/>
      <c r="BC612" s="130"/>
      <c r="BD612" s="130"/>
    </row>
    <row r="613">
      <c r="A613" s="130"/>
      <c r="B613" s="130"/>
      <c r="C613" s="130"/>
      <c r="D613" s="130"/>
      <c r="E613" s="130"/>
      <c r="F613" s="14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c r="BA613" s="130"/>
      <c r="BB613" s="130"/>
      <c r="BC613" s="130"/>
      <c r="BD613" s="130"/>
    </row>
    <row r="614">
      <c r="A614" s="130"/>
      <c r="B614" s="130"/>
      <c r="C614" s="130"/>
      <c r="D614" s="130"/>
      <c r="E614" s="130"/>
      <c r="F614" s="14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c r="BA614" s="130"/>
      <c r="BB614" s="130"/>
      <c r="BC614" s="130"/>
      <c r="BD614" s="130"/>
    </row>
    <row r="615">
      <c r="A615" s="130"/>
      <c r="B615" s="130"/>
      <c r="C615" s="130"/>
      <c r="D615" s="130"/>
      <c r="E615" s="130"/>
      <c r="F615" s="14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c r="BA615" s="130"/>
      <c r="BB615" s="130"/>
      <c r="BC615" s="130"/>
      <c r="BD615" s="130"/>
    </row>
    <row r="616">
      <c r="A616" s="130"/>
      <c r="B616" s="130"/>
      <c r="C616" s="130"/>
      <c r="D616" s="130"/>
      <c r="E616" s="130"/>
      <c r="F616" s="14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c r="BA616" s="130"/>
      <c r="BB616" s="130"/>
      <c r="BC616" s="130"/>
      <c r="BD616" s="130"/>
    </row>
    <row r="617">
      <c r="A617" s="130"/>
      <c r="B617" s="130"/>
      <c r="C617" s="130"/>
      <c r="D617" s="130"/>
      <c r="E617" s="130"/>
      <c r="F617" s="14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c r="BA617" s="130"/>
      <c r="BB617" s="130"/>
      <c r="BC617" s="130"/>
      <c r="BD617" s="130"/>
    </row>
    <row r="618">
      <c r="A618" s="130"/>
      <c r="B618" s="130"/>
      <c r="C618" s="130"/>
      <c r="D618" s="130"/>
      <c r="E618" s="130"/>
      <c r="F618" s="14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c r="BA618" s="130"/>
      <c r="BB618" s="130"/>
      <c r="BC618" s="130"/>
      <c r="BD618" s="130"/>
    </row>
    <row r="619">
      <c r="A619" s="130"/>
      <c r="B619" s="130"/>
      <c r="C619" s="130"/>
      <c r="D619" s="130"/>
      <c r="E619" s="130"/>
      <c r="F619" s="14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c r="BA619" s="130"/>
      <c r="BB619" s="130"/>
      <c r="BC619" s="130"/>
      <c r="BD619" s="130"/>
    </row>
    <row r="620">
      <c r="A620" s="130"/>
      <c r="B620" s="130"/>
      <c r="C620" s="130"/>
      <c r="D620" s="130"/>
      <c r="E620" s="130"/>
      <c r="F620" s="14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c r="BA620" s="130"/>
      <c r="BB620" s="130"/>
      <c r="BC620" s="130"/>
      <c r="BD620" s="130"/>
    </row>
    <row r="621">
      <c r="A621" s="130"/>
      <c r="B621" s="130"/>
      <c r="C621" s="130"/>
      <c r="D621" s="130"/>
      <c r="E621" s="130"/>
      <c r="F621" s="14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c r="BA621" s="130"/>
      <c r="BB621" s="130"/>
      <c r="BC621" s="130"/>
      <c r="BD621" s="130"/>
    </row>
    <row r="622">
      <c r="A622" s="130"/>
      <c r="B622" s="130"/>
      <c r="C622" s="130"/>
      <c r="D622" s="130"/>
      <c r="E622" s="130"/>
      <c r="F622" s="14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c r="BA622" s="130"/>
      <c r="BB622" s="130"/>
      <c r="BC622" s="130"/>
      <c r="BD622" s="130"/>
    </row>
    <row r="623">
      <c r="A623" s="130"/>
      <c r="B623" s="130"/>
      <c r="C623" s="130"/>
      <c r="D623" s="130"/>
      <c r="E623" s="130"/>
      <c r="F623" s="14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c r="BA623" s="130"/>
      <c r="BB623" s="130"/>
      <c r="BC623" s="130"/>
      <c r="BD623" s="130"/>
    </row>
    <row r="624">
      <c r="A624" s="130"/>
      <c r="B624" s="130"/>
      <c r="C624" s="130"/>
      <c r="D624" s="130"/>
      <c r="E624" s="130"/>
      <c r="F624" s="14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c r="BA624" s="130"/>
      <c r="BB624" s="130"/>
      <c r="BC624" s="130"/>
      <c r="BD624" s="130"/>
    </row>
    <row r="625">
      <c r="A625" s="130"/>
      <c r="B625" s="130"/>
      <c r="C625" s="130"/>
      <c r="D625" s="130"/>
      <c r="E625" s="130"/>
      <c r="F625" s="14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c r="BA625" s="130"/>
      <c r="BB625" s="130"/>
      <c r="BC625" s="130"/>
      <c r="BD625" s="130"/>
    </row>
    <row r="626">
      <c r="A626" s="130"/>
      <c r="B626" s="130"/>
      <c r="C626" s="130"/>
      <c r="D626" s="130"/>
      <c r="E626" s="130"/>
      <c r="F626" s="14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c r="BA626" s="130"/>
      <c r="BB626" s="130"/>
      <c r="BC626" s="130"/>
      <c r="BD626" s="130"/>
    </row>
    <row r="627">
      <c r="A627" s="130"/>
      <c r="B627" s="130"/>
      <c r="C627" s="130"/>
      <c r="D627" s="130"/>
      <c r="E627" s="130"/>
      <c r="F627" s="14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c r="BA627" s="130"/>
      <c r="BB627" s="130"/>
      <c r="BC627" s="130"/>
      <c r="BD627" s="130"/>
    </row>
    <row r="628">
      <c r="A628" s="130"/>
      <c r="B628" s="130"/>
      <c r="C628" s="130"/>
      <c r="D628" s="130"/>
      <c r="E628" s="130"/>
      <c r="F628" s="14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c r="BA628" s="130"/>
      <c r="BB628" s="130"/>
      <c r="BC628" s="130"/>
      <c r="BD628" s="130"/>
    </row>
    <row r="629">
      <c r="A629" s="130"/>
      <c r="B629" s="130"/>
      <c r="C629" s="130"/>
      <c r="D629" s="130"/>
      <c r="E629" s="130"/>
      <c r="F629" s="14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c r="BA629" s="130"/>
      <c r="BB629" s="130"/>
      <c r="BC629" s="130"/>
      <c r="BD629" s="130"/>
    </row>
    <row r="630">
      <c r="A630" s="130"/>
      <c r="B630" s="130"/>
      <c r="C630" s="130"/>
      <c r="D630" s="130"/>
      <c r="E630" s="130"/>
      <c r="F630" s="14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c r="BA630" s="130"/>
      <c r="BB630" s="130"/>
      <c r="BC630" s="130"/>
      <c r="BD630" s="130"/>
    </row>
    <row r="631">
      <c r="A631" s="130"/>
      <c r="B631" s="130"/>
      <c r="C631" s="130"/>
      <c r="D631" s="130"/>
      <c r="E631" s="130"/>
      <c r="F631" s="14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c r="BA631" s="130"/>
      <c r="BB631" s="130"/>
      <c r="BC631" s="130"/>
      <c r="BD631" s="130"/>
    </row>
    <row r="632">
      <c r="A632" s="130"/>
      <c r="B632" s="130"/>
      <c r="C632" s="130"/>
      <c r="D632" s="130"/>
      <c r="E632" s="130"/>
      <c r="F632" s="14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c r="BA632" s="130"/>
      <c r="BB632" s="130"/>
      <c r="BC632" s="130"/>
      <c r="BD632" s="130"/>
    </row>
    <row r="633">
      <c r="A633" s="130"/>
      <c r="B633" s="130"/>
      <c r="C633" s="130"/>
      <c r="D633" s="130"/>
      <c r="E633" s="130"/>
      <c r="F633" s="14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c r="BA633" s="130"/>
      <c r="BB633" s="130"/>
      <c r="BC633" s="130"/>
      <c r="BD633" s="130"/>
    </row>
    <row r="634">
      <c r="A634" s="130"/>
      <c r="B634" s="130"/>
      <c r="C634" s="130"/>
      <c r="D634" s="130"/>
      <c r="E634" s="130"/>
      <c r="F634" s="14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c r="BA634" s="130"/>
      <c r="BB634" s="130"/>
      <c r="BC634" s="130"/>
      <c r="BD634" s="130"/>
    </row>
    <row r="635">
      <c r="A635" s="130"/>
      <c r="B635" s="130"/>
      <c r="C635" s="130"/>
      <c r="D635" s="130"/>
      <c r="E635" s="130"/>
      <c r="F635" s="14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c r="BA635" s="130"/>
      <c r="BB635" s="130"/>
      <c r="BC635" s="130"/>
      <c r="BD635" s="130"/>
    </row>
    <row r="636">
      <c r="A636" s="130"/>
      <c r="B636" s="130"/>
      <c r="C636" s="130"/>
      <c r="D636" s="130"/>
      <c r="E636" s="130"/>
      <c r="F636" s="14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c r="BA636" s="130"/>
      <c r="BB636" s="130"/>
      <c r="BC636" s="130"/>
      <c r="BD636" s="130"/>
    </row>
    <row r="637">
      <c r="A637" s="130"/>
      <c r="B637" s="130"/>
      <c r="C637" s="130"/>
      <c r="D637" s="130"/>
      <c r="E637" s="130"/>
      <c r="F637" s="14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c r="BA637" s="130"/>
      <c r="BB637" s="130"/>
      <c r="BC637" s="130"/>
      <c r="BD637" s="130"/>
    </row>
    <row r="638">
      <c r="A638" s="130"/>
      <c r="B638" s="130"/>
      <c r="C638" s="130"/>
      <c r="D638" s="130"/>
      <c r="E638" s="130"/>
      <c r="F638" s="14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c r="BA638" s="130"/>
      <c r="BB638" s="130"/>
      <c r="BC638" s="130"/>
      <c r="BD638" s="130"/>
    </row>
    <row r="639">
      <c r="A639" s="130"/>
      <c r="B639" s="130"/>
      <c r="C639" s="130"/>
      <c r="D639" s="130"/>
      <c r="E639" s="130"/>
      <c r="F639" s="14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c r="BA639" s="130"/>
      <c r="BB639" s="130"/>
      <c r="BC639" s="130"/>
      <c r="BD639" s="130"/>
    </row>
    <row r="640">
      <c r="A640" s="130"/>
      <c r="B640" s="130"/>
      <c r="C640" s="130"/>
      <c r="D640" s="130"/>
      <c r="E640" s="130"/>
      <c r="F640" s="14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c r="BA640" s="130"/>
      <c r="BB640" s="130"/>
      <c r="BC640" s="130"/>
      <c r="BD640" s="130"/>
    </row>
    <row r="641">
      <c r="A641" s="130"/>
      <c r="B641" s="130"/>
      <c r="C641" s="130"/>
      <c r="D641" s="130"/>
      <c r="E641" s="130"/>
      <c r="F641" s="14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c r="BA641" s="130"/>
      <c r="BB641" s="130"/>
      <c r="BC641" s="130"/>
      <c r="BD641" s="130"/>
    </row>
    <row r="642">
      <c r="A642" s="130"/>
      <c r="B642" s="130"/>
      <c r="C642" s="130"/>
      <c r="D642" s="130"/>
      <c r="E642" s="130"/>
      <c r="F642" s="14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c r="BA642" s="130"/>
      <c r="BB642" s="130"/>
      <c r="BC642" s="130"/>
      <c r="BD642" s="130"/>
    </row>
    <row r="643">
      <c r="A643" s="130"/>
      <c r="B643" s="130"/>
      <c r="C643" s="130"/>
      <c r="D643" s="130"/>
      <c r="E643" s="130"/>
      <c r="F643" s="14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c r="BA643" s="130"/>
      <c r="BB643" s="130"/>
      <c r="BC643" s="130"/>
      <c r="BD643" s="130"/>
    </row>
    <row r="644">
      <c r="A644" s="130"/>
      <c r="B644" s="130"/>
      <c r="C644" s="130"/>
      <c r="D644" s="130"/>
      <c r="E644" s="130"/>
      <c r="F644" s="14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c r="BA644" s="130"/>
      <c r="BB644" s="130"/>
      <c r="BC644" s="130"/>
      <c r="BD644" s="130"/>
    </row>
    <row r="645">
      <c r="A645" s="130"/>
      <c r="B645" s="130"/>
      <c r="C645" s="130"/>
      <c r="D645" s="130"/>
      <c r="E645" s="130"/>
      <c r="F645" s="14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c r="BA645" s="130"/>
      <c r="BB645" s="130"/>
      <c r="BC645" s="130"/>
      <c r="BD645" s="130"/>
    </row>
    <row r="646">
      <c r="A646" s="130"/>
      <c r="B646" s="130"/>
      <c r="C646" s="130"/>
      <c r="D646" s="130"/>
      <c r="E646" s="130"/>
      <c r="F646" s="14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c r="BA646" s="130"/>
      <c r="BB646" s="130"/>
      <c r="BC646" s="130"/>
      <c r="BD646" s="130"/>
    </row>
    <row r="647">
      <c r="A647" s="130"/>
      <c r="B647" s="130"/>
      <c r="C647" s="130"/>
      <c r="D647" s="130"/>
      <c r="E647" s="130"/>
      <c r="F647" s="14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c r="BA647" s="130"/>
      <c r="BB647" s="130"/>
      <c r="BC647" s="130"/>
      <c r="BD647" s="130"/>
    </row>
    <row r="648">
      <c r="A648" s="130"/>
      <c r="B648" s="130"/>
      <c r="C648" s="130"/>
      <c r="D648" s="130"/>
      <c r="E648" s="130"/>
      <c r="F648" s="14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c r="BA648" s="130"/>
      <c r="BB648" s="130"/>
      <c r="BC648" s="130"/>
      <c r="BD648" s="130"/>
    </row>
    <row r="649">
      <c r="A649" s="130"/>
      <c r="B649" s="130"/>
      <c r="C649" s="130"/>
      <c r="D649" s="130"/>
      <c r="E649" s="130"/>
      <c r="F649" s="14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c r="BA649" s="130"/>
      <c r="BB649" s="130"/>
      <c r="BC649" s="130"/>
      <c r="BD649" s="130"/>
    </row>
    <row r="650">
      <c r="A650" s="130"/>
      <c r="B650" s="130"/>
      <c r="C650" s="130"/>
      <c r="D650" s="130"/>
      <c r="E650" s="130"/>
      <c r="F650" s="14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c r="BA650" s="130"/>
      <c r="BB650" s="130"/>
      <c r="BC650" s="130"/>
      <c r="BD650" s="130"/>
    </row>
    <row r="651">
      <c r="A651" s="130"/>
      <c r="B651" s="130"/>
      <c r="C651" s="130"/>
      <c r="D651" s="130"/>
      <c r="E651" s="130"/>
      <c r="F651" s="14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c r="BA651" s="130"/>
      <c r="BB651" s="130"/>
      <c r="BC651" s="130"/>
      <c r="BD651" s="130"/>
    </row>
    <row r="652">
      <c r="A652" s="130"/>
      <c r="B652" s="130"/>
      <c r="C652" s="130"/>
      <c r="D652" s="130"/>
      <c r="E652" s="130"/>
      <c r="F652" s="14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c r="BA652" s="130"/>
      <c r="BB652" s="130"/>
      <c r="BC652" s="130"/>
      <c r="BD652" s="130"/>
    </row>
    <row r="653">
      <c r="A653" s="130"/>
      <c r="B653" s="130"/>
      <c r="C653" s="130"/>
      <c r="D653" s="130"/>
      <c r="E653" s="130"/>
      <c r="F653" s="14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c r="BA653" s="130"/>
      <c r="BB653" s="130"/>
      <c r="BC653" s="130"/>
      <c r="BD653" s="130"/>
    </row>
    <row r="654">
      <c r="A654" s="130"/>
      <c r="B654" s="130"/>
      <c r="C654" s="130"/>
      <c r="D654" s="130"/>
      <c r="E654" s="130"/>
      <c r="F654" s="14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c r="BA654" s="130"/>
      <c r="BB654" s="130"/>
      <c r="BC654" s="130"/>
      <c r="BD654" s="130"/>
    </row>
    <row r="655">
      <c r="A655" s="130"/>
      <c r="B655" s="130"/>
      <c r="C655" s="130"/>
      <c r="D655" s="130"/>
      <c r="E655" s="130"/>
      <c r="F655" s="14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c r="BA655" s="130"/>
      <c r="BB655" s="130"/>
      <c r="BC655" s="130"/>
      <c r="BD655" s="130"/>
    </row>
    <row r="656">
      <c r="A656" s="130"/>
      <c r="B656" s="130"/>
      <c r="C656" s="130"/>
      <c r="D656" s="130"/>
      <c r="E656" s="130"/>
      <c r="F656" s="14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c r="BA656" s="130"/>
      <c r="BB656" s="130"/>
      <c r="BC656" s="130"/>
      <c r="BD656" s="130"/>
    </row>
    <row r="657">
      <c r="A657" s="130"/>
      <c r="B657" s="130"/>
      <c r="C657" s="130"/>
      <c r="D657" s="130"/>
      <c r="E657" s="130"/>
      <c r="F657" s="14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c r="BA657" s="130"/>
      <c r="BB657" s="130"/>
      <c r="BC657" s="130"/>
      <c r="BD657" s="130"/>
    </row>
    <row r="658">
      <c r="A658" s="130"/>
      <c r="B658" s="130"/>
      <c r="C658" s="130"/>
      <c r="D658" s="130"/>
      <c r="E658" s="130"/>
      <c r="F658" s="14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c r="BA658" s="130"/>
      <c r="BB658" s="130"/>
      <c r="BC658" s="130"/>
      <c r="BD658" s="130"/>
    </row>
    <row r="659">
      <c r="A659" s="130"/>
      <c r="B659" s="130"/>
      <c r="C659" s="130"/>
      <c r="D659" s="130"/>
      <c r="E659" s="130"/>
      <c r="F659" s="14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c r="BA659" s="130"/>
      <c r="BB659" s="130"/>
      <c r="BC659" s="130"/>
      <c r="BD659" s="130"/>
    </row>
    <row r="660">
      <c r="A660" s="130"/>
      <c r="B660" s="130"/>
      <c r="C660" s="130"/>
      <c r="D660" s="130"/>
      <c r="E660" s="130"/>
      <c r="F660" s="14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c r="BA660" s="130"/>
      <c r="BB660" s="130"/>
      <c r="BC660" s="130"/>
      <c r="BD660" s="130"/>
    </row>
    <row r="661">
      <c r="A661" s="130"/>
      <c r="B661" s="130"/>
      <c r="C661" s="130"/>
      <c r="D661" s="130"/>
      <c r="E661" s="130"/>
      <c r="F661" s="14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c r="BA661" s="130"/>
      <c r="BB661" s="130"/>
      <c r="BC661" s="130"/>
      <c r="BD661" s="130"/>
    </row>
    <row r="662">
      <c r="A662" s="130"/>
      <c r="B662" s="130"/>
      <c r="C662" s="130"/>
      <c r="D662" s="130"/>
      <c r="E662" s="130"/>
      <c r="F662" s="14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c r="BA662" s="130"/>
      <c r="BB662" s="130"/>
      <c r="BC662" s="130"/>
      <c r="BD662" s="130"/>
    </row>
    <row r="663">
      <c r="A663" s="130"/>
      <c r="B663" s="130"/>
      <c r="C663" s="130"/>
      <c r="D663" s="130"/>
      <c r="E663" s="130"/>
      <c r="F663" s="14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c r="BA663" s="130"/>
      <c r="BB663" s="130"/>
      <c r="BC663" s="130"/>
      <c r="BD663" s="130"/>
    </row>
    <row r="664">
      <c r="A664" s="130"/>
      <c r="B664" s="130"/>
      <c r="C664" s="130"/>
      <c r="D664" s="130"/>
      <c r="E664" s="130"/>
      <c r="F664" s="14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c r="BA664" s="130"/>
      <c r="BB664" s="130"/>
      <c r="BC664" s="130"/>
      <c r="BD664" s="130"/>
    </row>
    <row r="665">
      <c r="A665" s="130"/>
      <c r="B665" s="130"/>
      <c r="C665" s="130"/>
      <c r="D665" s="130"/>
      <c r="E665" s="130"/>
      <c r="F665" s="14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c r="BA665" s="130"/>
      <c r="BB665" s="130"/>
      <c r="BC665" s="130"/>
      <c r="BD665" s="130"/>
    </row>
    <row r="666">
      <c r="A666" s="130"/>
      <c r="B666" s="130"/>
      <c r="C666" s="130"/>
      <c r="D666" s="130"/>
      <c r="E666" s="130"/>
      <c r="F666" s="14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c r="BA666" s="130"/>
      <c r="BB666" s="130"/>
      <c r="BC666" s="130"/>
      <c r="BD666" s="130"/>
    </row>
    <row r="667">
      <c r="A667" s="130"/>
      <c r="B667" s="130"/>
      <c r="C667" s="130"/>
      <c r="D667" s="130"/>
      <c r="E667" s="130"/>
      <c r="F667" s="14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c r="BA667" s="130"/>
      <c r="BB667" s="130"/>
      <c r="BC667" s="130"/>
      <c r="BD667" s="130"/>
    </row>
    <row r="668">
      <c r="A668" s="130"/>
      <c r="B668" s="130"/>
      <c r="C668" s="130"/>
      <c r="D668" s="130"/>
      <c r="E668" s="130"/>
      <c r="F668" s="14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c r="BA668" s="130"/>
      <c r="BB668" s="130"/>
      <c r="BC668" s="130"/>
      <c r="BD668" s="130"/>
    </row>
    <row r="669">
      <c r="A669" s="130"/>
      <c r="B669" s="130"/>
      <c r="C669" s="130"/>
      <c r="D669" s="130"/>
      <c r="E669" s="130"/>
      <c r="F669" s="14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c r="BA669" s="130"/>
      <c r="BB669" s="130"/>
      <c r="BC669" s="130"/>
      <c r="BD669" s="130"/>
    </row>
    <row r="670">
      <c r="A670" s="130"/>
      <c r="B670" s="130"/>
      <c r="C670" s="130"/>
      <c r="D670" s="130"/>
      <c r="E670" s="130"/>
      <c r="F670" s="14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c r="BA670" s="130"/>
      <c r="BB670" s="130"/>
      <c r="BC670" s="130"/>
      <c r="BD670" s="130"/>
    </row>
    <row r="671">
      <c r="A671" s="130"/>
      <c r="B671" s="130"/>
      <c r="C671" s="130"/>
      <c r="D671" s="130"/>
      <c r="E671" s="130"/>
      <c r="F671" s="14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c r="BA671" s="130"/>
      <c r="BB671" s="130"/>
      <c r="BC671" s="130"/>
      <c r="BD671" s="130"/>
    </row>
    <row r="672">
      <c r="A672" s="130"/>
      <c r="B672" s="130"/>
      <c r="C672" s="130"/>
      <c r="D672" s="130"/>
      <c r="E672" s="130"/>
      <c r="F672" s="14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c r="BA672" s="130"/>
      <c r="BB672" s="130"/>
      <c r="BC672" s="130"/>
      <c r="BD672" s="130"/>
    </row>
    <row r="673">
      <c r="A673" s="130"/>
      <c r="B673" s="130"/>
      <c r="C673" s="130"/>
      <c r="D673" s="130"/>
      <c r="E673" s="130"/>
      <c r="F673" s="14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c r="BA673" s="130"/>
      <c r="BB673" s="130"/>
      <c r="BC673" s="130"/>
      <c r="BD673" s="130"/>
    </row>
    <row r="674">
      <c r="A674" s="130"/>
      <c r="B674" s="130"/>
      <c r="C674" s="130"/>
      <c r="D674" s="130"/>
      <c r="E674" s="130"/>
      <c r="F674" s="14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c r="BA674" s="130"/>
      <c r="BB674" s="130"/>
      <c r="BC674" s="130"/>
      <c r="BD674" s="130"/>
    </row>
    <row r="675">
      <c r="A675" s="130"/>
      <c r="B675" s="130"/>
      <c r="C675" s="130"/>
      <c r="D675" s="130"/>
      <c r="E675" s="130"/>
      <c r="F675" s="14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c r="BA675" s="130"/>
      <c r="BB675" s="130"/>
      <c r="BC675" s="130"/>
      <c r="BD675" s="130"/>
    </row>
    <row r="676">
      <c r="A676" s="130"/>
      <c r="B676" s="130"/>
      <c r="C676" s="130"/>
      <c r="D676" s="130"/>
      <c r="E676" s="130"/>
      <c r="F676" s="14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c r="BA676" s="130"/>
      <c r="BB676" s="130"/>
      <c r="BC676" s="130"/>
      <c r="BD676" s="130"/>
    </row>
    <row r="677">
      <c r="A677" s="130"/>
      <c r="B677" s="130"/>
      <c r="C677" s="130"/>
      <c r="D677" s="130"/>
      <c r="E677" s="130"/>
      <c r="F677" s="14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c r="BA677" s="130"/>
      <c r="BB677" s="130"/>
      <c r="BC677" s="130"/>
      <c r="BD677" s="130"/>
    </row>
    <row r="678">
      <c r="A678" s="130"/>
      <c r="B678" s="130"/>
      <c r="C678" s="130"/>
      <c r="D678" s="130"/>
      <c r="E678" s="130"/>
      <c r="F678" s="14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c r="BA678" s="130"/>
      <c r="BB678" s="130"/>
      <c r="BC678" s="130"/>
      <c r="BD678" s="130"/>
    </row>
    <row r="679">
      <c r="A679" s="130"/>
      <c r="B679" s="130"/>
      <c r="C679" s="130"/>
      <c r="D679" s="130"/>
      <c r="E679" s="130"/>
      <c r="F679" s="14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c r="BA679" s="130"/>
      <c r="BB679" s="130"/>
      <c r="BC679" s="130"/>
      <c r="BD679" s="130"/>
    </row>
    <row r="680">
      <c r="A680" s="130"/>
      <c r="B680" s="130"/>
      <c r="C680" s="130"/>
      <c r="D680" s="130"/>
      <c r="E680" s="130"/>
      <c r="F680" s="14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c r="AZ680" s="130"/>
      <c r="BA680" s="130"/>
      <c r="BB680" s="130"/>
      <c r="BC680" s="130"/>
      <c r="BD680" s="130"/>
    </row>
    <row r="681">
      <c r="A681" s="130"/>
      <c r="B681" s="130"/>
      <c r="C681" s="130"/>
      <c r="D681" s="130"/>
      <c r="E681" s="130"/>
      <c r="F681" s="14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c r="AZ681" s="130"/>
      <c r="BA681" s="130"/>
      <c r="BB681" s="130"/>
      <c r="BC681" s="130"/>
      <c r="BD681" s="130"/>
    </row>
    <row r="682">
      <c r="A682" s="130"/>
      <c r="B682" s="130"/>
      <c r="C682" s="130"/>
      <c r="D682" s="130"/>
      <c r="E682" s="130"/>
      <c r="F682" s="14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c r="AZ682" s="130"/>
      <c r="BA682" s="130"/>
      <c r="BB682" s="130"/>
      <c r="BC682" s="130"/>
      <c r="BD682" s="130"/>
    </row>
    <row r="683">
      <c r="A683" s="130"/>
      <c r="B683" s="130"/>
      <c r="C683" s="130"/>
      <c r="D683" s="130"/>
      <c r="E683" s="130"/>
      <c r="F683" s="14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c r="BA683" s="130"/>
      <c r="BB683" s="130"/>
      <c r="BC683" s="130"/>
      <c r="BD683" s="130"/>
    </row>
    <row r="684">
      <c r="A684" s="130"/>
      <c r="B684" s="130"/>
      <c r="C684" s="130"/>
      <c r="D684" s="130"/>
      <c r="E684" s="130"/>
      <c r="F684" s="14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c r="AZ684" s="130"/>
      <c r="BA684" s="130"/>
      <c r="BB684" s="130"/>
      <c r="BC684" s="130"/>
      <c r="BD684" s="130"/>
    </row>
    <row r="685">
      <c r="A685" s="130"/>
      <c r="B685" s="130"/>
      <c r="C685" s="130"/>
      <c r="D685" s="130"/>
      <c r="E685" s="130"/>
      <c r="F685" s="14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c r="AZ685" s="130"/>
      <c r="BA685" s="130"/>
      <c r="BB685" s="130"/>
      <c r="BC685" s="130"/>
      <c r="BD685" s="130"/>
    </row>
    <row r="686">
      <c r="A686" s="130"/>
      <c r="B686" s="130"/>
      <c r="C686" s="130"/>
      <c r="D686" s="130"/>
      <c r="E686" s="130"/>
      <c r="F686" s="14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c r="AZ686" s="130"/>
      <c r="BA686" s="130"/>
      <c r="BB686" s="130"/>
      <c r="BC686" s="130"/>
      <c r="BD686" s="130"/>
    </row>
    <row r="687">
      <c r="A687" s="130"/>
      <c r="B687" s="130"/>
      <c r="C687" s="130"/>
      <c r="D687" s="130"/>
      <c r="E687" s="130"/>
      <c r="F687" s="14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c r="AZ687" s="130"/>
      <c r="BA687" s="130"/>
      <c r="BB687" s="130"/>
      <c r="BC687" s="130"/>
      <c r="BD687" s="130"/>
    </row>
    <row r="688">
      <c r="A688" s="130"/>
      <c r="B688" s="130"/>
      <c r="C688" s="130"/>
      <c r="D688" s="130"/>
      <c r="E688" s="130"/>
      <c r="F688" s="14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c r="AZ688" s="130"/>
      <c r="BA688" s="130"/>
      <c r="BB688" s="130"/>
      <c r="BC688" s="130"/>
      <c r="BD688" s="130"/>
    </row>
    <row r="689">
      <c r="A689" s="130"/>
      <c r="B689" s="130"/>
      <c r="C689" s="130"/>
      <c r="D689" s="130"/>
      <c r="E689" s="130"/>
      <c r="F689" s="14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c r="AZ689" s="130"/>
      <c r="BA689" s="130"/>
      <c r="BB689" s="130"/>
      <c r="BC689" s="130"/>
      <c r="BD689" s="130"/>
    </row>
    <row r="690">
      <c r="A690" s="130"/>
      <c r="B690" s="130"/>
      <c r="C690" s="130"/>
      <c r="D690" s="130"/>
      <c r="E690" s="130"/>
      <c r="F690" s="14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c r="AZ690" s="130"/>
      <c r="BA690" s="130"/>
      <c r="BB690" s="130"/>
      <c r="BC690" s="130"/>
      <c r="BD690" s="130"/>
    </row>
    <row r="691">
      <c r="A691" s="130"/>
      <c r="B691" s="130"/>
      <c r="C691" s="130"/>
      <c r="D691" s="130"/>
      <c r="E691" s="130"/>
      <c r="F691" s="14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c r="AZ691" s="130"/>
      <c r="BA691" s="130"/>
      <c r="BB691" s="130"/>
      <c r="BC691" s="130"/>
      <c r="BD691" s="130"/>
    </row>
    <row r="692">
      <c r="A692" s="130"/>
      <c r="B692" s="130"/>
      <c r="C692" s="130"/>
      <c r="D692" s="130"/>
      <c r="E692" s="130"/>
      <c r="F692" s="14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c r="AZ692" s="130"/>
      <c r="BA692" s="130"/>
      <c r="BB692" s="130"/>
      <c r="BC692" s="130"/>
      <c r="BD692" s="130"/>
    </row>
    <row r="693">
      <c r="A693" s="130"/>
      <c r="B693" s="130"/>
      <c r="C693" s="130"/>
      <c r="D693" s="130"/>
      <c r="E693" s="130"/>
      <c r="F693" s="14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c r="AZ693" s="130"/>
      <c r="BA693" s="130"/>
      <c r="BB693" s="130"/>
      <c r="BC693" s="130"/>
      <c r="BD693" s="130"/>
    </row>
    <row r="694">
      <c r="A694" s="130"/>
      <c r="B694" s="130"/>
      <c r="C694" s="130"/>
      <c r="D694" s="130"/>
      <c r="E694" s="130"/>
      <c r="F694" s="14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c r="AZ694" s="130"/>
      <c r="BA694" s="130"/>
      <c r="BB694" s="130"/>
      <c r="BC694" s="130"/>
      <c r="BD694" s="130"/>
    </row>
    <row r="695">
      <c r="A695" s="130"/>
      <c r="B695" s="130"/>
      <c r="C695" s="130"/>
      <c r="D695" s="130"/>
      <c r="E695" s="130"/>
      <c r="F695" s="14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c r="AZ695" s="130"/>
      <c r="BA695" s="130"/>
      <c r="BB695" s="130"/>
      <c r="BC695" s="130"/>
      <c r="BD695" s="130"/>
    </row>
    <row r="696">
      <c r="A696" s="130"/>
      <c r="B696" s="130"/>
      <c r="C696" s="130"/>
      <c r="D696" s="130"/>
      <c r="E696" s="130"/>
      <c r="F696" s="14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c r="AZ696" s="130"/>
      <c r="BA696" s="130"/>
      <c r="BB696" s="130"/>
      <c r="BC696" s="130"/>
      <c r="BD696" s="130"/>
    </row>
    <row r="697">
      <c r="A697" s="130"/>
      <c r="B697" s="130"/>
      <c r="C697" s="130"/>
      <c r="D697" s="130"/>
      <c r="E697" s="130"/>
      <c r="F697" s="14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c r="AZ697" s="130"/>
      <c r="BA697" s="130"/>
      <c r="BB697" s="130"/>
      <c r="BC697" s="130"/>
      <c r="BD697" s="130"/>
    </row>
    <row r="698">
      <c r="A698" s="130"/>
      <c r="B698" s="130"/>
      <c r="C698" s="130"/>
      <c r="D698" s="130"/>
      <c r="E698" s="130"/>
      <c r="F698" s="14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c r="AZ698" s="130"/>
      <c r="BA698" s="130"/>
      <c r="BB698" s="130"/>
      <c r="BC698" s="130"/>
      <c r="BD698" s="130"/>
    </row>
    <row r="699">
      <c r="A699" s="130"/>
      <c r="B699" s="130"/>
      <c r="C699" s="130"/>
      <c r="D699" s="130"/>
      <c r="E699" s="130"/>
      <c r="F699" s="14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c r="AZ699" s="130"/>
      <c r="BA699" s="130"/>
      <c r="BB699" s="130"/>
      <c r="BC699" s="130"/>
      <c r="BD699" s="130"/>
    </row>
    <row r="700">
      <c r="A700" s="130"/>
      <c r="B700" s="130"/>
      <c r="C700" s="130"/>
      <c r="D700" s="130"/>
      <c r="E700" s="130"/>
      <c r="F700" s="14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c r="AZ700" s="130"/>
      <c r="BA700" s="130"/>
      <c r="BB700" s="130"/>
      <c r="BC700" s="130"/>
      <c r="BD700" s="130"/>
    </row>
    <row r="701">
      <c r="A701" s="130"/>
      <c r="B701" s="130"/>
      <c r="C701" s="130"/>
      <c r="D701" s="130"/>
      <c r="E701" s="130"/>
      <c r="F701" s="14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c r="AZ701" s="130"/>
      <c r="BA701" s="130"/>
      <c r="BB701" s="130"/>
      <c r="BC701" s="130"/>
      <c r="BD701" s="130"/>
    </row>
    <row r="702">
      <c r="A702" s="130"/>
      <c r="B702" s="130"/>
      <c r="C702" s="130"/>
      <c r="D702" s="130"/>
      <c r="E702" s="130"/>
      <c r="F702" s="14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c r="AZ702" s="130"/>
      <c r="BA702" s="130"/>
      <c r="BB702" s="130"/>
      <c r="BC702" s="130"/>
      <c r="BD702" s="130"/>
    </row>
    <row r="703">
      <c r="A703" s="130"/>
      <c r="B703" s="130"/>
      <c r="C703" s="130"/>
      <c r="D703" s="130"/>
      <c r="E703" s="130"/>
      <c r="F703" s="14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c r="AZ703" s="130"/>
      <c r="BA703" s="130"/>
      <c r="BB703" s="130"/>
      <c r="BC703" s="130"/>
      <c r="BD703" s="130"/>
    </row>
    <row r="704">
      <c r="A704" s="130"/>
      <c r="B704" s="130"/>
      <c r="C704" s="130"/>
      <c r="D704" s="130"/>
      <c r="E704" s="130"/>
      <c r="F704" s="14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c r="AZ704" s="130"/>
      <c r="BA704" s="130"/>
      <c r="BB704" s="130"/>
      <c r="BC704" s="130"/>
      <c r="BD704" s="130"/>
    </row>
    <row r="705">
      <c r="A705" s="130"/>
      <c r="B705" s="130"/>
      <c r="C705" s="130"/>
      <c r="D705" s="130"/>
      <c r="E705" s="130"/>
      <c r="F705" s="14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c r="AZ705" s="130"/>
      <c r="BA705" s="130"/>
      <c r="BB705" s="130"/>
      <c r="BC705" s="130"/>
      <c r="BD705" s="130"/>
    </row>
    <row r="706">
      <c r="A706" s="130"/>
      <c r="B706" s="130"/>
      <c r="C706" s="130"/>
      <c r="D706" s="130"/>
      <c r="E706" s="130"/>
      <c r="F706" s="14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c r="AZ706" s="130"/>
      <c r="BA706" s="130"/>
      <c r="BB706" s="130"/>
      <c r="BC706" s="130"/>
      <c r="BD706" s="130"/>
    </row>
    <row r="707">
      <c r="A707" s="130"/>
      <c r="B707" s="130"/>
      <c r="C707" s="130"/>
      <c r="D707" s="130"/>
      <c r="E707" s="130"/>
      <c r="F707" s="14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c r="AZ707" s="130"/>
      <c r="BA707" s="130"/>
      <c r="BB707" s="130"/>
      <c r="BC707" s="130"/>
      <c r="BD707" s="130"/>
    </row>
    <row r="708">
      <c r="A708" s="130"/>
      <c r="B708" s="130"/>
      <c r="C708" s="130"/>
      <c r="D708" s="130"/>
      <c r="E708" s="130"/>
      <c r="F708" s="14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c r="AZ708" s="130"/>
      <c r="BA708" s="130"/>
      <c r="BB708" s="130"/>
      <c r="BC708" s="130"/>
      <c r="BD708" s="130"/>
    </row>
    <row r="709">
      <c r="A709" s="130"/>
      <c r="B709" s="130"/>
      <c r="C709" s="130"/>
      <c r="D709" s="130"/>
      <c r="E709" s="130"/>
      <c r="F709" s="14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c r="AZ709" s="130"/>
      <c r="BA709" s="130"/>
      <c r="BB709" s="130"/>
      <c r="BC709" s="130"/>
      <c r="BD709" s="130"/>
    </row>
    <row r="710">
      <c r="A710" s="130"/>
      <c r="B710" s="130"/>
      <c r="C710" s="130"/>
      <c r="D710" s="130"/>
      <c r="E710" s="130"/>
      <c r="F710" s="14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c r="AZ710" s="130"/>
      <c r="BA710" s="130"/>
      <c r="BB710" s="130"/>
      <c r="BC710" s="130"/>
      <c r="BD710" s="130"/>
    </row>
    <row r="711">
      <c r="A711" s="130"/>
      <c r="B711" s="130"/>
      <c r="C711" s="130"/>
      <c r="D711" s="130"/>
      <c r="E711" s="130"/>
      <c r="F711" s="14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c r="AZ711" s="130"/>
      <c r="BA711" s="130"/>
      <c r="BB711" s="130"/>
      <c r="BC711" s="130"/>
      <c r="BD711" s="130"/>
    </row>
    <row r="712">
      <c r="A712" s="130"/>
      <c r="B712" s="130"/>
      <c r="C712" s="130"/>
      <c r="D712" s="130"/>
      <c r="E712" s="130"/>
      <c r="F712" s="14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c r="AZ712" s="130"/>
      <c r="BA712" s="130"/>
      <c r="BB712" s="130"/>
      <c r="BC712" s="130"/>
      <c r="BD712" s="130"/>
    </row>
    <row r="713">
      <c r="A713" s="130"/>
      <c r="B713" s="130"/>
      <c r="C713" s="130"/>
      <c r="D713" s="130"/>
      <c r="E713" s="130"/>
      <c r="F713" s="14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c r="AZ713" s="130"/>
      <c r="BA713" s="130"/>
      <c r="BB713" s="130"/>
      <c r="BC713" s="130"/>
      <c r="BD713" s="130"/>
    </row>
    <row r="714">
      <c r="A714" s="130"/>
      <c r="B714" s="130"/>
      <c r="C714" s="130"/>
      <c r="D714" s="130"/>
      <c r="E714" s="130"/>
      <c r="F714" s="14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c r="AZ714" s="130"/>
      <c r="BA714" s="130"/>
      <c r="BB714" s="130"/>
      <c r="BC714" s="130"/>
      <c r="BD714" s="130"/>
    </row>
    <row r="715">
      <c r="A715" s="130"/>
      <c r="B715" s="130"/>
      <c r="C715" s="130"/>
      <c r="D715" s="130"/>
      <c r="E715" s="130"/>
      <c r="F715" s="14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c r="AZ715" s="130"/>
      <c r="BA715" s="130"/>
      <c r="BB715" s="130"/>
      <c r="BC715" s="130"/>
      <c r="BD715" s="130"/>
    </row>
    <row r="716">
      <c r="A716" s="130"/>
      <c r="B716" s="130"/>
      <c r="C716" s="130"/>
      <c r="D716" s="130"/>
      <c r="E716" s="130"/>
      <c r="F716" s="14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c r="AZ716" s="130"/>
      <c r="BA716" s="130"/>
      <c r="BB716" s="130"/>
      <c r="BC716" s="130"/>
      <c r="BD716" s="130"/>
    </row>
    <row r="717">
      <c r="A717" s="130"/>
      <c r="B717" s="130"/>
      <c r="C717" s="130"/>
      <c r="D717" s="130"/>
      <c r="E717" s="130"/>
      <c r="F717" s="14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c r="AZ717" s="130"/>
      <c r="BA717" s="130"/>
      <c r="BB717" s="130"/>
      <c r="BC717" s="130"/>
      <c r="BD717" s="130"/>
    </row>
    <row r="718">
      <c r="A718" s="130"/>
      <c r="B718" s="130"/>
      <c r="C718" s="130"/>
      <c r="D718" s="130"/>
      <c r="E718" s="130"/>
      <c r="F718" s="14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c r="AZ718" s="130"/>
      <c r="BA718" s="130"/>
      <c r="BB718" s="130"/>
      <c r="BC718" s="130"/>
      <c r="BD718" s="130"/>
    </row>
    <row r="719">
      <c r="A719" s="130"/>
      <c r="B719" s="130"/>
      <c r="C719" s="130"/>
      <c r="D719" s="130"/>
      <c r="E719" s="130"/>
      <c r="F719" s="14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c r="AZ719" s="130"/>
      <c r="BA719" s="130"/>
      <c r="BB719" s="130"/>
      <c r="BC719" s="130"/>
      <c r="BD719" s="130"/>
    </row>
    <row r="720">
      <c r="A720" s="130"/>
      <c r="B720" s="130"/>
      <c r="C720" s="130"/>
      <c r="D720" s="130"/>
      <c r="E720" s="130"/>
      <c r="F720" s="14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c r="AZ720" s="130"/>
      <c r="BA720" s="130"/>
      <c r="BB720" s="130"/>
      <c r="BC720" s="130"/>
      <c r="BD720" s="130"/>
    </row>
    <row r="721">
      <c r="A721" s="130"/>
      <c r="B721" s="130"/>
      <c r="C721" s="130"/>
      <c r="D721" s="130"/>
      <c r="E721" s="130"/>
      <c r="F721" s="14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c r="AZ721" s="130"/>
      <c r="BA721" s="130"/>
      <c r="BB721" s="130"/>
      <c r="BC721" s="130"/>
      <c r="BD721" s="130"/>
    </row>
    <row r="722">
      <c r="A722" s="130"/>
      <c r="B722" s="130"/>
      <c r="C722" s="130"/>
      <c r="D722" s="130"/>
      <c r="E722" s="130"/>
      <c r="F722" s="14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c r="AZ722" s="130"/>
      <c r="BA722" s="130"/>
      <c r="BB722" s="130"/>
      <c r="BC722" s="130"/>
      <c r="BD722" s="130"/>
    </row>
    <row r="723">
      <c r="A723" s="130"/>
      <c r="B723" s="130"/>
      <c r="C723" s="130"/>
      <c r="D723" s="130"/>
      <c r="E723" s="130"/>
      <c r="F723" s="14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c r="AZ723" s="130"/>
      <c r="BA723" s="130"/>
      <c r="BB723" s="130"/>
      <c r="BC723" s="130"/>
      <c r="BD723" s="130"/>
    </row>
    <row r="724">
      <c r="A724" s="130"/>
      <c r="B724" s="130"/>
      <c r="C724" s="130"/>
      <c r="D724" s="130"/>
      <c r="E724" s="130"/>
      <c r="F724" s="14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c r="BA724" s="130"/>
      <c r="BB724" s="130"/>
      <c r="BC724" s="130"/>
      <c r="BD724" s="130"/>
    </row>
    <row r="725">
      <c r="A725" s="130"/>
      <c r="B725" s="130"/>
      <c r="C725" s="130"/>
      <c r="D725" s="130"/>
      <c r="E725" s="130"/>
      <c r="F725" s="14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c r="AZ725" s="130"/>
      <c r="BA725" s="130"/>
      <c r="BB725" s="130"/>
      <c r="BC725" s="130"/>
      <c r="BD725" s="130"/>
    </row>
    <row r="726">
      <c r="A726" s="130"/>
      <c r="B726" s="130"/>
      <c r="C726" s="130"/>
      <c r="D726" s="130"/>
      <c r="E726" s="130"/>
      <c r="F726" s="14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c r="AZ726" s="130"/>
      <c r="BA726" s="130"/>
      <c r="BB726" s="130"/>
      <c r="BC726" s="130"/>
      <c r="BD726" s="130"/>
    </row>
    <row r="727">
      <c r="A727" s="130"/>
      <c r="B727" s="130"/>
      <c r="C727" s="130"/>
      <c r="D727" s="130"/>
      <c r="E727" s="130"/>
      <c r="F727" s="14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c r="AZ727" s="130"/>
      <c r="BA727" s="130"/>
      <c r="BB727" s="130"/>
      <c r="BC727" s="130"/>
      <c r="BD727" s="130"/>
    </row>
    <row r="728">
      <c r="A728" s="130"/>
      <c r="B728" s="130"/>
      <c r="C728" s="130"/>
      <c r="D728" s="130"/>
      <c r="E728" s="130"/>
      <c r="F728" s="14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c r="AZ728" s="130"/>
      <c r="BA728" s="130"/>
      <c r="BB728" s="130"/>
      <c r="BC728" s="130"/>
      <c r="BD728" s="130"/>
    </row>
    <row r="729">
      <c r="A729" s="130"/>
      <c r="B729" s="130"/>
      <c r="C729" s="130"/>
      <c r="D729" s="130"/>
      <c r="E729" s="130"/>
      <c r="F729" s="14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c r="BA729" s="130"/>
      <c r="BB729" s="130"/>
      <c r="BC729" s="130"/>
      <c r="BD729" s="130"/>
    </row>
    <row r="730">
      <c r="A730" s="130"/>
      <c r="B730" s="130"/>
      <c r="C730" s="130"/>
      <c r="D730" s="130"/>
      <c r="E730" s="130"/>
      <c r="F730" s="14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c r="BA730" s="130"/>
      <c r="BB730" s="130"/>
      <c r="BC730" s="130"/>
      <c r="BD730" s="130"/>
    </row>
    <row r="731">
      <c r="A731" s="130"/>
      <c r="B731" s="130"/>
      <c r="C731" s="130"/>
      <c r="D731" s="130"/>
      <c r="E731" s="130"/>
      <c r="F731" s="14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c r="BA731" s="130"/>
      <c r="BB731" s="130"/>
      <c r="BC731" s="130"/>
      <c r="BD731" s="130"/>
    </row>
    <row r="732">
      <c r="A732" s="130"/>
      <c r="B732" s="130"/>
      <c r="C732" s="130"/>
      <c r="D732" s="130"/>
      <c r="E732" s="130"/>
      <c r="F732" s="14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c r="BA732" s="130"/>
      <c r="BB732" s="130"/>
      <c r="BC732" s="130"/>
      <c r="BD732" s="130"/>
    </row>
    <row r="733">
      <c r="A733" s="130"/>
      <c r="B733" s="130"/>
      <c r="C733" s="130"/>
      <c r="D733" s="130"/>
      <c r="E733" s="130"/>
      <c r="F733" s="14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c r="BA733" s="130"/>
      <c r="BB733" s="130"/>
      <c r="BC733" s="130"/>
      <c r="BD733" s="130"/>
    </row>
    <row r="734">
      <c r="A734" s="130"/>
      <c r="B734" s="130"/>
      <c r="C734" s="130"/>
      <c r="D734" s="130"/>
      <c r="E734" s="130"/>
      <c r="F734" s="14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c r="BA734" s="130"/>
      <c r="BB734" s="130"/>
      <c r="BC734" s="130"/>
      <c r="BD734" s="130"/>
    </row>
    <row r="735">
      <c r="A735" s="130"/>
      <c r="B735" s="130"/>
      <c r="C735" s="130"/>
      <c r="D735" s="130"/>
      <c r="E735" s="130"/>
      <c r="F735" s="14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c r="BA735" s="130"/>
      <c r="BB735" s="130"/>
      <c r="BC735" s="130"/>
      <c r="BD735" s="130"/>
    </row>
    <row r="736">
      <c r="A736" s="130"/>
      <c r="B736" s="130"/>
      <c r="C736" s="130"/>
      <c r="D736" s="130"/>
      <c r="E736" s="130"/>
      <c r="F736" s="14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c r="BA736" s="130"/>
      <c r="BB736" s="130"/>
      <c r="BC736" s="130"/>
      <c r="BD736" s="130"/>
    </row>
    <row r="737">
      <c r="A737" s="130"/>
      <c r="B737" s="130"/>
      <c r="C737" s="130"/>
      <c r="D737" s="130"/>
      <c r="E737" s="130"/>
      <c r="F737" s="14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c r="BA737" s="130"/>
      <c r="BB737" s="130"/>
      <c r="BC737" s="130"/>
      <c r="BD737" s="130"/>
    </row>
    <row r="738">
      <c r="A738" s="130"/>
      <c r="B738" s="130"/>
      <c r="C738" s="130"/>
      <c r="D738" s="130"/>
      <c r="E738" s="130"/>
      <c r="F738" s="14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c r="BA738" s="130"/>
      <c r="BB738" s="130"/>
      <c r="BC738" s="130"/>
      <c r="BD738" s="130"/>
    </row>
    <row r="739">
      <c r="A739" s="130"/>
      <c r="B739" s="130"/>
      <c r="C739" s="130"/>
      <c r="D739" s="130"/>
      <c r="E739" s="130"/>
      <c r="F739" s="14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c r="BA739" s="130"/>
      <c r="BB739" s="130"/>
      <c r="BC739" s="130"/>
      <c r="BD739" s="130"/>
    </row>
    <row r="740">
      <c r="A740" s="130"/>
      <c r="B740" s="130"/>
      <c r="C740" s="130"/>
      <c r="D740" s="130"/>
      <c r="E740" s="130"/>
      <c r="F740" s="14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c r="BA740" s="130"/>
      <c r="BB740" s="130"/>
      <c r="BC740" s="130"/>
      <c r="BD740" s="130"/>
    </row>
    <row r="741">
      <c r="A741" s="130"/>
      <c r="B741" s="130"/>
      <c r="C741" s="130"/>
      <c r="D741" s="130"/>
      <c r="E741" s="130"/>
      <c r="F741" s="14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c r="BA741" s="130"/>
      <c r="BB741" s="130"/>
      <c r="BC741" s="130"/>
      <c r="BD741" s="130"/>
    </row>
    <row r="742">
      <c r="A742" s="130"/>
      <c r="B742" s="130"/>
      <c r="C742" s="130"/>
      <c r="D742" s="130"/>
      <c r="E742" s="130"/>
      <c r="F742" s="14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c r="BA742" s="130"/>
      <c r="BB742" s="130"/>
      <c r="BC742" s="130"/>
      <c r="BD742" s="130"/>
    </row>
    <row r="743">
      <c r="A743" s="130"/>
      <c r="B743" s="130"/>
      <c r="C743" s="130"/>
      <c r="D743" s="130"/>
      <c r="E743" s="130"/>
      <c r="F743" s="14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c r="BA743" s="130"/>
      <c r="BB743" s="130"/>
      <c r="BC743" s="130"/>
      <c r="BD743" s="130"/>
    </row>
    <row r="744">
      <c r="A744" s="130"/>
      <c r="B744" s="130"/>
      <c r="C744" s="130"/>
      <c r="D744" s="130"/>
      <c r="E744" s="130"/>
      <c r="F744" s="14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c r="BA744" s="130"/>
      <c r="BB744" s="130"/>
      <c r="BC744" s="130"/>
      <c r="BD744" s="130"/>
    </row>
    <row r="745">
      <c r="A745" s="130"/>
      <c r="B745" s="130"/>
      <c r="C745" s="130"/>
      <c r="D745" s="130"/>
      <c r="E745" s="130"/>
      <c r="F745" s="14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c r="BA745" s="130"/>
      <c r="BB745" s="130"/>
      <c r="BC745" s="130"/>
      <c r="BD745" s="130"/>
    </row>
    <row r="746">
      <c r="A746" s="130"/>
      <c r="B746" s="130"/>
      <c r="C746" s="130"/>
      <c r="D746" s="130"/>
      <c r="E746" s="130"/>
      <c r="F746" s="14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c r="BA746" s="130"/>
      <c r="BB746" s="130"/>
      <c r="BC746" s="130"/>
      <c r="BD746" s="130"/>
    </row>
    <row r="747">
      <c r="A747" s="130"/>
      <c r="B747" s="130"/>
      <c r="C747" s="130"/>
      <c r="D747" s="130"/>
      <c r="E747" s="130"/>
      <c r="F747" s="14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c r="BA747" s="130"/>
      <c r="BB747" s="130"/>
      <c r="BC747" s="130"/>
      <c r="BD747" s="130"/>
    </row>
    <row r="748">
      <c r="A748" s="130"/>
      <c r="B748" s="130"/>
      <c r="C748" s="130"/>
      <c r="D748" s="130"/>
      <c r="E748" s="130"/>
      <c r="F748" s="14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c r="BA748" s="130"/>
      <c r="BB748" s="130"/>
      <c r="BC748" s="130"/>
      <c r="BD748" s="130"/>
    </row>
    <row r="749">
      <c r="A749" s="130"/>
      <c r="B749" s="130"/>
      <c r="C749" s="130"/>
      <c r="D749" s="130"/>
      <c r="E749" s="130"/>
      <c r="F749" s="14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c r="BA749" s="130"/>
      <c r="BB749" s="130"/>
      <c r="BC749" s="130"/>
      <c r="BD749" s="130"/>
    </row>
    <row r="750">
      <c r="A750" s="130"/>
      <c r="B750" s="130"/>
      <c r="C750" s="130"/>
      <c r="D750" s="130"/>
      <c r="E750" s="130"/>
      <c r="F750" s="14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c r="BA750" s="130"/>
      <c r="BB750" s="130"/>
      <c r="BC750" s="130"/>
      <c r="BD750" s="130"/>
    </row>
    <row r="751">
      <c r="A751" s="130"/>
      <c r="B751" s="130"/>
      <c r="C751" s="130"/>
      <c r="D751" s="130"/>
      <c r="E751" s="130"/>
      <c r="F751" s="14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c r="BA751" s="130"/>
      <c r="BB751" s="130"/>
      <c r="BC751" s="130"/>
      <c r="BD751" s="130"/>
    </row>
    <row r="752">
      <c r="A752" s="130"/>
      <c r="B752" s="130"/>
      <c r="C752" s="130"/>
      <c r="D752" s="130"/>
      <c r="E752" s="130"/>
      <c r="F752" s="14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c r="BA752" s="130"/>
      <c r="BB752" s="130"/>
      <c r="BC752" s="130"/>
      <c r="BD752" s="130"/>
    </row>
    <row r="753">
      <c r="A753" s="130"/>
      <c r="B753" s="130"/>
      <c r="C753" s="130"/>
      <c r="D753" s="130"/>
      <c r="E753" s="130"/>
      <c r="F753" s="14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c r="BA753" s="130"/>
      <c r="BB753" s="130"/>
      <c r="BC753" s="130"/>
      <c r="BD753" s="130"/>
    </row>
    <row r="754">
      <c r="A754" s="130"/>
      <c r="B754" s="130"/>
      <c r="C754" s="130"/>
      <c r="D754" s="130"/>
      <c r="E754" s="130"/>
      <c r="F754" s="14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c r="BA754" s="130"/>
      <c r="BB754" s="130"/>
      <c r="BC754" s="130"/>
      <c r="BD754" s="130"/>
    </row>
    <row r="755">
      <c r="A755" s="130"/>
      <c r="B755" s="130"/>
      <c r="C755" s="130"/>
      <c r="D755" s="130"/>
      <c r="E755" s="130"/>
      <c r="F755" s="14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c r="BA755" s="130"/>
      <c r="BB755" s="130"/>
      <c r="BC755" s="130"/>
      <c r="BD755" s="130"/>
    </row>
    <row r="756">
      <c r="A756" s="130"/>
      <c r="B756" s="130"/>
      <c r="C756" s="130"/>
      <c r="D756" s="130"/>
      <c r="E756" s="130"/>
      <c r="F756" s="14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c r="BA756" s="130"/>
      <c r="BB756" s="130"/>
      <c r="BC756" s="130"/>
      <c r="BD756" s="130"/>
    </row>
    <row r="757">
      <c r="A757" s="130"/>
      <c r="B757" s="130"/>
      <c r="C757" s="130"/>
      <c r="D757" s="130"/>
      <c r="E757" s="130"/>
      <c r="F757" s="14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c r="BA757" s="130"/>
      <c r="BB757" s="130"/>
      <c r="BC757" s="130"/>
      <c r="BD757" s="130"/>
    </row>
    <row r="758">
      <c r="A758" s="130"/>
      <c r="B758" s="130"/>
      <c r="C758" s="130"/>
      <c r="D758" s="130"/>
      <c r="E758" s="130"/>
      <c r="F758" s="14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c r="BA758" s="130"/>
      <c r="BB758" s="130"/>
      <c r="BC758" s="130"/>
      <c r="BD758" s="130"/>
    </row>
    <row r="759">
      <c r="A759" s="130"/>
      <c r="B759" s="130"/>
      <c r="C759" s="130"/>
      <c r="D759" s="130"/>
      <c r="E759" s="130"/>
      <c r="F759" s="14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c r="BA759" s="130"/>
      <c r="BB759" s="130"/>
      <c r="BC759" s="130"/>
      <c r="BD759" s="130"/>
    </row>
    <row r="760">
      <c r="A760" s="130"/>
      <c r="B760" s="130"/>
      <c r="C760" s="130"/>
      <c r="D760" s="130"/>
      <c r="E760" s="130"/>
      <c r="F760" s="14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c r="BA760" s="130"/>
      <c r="BB760" s="130"/>
      <c r="BC760" s="130"/>
      <c r="BD760" s="130"/>
    </row>
    <row r="761">
      <c r="A761" s="130"/>
      <c r="B761" s="130"/>
      <c r="C761" s="130"/>
      <c r="D761" s="130"/>
      <c r="E761" s="130"/>
      <c r="F761" s="14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c r="BA761" s="130"/>
      <c r="BB761" s="130"/>
      <c r="BC761" s="130"/>
      <c r="BD761" s="130"/>
    </row>
    <row r="762">
      <c r="A762" s="130"/>
      <c r="B762" s="130"/>
      <c r="C762" s="130"/>
      <c r="D762" s="130"/>
      <c r="E762" s="130"/>
      <c r="F762" s="14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c r="BA762" s="130"/>
      <c r="BB762" s="130"/>
      <c r="BC762" s="130"/>
      <c r="BD762" s="130"/>
    </row>
    <row r="763">
      <c r="A763" s="130"/>
      <c r="B763" s="130"/>
      <c r="C763" s="130"/>
      <c r="D763" s="130"/>
      <c r="E763" s="130"/>
      <c r="F763" s="14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c r="BA763" s="130"/>
      <c r="BB763" s="130"/>
      <c r="BC763" s="130"/>
      <c r="BD763" s="130"/>
    </row>
    <row r="764">
      <c r="A764" s="130"/>
      <c r="B764" s="130"/>
      <c r="C764" s="130"/>
      <c r="D764" s="130"/>
      <c r="E764" s="130"/>
      <c r="F764" s="14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c r="BA764" s="130"/>
      <c r="BB764" s="130"/>
      <c r="BC764" s="130"/>
      <c r="BD764" s="130"/>
    </row>
    <row r="765">
      <c r="A765" s="130"/>
      <c r="B765" s="130"/>
      <c r="C765" s="130"/>
      <c r="D765" s="130"/>
      <c r="E765" s="130"/>
      <c r="F765" s="14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c r="BA765" s="130"/>
      <c r="BB765" s="130"/>
      <c r="BC765" s="130"/>
      <c r="BD765" s="130"/>
    </row>
    <row r="766">
      <c r="A766" s="130"/>
      <c r="B766" s="130"/>
      <c r="C766" s="130"/>
      <c r="D766" s="130"/>
      <c r="E766" s="130"/>
      <c r="F766" s="14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c r="BA766" s="130"/>
      <c r="BB766" s="130"/>
      <c r="BC766" s="130"/>
      <c r="BD766" s="130"/>
    </row>
    <row r="767">
      <c r="A767" s="130"/>
      <c r="B767" s="130"/>
      <c r="C767" s="130"/>
      <c r="D767" s="130"/>
      <c r="E767" s="130"/>
      <c r="F767" s="14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c r="BA767" s="130"/>
      <c r="BB767" s="130"/>
      <c r="BC767" s="130"/>
      <c r="BD767" s="130"/>
    </row>
    <row r="768">
      <c r="A768" s="130"/>
      <c r="B768" s="130"/>
      <c r="C768" s="130"/>
      <c r="D768" s="130"/>
      <c r="E768" s="130"/>
      <c r="F768" s="14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c r="BA768" s="130"/>
      <c r="BB768" s="130"/>
      <c r="BC768" s="130"/>
      <c r="BD768" s="130"/>
    </row>
    <row r="769">
      <c r="A769" s="130"/>
      <c r="B769" s="130"/>
      <c r="C769" s="130"/>
      <c r="D769" s="130"/>
      <c r="E769" s="130"/>
      <c r="F769" s="14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c r="BA769" s="130"/>
      <c r="BB769" s="130"/>
      <c r="BC769" s="130"/>
      <c r="BD769" s="130"/>
    </row>
    <row r="770">
      <c r="A770" s="130"/>
      <c r="B770" s="130"/>
      <c r="C770" s="130"/>
      <c r="D770" s="130"/>
      <c r="E770" s="130"/>
      <c r="F770" s="14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c r="BA770" s="130"/>
      <c r="BB770" s="130"/>
      <c r="BC770" s="130"/>
      <c r="BD770" s="130"/>
    </row>
    <row r="771">
      <c r="A771" s="130"/>
      <c r="B771" s="130"/>
      <c r="C771" s="130"/>
      <c r="D771" s="130"/>
      <c r="E771" s="130"/>
      <c r="F771" s="14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c r="BA771" s="130"/>
      <c r="BB771" s="130"/>
      <c r="BC771" s="130"/>
      <c r="BD771" s="130"/>
    </row>
    <row r="772">
      <c r="A772" s="130"/>
      <c r="B772" s="130"/>
      <c r="C772" s="130"/>
      <c r="D772" s="130"/>
      <c r="E772" s="130"/>
      <c r="F772" s="14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c r="BA772" s="130"/>
      <c r="BB772" s="130"/>
      <c r="BC772" s="130"/>
      <c r="BD772" s="130"/>
    </row>
    <row r="773">
      <c r="A773" s="130"/>
      <c r="B773" s="130"/>
      <c r="C773" s="130"/>
      <c r="D773" s="130"/>
      <c r="E773" s="130"/>
      <c r="F773" s="14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c r="BA773" s="130"/>
      <c r="BB773" s="130"/>
      <c r="BC773" s="130"/>
      <c r="BD773" s="130"/>
    </row>
    <row r="774">
      <c r="A774" s="130"/>
      <c r="B774" s="130"/>
      <c r="C774" s="130"/>
      <c r="D774" s="130"/>
      <c r="E774" s="130"/>
      <c r="F774" s="14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c r="BA774" s="130"/>
      <c r="BB774" s="130"/>
      <c r="BC774" s="130"/>
      <c r="BD774" s="130"/>
    </row>
    <row r="775">
      <c r="A775" s="130"/>
      <c r="B775" s="130"/>
      <c r="C775" s="130"/>
      <c r="D775" s="130"/>
      <c r="E775" s="130"/>
      <c r="F775" s="14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c r="BA775" s="130"/>
      <c r="BB775" s="130"/>
      <c r="BC775" s="130"/>
      <c r="BD775" s="130"/>
    </row>
    <row r="776">
      <c r="A776" s="130"/>
      <c r="B776" s="130"/>
      <c r="C776" s="130"/>
      <c r="D776" s="130"/>
      <c r="E776" s="130"/>
      <c r="F776" s="14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c r="BA776" s="130"/>
      <c r="BB776" s="130"/>
      <c r="BC776" s="130"/>
      <c r="BD776" s="130"/>
    </row>
    <row r="777">
      <c r="A777" s="130"/>
      <c r="B777" s="130"/>
      <c r="C777" s="130"/>
      <c r="D777" s="130"/>
      <c r="E777" s="130"/>
      <c r="F777" s="14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c r="BA777" s="130"/>
      <c r="BB777" s="130"/>
      <c r="BC777" s="130"/>
      <c r="BD777" s="130"/>
    </row>
    <row r="778">
      <c r="A778" s="130"/>
      <c r="B778" s="130"/>
      <c r="C778" s="130"/>
      <c r="D778" s="130"/>
      <c r="E778" s="130"/>
      <c r="F778" s="14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c r="BA778" s="130"/>
      <c r="BB778" s="130"/>
      <c r="BC778" s="130"/>
      <c r="BD778" s="130"/>
    </row>
    <row r="779">
      <c r="A779" s="130"/>
      <c r="B779" s="130"/>
      <c r="C779" s="130"/>
      <c r="D779" s="130"/>
      <c r="E779" s="130"/>
      <c r="F779" s="14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c r="BA779" s="130"/>
      <c r="BB779" s="130"/>
      <c r="BC779" s="130"/>
      <c r="BD779" s="130"/>
    </row>
    <row r="780">
      <c r="A780" s="130"/>
      <c r="B780" s="130"/>
      <c r="C780" s="130"/>
      <c r="D780" s="130"/>
      <c r="E780" s="130"/>
      <c r="F780" s="14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c r="BA780" s="130"/>
      <c r="BB780" s="130"/>
      <c r="BC780" s="130"/>
      <c r="BD780" s="130"/>
    </row>
    <row r="781">
      <c r="A781" s="130"/>
      <c r="B781" s="130"/>
      <c r="C781" s="130"/>
      <c r="D781" s="130"/>
      <c r="E781" s="130"/>
      <c r="F781" s="14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c r="BA781" s="130"/>
      <c r="BB781" s="130"/>
      <c r="BC781" s="130"/>
      <c r="BD781" s="130"/>
    </row>
    <row r="782">
      <c r="A782" s="130"/>
      <c r="B782" s="130"/>
      <c r="C782" s="130"/>
      <c r="D782" s="130"/>
      <c r="E782" s="130"/>
      <c r="F782" s="14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c r="BA782" s="130"/>
      <c r="BB782" s="130"/>
      <c r="BC782" s="130"/>
      <c r="BD782" s="130"/>
    </row>
    <row r="783">
      <c r="A783" s="130"/>
      <c r="B783" s="130"/>
      <c r="C783" s="130"/>
      <c r="D783" s="130"/>
      <c r="E783" s="130"/>
      <c r="F783" s="14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c r="BA783" s="130"/>
      <c r="BB783" s="130"/>
      <c r="BC783" s="130"/>
      <c r="BD783" s="130"/>
    </row>
    <row r="784">
      <c r="A784" s="130"/>
      <c r="B784" s="130"/>
      <c r="C784" s="130"/>
      <c r="D784" s="130"/>
      <c r="E784" s="130"/>
      <c r="F784" s="14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c r="BA784" s="130"/>
      <c r="BB784" s="130"/>
      <c r="BC784" s="130"/>
      <c r="BD784" s="130"/>
    </row>
    <row r="785">
      <c r="A785" s="130"/>
      <c r="B785" s="130"/>
      <c r="C785" s="130"/>
      <c r="D785" s="130"/>
      <c r="E785" s="130"/>
      <c r="F785" s="14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c r="BA785" s="130"/>
      <c r="BB785" s="130"/>
      <c r="BC785" s="130"/>
      <c r="BD785" s="130"/>
    </row>
    <row r="786">
      <c r="A786" s="130"/>
      <c r="B786" s="130"/>
      <c r="C786" s="130"/>
      <c r="D786" s="130"/>
      <c r="E786" s="130"/>
      <c r="F786" s="14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c r="BA786" s="130"/>
      <c r="BB786" s="130"/>
      <c r="BC786" s="130"/>
      <c r="BD786" s="130"/>
    </row>
    <row r="787">
      <c r="A787" s="130"/>
      <c r="B787" s="130"/>
      <c r="C787" s="130"/>
      <c r="D787" s="130"/>
      <c r="E787" s="130"/>
      <c r="F787" s="14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c r="BA787" s="130"/>
      <c r="BB787" s="130"/>
      <c r="BC787" s="130"/>
      <c r="BD787" s="130"/>
    </row>
    <row r="788">
      <c r="A788" s="130"/>
      <c r="B788" s="130"/>
      <c r="C788" s="130"/>
      <c r="D788" s="130"/>
      <c r="E788" s="130"/>
      <c r="F788" s="14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c r="BA788" s="130"/>
      <c r="BB788" s="130"/>
      <c r="BC788" s="130"/>
      <c r="BD788" s="130"/>
    </row>
    <row r="789">
      <c r="A789" s="130"/>
      <c r="B789" s="130"/>
      <c r="C789" s="130"/>
      <c r="D789" s="130"/>
      <c r="E789" s="130"/>
      <c r="F789" s="14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c r="BA789" s="130"/>
      <c r="BB789" s="130"/>
      <c r="BC789" s="130"/>
      <c r="BD789" s="130"/>
    </row>
    <row r="790">
      <c r="A790" s="130"/>
      <c r="B790" s="130"/>
      <c r="C790" s="130"/>
      <c r="D790" s="130"/>
      <c r="E790" s="130"/>
      <c r="F790" s="14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c r="BA790" s="130"/>
      <c r="BB790" s="130"/>
      <c r="BC790" s="130"/>
      <c r="BD790" s="130"/>
    </row>
    <row r="791">
      <c r="A791" s="130"/>
      <c r="B791" s="130"/>
      <c r="C791" s="130"/>
      <c r="D791" s="130"/>
      <c r="E791" s="130"/>
      <c r="F791" s="14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c r="BA791" s="130"/>
      <c r="BB791" s="130"/>
      <c r="BC791" s="130"/>
      <c r="BD791" s="130"/>
    </row>
    <row r="792">
      <c r="A792" s="130"/>
      <c r="B792" s="130"/>
      <c r="C792" s="130"/>
      <c r="D792" s="130"/>
      <c r="E792" s="130"/>
      <c r="F792" s="14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c r="BA792" s="130"/>
      <c r="BB792" s="130"/>
      <c r="BC792" s="130"/>
      <c r="BD792" s="130"/>
    </row>
    <row r="793">
      <c r="A793" s="130"/>
      <c r="B793" s="130"/>
      <c r="C793" s="130"/>
      <c r="D793" s="130"/>
      <c r="E793" s="130"/>
      <c r="F793" s="14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c r="BA793" s="130"/>
      <c r="BB793" s="130"/>
      <c r="BC793" s="130"/>
      <c r="BD793" s="130"/>
    </row>
    <row r="794">
      <c r="A794" s="130"/>
      <c r="B794" s="130"/>
      <c r="C794" s="130"/>
      <c r="D794" s="130"/>
      <c r="E794" s="130"/>
      <c r="F794" s="14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c r="BA794" s="130"/>
      <c r="BB794" s="130"/>
      <c r="BC794" s="130"/>
      <c r="BD794" s="130"/>
    </row>
    <row r="795">
      <c r="A795" s="130"/>
      <c r="B795" s="130"/>
      <c r="C795" s="130"/>
      <c r="D795" s="130"/>
      <c r="E795" s="130"/>
      <c r="F795" s="14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c r="BA795" s="130"/>
      <c r="BB795" s="130"/>
      <c r="BC795" s="130"/>
      <c r="BD795" s="130"/>
    </row>
    <row r="796">
      <c r="A796" s="130"/>
      <c r="B796" s="130"/>
      <c r="C796" s="130"/>
      <c r="D796" s="130"/>
      <c r="E796" s="130"/>
      <c r="F796" s="14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c r="BA796" s="130"/>
      <c r="BB796" s="130"/>
      <c r="BC796" s="130"/>
      <c r="BD796" s="130"/>
    </row>
    <row r="797">
      <c r="A797" s="130"/>
      <c r="B797" s="130"/>
      <c r="C797" s="130"/>
      <c r="D797" s="130"/>
      <c r="E797" s="130"/>
      <c r="F797" s="14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c r="BA797" s="130"/>
      <c r="BB797" s="130"/>
      <c r="BC797" s="130"/>
      <c r="BD797" s="130"/>
    </row>
    <row r="798">
      <c r="A798" s="130"/>
      <c r="B798" s="130"/>
      <c r="C798" s="130"/>
      <c r="D798" s="130"/>
      <c r="E798" s="130"/>
      <c r="F798" s="14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c r="BA798" s="130"/>
      <c r="BB798" s="130"/>
      <c r="BC798" s="130"/>
      <c r="BD798" s="130"/>
    </row>
    <row r="799">
      <c r="A799" s="130"/>
      <c r="B799" s="130"/>
      <c r="C799" s="130"/>
      <c r="D799" s="130"/>
      <c r="E799" s="130"/>
      <c r="F799" s="14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c r="BA799" s="130"/>
      <c r="BB799" s="130"/>
      <c r="BC799" s="130"/>
      <c r="BD799" s="130"/>
    </row>
    <row r="800">
      <c r="A800" s="130"/>
      <c r="B800" s="130"/>
      <c r="C800" s="130"/>
      <c r="D800" s="130"/>
      <c r="E800" s="130"/>
      <c r="F800" s="14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c r="BA800" s="130"/>
      <c r="BB800" s="130"/>
      <c r="BC800" s="130"/>
      <c r="BD800" s="130"/>
    </row>
    <row r="801">
      <c r="A801" s="130"/>
      <c r="B801" s="130"/>
      <c r="C801" s="130"/>
      <c r="D801" s="130"/>
      <c r="E801" s="130"/>
      <c r="F801" s="14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c r="BA801" s="130"/>
      <c r="BB801" s="130"/>
      <c r="BC801" s="130"/>
      <c r="BD801" s="130"/>
    </row>
    <row r="802">
      <c r="A802" s="130"/>
      <c r="B802" s="130"/>
      <c r="C802" s="130"/>
      <c r="D802" s="130"/>
      <c r="E802" s="130"/>
      <c r="F802" s="14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c r="BA802" s="130"/>
      <c r="BB802" s="130"/>
      <c r="BC802" s="130"/>
      <c r="BD802" s="130"/>
    </row>
    <row r="803">
      <c r="A803" s="130"/>
      <c r="B803" s="130"/>
      <c r="C803" s="130"/>
      <c r="D803" s="130"/>
      <c r="E803" s="130"/>
      <c r="F803" s="14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c r="BA803" s="130"/>
      <c r="BB803" s="130"/>
      <c r="BC803" s="130"/>
      <c r="BD803" s="130"/>
    </row>
    <row r="804">
      <c r="A804" s="130"/>
      <c r="B804" s="130"/>
      <c r="C804" s="130"/>
      <c r="D804" s="130"/>
      <c r="E804" s="130"/>
      <c r="F804" s="14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c r="BA804" s="130"/>
      <c r="BB804" s="130"/>
      <c r="BC804" s="130"/>
      <c r="BD804" s="130"/>
    </row>
    <row r="805">
      <c r="A805" s="130"/>
      <c r="B805" s="130"/>
      <c r="C805" s="130"/>
      <c r="D805" s="130"/>
      <c r="E805" s="130"/>
      <c r="F805" s="14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c r="BA805" s="130"/>
      <c r="BB805" s="130"/>
      <c r="BC805" s="130"/>
      <c r="BD805" s="130"/>
    </row>
    <row r="806">
      <c r="A806" s="130"/>
      <c r="B806" s="130"/>
      <c r="C806" s="130"/>
      <c r="D806" s="130"/>
      <c r="E806" s="130"/>
      <c r="F806" s="14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c r="BA806" s="130"/>
      <c r="BB806" s="130"/>
      <c r="BC806" s="130"/>
      <c r="BD806" s="130"/>
    </row>
    <row r="807">
      <c r="A807" s="130"/>
      <c r="B807" s="130"/>
      <c r="C807" s="130"/>
      <c r="D807" s="130"/>
      <c r="E807" s="130"/>
      <c r="F807" s="14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c r="BA807" s="130"/>
      <c r="BB807" s="130"/>
      <c r="BC807" s="130"/>
      <c r="BD807" s="130"/>
    </row>
    <row r="808">
      <c r="A808" s="130"/>
      <c r="B808" s="130"/>
      <c r="C808" s="130"/>
      <c r="D808" s="130"/>
      <c r="E808" s="130"/>
      <c r="F808" s="14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c r="BA808" s="130"/>
      <c r="BB808" s="130"/>
      <c r="BC808" s="130"/>
      <c r="BD808" s="130"/>
    </row>
    <row r="809">
      <c r="A809" s="130"/>
      <c r="B809" s="130"/>
      <c r="C809" s="130"/>
      <c r="D809" s="130"/>
      <c r="E809" s="130"/>
      <c r="F809" s="14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c r="BA809" s="130"/>
      <c r="BB809" s="130"/>
      <c r="BC809" s="130"/>
      <c r="BD809" s="130"/>
    </row>
    <row r="810">
      <c r="A810" s="130"/>
      <c r="B810" s="130"/>
      <c r="C810" s="130"/>
      <c r="D810" s="130"/>
      <c r="E810" s="130"/>
      <c r="F810" s="14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c r="BA810" s="130"/>
      <c r="BB810" s="130"/>
      <c r="BC810" s="130"/>
      <c r="BD810" s="130"/>
    </row>
    <row r="811">
      <c r="A811" s="130"/>
      <c r="B811" s="130"/>
      <c r="C811" s="130"/>
      <c r="D811" s="130"/>
      <c r="E811" s="130"/>
      <c r="F811" s="14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c r="BA811" s="130"/>
      <c r="BB811" s="130"/>
      <c r="BC811" s="130"/>
      <c r="BD811" s="130"/>
    </row>
    <row r="812">
      <c r="A812" s="130"/>
      <c r="B812" s="130"/>
      <c r="C812" s="130"/>
      <c r="D812" s="130"/>
      <c r="E812" s="130"/>
      <c r="F812" s="14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c r="BA812" s="130"/>
      <c r="BB812" s="130"/>
      <c r="BC812" s="130"/>
      <c r="BD812" s="130"/>
    </row>
    <row r="813">
      <c r="A813" s="130"/>
      <c r="B813" s="130"/>
      <c r="C813" s="130"/>
      <c r="D813" s="130"/>
      <c r="E813" s="130"/>
      <c r="F813" s="14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c r="BA813" s="130"/>
      <c r="BB813" s="130"/>
      <c r="BC813" s="130"/>
      <c r="BD813" s="130"/>
    </row>
    <row r="814">
      <c r="A814" s="130"/>
      <c r="B814" s="130"/>
      <c r="C814" s="130"/>
      <c r="D814" s="130"/>
      <c r="E814" s="130"/>
      <c r="F814" s="14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c r="BA814" s="130"/>
      <c r="BB814" s="130"/>
      <c r="BC814" s="130"/>
      <c r="BD814" s="130"/>
    </row>
    <row r="815">
      <c r="A815" s="130"/>
      <c r="B815" s="130"/>
      <c r="C815" s="130"/>
      <c r="D815" s="130"/>
      <c r="E815" s="130"/>
      <c r="F815" s="14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c r="BA815" s="130"/>
      <c r="BB815" s="130"/>
      <c r="BC815" s="130"/>
      <c r="BD815" s="130"/>
    </row>
    <row r="816">
      <c r="A816" s="130"/>
      <c r="B816" s="130"/>
      <c r="C816" s="130"/>
      <c r="D816" s="130"/>
      <c r="E816" s="130"/>
      <c r="F816" s="14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c r="BA816" s="130"/>
      <c r="BB816" s="130"/>
      <c r="BC816" s="130"/>
      <c r="BD816" s="130"/>
    </row>
    <row r="817">
      <c r="A817" s="130"/>
      <c r="B817" s="130"/>
      <c r="C817" s="130"/>
      <c r="D817" s="130"/>
      <c r="E817" s="130"/>
      <c r="F817" s="14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c r="BA817" s="130"/>
      <c r="BB817" s="130"/>
      <c r="BC817" s="130"/>
      <c r="BD817" s="130"/>
    </row>
    <row r="818">
      <c r="A818" s="130"/>
      <c r="B818" s="130"/>
      <c r="C818" s="130"/>
      <c r="D818" s="130"/>
      <c r="E818" s="130"/>
      <c r="F818" s="14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c r="BA818" s="130"/>
      <c r="BB818" s="130"/>
      <c r="BC818" s="130"/>
      <c r="BD818" s="130"/>
    </row>
    <row r="819">
      <c r="A819" s="130"/>
      <c r="B819" s="130"/>
      <c r="C819" s="130"/>
      <c r="D819" s="130"/>
      <c r="E819" s="130"/>
      <c r="F819" s="14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c r="BA819" s="130"/>
      <c r="BB819" s="130"/>
      <c r="BC819" s="130"/>
      <c r="BD819" s="130"/>
    </row>
    <row r="820">
      <c r="A820" s="130"/>
      <c r="B820" s="130"/>
      <c r="C820" s="130"/>
      <c r="D820" s="130"/>
      <c r="E820" s="130"/>
      <c r="F820" s="14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c r="BA820" s="130"/>
      <c r="BB820" s="130"/>
      <c r="BC820" s="130"/>
      <c r="BD820" s="130"/>
    </row>
    <row r="821">
      <c r="A821" s="130"/>
      <c r="B821" s="130"/>
      <c r="C821" s="130"/>
      <c r="D821" s="130"/>
      <c r="E821" s="130"/>
      <c r="F821" s="14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c r="BA821" s="130"/>
      <c r="BB821" s="130"/>
      <c r="BC821" s="130"/>
      <c r="BD821" s="130"/>
    </row>
    <row r="822">
      <c r="A822" s="130"/>
      <c r="B822" s="130"/>
      <c r="C822" s="130"/>
      <c r="D822" s="130"/>
      <c r="E822" s="130"/>
      <c r="F822" s="14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c r="BA822" s="130"/>
      <c r="BB822" s="130"/>
      <c r="BC822" s="130"/>
      <c r="BD822" s="130"/>
    </row>
    <row r="823">
      <c r="A823" s="130"/>
      <c r="B823" s="130"/>
      <c r="C823" s="130"/>
      <c r="D823" s="130"/>
      <c r="E823" s="130"/>
      <c r="F823" s="14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c r="BA823" s="130"/>
      <c r="BB823" s="130"/>
      <c r="BC823" s="130"/>
      <c r="BD823" s="130"/>
    </row>
    <row r="824">
      <c r="A824" s="130"/>
      <c r="B824" s="130"/>
      <c r="C824" s="130"/>
      <c r="D824" s="130"/>
      <c r="E824" s="130"/>
      <c r="F824" s="14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c r="BA824" s="130"/>
      <c r="BB824" s="130"/>
      <c r="BC824" s="130"/>
      <c r="BD824" s="130"/>
    </row>
    <row r="825">
      <c r="A825" s="130"/>
      <c r="B825" s="130"/>
      <c r="C825" s="130"/>
      <c r="D825" s="130"/>
      <c r="E825" s="130"/>
      <c r="F825" s="14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c r="BA825" s="130"/>
      <c r="BB825" s="130"/>
      <c r="BC825" s="130"/>
      <c r="BD825" s="130"/>
    </row>
    <row r="826">
      <c r="A826" s="130"/>
      <c r="B826" s="130"/>
      <c r="C826" s="130"/>
      <c r="D826" s="130"/>
      <c r="E826" s="130"/>
      <c r="F826" s="14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c r="BA826" s="130"/>
      <c r="BB826" s="130"/>
      <c r="BC826" s="130"/>
      <c r="BD826" s="130"/>
    </row>
    <row r="827">
      <c r="A827" s="130"/>
      <c r="B827" s="130"/>
      <c r="C827" s="130"/>
      <c r="D827" s="130"/>
      <c r="E827" s="130"/>
      <c r="F827" s="14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c r="BA827" s="130"/>
      <c r="BB827" s="130"/>
      <c r="BC827" s="130"/>
      <c r="BD827" s="130"/>
    </row>
    <row r="828">
      <c r="A828" s="130"/>
      <c r="B828" s="130"/>
      <c r="C828" s="130"/>
      <c r="D828" s="130"/>
      <c r="E828" s="130"/>
      <c r="F828" s="14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c r="BA828" s="130"/>
      <c r="BB828" s="130"/>
      <c r="BC828" s="130"/>
      <c r="BD828" s="130"/>
    </row>
    <row r="829">
      <c r="A829" s="130"/>
      <c r="B829" s="130"/>
      <c r="C829" s="130"/>
      <c r="D829" s="130"/>
      <c r="E829" s="130"/>
      <c r="F829" s="14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c r="BA829" s="130"/>
      <c r="BB829" s="130"/>
      <c r="BC829" s="130"/>
      <c r="BD829" s="130"/>
    </row>
    <row r="830">
      <c r="A830" s="130"/>
      <c r="B830" s="130"/>
      <c r="C830" s="130"/>
      <c r="D830" s="130"/>
      <c r="E830" s="130"/>
      <c r="F830" s="14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c r="BA830" s="130"/>
      <c r="BB830" s="130"/>
      <c r="BC830" s="130"/>
      <c r="BD830" s="130"/>
    </row>
    <row r="831">
      <c r="A831" s="130"/>
      <c r="B831" s="130"/>
      <c r="C831" s="130"/>
      <c r="D831" s="130"/>
      <c r="E831" s="130"/>
      <c r="F831" s="14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c r="BA831" s="130"/>
      <c r="BB831" s="130"/>
      <c r="BC831" s="130"/>
      <c r="BD831" s="130"/>
    </row>
    <row r="832">
      <c r="A832" s="130"/>
      <c r="B832" s="130"/>
      <c r="C832" s="130"/>
      <c r="D832" s="130"/>
      <c r="E832" s="130"/>
      <c r="F832" s="14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c r="BA832" s="130"/>
      <c r="BB832" s="130"/>
      <c r="BC832" s="130"/>
      <c r="BD832" s="130"/>
    </row>
    <row r="833">
      <c r="A833" s="130"/>
      <c r="B833" s="130"/>
      <c r="C833" s="130"/>
      <c r="D833" s="130"/>
      <c r="E833" s="130"/>
      <c r="F833" s="14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c r="BA833" s="130"/>
      <c r="BB833" s="130"/>
      <c r="BC833" s="130"/>
      <c r="BD833" s="130"/>
    </row>
    <row r="834">
      <c r="A834" s="130"/>
      <c r="B834" s="130"/>
      <c r="C834" s="130"/>
      <c r="D834" s="130"/>
      <c r="E834" s="130"/>
      <c r="F834" s="14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c r="BA834" s="130"/>
      <c r="BB834" s="130"/>
      <c r="BC834" s="130"/>
      <c r="BD834" s="130"/>
    </row>
    <row r="835">
      <c r="A835" s="130"/>
      <c r="B835" s="130"/>
      <c r="C835" s="130"/>
      <c r="D835" s="130"/>
      <c r="E835" s="130"/>
      <c r="F835" s="14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c r="AZ835" s="130"/>
      <c r="BA835" s="130"/>
      <c r="BB835" s="130"/>
      <c r="BC835" s="130"/>
      <c r="BD835" s="130"/>
    </row>
    <row r="836">
      <c r="A836" s="130"/>
      <c r="B836" s="130"/>
      <c r="C836" s="130"/>
      <c r="D836" s="130"/>
      <c r="E836" s="130"/>
      <c r="F836" s="14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c r="AZ836" s="130"/>
      <c r="BA836" s="130"/>
      <c r="BB836" s="130"/>
      <c r="BC836" s="130"/>
      <c r="BD836" s="130"/>
    </row>
    <row r="837">
      <c r="A837" s="130"/>
      <c r="B837" s="130"/>
      <c r="C837" s="130"/>
      <c r="D837" s="130"/>
      <c r="E837" s="130"/>
      <c r="F837" s="14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c r="AZ837" s="130"/>
      <c r="BA837" s="130"/>
      <c r="BB837" s="130"/>
      <c r="BC837" s="130"/>
      <c r="BD837" s="130"/>
    </row>
    <row r="838">
      <c r="A838" s="130"/>
      <c r="B838" s="130"/>
      <c r="C838" s="130"/>
      <c r="D838" s="130"/>
      <c r="E838" s="130"/>
      <c r="F838" s="14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c r="AZ838" s="130"/>
      <c r="BA838" s="130"/>
      <c r="BB838" s="130"/>
      <c r="BC838" s="130"/>
      <c r="BD838" s="130"/>
    </row>
    <row r="839">
      <c r="A839" s="130"/>
      <c r="B839" s="130"/>
      <c r="C839" s="130"/>
      <c r="D839" s="130"/>
      <c r="E839" s="130"/>
      <c r="F839" s="14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c r="AZ839" s="130"/>
      <c r="BA839" s="130"/>
      <c r="BB839" s="130"/>
      <c r="BC839" s="130"/>
      <c r="BD839" s="130"/>
    </row>
    <row r="840">
      <c r="A840" s="130"/>
      <c r="B840" s="130"/>
      <c r="C840" s="130"/>
      <c r="D840" s="130"/>
      <c r="E840" s="130"/>
      <c r="F840" s="14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c r="AZ840" s="130"/>
      <c r="BA840" s="130"/>
      <c r="BB840" s="130"/>
      <c r="BC840" s="130"/>
      <c r="BD840" s="130"/>
    </row>
    <row r="841">
      <c r="A841" s="130"/>
      <c r="B841" s="130"/>
      <c r="C841" s="130"/>
      <c r="D841" s="130"/>
      <c r="E841" s="130"/>
      <c r="F841" s="14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c r="AZ841" s="130"/>
      <c r="BA841" s="130"/>
      <c r="BB841" s="130"/>
      <c r="BC841" s="130"/>
      <c r="BD841" s="130"/>
    </row>
    <row r="842">
      <c r="A842" s="130"/>
      <c r="B842" s="130"/>
      <c r="C842" s="130"/>
      <c r="D842" s="130"/>
      <c r="E842" s="130"/>
      <c r="F842" s="14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c r="AZ842" s="130"/>
      <c r="BA842" s="130"/>
      <c r="BB842" s="130"/>
      <c r="BC842" s="130"/>
      <c r="BD842" s="130"/>
    </row>
    <row r="843">
      <c r="A843" s="130"/>
      <c r="B843" s="130"/>
      <c r="C843" s="130"/>
      <c r="D843" s="130"/>
      <c r="E843" s="130"/>
      <c r="F843" s="14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c r="AZ843" s="130"/>
      <c r="BA843" s="130"/>
      <c r="BB843" s="130"/>
      <c r="BC843" s="130"/>
      <c r="BD843" s="130"/>
    </row>
    <row r="844">
      <c r="A844" s="130"/>
      <c r="B844" s="130"/>
      <c r="C844" s="130"/>
      <c r="D844" s="130"/>
      <c r="E844" s="130"/>
      <c r="F844" s="14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c r="AZ844" s="130"/>
      <c r="BA844" s="130"/>
      <c r="BB844" s="130"/>
      <c r="BC844" s="130"/>
      <c r="BD844" s="130"/>
    </row>
    <row r="845">
      <c r="A845" s="130"/>
      <c r="B845" s="130"/>
      <c r="C845" s="130"/>
      <c r="D845" s="130"/>
      <c r="E845" s="130"/>
      <c r="F845" s="14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c r="AZ845" s="130"/>
      <c r="BA845" s="130"/>
      <c r="BB845" s="130"/>
      <c r="BC845" s="130"/>
      <c r="BD845" s="130"/>
    </row>
    <row r="846">
      <c r="A846" s="130"/>
      <c r="B846" s="130"/>
      <c r="C846" s="130"/>
      <c r="D846" s="130"/>
      <c r="E846" s="130"/>
      <c r="F846" s="14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c r="AZ846" s="130"/>
      <c r="BA846" s="130"/>
      <c r="BB846" s="130"/>
      <c r="BC846" s="130"/>
      <c r="BD846" s="130"/>
    </row>
    <row r="847">
      <c r="A847" s="130"/>
      <c r="B847" s="130"/>
      <c r="C847" s="130"/>
      <c r="D847" s="130"/>
      <c r="E847" s="130"/>
      <c r="F847" s="14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c r="AZ847" s="130"/>
      <c r="BA847" s="130"/>
      <c r="BB847" s="130"/>
      <c r="BC847" s="130"/>
      <c r="BD847" s="130"/>
    </row>
    <row r="848">
      <c r="A848" s="130"/>
      <c r="B848" s="130"/>
      <c r="C848" s="130"/>
      <c r="D848" s="130"/>
      <c r="E848" s="130"/>
      <c r="F848" s="14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c r="AZ848" s="130"/>
      <c r="BA848" s="130"/>
      <c r="BB848" s="130"/>
      <c r="BC848" s="130"/>
      <c r="BD848" s="130"/>
    </row>
    <row r="849">
      <c r="A849" s="130"/>
      <c r="B849" s="130"/>
      <c r="C849" s="130"/>
      <c r="D849" s="130"/>
      <c r="E849" s="130"/>
      <c r="F849" s="14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c r="AZ849" s="130"/>
      <c r="BA849" s="130"/>
      <c r="BB849" s="130"/>
      <c r="BC849" s="130"/>
      <c r="BD849" s="130"/>
    </row>
    <row r="850">
      <c r="A850" s="130"/>
      <c r="B850" s="130"/>
      <c r="C850" s="130"/>
      <c r="D850" s="130"/>
      <c r="E850" s="130"/>
      <c r="F850" s="14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c r="AZ850" s="130"/>
      <c r="BA850" s="130"/>
      <c r="BB850" s="130"/>
      <c r="BC850" s="130"/>
      <c r="BD850" s="130"/>
    </row>
    <row r="851">
      <c r="A851" s="130"/>
      <c r="B851" s="130"/>
      <c r="C851" s="130"/>
      <c r="D851" s="130"/>
      <c r="E851" s="130"/>
      <c r="F851" s="14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c r="AZ851" s="130"/>
      <c r="BA851" s="130"/>
      <c r="BB851" s="130"/>
      <c r="BC851" s="130"/>
      <c r="BD851" s="130"/>
    </row>
    <row r="852">
      <c r="A852" s="130"/>
      <c r="B852" s="130"/>
      <c r="C852" s="130"/>
      <c r="D852" s="130"/>
      <c r="E852" s="130"/>
      <c r="F852" s="14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c r="AZ852" s="130"/>
      <c r="BA852" s="130"/>
      <c r="BB852" s="130"/>
      <c r="BC852" s="130"/>
      <c r="BD852" s="130"/>
    </row>
    <row r="853">
      <c r="A853" s="130"/>
      <c r="B853" s="130"/>
      <c r="C853" s="130"/>
      <c r="D853" s="130"/>
      <c r="E853" s="130"/>
      <c r="F853" s="14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c r="AZ853" s="130"/>
      <c r="BA853" s="130"/>
      <c r="BB853" s="130"/>
      <c r="BC853" s="130"/>
      <c r="BD853" s="130"/>
    </row>
    <row r="854">
      <c r="A854" s="130"/>
      <c r="B854" s="130"/>
      <c r="C854" s="130"/>
      <c r="D854" s="130"/>
      <c r="E854" s="130"/>
      <c r="F854" s="14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c r="AZ854" s="130"/>
      <c r="BA854" s="130"/>
      <c r="BB854" s="130"/>
      <c r="BC854" s="130"/>
      <c r="BD854" s="130"/>
    </row>
    <row r="855">
      <c r="A855" s="130"/>
      <c r="B855" s="130"/>
      <c r="C855" s="130"/>
      <c r="D855" s="130"/>
      <c r="E855" s="130"/>
      <c r="F855" s="14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c r="AZ855" s="130"/>
      <c r="BA855" s="130"/>
      <c r="BB855" s="130"/>
      <c r="BC855" s="130"/>
      <c r="BD855" s="130"/>
    </row>
    <row r="856">
      <c r="A856" s="130"/>
      <c r="B856" s="130"/>
      <c r="C856" s="130"/>
      <c r="D856" s="130"/>
      <c r="E856" s="130"/>
      <c r="F856" s="14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c r="AZ856" s="130"/>
      <c r="BA856" s="130"/>
      <c r="BB856" s="130"/>
      <c r="BC856" s="130"/>
      <c r="BD856" s="130"/>
    </row>
    <row r="857">
      <c r="A857" s="130"/>
      <c r="B857" s="130"/>
      <c r="C857" s="130"/>
      <c r="D857" s="130"/>
      <c r="E857" s="130"/>
      <c r="F857" s="14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c r="AZ857" s="130"/>
      <c r="BA857" s="130"/>
      <c r="BB857" s="130"/>
      <c r="BC857" s="130"/>
      <c r="BD857" s="130"/>
    </row>
    <row r="858">
      <c r="A858" s="130"/>
      <c r="B858" s="130"/>
      <c r="C858" s="130"/>
      <c r="D858" s="130"/>
      <c r="E858" s="130"/>
      <c r="F858" s="14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c r="AZ858" s="130"/>
      <c r="BA858" s="130"/>
      <c r="BB858" s="130"/>
      <c r="BC858" s="130"/>
      <c r="BD858" s="130"/>
    </row>
    <row r="859">
      <c r="A859" s="130"/>
      <c r="B859" s="130"/>
      <c r="C859" s="130"/>
      <c r="D859" s="130"/>
      <c r="E859" s="130"/>
      <c r="F859" s="14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c r="AZ859" s="130"/>
      <c r="BA859" s="130"/>
      <c r="BB859" s="130"/>
      <c r="BC859" s="130"/>
      <c r="BD859" s="130"/>
    </row>
    <row r="860">
      <c r="A860" s="130"/>
      <c r="B860" s="130"/>
      <c r="C860" s="130"/>
      <c r="D860" s="130"/>
      <c r="E860" s="130"/>
      <c r="F860" s="14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c r="AZ860" s="130"/>
      <c r="BA860" s="130"/>
      <c r="BB860" s="130"/>
      <c r="BC860" s="130"/>
      <c r="BD860" s="130"/>
    </row>
    <row r="861">
      <c r="A861" s="130"/>
      <c r="B861" s="130"/>
      <c r="C861" s="130"/>
      <c r="D861" s="130"/>
      <c r="E861" s="130"/>
      <c r="F861" s="14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c r="AZ861" s="130"/>
      <c r="BA861" s="130"/>
      <c r="BB861" s="130"/>
      <c r="BC861" s="130"/>
      <c r="BD861" s="130"/>
    </row>
    <row r="862">
      <c r="A862" s="130"/>
      <c r="B862" s="130"/>
      <c r="C862" s="130"/>
      <c r="D862" s="130"/>
      <c r="E862" s="130"/>
      <c r="F862" s="14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c r="AZ862" s="130"/>
      <c r="BA862" s="130"/>
      <c r="BB862" s="130"/>
      <c r="BC862" s="130"/>
      <c r="BD862" s="130"/>
    </row>
    <row r="863">
      <c r="A863" s="130"/>
      <c r="B863" s="130"/>
      <c r="C863" s="130"/>
      <c r="D863" s="130"/>
      <c r="E863" s="130"/>
      <c r="F863" s="14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c r="AZ863" s="130"/>
      <c r="BA863" s="130"/>
      <c r="BB863" s="130"/>
      <c r="BC863" s="130"/>
      <c r="BD863" s="130"/>
    </row>
    <row r="864">
      <c r="A864" s="130"/>
      <c r="B864" s="130"/>
      <c r="C864" s="130"/>
      <c r="D864" s="130"/>
      <c r="E864" s="130"/>
      <c r="F864" s="14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c r="AZ864" s="130"/>
      <c r="BA864" s="130"/>
      <c r="BB864" s="130"/>
      <c r="BC864" s="130"/>
      <c r="BD864" s="130"/>
    </row>
    <row r="865">
      <c r="A865" s="130"/>
      <c r="B865" s="130"/>
      <c r="C865" s="130"/>
      <c r="D865" s="130"/>
      <c r="E865" s="130"/>
      <c r="F865" s="14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c r="AZ865" s="130"/>
      <c r="BA865" s="130"/>
      <c r="BB865" s="130"/>
      <c r="BC865" s="130"/>
      <c r="BD865" s="130"/>
    </row>
    <row r="866">
      <c r="A866" s="130"/>
      <c r="B866" s="130"/>
      <c r="C866" s="130"/>
      <c r="D866" s="130"/>
      <c r="E866" s="130"/>
      <c r="F866" s="14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c r="AZ866" s="130"/>
      <c r="BA866" s="130"/>
      <c r="BB866" s="130"/>
      <c r="BC866" s="130"/>
      <c r="BD866" s="130"/>
    </row>
    <row r="867">
      <c r="A867" s="130"/>
      <c r="B867" s="130"/>
      <c r="C867" s="130"/>
      <c r="D867" s="130"/>
      <c r="E867" s="130"/>
      <c r="F867" s="14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c r="AZ867" s="130"/>
      <c r="BA867" s="130"/>
      <c r="BB867" s="130"/>
      <c r="BC867" s="130"/>
      <c r="BD867" s="130"/>
    </row>
    <row r="868">
      <c r="A868" s="130"/>
      <c r="B868" s="130"/>
      <c r="C868" s="130"/>
      <c r="D868" s="130"/>
      <c r="E868" s="130"/>
      <c r="F868" s="14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c r="AZ868" s="130"/>
      <c r="BA868" s="130"/>
      <c r="BB868" s="130"/>
      <c r="BC868" s="130"/>
      <c r="BD868" s="130"/>
    </row>
    <row r="869">
      <c r="A869" s="130"/>
      <c r="B869" s="130"/>
      <c r="C869" s="130"/>
      <c r="D869" s="130"/>
      <c r="E869" s="130"/>
      <c r="F869" s="14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c r="AZ869" s="130"/>
      <c r="BA869" s="130"/>
      <c r="BB869" s="130"/>
      <c r="BC869" s="130"/>
      <c r="BD869" s="130"/>
    </row>
    <row r="870">
      <c r="A870" s="130"/>
      <c r="B870" s="130"/>
      <c r="C870" s="130"/>
      <c r="D870" s="130"/>
      <c r="E870" s="130"/>
      <c r="F870" s="14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c r="AZ870" s="130"/>
      <c r="BA870" s="130"/>
      <c r="BB870" s="130"/>
      <c r="BC870" s="130"/>
      <c r="BD870" s="130"/>
    </row>
    <row r="871">
      <c r="A871" s="130"/>
      <c r="B871" s="130"/>
      <c r="C871" s="130"/>
      <c r="D871" s="130"/>
      <c r="E871" s="130"/>
      <c r="F871" s="14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c r="AZ871" s="130"/>
      <c r="BA871" s="130"/>
      <c r="BB871" s="130"/>
      <c r="BC871" s="130"/>
      <c r="BD871" s="130"/>
    </row>
    <row r="872">
      <c r="A872" s="130"/>
      <c r="B872" s="130"/>
      <c r="C872" s="130"/>
      <c r="D872" s="130"/>
      <c r="E872" s="130"/>
      <c r="F872" s="14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c r="AZ872" s="130"/>
      <c r="BA872" s="130"/>
      <c r="BB872" s="130"/>
      <c r="BC872" s="130"/>
      <c r="BD872" s="130"/>
    </row>
    <row r="873">
      <c r="A873" s="130"/>
      <c r="B873" s="130"/>
      <c r="C873" s="130"/>
      <c r="D873" s="130"/>
      <c r="E873" s="130"/>
      <c r="F873" s="14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c r="AZ873" s="130"/>
      <c r="BA873" s="130"/>
      <c r="BB873" s="130"/>
      <c r="BC873" s="130"/>
      <c r="BD873" s="130"/>
    </row>
    <row r="874">
      <c r="A874" s="130"/>
      <c r="B874" s="130"/>
      <c r="C874" s="130"/>
      <c r="D874" s="130"/>
      <c r="E874" s="130"/>
      <c r="F874" s="14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c r="AZ874" s="130"/>
      <c r="BA874" s="130"/>
      <c r="BB874" s="130"/>
      <c r="BC874" s="130"/>
      <c r="BD874" s="130"/>
    </row>
    <row r="875">
      <c r="A875" s="130"/>
      <c r="B875" s="130"/>
      <c r="C875" s="130"/>
      <c r="D875" s="130"/>
      <c r="E875" s="130"/>
      <c r="F875" s="14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c r="AZ875" s="130"/>
      <c r="BA875" s="130"/>
      <c r="BB875" s="130"/>
      <c r="BC875" s="130"/>
      <c r="BD875" s="130"/>
    </row>
    <row r="876">
      <c r="A876" s="130"/>
      <c r="B876" s="130"/>
      <c r="C876" s="130"/>
      <c r="D876" s="130"/>
      <c r="E876" s="130"/>
      <c r="F876" s="14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c r="AZ876" s="130"/>
      <c r="BA876" s="130"/>
      <c r="BB876" s="130"/>
      <c r="BC876" s="130"/>
      <c r="BD876" s="130"/>
    </row>
    <row r="877">
      <c r="A877" s="130"/>
      <c r="B877" s="130"/>
      <c r="C877" s="130"/>
      <c r="D877" s="130"/>
      <c r="E877" s="130"/>
      <c r="F877" s="14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c r="AZ877" s="130"/>
      <c r="BA877" s="130"/>
      <c r="BB877" s="130"/>
      <c r="BC877" s="130"/>
      <c r="BD877" s="130"/>
    </row>
    <row r="878">
      <c r="A878" s="130"/>
      <c r="B878" s="130"/>
      <c r="C878" s="130"/>
      <c r="D878" s="130"/>
      <c r="E878" s="130"/>
      <c r="F878" s="14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c r="AZ878" s="130"/>
      <c r="BA878" s="130"/>
      <c r="BB878" s="130"/>
      <c r="BC878" s="130"/>
      <c r="BD878" s="130"/>
    </row>
    <row r="879">
      <c r="A879" s="130"/>
      <c r="B879" s="130"/>
      <c r="C879" s="130"/>
      <c r="D879" s="130"/>
      <c r="E879" s="130"/>
      <c r="F879" s="14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c r="AZ879" s="130"/>
      <c r="BA879" s="130"/>
      <c r="BB879" s="130"/>
      <c r="BC879" s="130"/>
      <c r="BD879" s="130"/>
    </row>
    <row r="880">
      <c r="A880" s="130"/>
      <c r="B880" s="130"/>
      <c r="C880" s="130"/>
      <c r="D880" s="130"/>
      <c r="E880" s="130"/>
      <c r="F880" s="14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c r="AZ880" s="130"/>
      <c r="BA880" s="130"/>
      <c r="BB880" s="130"/>
      <c r="BC880" s="130"/>
      <c r="BD880" s="130"/>
    </row>
    <row r="881">
      <c r="A881" s="130"/>
      <c r="B881" s="130"/>
      <c r="C881" s="130"/>
      <c r="D881" s="130"/>
      <c r="E881" s="130"/>
      <c r="F881" s="14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c r="AZ881" s="130"/>
      <c r="BA881" s="130"/>
      <c r="BB881" s="130"/>
      <c r="BC881" s="130"/>
      <c r="BD881" s="130"/>
    </row>
    <row r="882">
      <c r="A882" s="130"/>
      <c r="B882" s="130"/>
      <c r="C882" s="130"/>
      <c r="D882" s="130"/>
      <c r="E882" s="130"/>
      <c r="F882" s="14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c r="AZ882" s="130"/>
      <c r="BA882" s="130"/>
      <c r="BB882" s="130"/>
      <c r="BC882" s="130"/>
      <c r="BD882" s="130"/>
    </row>
    <row r="883">
      <c r="A883" s="130"/>
      <c r="B883" s="130"/>
      <c r="C883" s="130"/>
      <c r="D883" s="130"/>
      <c r="E883" s="130"/>
      <c r="F883" s="14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c r="AZ883" s="130"/>
      <c r="BA883" s="130"/>
      <c r="BB883" s="130"/>
      <c r="BC883" s="130"/>
      <c r="BD883" s="130"/>
    </row>
    <row r="884">
      <c r="A884" s="130"/>
      <c r="B884" s="130"/>
      <c r="C884" s="130"/>
      <c r="D884" s="130"/>
      <c r="E884" s="130"/>
      <c r="F884" s="14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c r="AZ884" s="130"/>
      <c r="BA884" s="130"/>
      <c r="BB884" s="130"/>
      <c r="BC884" s="130"/>
      <c r="BD884" s="130"/>
    </row>
    <row r="885">
      <c r="A885" s="130"/>
      <c r="B885" s="130"/>
      <c r="C885" s="130"/>
      <c r="D885" s="130"/>
      <c r="E885" s="130"/>
      <c r="F885" s="14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c r="AZ885" s="130"/>
      <c r="BA885" s="130"/>
      <c r="BB885" s="130"/>
      <c r="BC885" s="130"/>
      <c r="BD885" s="130"/>
    </row>
    <row r="886">
      <c r="A886" s="130"/>
      <c r="B886" s="130"/>
      <c r="C886" s="130"/>
      <c r="D886" s="130"/>
      <c r="E886" s="130"/>
      <c r="F886" s="14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c r="AZ886" s="130"/>
      <c r="BA886" s="130"/>
      <c r="BB886" s="130"/>
      <c r="BC886" s="130"/>
      <c r="BD886" s="130"/>
    </row>
    <row r="887">
      <c r="A887" s="130"/>
      <c r="B887" s="130"/>
      <c r="C887" s="130"/>
      <c r="D887" s="130"/>
      <c r="E887" s="130"/>
      <c r="F887" s="14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c r="AZ887" s="130"/>
      <c r="BA887" s="130"/>
      <c r="BB887" s="130"/>
      <c r="BC887" s="130"/>
      <c r="BD887" s="130"/>
    </row>
    <row r="888">
      <c r="A888" s="130"/>
      <c r="B888" s="130"/>
      <c r="C888" s="130"/>
      <c r="D888" s="130"/>
      <c r="E888" s="130"/>
      <c r="F888" s="14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c r="AZ888" s="130"/>
      <c r="BA888" s="130"/>
      <c r="BB888" s="130"/>
      <c r="BC888" s="130"/>
      <c r="BD888" s="130"/>
    </row>
    <row r="889">
      <c r="A889" s="130"/>
      <c r="B889" s="130"/>
      <c r="C889" s="130"/>
      <c r="D889" s="130"/>
      <c r="E889" s="130"/>
      <c r="F889" s="14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c r="AZ889" s="130"/>
      <c r="BA889" s="130"/>
      <c r="BB889" s="130"/>
      <c r="BC889" s="130"/>
      <c r="BD889" s="130"/>
    </row>
    <row r="890">
      <c r="A890" s="130"/>
      <c r="B890" s="130"/>
      <c r="C890" s="130"/>
      <c r="D890" s="130"/>
      <c r="E890" s="130"/>
      <c r="F890" s="14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c r="AZ890" s="130"/>
      <c r="BA890" s="130"/>
      <c r="BB890" s="130"/>
      <c r="BC890" s="130"/>
      <c r="BD890" s="130"/>
    </row>
    <row r="891">
      <c r="A891" s="130"/>
      <c r="B891" s="130"/>
      <c r="C891" s="130"/>
      <c r="D891" s="130"/>
      <c r="E891" s="130"/>
      <c r="F891" s="14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c r="AZ891" s="130"/>
      <c r="BA891" s="130"/>
      <c r="BB891" s="130"/>
      <c r="BC891" s="130"/>
      <c r="BD891" s="130"/>
    </row>
    <row r="892">
      <c r="A892" s="130"/>
      <c r="B892" s="130"/>
      <c r="C892" s="130"/>
      <c r="D892" s="130"/>
      <c r="E892" s="130"/>
      <c r="F892" s="14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c r="AZ892" s="130"/>
      <c r="BA892" s="130"/>
      <c r="BB892" s="130"/>
      <c r="BC892" s="130"/>
      <c r="BD892" s="130"/>
    </row>
    <row r="893">
      <c r="A893" s="130"/>
      <c r="B893" s="130"/>
      <c r="C893" s="130"/>
      <c r="D893" s="130"/>
      <c r="E893" s="130"/>
      <c r="F893" s="14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c r="AJ893" s="130"/>
      <c r="AK893" s="130"/>
      <c r="AL893" s="130"/>
      <c r="AM893" s="130"/>
      <c r="AN893" s="130"/>
      <c r="AO893" s="130"/>
      <c r="AP893" s="130"/>
      <c r="AQ893" s="130"/>
      <c r="AR893" s="130"/>
      <c r="AS893" s="130"/>
      <c r="AT893" s="130"/>
      <c r="AU893" s="130"/>
      <c r="AV893" s="130"/>
      <c r="AW893" s="130"/>
      <c r="AX893" s="130"/>
      <c r="AY893" s="130"/>
      <c r="AZ893" s="130"/>
      <c r="BA893" s="130"/>
      <c r="BB893" s="130"/>
      <c r="BC893" s="130"/>
      <c r="BD893" s="130"/>
    </row>
    <row r="894">
      <c r="A894" s="130"/>
      <c r="B894" s="130"/>
      <c r="C894" s="130"/>
      <c r="D894" s="130"/>
      <c r="E894" s="130"/>
      <c r="F894" s="14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c r="AZ894" s="130"/>
      <c r="BA894" s="130"/>
      <c r="BB894" s="130"/>
      <c r="BC894" s="130"/>
      <c r="BD894" s="130"/>
    </row>
    <row r="895">
      <c r="A895" s="130"/>
      <c r="B895" s="130"/>
      <c r="C895" s="130"/>
      <c r="D895" s="130"/>
      <c r="E895" s="130"/>
      <c r="F895" s="14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c r="AZ895" s="130"/>
      <c r="BA895" s="130"/>
      <c r="BB895" s="130"/>
      <c r="BC895" s="130"/>
      <c r="BD895" s="130"/>
    </row>
    <row r="896">
      <c r="A896" s="130"/>
      <c r="B896" s="130"/>
      <c r="C896" s="130"/>
      <c r="D896" s="130"/>
      <c r="E896" s="130"/>
      <c r="F896" s="14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c r="AZ896" s="130"/>
      <c r="BA896" s="130"/>
      <c r="BB896" s="130"/>
      <c r="BC896" s="130"/>
      <c r="BD896" s="130"/>
    </row>
    <row r="897">
      <c r="A897" s="130"/>
      <c r="B897" s="130"/>
      <c r="C897" s="130"/>
      <c r="D897" s="130"/>
      <c r="E897" s="130"/>
      <c r="F897" s="14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c r="AZ897" s="130"/>
      <c r="BA897" s="130"/>
      <c r="BB897" s="130"/>
      <c r="BC897" s="130"/>
      <c r="BD897" s="130"/>
    </row>
    <row r="898">
      <c r="A898" s="130"/>
      <c r="B898" s="130"/>
      <c r="C898" s="130"/>
      <c r="D898" s="130"/>
      <c r="E898" s="130"/>
      <c r="F898" s="14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c r="AZ898" s="130"/>
      <c r="BA898" s="130"/>
      <c r="BB898" s="130"/>
      <c r="BC898" s="130"/>
      <c r="BD898" s="130"/>
    </row>
    <row r="899">
      <c r="A899" s="130"/>
      <c r="B899" s="130"/>
      <c r="C899" s="130"/>
      <c r="D899" s="130"/>
      <c r="E899" s="130"/>
      <c r="F899" s="14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c r="AZ899" s="130"/>
      <c r="BA899" s="130"/>
      <c r="BB899" s="130"/>
      <c r="BC899" s="130"/>
      <c r="BD899" s="130"/>
    </row>
    <row r="900">
      <c r="A900" s="130"/>
      <c r="B900" s="130"/>
      <c r="C900" s="130"/>
      <c r="D900" s="130"/>
      <c r="E900" s="130"/>
      <c r="F900" s="14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c r="AZ900" s="130"/>
      <c r="BA900" s="130"/>
      <c r="BB900" s="130"/>
      <c r="BC900" s="130"/>
      <c r="BD900" s="130"/>
    </row>
    <row r="901">
      <c r="A901" s="130"/>
      <c r="B901" s="130"/>
      <c r="C901" s="130"/>
      <c r="D901" s="130"/>
      <c r="E901" s="130"/>
      <c r="F901" s="14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c r="AZ901" s="130"/>
      <c r="BA901" s="130"/>
      <c r="BB901" s="130"/>
      <c r="BC901" s="130"/>
      <c r="BD901" s="130"/>
    </row>
    <row r="902">
      <c r="A902" s="130"/>
      <c r="B902" s="130"/>
      <c r="C902" s="130"/>
      <c r="D902" s="130"/>
      <c r="E902" s="130"/>
      <c r="F902" s="14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c r="AZ902" s="130"/>
      <c r="BA902" s="130"/>
      <c r="BB902" s="130"/>
      <c r="BC902" s="130"/>
      <c r="BD902" s="130"/>
    </row>
    <row r="903">
      <c r="A903" s="130"/>
      <c r="B903" s="130"/>
      <c r="C903" s="130"/>
      <c r="D903" s="130"/>
      <c r="E903" s="130"/>
      <c r="F903" s="14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c r="AZ903" s="130"/>
      <c r="BA903" s="130"/>
      <c r="BB903" s="130"/>
      <c r="BC903" s="130"/>
      <c r="BD903" s="130"/>
    </row>
    <row r="904">
      <c r="A904" s="130"/>
      <c r="B904" s="130"/>
      <c r="C904" s="130"/>
      <c r="D904" s="130"/>
      <c r="E904" s="130"/>
      <c r="F904" s="14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c r="AZ904" s="130"/>
      <c r="BA904" s="130"/>
      <c r="BB904" s="130"/>
      <c r="BC904" s="130"/>
      <c r="BD904" s="130"/>
    </row>
    <row r="905">
      <c r="A905" s="130"/>
      <c r="B905" s="130"/>
      <c r="C905" s="130"/>
      <c r="D905" s="130"/>
      <c r="E905" s="130"/>
      <c r="F905" s="14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c r="AZ905" s="130"/>
      <c r="BA905" s="130"/>
      <c r="BB905" s="130"/>
      <c r="BC905" s="130"/>
      <c r="BD905" s="130"/>
    </row>
    <row r="906">
      <c r="A906" s="130"/>
      <c r="B906" s="130"/>
      <c r="C906" s="130"/>
      <c r="D906" s="130"/>
      <c r="E906" s="130"/>
      <c r="F906" s="14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c r="AZ906" s="130"/>
      <c r="BA906" s="130"/>
      <c r="BB906" s="130"/>
      <c r="BC906" s="130"/>
      <c r="BD906" s="130"/>
    </row>
    <row r="907">
      <c r="A907" s="130"/>
      <c r="B907" s="130"/>
      <c r="C907" s="130"/>
      <c r="D907" s="130"/>
      <c r="E907" s="130"/>
      <c r="F907" s="14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c r="AZ907" s="130"/>
      <c r="BA907" s="130"/>
      <c r="BB907" s="130"/>
      <c r="BC907" s="130"/>
      <c r="BD907" s="130"/>
    </row>
    <row r="908">
      <c r="A908" s="130"/>
      <c r="B908" s="130"/>
      <c r="C908" s="130"/>
      <c r="D908" s="130"/>
      <c r="E908" s="130"/>
      <c r="F908" s="14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c r="AZ908" s="130"/>
      <c r="BA908" s="130"/>
      <c r="BB908" s="130"/>
      <c r="BC908" s="130"/>
      <c r="BD908" s="130"/>
    </row>
    <row r="909">
      <c r="A909" s="130"/>
      <c r="B909" s="130"/>
      <c r="C909" s="130"/>
      <c r="D909" s="130"/>
      <c r="E909" s="130"/>
      <c r="F909" s="14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c r="AZ909" s="130"/>
      <c r="BA909" s="130"/>
      <c r="BB909" s="130"/>
      <c r="BC909" s="130"/>
      <c r="BD909" s="130"/>
    </row>
    <row r="910">
      <c r="A910" s="130"/>
      <c r="B910" s="130"/>
      <c r="C910" s="130"/>
      <c r="D910" s="130"/>
      <c r="E910" s="130"/>
      <c r="F910" s="14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c r="AZ910" s="130"/>
      <c r="BA910" s="130"/>
      <c r="BB910" s="130"/>
      <c r="BC910" s="130"/>
      <c r="BD910" s="130"/>
    </row>
    <row r="911">
      <c r="A911" s="130"/>
      <c r="B911" s="130"/>
      <c r="C911" s="130"/>
      <c r="D911" s="130"/>
      <c r="E911" s="130"/>
      <c r="F911" s="14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c r="BA911" s="130"/>
      <c r="BB911" s="130"/>
      <c r="BC911" s="130"/>
      <c r="BD911" s="130"/>
    </row>
    <row r="912">
      <c r="A912" s="130"/>
      <c r="B912" s="130"/>
      <c r="C912" s="130"/>
      <c r="D912" s="130"/>
      <c r="E912" s="130"/>
      <c r="F912" s="14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c r="AZ912" s="130"/>
      <c r="BA912" s="130"/>
      <c r="BB912" s="130"/>
      <c r="BC912" s="130"/>
      <c r="BD912" s="130"/>
    </row>
    <row r="913">
      <c r="A913" s="130"/>
      <c r="B913" s="130"/>
      <c r="C913" s="130"/>
      <c r="D913" s="130"/>
      <c r="E913" s="130"/>
      <c r="F913" s="14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c r="AZ913" s="130"/>
      <c r="BA913" s="130"/>
      <c r="BB913" s="130"/>
      <c r="BC913" s="130"/>
      <c r="BD913" s="130"/>
    </row>
    <row r="914">
      <c r="A914" s="130"/>
      <c r="B914" s="130"/>
      <c r="C914" s="130"/>
      <c r="D914" s="130"/>
      <c r="E914" s="130"/>
      <c r="F914" s="14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c r="AZ914" s="130"/>
      <c r="BA914" s="130"/>
      <c r="BB914" s="130"/>
      <c r="BC914" s="130"/>
      <c r="BD914" s="130"/>
    </row>
    <row r="915">
      <c r="A915" s="130"/>
      <c r="B915" s="130"/>
      <c r="C915" s="130"/>
      <c r="D915" s="130"/>
      <c r="E915" s="130"/>
      <c r="F915" s="14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c r="AZ915" s="130"/>
      <c r="BA915" s="130"/>
      <c r="BB915" s="130"/>
      <c r="BC915" s="130"/>
      <c r="BD915" s="130"/>
    </row>
    <row r="916">
      <c r="A916" s="130"/>
      <c r="B916" s="130"/>
      <c r="C916" s="130"/>
      <c r="D916" s="130"/>
      <c r="E916" s="130"/>
      <c r="F916" s="14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c r="AZ916" s="130"/>
      <c r="BA916" s="130"/>
      <c r="BB916" s="130"/>
      <c r="BC916" s="130"/>
      <c r="BD916" s="130"/>
    </row>
    <row r="917">
      <c r="A917" s="130"/>
      <c r="B917" s="130"/>
      <c r="C917" s="130"/>
      <c r="D917" s="130"/>
      <c r="E917" s="130"/>
      <c r="F917" s="14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c r="AZ917" s="130"/>
      <c r="BA917" s="130"/>
      <c r="BB917" s="130"/>
      <c r="BC917" s="130"/>
      <c r="BD917" s="130"/>
    </row>
    <row r="918">
      <c r="A918" s="130"/>
      <c r="B918" s="130"/>
      <c r="C918" s="130"/>
      <c r="D918" s="130"/>
      <c r="E918" s="130"/>
      <c r="F918" s="14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c r="AZ918" s="130"/>
      <c r="BA918" s="130"/>
      <c r="BB918" s="130"/>
      <c r="BC918" s="130"/>
      <c r="BD918" s="130"/>
    </row>
    <row r="919">
      <c r="A919" s="130"/>
      <c r="B919" s="130"/>
      <c r="C919" s="130"/>
      <c r="D919" s="130"/>
      <c r="E919" s="130"/>
      <c r="F919" s="14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c r="AZ919" s="130"/>
      <c r="BA919" s="130"/>
      <c r="BB919" s="130"/>
      <c r="BC919" s="130"/>
      <c r="BD919" s="130"/>
    </row>
    <row r="920">
      <c r="A920" s="130"/>
      <c r="B920" s="130"/>
      <c r="C920" s="130"/>
      <c r="D920" s="130"/>
      <c r="E920" s="130"/>
      <c r="F920" s="14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c r="AZ920" s="130"/>
      <c r="BA920" s="130"/>
      <c r="BB920" s="130"/>
      <c r="BC920" s="130"/>
      <c r="BD920" s="130"/>
    </row>
    <row r="921">
      <c r="A921" s="130"/>
      <c r="B921" s="130"/>
      <c r="C921" s="130"/>
      <c r="D921" s="130"/>
      <c r="E921" s="130"/>
      <c r="F921" s="14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c r="AZ921" s="130"/>
      <c r="BA921" s="130"/>
      <c r="BB921" s="130"/>
      <c r="BC921" s="130"/>
      <c r="BD921" s="130"/>
    </row>
    <row r="922">
      <c r="A922" s="130"/>
      <c r="B922" s="130"/>
      <c r="C922" s="130"/>
      <c r="D922" s="130"/>
      <c r="E922" s="130"/>
      <c r="F922" s="14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c r="AZ922" s="130"/>
      <c r="BA922" s="130"/>
      <c r="BB922" s="130"/>
      <c r="BC922" s="130"/>
      <c r="BD922" s="130"/>
    </row>
    <row r="923">
      <c r="A923" s="130"/>
      <c r="B923" s="130"/>
      <c r="C923" s="130"/>
      <c r="D923" s="130"/>
      <c r="E923" s="130"/>
      <c r="F923" s="14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c r="AZ923" s="130"/>
      <c r="BA923" s="130"/>
      <c r="BB923" s="130"/>
      <c r="BC923" s="130"/>
      <c r="BD923" s="130"/>
    </row>
    <row r="924">
      <c r="A924" s="130"/>
      <c r="B924" s="130"/>
      <c r="C924" s="130"/>
      <c r="D924" s="130"/>
      <c r="E924" s="130"/>
      <c r="F924" s="14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c r="AZ924" s="130"/>
      <c r="BA924" s="130"/>
      <c r="BB924" s="130"/>
      <c r="BC924" s="130"/>
      <c r="BD924" s="130"/>
    </row>
    <row r="925">
      <c r="A925" s="130"/>
      <c r="B925" s="130"/>
      <c r="C925" s="130"/>
      <c r="D925" s="130"/>
      <c r="E925" s="130"/>
      <c r="F925" s="14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c r="AZ925" s="130"/>
      <c r="BA925" s="130"/>
      <c r="BB925" s="130"/>
      <c r="BC925" s="130"/>
      <c r="BD925" s="130"/>
    </row>
    <row r="926">
      <c r="A926" s="130"/>
      <c r="B926" s="130"/>
      <c r="C926" s="130"/>
      <c r="D926" s="130"/>
      <c r="E926" s="130"/>
      <c r="F926" s="14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c r="AZ926" s="130"/>
      <c r="BA926" s="130"/>
      <c r="BB926" s="130"/>
      <c r="BC926" s="130"/>
      <c r="BD926" s="130"/>
    </row>
    <row r="927">
      <c r="A927" s="130"/>
      <c r="B927" s="130"/>
      <c r="C927" s="130"/>
      <c r="D927" s="130"/>
      <c r="E927" s="130"/>
      <c r="F927" s="14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c r="AZ927" s="130"/>
      <c r="BA927" s="130"/>
      <c r="BB927" s="130"/>
      <c r="BC927" s="130"/>
      <c r="BD927" s="130"/>
    </row>
    <row r="928">
      <c r="A928" s="130"/>
      <c r="B928" s="130"/>
      <c r="C928" s="130"/>
      <c r="D928" s="130"/>
      <c r="E928" s="130"/>
      <c r="F928" s="14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c r="AZ928" s="130"/>
      <c r="BA928" s="130"/>
      <c r="BB928" s="130"/>
      <c r="BC928" s="130"/>
      <c r="BD928" s="130"/>
    </row>
    <row r="929">
      <c r="A929" s="130"/>
      <c r="B929" s="130"/>
      <c r="C929" s="130"/>
      <c r="D929" s="130"/>
      <c r="E929" s="130"/>
      <c r="F929" s="14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c r="AZ929" s="130"/>
      <c r="BA929" s="130"/>
      <c r="BB929" s="130"/>
      <c r="BC929" s="130"/>
      <c r="BD929" s="130"/>
    </row>
    <row r="930">
      <c r="A930" s="130"/>
      <c r="B930" s="130"/>
      <c r="C930" s="130"/>
      <c r="D930" s="130"/>
      <c r="E930" s="130"/>
      <c r="F930" s="14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c r="AZ930" s="130"/>
      <c r="BA930" s="130"/>
      <c r="BB930" s="130"/>
      <c r="BC930" s="130"/>
      <c r="BD930" s="130"/>
    </row>
    <row r="931">
      <c r="A931" s="130"/>
      <c r="B931" s="130"/>
      <c r="C931" s="130"/>
      <c r="D931" s="130"/>
      <c r="E931" s="130"/>
      <c r="F931" s="14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c r="AZ931" s="130"/>
      <c r="BA931" s="130"/>
      <c r="BB931" s="130"/>
      <c r="BC931" s="130"/>
      <c r="BD931" s="130"/>
    </row>
    <row r="932">
      <c r="A932" s="130"/>
      <c r="B932" s="130"/>
      <c r="C932" s="130"/>
      <c r="D932" s="130"/>
      <c r="E932" s="130"/>
      <c r="F932" s="14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c r="AZ932" s="130"/>
      <c r="BA932" s="130"/>
      <c r="BB932" s="130"/>
      <c r="BC932" s="130"/>
      <c r="BD932" s="130"/>
    </row>
    <row r="933">
      <c r="A933" s="130"/>
      <c r="B933" s="130"/>
      <c r="C933" s="130"/>
      <c r="D933" s="130"/>
      <c r="E933" s="130"/>
      <c r="F933" s="14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c r="AZ933" s="130"/>
      <c r="BA933" s="130"/>
      <c r="BB933" s="130"/>
      <c r="BC933" s="130"/>
      <c r="BD933" s="130"/>
    </row>
    <row r="934">
      <c r="A934" s="130"/>
      <c r="B934" s="130"/>
      <c r="C934" s="130"/>
      <c r="D934" s="130"/>
      <c r="E934" s="130"/>
      <c r="F934" s="14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c r="AZ934" s="130"/>
      <c r="BA934" s="130"/>
      <c r="BB934" s="130"/>
      <c r="BC934" s="130"/>
      <c r="BD934" s="130"/>
    </row>
    <row r="935">
      <c r="A935" s="130"/>
      <c r="B935" s="130"/>
      <c r="C935" s="130"/>
      <c r="D935" s="130"/>
      <c r="E935" s="130"/>
      <c r="F935" s="14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c r="AZ935" s="130"/>
      <c r="BA935" s="130"/>
      <c r="BB935" s="130"/>
      <c r="BC935" s="130"/>
      <c r="BD935" s="130"/>
    </row>
    <row r="936">
      <c r="A936" s="130"/>
      <c r="B936" s="130"/>
      <c r="C936" s="130"/>
      <c r="D936" s="130"/>
      <c r="E936" s="130"/>
      <c r="F936" s="14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c r="AZ936" s="130"/>
      <c r="BA936" s="130"/>
      <c r="BB936" s="130"/>
      <c r="BC936" s="130"/>
      <c r="BD936" s="130"/>
    </row>
    <row r="937">
      <c r="A937" s="130"/>
      <c r="B937" s="130"/>
      <c r="C937" s="130"/>
      <c r="D937" s="130"/>
      <c r="E937" s="130"/>
      <c r="F937" s="14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c r="AZ937" s="130"/>
      <c r="BA937" s="130"/>
      <c r="BB937" s="130"/>
      <c r="BC937" s="130"/>
      <c r="BD937" s="130"/>
    </row>
    <row r="938">
      <c r="A938" s="130"/>
      <c r="B938" s="130"/>
      <c r="C938" s="130"/>
      <c r="D938" s="130"/>
      <c r="E938" s="130"/>
      <c r="F938" s="14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c r="AZ938" s="130"/>
      <c r="BA938" s="130"/>
      <c r="BB938" s="130"/>
      <c r="BC938" s="130"/>
      <c r="BD938" s="130"/>
    </row>
    <row r="939">
      <c r="A939" s="130"/>
      <c r="B939" s="130"/>
      <c r="C939" s="130"/>
      <c r="D939" s="130"/>
      <c r="E939" s="130"/>
      <c r="F939" s="14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c r="AZ939" s="130"/>
      <c r="BA939" s="130"/>
      <c r="BB939" s="130"/>
      <c r="BC939" s="130"/>
      <c r="BD939" s="130"/>
    </row>
    <row r="940">
      <c r="A940" s="130"/>
      <c r="B940" s="130"/>
      <c r="C940" s="130"/>
      <c r="D940" s="130"/>
      <c r="E940" s="130"/>
      <c r="F940" s="14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c r="AZ940" s="130"/>
      <c r="BA940" s="130"/>
      <c r="BB940" s="130"/>
      <c r="BC940" s="130"/>
      <c r="BD940" s="130"/>
    </row>
    <row r="941">
      <c r="A941" s="130"/>
      <c r="B941" s="130"/>
      <c r="C941" s="130"/>
      <c r="D941" s="130"/>
      <c r="E941" s="130"/>
      <c r="F941" s="14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c r="AZ941" s="130"/>
      <c r="BA941" s="130"/>
      <c r="BB941" s="130"/>
      <c r="BC941" s="130"/>
      <c r="BD941" s="130"/>
    </row>
    <row r="942">
      <c r="A942" s="130"/>
      <c r="B942" s="130"/>
      <c r="C942" s="130"/>
      <c r="D942" s="130"/>
      <c r="E942" s="130"/>
      <c r="F942" s="14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c r="AZ942" s="130"/>
      <c r="BA942" s="130"/>
      <c r="BB942" s="130"/>
      <c r="BC942" s="130"/>
      <c r="BD942" s="130"/>
    </row>
    <row r="943">
      <c r="A943" s="130"/>
      <c r="B943" s="130"/>
      <c r="C943" s="130"/>
      <c r="D943" s="130"/>
      <c r="E943" s="130"/>
      <c r="F943" s="14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c r="AZ943" s="130"/>
      <c r="BA943" s="130"/>
      <c r="BB943" s="130"/>
      <c r="BC943" s="130"/>
      <c r="BD943" s="130"/>
    </row>
    <row r="944">
      <c r="A944" s="130"/>
      <c r="B944" s="130"/>
      <c r="C944" s="130"/>
      <c r="D944" s="130"/>
      <c r="E944" s="130"/>
      <c r="F944" s="14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c r="AZ944" s="130"/>
      <c r="BA944" s="130"/>
      <c r="BB944" s="130"/>
      <c r="BC944" s="130"/>
      <c r="BD944" s="130"/>
    </row>
    <row r="945">
      <c r="A945" s="130"/>
      <c r="B945" s="130"/>
      <c r="C945" s="130"/>
      <c r="D945" s="130"/>
      <c r="E945" s="130"/>
      <c r="F945" s="14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c r="AZ945" s="130"/>
      <c r="BA945" s="130"/>
      <c r="BB945" s="130"/>
      <c r="BC945" s="130"/>
      <c r="BD945" s="130"/>
    </row>
    <row r="946">
      <c r="A946" s="130"/>
      <c r="B946" s="130"/>
      <c r="C946" s="130"/>
      <c r="D946" s="130"/>
      <c r="E946" s="130"/>
      <c r="F946" s="14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c r="AZ946" s="130"/>
      <c r="BA946" s="130"/>
      <c r="BB946" s="130"/>
      <c r="BC946" s="130"/>
      <c r="BD946" s="130"/>
    </row>
    <row r="947">
      <c r="A947" s="130"/>
      <c r="B947" s="130"/>
      <c r="C947" s="130"/>
      <c r="D947" s="130"/>
      <c r="E947" s="130"/>
      <c r="F947" s="14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c r="AZ947" s="130"/>
      <c r="BA947" s="130"/>
      <c r="BB947" s="130"/>
      <c r="BC947" s="130"/>
      <c r="BD947" s="130"/>
    </row>
    <row r="948">
      <c r="A948" s="130"/>
      <c r="B948" s="130"/>
      <c r="C948" s="130"/>
      <c r="D948" s="130"/>
      <c r="E948" s="130"/>
      <c r="F948" s="14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c r="AZ948" s="130"/>
      <c r="BA948" s="130"/>
      <c r="BB948" s="130"/>
      <c r="BC948" s="130"/>
      <c r="BD948" s="130"/>
    </row>
    <row r="949">
      <c r="A949" s="130"/>
      <c r="B949" s="130"/>
      <c r="C949" s="130"/>
      <c r="D949" s="130"/>
      <c r="E949" s="130"/>
      <c r="F949" s="14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c r="AZ949" s="130"/>
      <c r="BA949" s="130"/>
      <c r="BB949" s="130"/>
      <c r="BC949" s="130"/>
      <c r="BD949" s="130"/>
    </row>
    <row r="950">
      <c r="A950" s="130"/>
      <c r="B950" s="130"/>
      <c r="C950" s="130"/>
      <c r="D950" s="130"/>
      <c r="E950" s="130"/>
      <c r="F950" s="14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c r="AZ950" s="130"/>
      <c r="BA950" s="130"/>
      <c r="BB950" s="130"/>
      <c r="BC950" s="130"/>
      <c r="BD950" s="130"/>
    </row>
    <row r="951">
      <c r="A951" s="130"/>
      <c r="B951" s="130"/>
      <c r="C951" s="130"/>
      <c r="D951" s="130"/>
      <c r="E951" s="130"/>
      <c r="F951" s="14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c r="AZ951" s="130"/>
      <c r="BA951" s="130"/>
      <c r="BB951" s="130"/>
      <c r="BC951" s="130"/>
      <c r="BD951" s="130"/>
    </row>
    <row r="952">
      <c r="A952" s="130"/>
      <c r="B952" s="130"/>
      <c r="C952" s="130"/>
      <c r="D952" s="130"/>
      <c r="E952" s="130"/>
      <c r="F952" s="14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c r="AZ952" s="130"/>
      <c r="BA952" s="130"/>
      <c r="BB952" s="130"/>
      <c r="BC952" s="130"/>
      <c r="BD952" s="130"/>
    </row>
    <row r="953">
      <c r="A953" s="130"/>
      <c r="B953" s="130"/>
      <c r="C953" s="130"/>
      <c r="D953" s="130"/>
      <c r="E953" s="130"/>
      <c r="F953" s="14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c r="AZ953" s="130"/>
      <c r="BA953" s="130"/>
      <c r="BB953" s="130"/>
      <c r="BC953" s="130"/>
      <c r="BD953" s="130"/>
    </row>
    <row r="954">
      <c r="A954" s="130"/>
      <c r="B954" s="130"/>
      <c r="C954" s="130"/>
      <c r="D954" s="130"/>
      <c r="E954" s="130"/>
      <c r="F954" s="14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c r="AZ954" s="130"/>
      <c r="BA954" s="130"/>
      <c r="BB954" s="130"/>
      <c r="BC954" s="130"/>
      <c r="BD954" s="130"/>
    </row>
    <row r="955">
      <c r="A955" s="130"/>
      <c r="B955" s="130"/>
      <c r="C955" s="130"/>
      <c r="D955" s="130"/>
      <c r="E955" s="130"/>
      <c r="F955" s="14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c r="AZ955" s="130"/>
      <c r="BA955" s="130"/>
      <c r="BB955" s="130"/>
      <c r="BC955" s="130"/>
      <c r="BD955" s="130"/>
    </row>
    <row r="956">
      <c r="A956" s="130"/>
      <c r="B956" s="130"/>
      <c r="C956" s="130"/>
      <c r="D956" s="130"/>
      <c r="E956" s="130"/>
      <c r="F956" s="14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c r="AZ956" s="130"/>
      <c r="BA956" s="130"/>
      <c r="BB956" s="130"/>
      <c r="BC956" s="130"/>
      <c r="BD956" s="130"/>
    </row>
    <row r="957">
      <c r="A957" s="130"/>
      <c r="B957" s="130"/>
      <c r="C957" s="130"/>
      <c r="D957" s="130"/>
      <c r="E957" s="130"/>
      <c r="F957" s="14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c r="AZ957" s="130"/>
      <c r="BA957" s="130"/>
      <c r="BB957" s="130"/>
      <c r="BC957" s="130"/>
      <c r="BD957" s="130"/>
    </row>
    <row r="958">
      <c r="A958" s="130"/>
      <c r="B958" s="130"/>
      <c r="C958" s="130"/>
      <c r="D958" s="130"/>
      <c r="E958" s="130"/>
      <c r="F958" s="14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c r="AZ958" s="130"/>
      <c r="BA958" s="130"/>
      <c r="BB958" s="130"/>
      <c r="BC958" s="130"/>
      <c r="BD958" s="130"/>
    </row>
    <row r="959">
      <c r="A959" s="130"/>
      <c r="B959" s="130"/>
      <c r="C959" s="130"/>
      <c r="D959" s="130"/>
      <c r="E959" s="130"/>
      <c r="F959" s="14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c r="AZ959" s="130"/>
      <c r="BA959" s="130"/>
      <c r="BB959" s="130"/>
      <c r="BC959" s="130"/>
      <c r="BD959" s="130"/>
    </row>
    <row r="960">
      <c r="A960" s="130"/>
      <c r="B960" s="130"/>
      <c r="C960" s="130"/>
      <c r="D960" s="130"/>
      <c r="E960" s="130"/>
      <c r="F960" s="14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c r="AZ960" s="130"/>
      <c r="BA960" s="130"/>
      <c r="BB960" s="130"/>
      <c r="BC960" s="130"/>
      <c r="BD960" s="130"/>
    </row>
    <row r="961">
      <c r="A961" s="130"/>
      <c r="B961" s="130"/>
      <c r="C961" s="130"/>
      <c r="D961" s="130"/>
      <c r="E961" s="130"/>
      <c r="F961" s="14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c r="AZ961" s="130"/>
      <c r="BA961" s="130"/>
      <c r="BB961" s="130"/>
      <c r="BC961" s="130"/>
      <c r="BD961" s="130"/>
    </row>
    <row r="962">
      <c r="A962" s="130"/>
      <c r="B962" s="130"/>
      <c r="C962" s="130"/>
      <c r="D962" s="130"/>
      <c r="E962" s="130"/>
      <c r="F962" s="14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c r="AZ962" s="130"/>
      <c r="BA962" s="130"/>
      <c r="BB962" s="130"/>
      <c r="BC962" s="130"/>
      <c r="BD962" s="130"/>
    </row>
    <row r="963">
      <c r="A963" s="130"/>
      <c r="B963" s="130"/>
      <c r="C963" s="130"/>
      <c r="D963" s="130"/>
      <c r="E963" s="130"/>
      <c r="F963" s="14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c r="AZ963" s="130"/>
      <c r="BA963" s="130"/>
      <c r="BB963" s="130"/>
      <c r="BC963" s="130"/>
      <c r="BD963" s="130"/>
    </row>
    <row r="964">
      <c r="A964" s="130"/>
      <c r="B964" s="130"/>
      <c r="C964" s="130"/>
      <c r="D964" s="130"/>
      <c r="E964" s="130"/>
      <c r="F964" s="14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c r="AZ964" s="130"/>
      <c r="BA964" s="130"/>
      <c r="BB964" s="130"/>
      <c r="BC964" s="130"/>
      <c r="BD964" s="130"/>
    </row>
    <row r="965">
      <c r="A965" s="130"/>
      <c r="B965" s="130"/>
      <c r="C965" s="130"/>
      <c r="D965" s="130"/>
      <c r="E965" s="130"/>
      <c r="F965" s="14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c r="AZ965" s="130"/>
      <c r="BA965" s="130"/>
      <c r="BB965" s="130"/>
      <c r="BC965" s="130"/>
      <c r="BD965" s="130"/>
    </row>
    <row r="966">
      <c r="A966" s="130"/>
      <c r="B966" s="130"/>
      <c r="C966" s="130"/>
      <c r="D966" s="130"/>
      <c r="E966" s="130"/>
      <c r="F966" s="14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c r="AZ966" s="130"/>
      <c r="BA966" s="130"/>
      <c r="BB966" s="130"/>
      <c r="BC966" s="130"/>
      <c r="BD966" s="130"/>
    </row>
    <row r="967">
      <c r="A967" s="130"/>
      <c r="B967" s="130"/>
      <c r="C967" s="130"/>
      <c r="D967" s="130"/>
      <c r="E967" s="130"/>
      <c r="F967" s="14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c r="AZ967" s="130"/>
      <c r="BA967" s="130"/>
      <c r="BB967" s="130"/>
      <c r="BC967" s="130"/>
      <c r="BD967" s="130"/>
    </row>
    <row r="968">
      <c r="A968" s="130"/>
      <c r="B968" s="130"/>
      <c r="C968" s="130"/>
      <c r="D968" s="130"/>
      <c r="E968" s="130"/>
      <c r="F968" s="14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c r="AZ968" s="130"/>
      <c r="BA968" s="130"/>
      <c r="BB968" s="130"/>
      <c r="BC968" s="130"/>
      <c r="BD968" s="130"/>
    </row>
    <row r="969">
      <c r="A969" s="130"/>
      <c r="B969" s="130"/>
      <c r="C969" s="130"/>
      <c r="D969" s="130"/>
      <c r="E969" s="130"/>
      <c r="F969" s="14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c r="AZ969" s="130"/>
      <c r="BA969" s="130"/>
      <c r="BB969" s="130"/>
      <c r="BC969" s="130"/>
      <c r="BD969" s="130"/>
    </row>
    <row r="970">
      <c r="A970" s="130"/>
      <c r="B970" s="130"/>
      <c r="C970" s="130"/>
      <c r="D970" s="130"/>
      <c r="E970" s="130"/>
      <c r="F970" s="14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c r="AZ970" s="130"/>
      <c r="BA970" s="130"/>
      <c r="BB970" s="130"/>
      <c r="BC970" s="130"/>
      <c r="BD970" s="130"/>
    </row>
    <row r="971">
      <c r="A971" s="130"/>
      <c r="B971" s="130"/>
      <c r="C971" s="130"/>
      <c r="D971" s="130"/>
      <c r="E971" s="130"/>
      <c r="F971" s="14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c r="AZ971" s="130"/>
      <c r="BA971" s="130"/>
      <c r="BB971" s="130"/>
      <c r="BC971" s="130"/>
      <c r="BD971" s="130"/>
    </row>
    <row r="972">
      <c r="A972" s="130"/>
      <c r="B972" s="130"/>
      <c r="C972" s="130"/>
      <c r="D972" s="130"/>
      <c r="E972" s="130"/>
      <c r="F972" s="14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c r="AZ972" s="130"/>
      <c r="BA972" s="130"/>
      <c r="BB972" s="130"/>
      <c r="BC972" s="130"/>
      <c r="BD972" s="130"/>
    </row>
    <row r="973">
      <c r="A973" s="130"/>
      <c r="B973" s="130"/>
      <c r="C973" s="130"/>
      <c r="D973" s="130"/>
      <c r="E973" s="130"/>
      <c r="F973" s="14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c r="AZ973" s="130"/>
      <c r="BA973" s="130"/>
      <c r="BB973" s="130"/>
      <c r="BC973" s="130"/>
      <c r="BD973" s="130"/>
    </row>
    <row r="974">
      <c r="A974" s="130"/>
      <c r="B974" s="130"/>
      <c r="C974" s="130"/>
      <c r="D974" s="130"/>
      <c r="E974" s="130"/>
      <c r="F974" s="14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c r="AZ974" s="130"/>
      <c r="BA974" s="130"/>
      <c r="BB974" s="130"/>
      <c r="BC974" s="130"/>
      <c r="BD974" s="130"/>
    </row>
    <row r="975">
      <c r="A975" s="130"/>
      <c r="B975" s="130"/>
      <c r="C975" s="130"/>
      <c r="D975" s="130"/>
      <c r="E975" s="130"/>
      <c r="F975" s="14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c r="AZ975" s="130"/>
      <c r="BA975" s="130"/>
      <c r="BB975" s="130"/>
      <c r="BC975" s="130"/>
      <c r="BD975" s="130"/>
    </row>
    <row r="976">
      <c r="A976" s="130"/>
      <c r="B976" s="130"/>
      <c r="C976" s="130"/>
      <c r="D976" s="130"/>
      <c r="E976" s="130"/>
      <c r="F976" s="14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c r="AZ976" s="130"/>
      <c r="BA976" s="130"/>
      <c r="BB976" s="130"/>
      <c r="BC976" s="130"/>
      <c r="BD976" s="130"/>
    </row>
    <row r="977">
      <c r="A977" s="130"/>
      <c r="B977" s="130"/>
      <c r="C977" s="130"/>
      <c r="D977" s="130"/>
      <c r="E977" s="130"/>
      <c r="F977" s="14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c r="AZ977" s="130"/>
      <c r="BA977" s="130"/>
      <c r="BB977" s="130"/>
      <c r="BC977" s="130"/>
      <c r="BD977" s="130"/>
    </row>
    <row r="978">
      <c r="A978" s="130"/>
      <c r="B978" s="130"/>
      <c r="C978" s="130"/>
      <c r="D978" s="130"/>
      <c r="E978" s="130"/>
      <c r="F978" s="14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c r="AZ978" s="130"/>
      <c r="BA978" s="130"/>
      <c r="BB978" s="130"/>
      <c r="BC978" s="130"/>
      <c r="BD978" s="130"/>
    </row>
    <row r="979">
      <c r="A979" s="130"/>
      <c r="B979" s="130"/>
      <c r="C979" s="130"/>
      <c r="D979" s="130"/>
      <c r="E979" s="130"/>
      <c r="F979" s="14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c r="AZ979" s="130"/>
      <c r="BA979" s="130"/>
      <c r="BB979" s="130"/>
      <c r="BC979" s="130"/>
      <c r="BD979" s="130"/>
    </row>
    <row r="980">
      <c r="A980" s="130"/>
      <c r="B980" s="130"/>
      <c r="C980" s="130"/>
      <c r="D980" s="130"/>
      <c r="E980" s="130"/>
      <c r="F980" s="14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c r="AZ980" s="130"/>
      <c r="BA980" s="130"/>
      <c r="BB980" s="130"/>
      <c r="BC980" s="130"/>
      <c r="BD980" s="130"/>
    </row>
    <row r="981">
      <c r="A981" s="130"/>
      <c r="B981" s="130"/>
      <c r="C981" s="130"/>
      <c r="D981" s="130"/>
      <c r="E981" s="130"/>
      <c r="F981" s="14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c r="AZ981" s="130"/>
      <c r="BA981" s="130"/>
      <c r="BB981" s="130"/>
      <c r="BC981" s="130"/>
      <c r="BD981" s="130"/>
    </row>
    <row r="982">
      <c r="A982" s="130"/>
      <c r="B982" s="130"/>
      <c r="C982" s="130"/>
      <c r="D982" s="130"/>
      <c r="E982" s="130"/>
      <c r="F982" s="14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c r="AZ982" s="130"/>
      <c r="BA982" s="130"/>
      <c r="BB982" s="130"/>
      <c r="BC982" s="130"/>
      <c r="BD982" s="130"/>
    </row>
    <row r="983">
      <c r="A983" s="130"/>
      <c r="B983" s="130"/>
      <c r="C983" s="130"/>
      <c r="D983" s="130"/>
      <c r="E983" s="130"/>
      <c r="F983" s="14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c r="AZ983" s="130"/>
      <c r="BA983" s="130"/>
      <c r="BB983" s="130"/>
      <c r="BC983" s="130"/>
      <c r="BD983" s="130"/>
    </row>
    <row r="984">
      <c r="A984" s="130"/>
      <c r="B984" s="130"/>
      <c r="C984" s="130"/>
      <c r="D984" s="130"/>
      <c r="E984" s="130"/>
      <c r="F984" s="14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c r="AZ984" s="130"/>
      <c r="BA984" s="130"/>
      <c r="BB984" s="130"/>
      <c r="BC984" s="130"/>
      <c r="BD984" s="130"/>
    </row>
    <row r="985">
      <c r="A985" s="130"/>
      <c r="B985" s="130"/>
      <c r="C985" s="130"/>
      <c r="D985" s="130"/>
      <c r="E985" s="130"/>
      <c r="F985" s="14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c r="AZ985" s="130"/>
      <c r="BA985" s="130"/>
      <c r="BB985" s="130"/>
      <c r="BC985" s="130"/>
      <c r="BD985" s="130"/>
    </row>
    <row r="986">
      <c r="A986" s="130"/>
      <c r="B986" s="130"/>
      <c r="C986" s="130"/>
      <c r="D986" s="130"/>
      <c r="E986" s="130"/>
      <c r="F986" s="14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c r="AZ986" s="130"/>
      <c r="BA986" s="130"/>
      <c r="BB986" s="130"/>
      <c r="BC986" s="130"/>
      <c r="BD986" s="130"/>
    </row>
    <row r="987">
      <c r="A987" s="130"/>
      <c r="B987" s="130"/>
      <c r="C987" s="130"/>
      <c r="D987" s="130"/>
      <c r="E987" s="130"/>
      <c r="F987" s="14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c r="AZ987" s="130"/>
      <c r="BA987" s="130"/>
      <c r="BB987" s="130"/>
      <c r="BC987" s="130"/>
      <c r="BD987" s="130"/>
    </row>
    <row r="988">
      <c r="A988" s="130"/>
      <c r="B988" s="130"/>
      <c r="C988" s="130"/>
      <c r="D988" s="130"/>
      <c r="E988" s="130"/>
      <c r="F988" s="14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c r="AZ988" s="130"/>
      <c r="BA988" s="130"/>
      <c r="BB988" s="130"/>
      <c r="BC988" s="130"/>
      <c r="BD988" s="130"/>
    </row>
  </sheetData>
  <mergeCells count="38">
    <mergeCell ref="AX2:AY2"/>
    <mergeCell ref="AZ2:BB2"/>
    <mergeCell ref="BC2:BD2"/>
    <mergeCell ref="AF2:AH2"/>
    <mergeCell ref="AI2:AJ2"/>
    <mergeCell ref="AK2:AM2"/>
    <mergeCell ref="AN2:AO2"/>
    <mergeCell ref="AP2:AR2"/>
    <mergeCell ref="AS2:AT2"/>
    <mergeCell ref="AU2:AW2"/>
    <mergeCell ref="D1:E2"/>
    <mergeCell ref="K2:L2"/>
    <mergeCell ref="M2:O2"/>
    <mergeCell ref="Q2:S2"/>
    <mergeCell ref="V2:X2"/>
    <mergeCell ref="AA2:AC2"/>
    <mergeCell ref="AD2:AE2"/>
    <mergeCell ref="AK8:AN8"/>
    <mergeCell ref="AP8:AS8"/>
    <mergeCell ref="AU8:AX8"/>
    <mergeCell ref="AZ8:BC8"/>
    <mergeCell ref="E8:E9"/>
    <mergeCell ref="F8:F9"/>
    <mergeCell ref="L8:O8"/>
    <mergeCell ref="Q8:T8"/>
    <mergeCell ref="V8:Y8"/>
    <mergeCell ref="AA8:AD8"/>
    <mergeCell ref="AF8:AI8"/>
    <mergeCell ref="D8:D9"/>
    <mergeCell ref="B16:E16"/>
    <mergeCell ref="B17:E17"/>
    <mergeCell ref="A5:B5"/>
    <mergeCell ref="I5:K5"/>
    <mergeCell ref="A6:B6"/>
    <mergeCell ref="I6:K6"/>
    <mergeCell ref="B8:B9"/>
    <mergeCell ref="C8:C9"/>
    <mergeCell ref="G8:J8"/>
  </mergeCells>
  <hyperlinks>
    <hyperlink display="TC_01" location="null!A1" ref="C10"/>
    <hyperlink display="TC_02" location="'Danh mục thiết bị Camera'!A1" ref="C11"/>
    <hyperlink display="TC_03" location="null!A1" ref="C12"/>
    <hyperlink display="TC_04" location="null!A1" ref="C13"/>
    <hyperlink display="TC_05" location="'Chi tiết các dịch vụ SA'!A1" ref="C14"/>
    <hyperlink display="TC_06" location="'Trang danh mục thiết bị'!A1" ref="C15"/>
  </hyperlink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0.88"/>
    <col customWidth="1" min="3" max="3" width="10.25"/>
    <col customWidth="1" min="4" max="4" width="28.5"/>
    <col customWidth="1" min="6" max="6" width="32.0"/>
    <col customWidth="1" min="7" max="7" width="36.38"/>
  </cols>
  <sheetData>
    <row r="1">
      <c r="A1" s="176"/>
      <c r="B1" s="176"/>
      <c r="C1" s="177"/>
      <c r="D1" s="176"/>
      <c r="E1" s="176"/>
      <c r="F1" s="176"/>
      <c r="G1" s="176"/>
      <c r="H1" s="178"/>
      <c r="I1" s="179"/>
      <c r="J1" s="179"/>
      <c r="K1" s="179"/>
      <c r="L1" s="178"/>
      <c r="M1" s="178"/>
      <c r="N1" s="178"/>
      <c r="O1" s="178"/>
      <c r="P1" s="178"/>
      <c r="Q1" s="178"/>
      <c r="R1" s="178"/>
      <c r="S1" s="178"/>
      <c r="T1" s="178"/>
      <c r="U1" s="178"/>
      <c r="V1" s="178"/>
      <c r="W1" s="178"/>
      <c r="X1" s="178"/>
      <c r="Y1" s="178"/>
      <c r="Z1" s="178"/>
      <c r="AA1" s="178"/>
    </row>
    <row r="2">
      <c r="A2" s="180"/>
      <c r="B2" s="180"/>
      <c r="C2" s="181"/>
      <c r="D2" s="182"/>
      <c r="E2" s="182"/>
      <c r="F2" s="183"/>
      <c r="G2" s="176"/>
      <c r="H2" s="178"/>
      <c r="I2" s="179"/>
      <c r="J2" s="179"/>
      <c r="K2" s="179"/>
      <c r="L2" s="178"/>
      <c r="M2" s="178"/>
      <c r="N2" s="178"/>
      <c r="O2" s="178"/>
      <c r="P2" s="178"/>
      <c r="Q2" s="178"/>
      <c r="R2" s="178"/>
      <c r="S2" s="178"/>
      <c r="T2" s="178"/>
      <c r="U2" s="178"/>
      <c r="V2" s="178"/>
      <c r="W2" s="178"/>
      <c r="X2" s="178"/>
      <c r="Y2" s="178"/>
      <c r="Z2" s="178"/>
      <c r="AA2" s="178"/>
    </row>
    <row r="3">
      <c r="A3" s="184"/>
      <c r="B3" s="185" t="s">
        <v>122</v>
      </c>
      <c r="C3" s="171"/>
      <c r="D3" s="186" t="s">
        <v>116</v>
      </c>
      <c r="E3" s="171"/>
      <c r="F3" s="177"/>
      <c r="G3" s="177"/>
      <c r="H3" s="178"/>
      <c r="I3" s="179"/>
      <c r="J3" s="179"/>
      <c r="K3" s="179"/>
      <c r="L3" s="178"/>
      <c r="M3" s="178"/>
      <c r="N3" s="178"/>
      <c r="O3" s="178"/>
      <c r="P3" s="178"/>
      <c r="Q3" s="178"/>
      <c r="R3" s="178"/>
      <c r="S3" s="178"/>
      <c r="T3" s="178"/>
      <c r="U3" s="178"/>
      <c r="V3" s="178"/>
      <c r="W3" s="178"/>
      <c r="X3" s="178"/>
      <c r="Y3" s="178"/>
      <c r="Z3" s="178"/>
      <c r="AA3" s="178"/>
    </row>
    <row r="4">
      <c r="A4" s="184"/>
      <c r="B4" s="185" t="s">
        <v>123</v>
      </c>
      <c r="C4" s="171"/>
      <c r="D4" s="187" t="s">
        <v>124</v>
      </c>
      <c r="E4" s="171"/>
      <c r="F4" s="177"/>
      <c r="G4" s="177"/>
      <c r="H4" s="178"/>
      <c r="I4" s="179"/>
      <c r="J4" s="179"/>
      <c r="K4" s="179"/>
      <c r="L4" s="178"/>
      <c r="M4" s="178"/>
      <c r="N4" s="178"/>
      <c r="O4" s="178"/>
      <c r="P4" s="178"/>
      <c r="Q4" s="178"/>
      <c r="R4" s="178"/>
      <c r="S4" s="178"/>
      <c r="T4" s="178"/>
      <c r="U4" s="178"/>
      <c r="V4" s="178"/>
      <c r="W4" s="178"/>
      <c r="X4" s="178"/>
      <c r="Y4" s="178"/>
      <c r="Z4" s="178"/>
      <c r="AA4" s="178"/>
    </row>
    <row r="5">
      <c r="A5" s="188"/>
      <c r="B5" s="188"/>
      <c r="C5" s="188"/>
      <c r="D5" s="188"/>
      <c r="E5" s="188"/>
      <c r="F5" s="176"/>
      <c r="G5" s="176"/>
      <c r="H5" s="178"/>
      <c r="I5" s="179"/>
      <c r="J5" s="179"/>
      <c r="K5" s="179"/>
      <c r="L5" s="178"/>
      <c r="M5" s="178"/>
      <c r="N5" s="178"/>
      <c r="O5" s="178"/>
      <c r="P5" s="178"/>
      <c r="Q5" s="178"/>
      <c r="R5" s="178"/>
      <c r="S5" s="178"/>
      <c r="T5" s="178"/>
      <c r="U5" s="178"/>
      <c r="V5" s="178"/>
      <c r="W5" s="178"/>
      <c r="X5" s="178"/>
      <c r="Y5" s="178"/>
      <c r="Z5" s="178"/>
      <c r="AA5" s="178"/>
    </row>
    <row r="6">
      <c r="A6" s="176"/>
      <c r="B6" s="176"/>
      <c r="C6" s="176"/>
      <c r="D6" s="176"/>
      <c r="E6" s="176"/>
      <c r="F6" s="176"/>
      <c r="G6" s="176"/>
      <c r="H6" s="178"/>
      <c r="I6" s="179"/>
      <c r="J6" s="179"/>
      <c r="K6" s="179"/>
      <c r="L6" s="178"/>
      <c r="M6" s="178"/>
      <c r="N6" s="178"/>
      <c r="O6" s="178"/>
      <c r="P6" s="178"/>
      <c r="Q6" s="178"/>
      <c r="R6" s="178"/>
      <c r="S6" s="178"/>
      <c r="T6" s="178"/>
      <c r="U6" s="178"/>
      <c r="V6" s="178"/>
      <c r="W6" s="178"/>
      <c r="X6" s="178"/>
      <c r="Y6" s="178"/>
      <c r="Z6" s="178"/>
      <c r="AA6" s="178"/>
    </row>
    <row r="7">
      <c r="A7" s="189" t="s">
        <v>125</v>
      </c>
      <c r="B7" s="189" t="s">
        <v>126</v>
      </c>
      <c r="C7" s="189" t="s">
        <v>127</v>
      </c>
      <c r="D7" s="189" t="s">
        <v>128</v>
      </c>
      <c r="E7" s="189" t="s">
        <v>129</v>
      </c>
      <c r="F7" s="189" t="s">
        <v>130</v>
      </c>
      <c r="G7" s="189" t="s">
        <v>131</v>
      </c>
      <c r="H7" s="190" t="str">
        <f>#REF!</f>
        <v>#REF!</v>
      </c>
      <c r="I7" s="148"/>
      <c r="J7" s="148"/>
      <c r="K7" s="171"/>
    </row>
    <row r="8">
      <c r="A8" s="56"/>
      <c r="B8" s="56"/>
      <c r="C8" s="56"/>
      <c r="D8" s="56"/>
      <c r="E8" s="56"/>
      <c r="F8" s="56"/>
      <c r="G8" s="56"/>
      <c r="H8" s="191" t="s">
        <v>132</v>
      </c>
      <c r="I8" s="191" t="s">
        <v>133</v>
      </c>
      <c r="J8" s="191" t="s">
        <v>134</v>
      </c>
      <c r="K8" s="191" t="s">
        <v>135</v>
      </c>
    </row>
    <row r="9">
      <c r="A9" s="192"/>
      <c r="B9" s="193" t="s">
        <v>136</v>
      </c>
      <c r="C9" s="148"/>
      <c r="D9" s="148"/>
      <c r="E9" s="148"/>
      <c r="F9" s="148"/>
      <c r="G9" s="171"/>
      <c r="H9" s="194"/>
      <c r="I9" s="194"/>
      <c r="J9" s="194"/>
      <c r="K9" s="194"/>
    </row>
    <row r="10">
      <c r="A10" s="195"/>
      <c r="B10" s="196" t="str">
        <f t="shared" ref="B10:B27" si="1">IF(D10="","",$D$3&amp;"."&amp;COUNTA($D$9:D10)&amp;"")</f>
        <v>TC_03.1</v>
      </c>
      <c r="C10" s="196" t="s">
        <v>75</v>
      </c>
      <c r="D10" s="197" t="s">
        <v>137</v>
      </c>
      <c r="E10" s="195"/>
      <c r="F10" s="198" t="s">
        <v>138</v>
      </c>
      <c r="G10" s="198" t="s">
        <v>139</v>
      </c>
      <c r="H10" s="194"/>
      <c r="I10" s="194"/>
      <c r="J10" s="194"/>
      <c r="K10" s="194"/>
    </row>
    <row r="11">
      <c r="A11" s="195"/>
      <c r="B11" s="196" t="str">
        <f t="shared" si="1"/>
        <v>TC_03.2</v>
      </c>
      <c r="C11" s="196" t="s">
        <v>75</v>
      </c>
      <c r="D11" s="197" t="s">
        <v>140</v>
      </c>
      <c r="E11" s="195"/>
      <c r="F11" s="198" t="s">
        <v>141</v>
      </c>
      <c r="G11" s="198" t="s">
        <v>142</v>
      </c>
      <c r="H11" s="194"/>
      <c r="I11" s="194"/>
      <c r="J11" s="194"/>
      <c r="K11" s="194"/>
    </row>
    <row r="12">
      <c r="A12" s="195"/>
      <c r="B12" s="196" t="str">
        <f t="shared" si="1"/>
        <v>TC_03.3</v>
      </c>
      <c r="C12" s="196" t="s">
        <v>75</v>
      </c>
      <c r="D12" s="197" t="s">
        <v>143</v>
      </c>
      <c r="E12" s="195"/>
      <c r="F12" s="198" t="s">
        <v>144</v>
      </c>
      <c r="G12" s="198" t="s">
        <v>145</v>
      </c>
      <c r="H12" s="194"/>
      <c r="I12" s="194"/>
      <c r="J12" s="194"/>
      <c r="K12" s="194"/>
    </row>
    <row r="13">
      <c r="A13" s="195"/>
      <c r="B13" s="196" t="str">
        <f t="shared" si="1"/>
        <v>TC_03.4</v>
      </c>
      <c r="C13" s="196" t="s">
        <v>75</v>
      </c>
      <c r="D13" s="197" t="s">
        <v>146</v>
      </c>
      <c r="E13" s="195"/>
      <c r="F13" s="198" t="s">
        <v>147</v>
      </c>
      <c r="G13" s="198" t="s">
        <v>148</v>
      </c>
      <c r="H13" s="194"/>
      <c r="I13" s="194"/>
      <c r="J13" s="194"/>
      <c r="K13" s="194"/>
    </row>
    <row r="14">
      <c r="A14" s="195"/>
      <c r="B14" s="196" t="str">
        <f t="shared" si="1"/>
        <v>TC_03.5</v>
      </c>
      <c r="C14" s="196" t="s">
        <v>75</v>
      </c>
      <c r="D14" s="197" t="s">
        <v>149</v>
      </c>
      <c r="E14" s="195"/>
      <c r="F14" s="198" t="s">
        <v>150</v>
      </c>
      <c r="G14" s="198" t="s">
        <v>148</v>
      </c>
      <c r="H14" s="194"/>
      <c r="I14" s="194"/>
      <c r="J14" s="194"/>
      <c r="K14" s="194"/>
    </row>
    <row r="15">
      <c r="A15" s="195"/>
      <c r="B15" s="196" t="str">
        <f t="shared" si="1"/>
        <v>TC_03.6</v>
      </c>
      <c r="C15" s="196" t="s">
        <v>75</v>
      </c>
      <c r="D15" s="197" t="s">
        <v>151</v>
      </c>
      <c r="E15" s="195"/>
      <c r="F15" s="198" t="s">
        <v>152</v>
      </c>
      <c r="G15" s="198" t="s">
        <v>153</v>
      </c>
      <c r="H15" s="194"/>
      <c r="I15" s="194"/>
      <c r="J15" s="194"/>
      <c r="K15" s="194"/>
    </row>
    <row r="16">
      <c r="A16" s="195"/>
      <c r="B16" s="196" t="str">
        <f t="shared" si="1"/>
        <v>TC_03.7</v>
      </c>
      <c r="C16" s="196" t="s">
        <v>75</v>
      </c>
      <c r="D16" s="197" t="s">
        <v>154</v>
      </c>
      <c r="E16" s="195"/>
      <c r="F16" s="198" t="s">
        <v>152</v>
      </c>
      <c r="G16" s="198" t="s">
        <v>155</v>
      </c>
      <c r="H16" s="194"/>
      <c r="I16" s="194"/>
      <c r="J16" s="194"/>
      <c r="K16" s="194"/>
    </row>
    <row r="17">
      <c r="A17" s="195"/>
      <c r="B17" s="196" t="str">
        <f t="shared" si="1"/>
        <v>TC_03.8</v>
      </c>
      <c r="C17" s="196" t="s">
        <v>75</v>
      </c>
      <c r="D17" s="197" t="s">
        <v>156</v>
      </c>
      <c r="E17" s="195"/>
      <c r="F17" s="198" t="s">
        <v>157</v>
      </c>
      <c r="G17" s="198" t="s">
        <v>158</v>
      </c>
      <c r="H17" s="194"/>
      <c r="I17" s="194"/>
      <c r="J17" s="194"/>
      <c r="K17" s="194"/>
    </row>
    <row r="18">
      <c r="A18" s="195"/>
      <c r="B18" s="196" t="str">
        <f t="shared" si="1"/>
        <v>TC_03.9</v>
      </c>
      <c r="C18" s="196" t="s">
        <v>75</v>
      </c>
      <c r="D18" s="197" t="s">
        <v>159</v>
      </c>
      <c r="E18" s="195"/>
      <c r="F18" s="198" t="s">
        <v>160</v>
      </c>
      <c r="G18" s="198" t="s">
        <v>161</v>
      </c>
      <c r="H18" s="194"/>
      <c r="I18" s="194"/>
      <c r="J18" s="194"/>
      <c r="K18" s="194"/>
    </row>
    <row r="19">
      <c r="A19" s="195"/>
      <c r="B19" s="196" t="str">
        <f t="shared" si="1"/>
        <v>TC_03.10</v>
      </c>
      <c r="C19" s="196" t="s">
        <v>75</v>
      </c>
      <c r="D19" s="197" t="s">
        <v>162</v>
      </c>
      <c r="E19" s="195"/>
      <c r="F19" s="198" t="s">
        <v>163</v>
      </c>
      <c r="G19" s="198" t="s">
        <v>164</v>
      </c>
      <c r="H19" s="194"/>
      <c r="I19" s="194"/>
      <c r="J19" s="194"/>
      <c r="K19" s="194"/>
    </row>
    <row r="20">
      <c r="A20" s="195"/>
      <c r="B20" s="196" t="str">
        <f t="shared" si="1"/>
        <v>TC_03.11</v>
      </c>
      <c r="C20" s="196" t="s">
        <v>75</v>
      </c>
      <c r="D20" s="197" t="s">
        <v>165</v>
      </c>
      <c r="E20" s="195"/>
      <c r="F20" s="198" t="s">
        <v>166</v>
      </c>
      <c r="G20" s="198" t="s">
        <v>167</v>
      </c>
      <c r="H20" s="194"/>
      <c r="I20" s="194"/>
      <c r="J20" s="194"/>
      <c r="K20" s="194"/>
    </row>
    <row r="21">
      <c r="A21" s="195"/>
      <c r="B21" s="196" t="str">
        <f t="shared" si="1"/>
        <v>TC_03.12</v>
      </c>
      <c r="C21" s="196" t="s">
        <v>75</v>
      </c>
      <c r="D21" s="197" t="s">
        <v>168</v>
      </c>
      <c r="E21" s="195"/>
      <c r="F21" s="198" t="s">
        <v>169</v>
      </c>
      <c r="G21" s="198" t="s">
        <v>170</v>
      </c>
      <c r="H21" s="194"/>
      <c r="I21" s="194"/>
      <c r="J21" s="194"/>
      <c r="K21" s="194"/>
    </row>
    <row r="22">
      <c r="A22" s="195"/>
      <c r="B22" s="196" t="str">
        <f t="shared" si="1"/>
        <v>TC_03.13</v>
      </c>
      <c r="C22" s="196" t="s">
        <v>75</v>
      </c>
      <c r="D22" s="197" t="s">
        <v>171</v>
      </c>
      <c r="E22" s="195"/>
      <c r="F22" s="198" t="s">
        <v>172</v>
      </c>
      <c r="G22" s="198" t="s">
        <v>173</v>
      </c>
      <c r="H22" s="194"/>
      <c r="I22" s="194"/>
      <c r="J22" s="194"/>
      <c r="K22" s="194"/>
    </row>
    <row r="23">
      <c r="A23" s="195"/>
      <c r="B23" s="196" t="str">
        <f t="shared" si="1"/>
        <v>TC_03.14</v>
      </c>
      <c r="C23" s="196" t="s">
        <v>75</v>
      </c>
      <c r="D23" s="197" t="s">
        <v>174</v>
      </c>
      <c r="E23" s="195"/>
      <c r="F23" s="198" t="s">
        <v>175</v>
      </c>
      <c r="G23" s="198" t="s">
        <v>176</v>
      </c>
      <c r="H23" s="194"/>
      <c r="I23" s="194"/>
      <c r="J23" s="194"/>
      <c r="K23" s="194"/>
    </row>
    <row r="24">
      <c r="A24" s="195"/>
      <c r="B24" s="196" t="str">
        <f t="shared" si="1"/>
        <v>TC_03.15</v>
      </c>
      <c r="C24" s="196" t="s">
        <v>75</v>
      </c>
      <c r="D24" s="197" t="s">
        <v>177</v>
      </c>
      <c r="E24" s="195"/>
      <c r="F24" s="198" t="s">
        <v>178</v>
      </c>
      <c r="G24" s="198" t="s">
        <v>179</v>
      </c>
      <c r="H24" s="194"/>
      <c r="I24" s="194"/>
      <c r="J24" s="194"/>
      <c r="K24" s="194"/>
    </row>
    <row r="25">
      <c r="A25" s="195"/>
      <c r="B25" s="196" t="str">
        <f t="shared" si="1"/>
        <v>TC_03.16</v>
      </c>
      <c r="C25" s="196" t="s">
        <v>75</v>
      </c>
      <c r="D25" s="197" t="s">
        <v>180</v>
      </c>
      <c r="E25" s="195"/>
      <c r="F25" s="198" t="s">
        <v>181</v>
      </c>
      <c r="G25" s="198" t="s">
        <v>182</v>
      </c>
      <c r="H25" s="194"/>
      <c r="I25" s="194"/>
      <c r="J25" s="194"/>
      <c r="K25" s="194"/>
    </row>
    <row r="26">
      <c r="A26" s="195"/>
      <c r="B26" s="196" t="str">
        <f t="shared" si="1"/>
        <v>TC_03.17</v>
      </c>
      <c r="C26" s="196" t="s">
        <v>75</v>
      </c>
      <c r="D26" s="197" t="s">
        <v>183</v>
      </c>
      <c r="E26" s="195"/>
      <c r="F26" s="198" t="s">
        <v>184</v>
      </c>
      <c r="G26" s="198" t="s">
        <v>185</v>
      </c>
      <c r="H26" s="194"/>
      <c r="I26" s="194"/>
      <c r="J26" s="194"/>
      <c r="K26" s="194"/>
    </row>
    <row r="27">
      <c r="A27" s="195"/>
      <c r="B27" s="196" t="str">
        <f t="shared" si="1"/>
        <v>TC_03.18</v>
      </c>
      <c r="C27" s="196" t="s">
        <v>75</v>
      </c>
      <c r="D27" s="197" t="s">
        <v>186</v>
      </c>
      <c r="E27" s="195"/>
      <c r="F27" s="198" t="s">
        <v>187</v>
      </c>
      <c r="G27" s="199" t="s">
        <v>188</v>
      </c>
      <c r="H27" s="194"/>
      <c r="I27" s="194"/>
      <c r="J27" s="194"/>
      <c r="K27" s="194"/>
    </row>
    <row r="28">
      <c r="A28" s="195"/>
      <c r="B28" s="193" t="s">
        <v>189</v>
      </c>
      <c r="C28" s="148"/>
      <c r="D28" s="148"/>
      <c r="E28" s="148"/>
      <c r="F28" s="148"/>
      <c r="G28" s="171"/>
      <c r="H28" s="194"/>
      <c r="I28" s="194"/>
      <c r="J28" s="194"/>
      <c r="K28" s="194"/>
    </row>
    <row r="29">
      <c r="A29" s="195"/>
      <c r="B29" s="196" t="str">
        <f t="shared" ref="B29:B42" si="2">IF(D29="","",$D$3&amp;"."&amp;COUNTA($D$9:D29)&amp;"")</f>
        <v>TC_03.19</v>
      </c>
      <c r="C29" s="196" t="s">
        <v>75</v>
      </c>
      <c r="D29" s="197" t="s">
        <v>190</v>
      </c>
      <c r="E29" s="195"/>
      <c r="F29" s="198" t="s">
        <v>191</v>
      </c>
      <c r="G29" s="199" t="s">
        <v>192</v>
      </c>
      <c r="H29" s="194"/>
      <c r="I29" s="194"/>
      <c r="J29" s="194"/>
      <c r="K29" s="194"/>
    </row>
    <row r="30">
      <c r="A30" s="195"/>
      <c r="B30" s="196" t="str">
        <f t="shared" si="2"/>
        <v>TC_03.20</v>
      </c>
      <c r="C30" s="196" t="s">
        <v>75</v>
      </c>
      <c r="D30" s="197" t="s">
        <v>193</v>
      </c>
      <c r="E30" s="195"/>
      <c r="F30" s="198" t="s">
        <v>194</v>
      </c>
      <c r="G30" s="198" t="s">
        <v>195</v>
      </c>
      <c r="H30" s="194"/>
      <c r="I30" s="194"/>
      <c r="J30" s="194"/>
      <c r="K30" s="194"/>
    </row>
    <row r="31">
      <c r="A31" s="195"/>
      <c r="B31" s="196" t="str">
        <f t="shared" si="2"/>
        <v>TC_03.21</v>
      </c>
      <c r="C31" s="196" t="s">
        <v>75</v>
      </c>
      <c r="D31" s="197" t="s">
        <v>196</v>
      </c>
      <c r="E31" s="195"/>
      <c r="F31" s="198" t="s">
        <v>197</v>
      </c>
      <c r="G31" s="198" t="s">
        <v>195</v>
      </c>
      <c r="H31" s="194"/>
      <c r="I31" s="194"/>
      <c r="J31" s="194"/>
      <c r="K31" s="194"/>
    </row>
    <row r="32">
      <c r="A32" s="195"/>
      <c r="B32" s="196" t="str">
        <f t="shared" si="2"/>
        <v>TC_03.22</v>
      </c>
      <c r="C32" s="196" t="s">
        <v>75</v>
      </c>
      <c r="D32" s="197" t="s">
        <v>198</v>
      </c>
      <c r="E32" s="195"/>
      <c r="F32" s="198" t="s">
        <v>199</v>
      </c>
      <c r="G32" s="198" t="s">
        <v>200</v>
      </c>
      <c r="H32" s="194"/>
      <c r="I32" s="194"/>
      <c r="J32" s="194"/>
      <c r="K32" s="194"/>
    </row>
    <row r="33">
      <c r="A33" s="195"/>
      <c r="B33" s="196" t="str">
        <f t="shared" si="2"/>
        <v>TC_03.23</v>
      </c>
      <c r="C33" s="196" t="s">
        <v>75</v>
      </c>
      <c r="D33" s="197" t="s">
        <v>201</v>
      </c>
      <c r="E33" s="195"/>
      <c r="F33" s="198" t="s">
        <v>202</v>
      </c>
      <c r="G33" s="198" t="s">
        <v>203</v>
      </c>
      <c r="H33" s="194"/>
      <c r="I33" s="194"/>
      <c r="J33" s="194"/>
      <c r="K33" s="194"/>
    </row>
    <row r="34">
      <c r="A34" s="195"/>
      <c r="B34" s="196" t="str">
        <f t="shared" si="2"/>
        <v>TC_03.24</v>
      </c>
      <c r="C34" s="196" t="s">
        <v>75</v>
      </c>
      <c r="D34" s="197" t="s">
        <v>204</v>
      </c>
      <c r="E34" s="195"/>
      <c r="F34" s="198" t="s">
        <v>205</v>
      </c>
      <c r="G34" s="198" t="s">
        <v>206</v>
      </c>
      <c r="H34" s="194"/>
      <c r="I34" s="194"/>
      <c r="J34" s="194"/>
      <c r="K34" s="194"/>
    </row>
    <row r="35">
      <c r="A35" s="195"/>
      <c r="B35" s="196" t="str">
        <f t="shared" si="2"/>
        <v>TC_03.25</v>
      </c>
      <c r="C35" s="196" t="s">
        <v>75</v>
      </c>
      <c r="D35" s="197" t="s">
        <v>207</v>
      </c>
      <c r="E35" s="195"/>
      <c r="F35" s="198" t="s">
        <v>208</v>
      </c>
      <c r="G35" s="198" t="s">
        <v>209</v>
      </c>
      <c r="H35" s="194"/>
      <c r="I35" s="194"/>
      <c r="J35" s="194"/>
      <c r="K35" s="194"/>
    </row>
    <row r="36">
      <c r="A36" s="195"/>
      <c r="B36" s="196" t="str">
        <f t="shared" si="2"/>
        <v>TC_03.26</v>
      </c>
      <c r="C36" s="196" t="s">
        <v>75</v>
      </c>
      <c r="D36" s="197" t="s">
        <v>210</v>
      </c>
      <c r="E36" s="195"/>
      <c r="F36" s="198" t="s">
        <v>211</v>
      </c>
      <c r="G36" s="198" t="s">
        <v>212</v>
      </c>
      <c r="H36" s="194"/>
      <c r="I36" s="194"/>
      <c r="J36" s="194"/>
      <c r="K36" s="194"/>
    </row>
    <row r="37">
      <c r="A37" s="195"/>
      <c r="B37" s="196" t="str">
        <f t="shared" si="2"/>
        <v>TC_03.27</v>
      </c>
      <c r="C37" s="196" t="s">
        <v>75</v>
      </c>
      <c r="D37" s="197" t="s">
        <v>213</v>
      </c>
      <c r="E37" s="195"/>
      <c r="F37" s="198" t="s">
        <v>214</v>
      </c>
      <c r="G37" s="198" t="s">
        <v>215</v>
      </c>
      <c r="H37" s="194"/>
      <c r="I37" s="194"/>
      <c r="J37" s="194"/>
      <c r="K37" s="194"/>
    </row>
    <row r="38">
      <c r="A38" s="195"/>
      <c r="B38" s="196" t="str">
        <f t="shared" si="2"/>
        <v>TC_03.28</v>
      </c>
      <c r="C38" s="196" t="s">
        <v>75</v>
      </c>
      <c r="D38" s="197" t="s">
        <v>216</v>
      </c>
      <c r="E38" s="195"/>
      <c r="F38" s="198" t="s">
        <v>217</v>
      </c>
      <c r="G38" s="198" t="s">
        <v>218</v>
      </c>
      <c r="H38" s="194"/>
      <c r="I38" s="194"/>
      <c r="J38" s="194"/>
      <c r="K38" s="194"/>
    </row>
    <row r="39">
      <c r="A39" s="195"/>
      <c r="B39" s="196" t="str">
        <f t="shared" si="2"/>
        <v>TC_03.29</v>
      </c>
      <c r="C39" s="196" t="s">
        <v>75</v>
      </c>
      <c r="D39" s="197" t="s">
        <v>219</v>
      </c>
      <c r="E39" s="195"/>
      <c r="F39" s="198" t="s">
        <v>220</v>
      </c>
      <c r="G39" s="198" t="s">
        <v>221</v>
      </c>
      <c r="H39" s="194"/>
      <c r="I39" s="194"/>
      <c r="J39" s="194"/>
      <c r="K39" s="194"/>
    </row>
    <row r="40">
      <c r="A40" s="195"/>
      <c r="B40" s="196" t="str">
        <f t="shared" si="2"/>
        <v>TC_03.30</v>
      </c>
      <c r="C40" s="196" t="s">
        <v>75</v>
      </c>
      <c r="D40" s="197" t="s">
        <v>222</v>
      </c>
      <c r="E40" s="195"/>
      <c r="F40" s="198" t="s">
        <v>223</v>
      </c>
      <c r="G40" s="198" t="s">
        <v>224</v>
      </c>
      <c r="H40" s="194"/>
      <c r="I40" s="194"/>
      <c r="J40" s="194"/>
      <c r="K40" s="194"/>
    </row>
    <row r="41">
      <c r="A41" s="195"/>
      <c r="B41" s="196" t="str">
        <f t="shared" si="2"/>
        <v>TC_03.31</v>
      </c>
      <c r="C41" s="196" t="s">
        <v>75</v>
      </c>
      <c r="D41" s="197" t="s">
        <v>225</v>
      </c>
      <c r="E41" s="195"/>
      <c r="F41" s="198" t="s">
        <v>226</v>
      </c>
      <c r="G41" s="198" t="s">
        <v>227</v>
      </c>
      <c r="H41" s="194"/>
      <c r="I41" s="194"/>
      <c r="J41" s="194"/>
      <c r="K41" s="194"/>
    </row>
    <row r="42">
      <c r="A42" s="195"/>
      <c r="B42" s="196" t="str">
        <f t="shared" si="2"/>
        <v>TC_03.32</v>
      </c>
      <c r="C42" s="196" t="s">
        <v>75</v>
      </c>
      <c r="D42" s="197" t="s">
        <v>228</v>
      </c>
      <c r="E42" s="195"/>
      <c r="F42" s="198" t="s">
        <v>229</v>
      </c>
      <c r="G42" s="198" t="s">
        <v>230</v>
      </c>
      <c r="H42" s="194"/>
      <c r="I42" s="194"/>
      <c r="J42" s="194"/>
      <c r="K42" s="194"/>
    </row>
    <row r="43">
      <c r="A43" s="195"/>
      <c r="B43" s="193" t="s">
        <v>231</v>
      </c>
      <c r="C43" s="148"/>
      <c r="D43" s="148"/>
      <c r="E43" s="148"/>
      <c r="F43" s="148"/>
      <c r="G43" s="171"/>
      <c r="H43" s="194"/>
      <c r="I43" s="194"/>
      <c r="J43" s="194"/>
      <c r="K43" s="194"/>
    </row>
    <row r="44">
      <c r="A44" s="195"/>
      <c r="B44" s="196" t="str">
        <f t="shared" ref="B44:B53" si="3">IF(D44="","",$D$3&amp;"."&amp;COUNTA($D$9:D44)&amp;"")</f>
        <v>TC_03.33</v>
      </c>
      <c r="C44" s="196" t="s">
        <v>75</v>
      </c>
      <c r="D44" s="197" t="s">
        <v>232</v>
      </c>
      <c r="E44" s="195"/>
      <c r="F44" s="198" t="s">
        <v>233</v>
      </c>
      <c r="G44" s="198" t="s">
        <v>234</v>
      </c>
      <c r="H44" s="194"/>
      <c r="I44" s="194"/>
      <c r="J44" s="194"/>
      <c r="K44" s="194"/>
    </row>
    <row r="45">
      <c r="A45" s="195"/>
      <c r="B45" s="196" t="str">
        <f t="shared" si="3"/>
        <v>TC_03.34</v>
      </c>
      <c r="C45" s="196" t="s">
        <v>75</v>
      </c>
      <c r="D45" s="197" t="s">
        <v>235</v>
      </c>
      <c r="E45" s="195"/>
      <c r="F45" s="198" t="s">
        <v>236</v>
      </c>
      <c r="G45" s="198" t="s">
        <v>237</v>
      </c>
      <c r="H45" s="194"/>
      <c r="I45" s="194"/>
      <c r="J45" s="194"/>
      <c r="K45" s="194"/>
    </row>
    <row r="46">
      <c r="A46" s="195"/>
      <c r="B46" s="196" t="str">
        <f t="shared" si="3"/>
        <v>TC_03.35</v>
      </c>
      <c r="C46" s="196" t="s">
        <v>75</v>
      </c>
      <c r="D46" s="197" t="s">
        <v>238</v>
      </c>
      <c r="E46" s="195"/>
      <c r="F46" s="198" t="s">
        <v>239</v>
      </c>
      <c r="G46" s="198" t="s">
        <v>240</v>
      </c>
      <c r="H46" s="194"/>
      <c r="I46" s="194"/>
      <c r="J46" s="194"/>
      <c r="K46" s="194"/>
    </row>
    <row r="47">
      <c r="A47" s="195"/>
      <c r="B47" s="196" t="str">
        <f t="shared" si="3"/>
        <v>TC_03.36</v>
      </c>
      <c r="C47" s="196" t="s">
        <v>75</v>
      </c>
      <c r="D47" s="197" t="s">
        <v>241</v>
      </c>
      <c r="E47" s="195"/>
      <c r="F47" s="198" t="s">
        <v>242</v>
      </c>
      <c r="G47" s="200" t="s">
        <v>243</v>
      </c>
      <c r="H47" s="194"/>
      <c r="I47" s="194"/>
      <c r="J47" s="194"/>
      <c r="K47" s="194"/>
    </row>
    <row r="48">
      <c r="A48" s="195"/>
      <c r="B48" s="196" t="str">
        <f t="shared" si="3"/>
        <v>TC_03.37</v>
      </c>
      <c r="C48" s="196" t="s">
        <v>75</v>
      </c>
      <c r="D48" s="197" t="s">
        <v>244</v>
      </c>
      <c r="E48" s="195"/>
      <c r="F48" s="198" t="s">
        <v>245</v>
      </c>
      <c r="G48" s="200" t="s">
        <v>246</v>
      </c>
      <c r="H48" s="194"/>
      <c r="I48" s="194"/>
      <c r="J48" s="194"/>
      <c r="K48" s="194"/>
    </row>
    <row r="49">
      <c r="A49" s="195"/>
      <c r="B49" s="196" t="str">
        <f t="shared" si="3"/>
        <v>TC_03.38</v>
      </c>
      <c r="C49" s="196" t="s">
        <v>75</v>
      </c>
      <c r="D49" s="197" t="s">
        <v>247</v>
      </c>
      <c r="E49" s="195"/>
      <c r="F49" s="198" t="s">
        <v>248</v>
      </c>
      <c r="G49" s="200" t="s">
        <v>249</v>
      </c>
      <c r="H49" s="194"/>
      <c r="I49" s="194"/>
      <c r="J49" s="194"/>
      <c r="K49" s="194"/>
    </row>
    <row r="50">
      <c r="A50" s="195"/>
      <c r="B50" s="196" t="str">
        <f t="shared" si="3"/>
        <v>TC_03.39</v>
      </c>
      <c r="C50" s="196" t="s">
        <v>75</v>
      </c>
      <c r="D50" s="197" t="s">
        <v>250</v>
      </c>
      <c r="E50" s="195"/>
      <c r="F50" s="198" t="s">
        <v>251</v>
      </c>
      <c r="G50" s="198" t="s">
        <v>252</v>
      </c>
      <c r="H50" s="194"/>
      <c r="I50" s="194"/>
      <c r="J50" s="194"/>
      <c r="K50" s="194"/>
    </row>
    <row r="51">
      <c r="A51" s="195"/>
      <c r="B51" s="196" t="str">
        <f t="shared" si="3"/>
        <v>TC_03.40</v>
      </c>
      <c r="C51" s="196" t="s">
        <v>75</v>
      </c>
      <c r="D51" s="197" t="s">
        <v>253</v>
      </c>
      <c r="E51" s="195"/>
      <c r="F51" s="198" t="s">
        <v>254</v>
      </c>
      <c r="G51" s="201" t="s">
        <v>255</v>
      </c>
      <c r="H51" s="194"/>
      <c r="I51" s="194"/>
      <c r="J51" s="194"/>
      <c r="K51" s="194"/>
    </row>
    <row r="52">
      <c r="A52" s="195"/>
      <c r="B52" s="196" t="str">
        <f t="shared" si="3"/>
        <v>TC_03.41</v>
      </c>
      <c r="C52" s="196" t="s">
        <v>75</v>
      </c>
      <c r="D52" s="197" t="s">
        <v>256</v>
      </c>
      <c r="E52" s="195"/>
      <c r="F52" s="198" t="s">
        <v>257</v>
      </c>
      <c r="G52" s="200" t="s">
        <v>258</v>
      </c>
      <c r="H52" s="194"/>
      <c r="I52" s="194"/>
      <c r="J52" s="194"/>
      <c r="K52" s="194"/>
    </row>
    <row r="53">
      <c r="A53" s="195"/>
      <c r="B53" s="196" t="str">
        <f t="shared" si="3"/>
        <v>TC_03.42</v>
      </c>
      <c r="C53" s="196" t="s">
        <v>75</v>
      </c>
      <c r="D53" s="197" t="s">
        <v>259</v>
      </c>
      <c r="E53" s="195"/>
      <c r="F53" s="198" t="s">
        <v>260</v>
      </c>
      <c r="G53" s="200" t="s">
        <v>261</v>
      </c>
      <c r="H53" s="194"/>
      <c r="I53" s="194"/>
      <c r="J53" s="194"/>
      <c r="K53" s="194"/>
    </row>
    <row r="54">
      <c r="A54" s="195"/>
      <c r="B54" s="193" t="s">
        <v>262</v>
      </c>
      <c r="C54" s="148"/>
      <c r="D54" s="148"/>
      <c r="E54" s="148"/>
      <c r="F54" s="148"/>
      <c r="G54" s="171"/>
      <c r="H54" s="194"/>
      <c r="I54" s="194"/>
      <c r="J54" s="194"/>
      <c r="K54" s="194"/>
    </row>
    <row r="55">
      <c r="A55" s="195"/>
      <c r="B55" s="196" t="str">
        <f t="shared" ref="B55:B69" si="4">IF(D55="","",$D$3&amp;"."&amp;COUNTA($D$9:D55)&amp;"")</f>
        <v>TC_03.43</v>
      </c>
      <c r="C55" s="196" t="s">
        <v>75</v>
      </c>
      <c r="D55" s="197" t="s">
        <v>263</v>
      </c>
      <c r="E55" s="195"/>
      <c r="F55" s="198" t="s">
        <v>264</v>
      </c>
      <c r="G55" s="198" t="s">
        <v>265</v>
      </c>
      <c r="H55" s="194"/>
      <c r="I55" s="194"/>
      <c r="J55" s="194"/>
      <c r="K55" s="194"/>
    </row>
    <row r="56">
      <c r="A56" s="195"/>
      <c r="B56" s="196" t="str">
        <f t="shared" si="4"/>
        <v>TC_03.44</v>
      </c>
      <c r="C56" s="196" t="s">
        <v>75</v>
      </c>
      <c r="D56" s="197" t="s">
        <v>266</v>
      </c>
      <c r="E56" s="195"/>
      <c r="F56" s="198" t="s">
        <v>267</v>
      </c>
      <c r="G56" s="198" t="s">
        <v>268</v>
      </c>
      <c r="H56" s="194"/>
      <c r="I56" s="194"/>
      <c r="J56" s="194"/>
      <c r="K56" s="194"/>
    </row>
    <row r="57">
      <c r="A57" s="195"/>
      <c r="B57" s="196" t="str">
        <f t="shared" si="4"/>
        <v>TC_03.45</v>
      </c>
      <c r="C57" s="196" t="s">
        <v>75</v>
      </c>
      <c r="D57" s="197" t="s">
        <v>269</v>
      </c>
      <c r="E57" s="195"/>
      <c r="F57" s="198" t="s">
        <v>270</v>
      </c>
      <c r="G57" s="198" t="s">
        <v>271</v>
      </c>
      <c r="H57" s="202"/>
      <c r="I57" s="202"/>
      <c r="J57" s="202"/>
      <c r="K57" s="194"/>
    </row>
    <row r="58">
      <c r="A58" s="195"/>
      <c r="B58" s="196" t="str">
        <f t="shared" si="4"/>
        <v>TC_03.46</v>
      </c>
      <c r="C58" s="196" t="s">
        <v>75</v>
      </c>
      <c r="D58" s="197" t="s">
        <v>272</v>
      </c>
      <c r="E58" s="195"/>
      <c r="F58" s="198" t="s">
        <v>270</v>
      </c>
      <c r="G58" s="198" t="s">
        <v>273</v>
      </c>
      <c r="H58" s="202"/>
      <c r="I58" s="202"/>
      <c r="J58" s="202"/>
      <c r="K58" s="194"/>
    </row>
    <row r="59">
      <c r="A59" s="195"/>
      <c r="B59" s="196" t="str">
        <f t="shared" si="4"/>
        <v>TC_03.47</v>
      </c>
      <c r="C59" s="196" t="s">
        <v>75</v>
      </c>
      <c r="D59" s="197" t="s">
        <v>274</v>
      </c>
      <c r="E59" s="195"/>
      <c r="F59" s="198" t="s">
        <v>275</v>
      </c>
      <c r="G59" s="200" t="s">
        <v>276</v>
      </c>
      <c r="H59" s="202"/>
      <c r="I59" s="202"/>
      <c r="J59" s="202"/>
      <c r="K59" s="202"/>
    </row>
    <row r="60">
      <c r="A60" s="195"/>
      <c r="B60" s="196" t="str">
        <f t="shared" si="4"/>
        <v>TC_03.48</v>
      </c>
      <c r="C60" s="196" t="s">
        <v>75</v>
      </c>
      <c r="D60" s="203" t="s">
        <v>277</v>
      </c>
      <c r="E60" s="195"/>
      <c r="F60" s="198" t="s">
        <v>278</v>
      </c>
      <c r="G60" s="200" t="s">
        <v>279</v>
      </c>
      <c r="H60" s="202"/>
      <c r="I60" s="202"/>
      <c r="J60" s="202"/>
      <c r="K60" s="202"/>
    </row>
    <row r="61">
      <c r="A61" s="195"/>
      <c r="B61" s="196" t="str">
        <f t="shared" si="4"/>
        <v>TC_03.49</v>
      </c>
      <c r="C61" s="196" t="s">
        <v>75</v>
      </c>
      <c r="D61" s="203" t="s">
        <v>280</v>
      </c>
      <c r="E61" s="195"/>
      <c r="F61" s="198" t="s">
        <v>281</v>
      </c>
      <c r="G61" s="200" t="s">
        <v>282</v>
      </c>
      <c r="H61" s="202"/>
      <c r="I61" s="202"/>
      <c r="J61" s="202"/>
      <c r="K61" s="202"/>
    </row>
    <row r="62">
      <c r="A62" s="195"/>
      <c r="B62" s="196" t="str">
        <f t="shared" si="4"/>
        <v>TC_03.50</v>
      </c>
      <c r="C62" s="196" t="s">
        <v>75</v>
      </c>
      <c r="D62" s="203" t="s">
        <v>283</v>
      </c>
      <c r="E62" s="195"/>
      <c r="F62" s="198" t="s">
        <v>284</v>
      </c>
      <c r="G62" s="200" t="s">
        <v>285</v>
      </c>
      <c r="H62" s="202"/>
      <c r="I62" s="202"/>
      <c r="J62" s="202"/>
      <c r="K62" s="202"/>
    </row>
    <row r="63">
      <c r="A63" s="195"/>
      <c r="B63" s="196" t="str">
        <f t="shared" si="4"/>
        <v>TC_03.51</v>
      </c>
      <c r="C63" s="196" t="s">
        <v>75</v>
      </c>
      <c r="D63" s="203" t="s">
        <v>286</v>
      </c>
      <c r="E63" s="195"/>
      <c r="F63" s="198" t="s">
        <v>287</v>
      </c>
      <c r="G63" s="200" t="s">
        <v>288</v>
      </c>
      <c r="H63" s="202"/>
      <c r="I63" s="202"/>
      <c r="J63" s="202"/>
      <c r="K63" s="202"/>
    </row>
    <row r="64">
      <c r="A64" s="195"/>
      <c r="B64" s="196" t="str">
        <f t="shared" si="4"/>
        <v>TC_03.52</v>
      </c>
      <c r="C64" s="196" t="s">
        <v>75</v>
      </c>
      <c r="D64" s="203" t="s">
        <v>289</v>
      </c>
      <c r="E64" s="195"/>
      <c r="F64" s="198" t="s">
        <v>290</v>
      </c>
      <c r="G64" s="200" t="s">
        <v>291</v>
      </c>
      <c r="H64" s="202"/>
      <c r="I64" s="202"/>
      <c r="J64" s="202"/>
      <c r="K64" s="202"/>
    </row>
    <row r="65">
      <c r="A65" s="195"/>
      <c r="B65" s="196" t="str">
        <f t="shared" si="4"/>
        <v>TC_03.53</v>
      </c>
      <c r="C65" s="196" t="s">
        <v>75</v>
      </c>
      <c r="D65" s="203" t="s">
        <v>292</v>
      </c>
      <c r="E65" s="195"/>
      <c r="F65" s="198" t="s">
        <v>293</v>
      </c>
      <c r="G65" s="200" t="s">
        <v>294</v>
      </c>
      <c r="H65" s="202"/>
      <c r="I65" s="202"/>
      <c r="J65" s="202"/>
      <c r="K65" s="202"/>
    </row>
    <row r="66">
      <c r="A66" s="195"/>
      <c r="B66" s="196" t="str">
        <f t="shared" si="4"/>
        <v>TC_03.54</v>
      </c>
      <c r="C66" s="196" t="s">
        <v>75</v>
      </c>
      <c r="D66" s="203" t="s">
        <v>295</v>
      </c>
      <c r="E66" s="195"/>
      <c r="F66" s="198" t="s">
        <v>296</v>
      </c>
      <c r="G66" s="200" t="s">
        <v>297</v>
      </c>
      <c r="H66" s="202"/>
      <c r="I66" s="202"/>
      <c r="J66" s="202"/>
      <c r="K66" s="202"/>
    </row>
    <row r="67">
      <c r="A67" s="195"/>
      <c r="B67" s="196" t="str">
        <f t="shared" si="4"/>
        <v>TC_03.55</v>
      </c>
      <c r="C67" s="196" t="s">
        <v>75</v>
      </c>
      <c r="D67" s="203" t="s">
        <v>298</v>
      </c>
      <c r="E67" s="195"/>
      <c r="F67" s="198" t="s">
        <v>299</v>
      </c>
      <c r="G67" s="200" t="s">
        <v>297</v>
      </c>
      <c r="H67" s="202"/>
      <c r="I67" s="202"/>
      <c r="J67" s="202"/>
      <c r="K67" s="202"/>
    </row>
    <row r="68">
      <c r="A68" s="195"/>
      <c r="B68" s="196" t="str">
        <f t="shared" si="4"/>
        <v>TC_03.56</v>
      </c>
      <c r="C68" s="196" t="s">
        <v>75</v>
      </c>
      <c r="D68" s="197" t="s">
        <v>300</v>
      </c>
      <c r="E68" s="195"/>
      <c r="F68" s="198" t="s">
        <v>299</v>
      </c>
      <c r="G68" s="200" t="s">
        <v>301</v>
      </c>
      <c r="H68" s="194"/>
      <c r="I68" s="194"/>
      <c r="J68" s="194"/>
      <c r="K68" s="194"/>
    </row>
    <row r="69">
      <c r="A69" s="195"/>
      <c r="B69" s="196" t="str">
        <f t="shared" si="4"/>
        <v>TC_03.57</v>
      </c>
      <c r="C69" s="196" t="s">
        <v>75</v>
      </c>
      <c r="D69" s="203" t="s">
        <v>302</v>
      </c>
      <c r="E69" s="195"/>
      <c r="F69" s="198" t="s">
        <v>303</v>
      </c>
      <c r="G69" s="200" t="s">
        <v>304</v>
      </c>
      <c r="H69" s="202"/>
      <c r="I69" s="202"/>
      <c r="J69" s="202"/>
      <c r="K69" s="202"/>
    </row>
    <row r="70">
      <c r="A70" s="195"/>
      <c r="B70" s="193" t="s">
        <v>305</v>
      </c>
      <c r="C70" s="148"/>
      <c r="D70" s="148"/>
      <c r="E70" s="148"/>
      <c r="F70" s="148"/>
      <c r="G70" s="171"/>
      <c r="H70" s="194"/>
      <c r="I70" s="194"/>
      <c r="J70" s="194"/>
      <c r="K70" s="194"/>
    </row>
    <row r="71">
      <c r="A71" s="195"/>
      <c r="B71" s="196" t="str">
        <f t="shared" ref="B71:B95" si="5">IF(D71="","",$D$3&amp;"."&amp;COUNTA($D$9:D71)&amp;"")</f>
        <v>TC_03.58</v>
      </c>
      <c r="C71" s="196" t="s">
        <v>75</v>
      </c>
      <c r="D71" s="197" t="s">
        <v>306</v>
      </c>
      <c r="E71" s="198" t="s">
        <v>307</v>
      </c>
      <c r="F71" s="198" t="s">
        <v>308</v>
      </c>
      <c r="G71" s="198" t="s">
        <v>309</v>
      </c>
      <c r="H71" s="194"/>
      <c r="I71" s="194"/>
      <c r="J71" s="194"/>
      <c r="K71" s="194"/>
    </row>
    <row r="72">
      <c r="A72" s="195"/>
      <c r="B72" s="196" t="str">
        <f t="shared" si="5"/>
        <v>TC_03.59</v>
      </c>
      <c r="C72" s="196" t="s">
        <v>75</v>
      </c>
      <c r="D72" s="197" t="s">
        <v>310</v>
      </c>
      <c r="E72" s="195"/>
      <c r="F72" s="198" t="s">
        <v>311</v>
      </c>
      <c r="G72" s="198" t="s">
        <v>312</v>
      </c>
      <c r="H72" s="194"/>
      <c r="I72" s="194"/>
      <c r="J72" s="194"/>
      <c r="K72" s="194"/>
    </row>
    <row r="73">
      <c r="A73" s="195"/>
      <c r="B73" s="196" t="str">
        <f t="shared" si="5"/>
        <v>TC_03.60</v>
      </c>
      <c r="C73" s="196" t="s">
        <v>75</v>
      </c>
      <c r="D73" s="197" t="s">
        <v>313</v>
      </c>
      <c r="E73" s="195"/>
      <c r="F73" s="198" t="s">
        <v>314</v>
      </c>
      <c r="G73" s="198" t="s">
        <v>315</v>
      </c>
      <c r="H73" s="194"/>
      <c r="I73" s="194"/>
      <c r="J73" s="194"/>
      <c r="K73" s="194"/>
    </row>
    <row r="74">
      <c r="A74" s="195"/>
      <c r="B74" s="196" t="str">
        <f t="shared" si="5"/>
        <v>TC_03.61</v>
      </c>
      <c r="C74" s="196" t="s">
        <v>75</v>
      </c>
      <c r="D74" s="197" t="s">
        <v>162</v>
      </c>
      <c r="E74" s="195"/>
      <c r="F74" s="198" t="s">
        <v>316</v>
      </c>
      <c r="G74" s="198" t="s">
        <v>317</v>
      </c>
      <c r="H74" s="194"/>
      <c r="I74" s="194"/>
      <c r="J74" s="194"/>
      <c r="K74" s="194"/>
    </row>
    <row r="75">
      <c r="A75" s="195"/>
      <c r="B75" s="196" t="str">
        <f t="shared" si="5"/>
        <v>TC_03.62</v>
      </c>
      <c r="C75" s="196" t="s">
        <v>75</v>
      </c>
      <c r="D75" s="197" t="s">
        <v>318</v>
      </c>
      <c r="E75" s="195"/>
      <c r="F75" s="198" t="s">
        <v>319</v>
      </c>
      <c r="G75" s="198" t="s">
        <v>320</v>
      </c>
      <c r="H75" s="194"/>
      <c r="I75" s="194"/>
      <c r="J75" s="194"/>
      <c r="K75" s="194"/>
    </row>
    <row r="76">
      <c r="A76" s="195"/>
      <c r="B76" s="196" t="str">
        <f t="shared" si="5"/>
        <v>TC_03.63</v>
      </c>
      <c r="C76" s="196" t="s">
        <v>75</v>
      </c>
      <c r="D76" s="197" t="s">
        <v>321</v>
      </c>
      <c r="E76" s="198" t="s">
        <v>322</v>
      </c>
      <c r="F76" s="198" t="s">
        <v>323</v>
      </c>
      <c r="G76" s="198" t="s">
        <v>324</v>
      </c>
      <c r="H76" s="194"/>
      <c r="I76" s="194"/>
      <c r="J76" s="194"/>
      <c r="K76" s="194"/>
    </row>
    <row r="77">
      <c r="A77" s="195"/>
      <c r="B77" s="196" t="str">
        <f t="shared" si="5"/>
        <v>TC_03.64</v>
      </c>
      <c r="C77" s="196" t="s">
        <v>75</v>
      </c>
      <c r="D77" s="197" t="s">
        <v>165</v>
      </c>
      <c r="E77" s="195"/>
      <c r="F77" s="198" t="s">
        <v>319</v>
      </c>
      <c r="G77" s="198" t="s">
        <v>325</v>
      </c>
      <c r="H77" s="194"/>
      <c r="I77" s="194"/>
      <c r="J77" s="194"/>
      <c r="K77" s="194"/>
    </row>
    <row r="78">
      <c r="A78" s="195"/>
      <c r="B78" s="196" t="str">
        <f t="shared" si="5"/>
        <v>TC_03.65</v>
      </c>
      <c r="C78" s="196" t="s">
        <v>75</v>
      </c>
      <c r="D78" s="197" t="s">
        <v>168</v>
      </c>
      <c r="E78" s="195"/>
      <c r="F78" s="198" t="s">
        <v>326</v>
      </c>
      <c r="G78" s="198" t="s">
        <v>327</v>
      </c>
      <c r="H78" s="194"/>
      <c r="I78" s="194"/>
      <c r="J78" s="194"/>
      <c r="K78" s="194"/>
    </row>
    <row r="79">
      <c r="A79" s="195"/>
      <c r="B79" s="196" t="str">
        <f t="shared" si="5"/>
        <v>TC_03.66</v>
      </c>
      <c r="C79" s="196" t="s">
        <v>75</v>
      </c>
      <c r="D79" s="197" t="s">
        <v>171</v>
      </c>
      <c r="E79" s="195"/>
      <c r="F79" s="198" t="s">
        <v>328</v>
      </c>
      <c r="G79" s="198" t="s">
        <v>329</v>
      </c>
      <c r="H79" s="194"/>
      <c r="I79" s="194"/>
      <c r="J79" s="194"/>
      <c r="K79" s="194"/>
    </row>
    <row r="80">
      <c r="A80" s="195"/>
      <c r="B80" s="196" t="str">
        <f t="shared" si="5"/>
        <v>TC_03.67</v>
      </c>
      <c r="C80" s="196" t="s">
        <v>75</v>
      </c>
      <c r="D80" s="197" t="s">
        <v>330</v>
      </c>
      <c r="E80" s="195"/>
      <c r="F80" s="198" t="s">
        <v>331</v>
      </c>
      <c r="G80" s="198" t="s">
        <v>332</v>
      </c>
      <c r="H80" s="194"/>
      <c r="I80" s="194"/>
      <c r="J80" s="194"/>
      <c r="K80" s="194"/>
    </row>
    <row r="81">
      <c r="A81" s="195"/>
      <c r="B81" s="196" t="str">
        <f t="shared" si="5"/>
        <v>TC_03.68</v>
      </c>
      <c r="C81" s="196" t="s">
        <v>75</v>
      </c>
      <c r="D81" s="197" t="s">
        <v>333</v>
      </c>
      <c r="E81" s="195"/>
      <c r="F81" s="198" t="s">
        <v>334</v>
      </c>
      <c r="G81" s="198" t="s">
        <v>335</v>
      </c>
      <c r="H81" s="194"/>
      <c r="I81" s="194"/>
      <c r="J81" s="194"/>
      <c r="K81" s="194"/>
    </row>
    <row r="82">
      <c r="A82" s="195"/>
      <c r="B82" s="196" t="str">
        <f t="shared" si="5"/>
        <v>TC_03.69</v>
      </c>
      <c r="C82" s="196" t="s">
        <v>75</v>
      </c>
      <c r="D82" s="203" t="s">
        <v>336</v>
      </c>
      <c r="E82" s="198" t="s">
        <v>337</v>
      </c>
      <c r="F82" s="198" t="s">
        <v>338</v>
      </c>
      <c r="G82" s="200" t="s">
        <v>339</v>
      </c>
      <c r="H82" s="194"/>
      <c r="I82" s="194"/>
      <c r="J82" s="194"/>
      <c r="K82" s="194"/>
    </row>
    <row r="83">
      <c r="A83" s="195"/>
      <c r="B83" s="196" t="str">
        <f t="shared" si="5"/>
        <v>TC_03.70</v>
      </c>
      <c r="C83" s="196" t="s">
        <v>75</v>
      </c>
      <c r="D83" s="203" t="s">
        <v>340</v>
      </c>
      <c r="E83" s="195"/>
      <c r="F83" s="198" t="s">
        <v>341</v>
      </c>
      <c r="G83" s="200" t="s">
        <v>342</v>
      </c>
      <c r="H83" s="194"/>
      <c r="I83" s="194"/>
      <c r="J83" s="194"/>
      <c r="K83" s="194"/>
    </row>
    <row r="84">
      <c r="A84" s="195"/>
      <c r="B84" s="196" t="str">
        <f t="shared" si="5"/>
        <v>TC_03.71</v>
      </c>
      <c r="C84" s="196" t="s">
        <v>75</v>
      </c>
      <c r="D84" s="197" t="s">
        <v>343</v>
      </c>
      <c r="E84" s="198" t="s">
        <v>344</v>
      </c>
      <c r="F84" s="198" t="s">
        <v>338</v>
      </c>
      <c r="G84" s="198" t="s">
        <v>345</v>
      </c>
      <c r="H84" s="194"/>
      <c r="I84" s="194"/>
      <c r="J84" s="194"/>
      <c r="K84" s="194"/>
    </row>
    <row r="85">
      <c r="A85" s="195"/>
      <c r="B85" s="196" t="str">
        <f t="shared" si="5"/>
        <v>TC_03.72</v>
      </c>
      <c r="C85" s="196" t="s">
        <v>75</v>
      </c>
      <c r="D85" s="203" t="s">
        <v>346</v>
      </c>
      <c r="E85" s="195"/>
      <c r="F85" s="198" t="s">
        <v>347</v>
      </c>
      <c r="G85" s="200" t="s">
        <v>348</v>
      </c>
      <c r="H85" s="194"/>
      <c r="I85" s="194"/>
      <c r="J85" s="194"/>
      <c r="K85" s="194"/>
    </row>
    <row r="86">
      <c r="A86" s="195"/>
      <c r="B86" s="196" t="str">
        <f t="shared" si="5"/>
        <v>TC_03.73</v>
      </c>
      <c r="C86" s="196" t="s">
        <v>75</v>
      </c>
      <c r="D86" s="203" t="s">
        <v>349</v>
      </c>
      <c r="E86" s="195"/>
      <c r="F86" s="198" t="s">
        <v>350</v>
      </c>
      <c r="G86" s="200" t="s">
        <v>351</v>
      </c>
      <c r="H86" s="194"/>
      <c r="I86" s="194"/>
      <c r="J86" s="194"/>
      <c r="K86" s="194"/>
    </row>
    <row r="87">
      <c r="A87" s="195"/>
      <c r="B87" s="196" t="str">
        <f t="shared" si="5"/>
        <v>TC_03.74</v>
      </c>
      <c r="C87" s="196" t="s">
        <v>75</v>
      </c>
      <c r="D87" s="203" t="s">
        <v>352</v>
      </c>
      <c r="E87" s="195"/>
      <c r="F87" s="198" t="s">
        <v>353</v>
      </c>
      <c r="G87" s="200" t="s">
        <v>354</v>
      </c>
      <c r="H87" s="194"/>
      <c r="I87" s="194"/>
      <c r="J87" s="194"/>
      <c r="K87" s="194"/>
    </row>
    <row r="88">
      <c r="A88" s="195"/>
      <c r="B88" s="196" t="str">
        <f t="shared" si="5"/>
        <v>TC_03.75</v>
      </c>
      <c r="C88" s="196" t="s">
        <v>75</v>
      </c>
      <c r="D88" s="203" t="s">
        <v>355</v>
      </c>
      <c r="E88" s="195"/>
      <c r="F88" s="198" t="s">
        <v>356</v>
      </c>
      <c r="G88" s="200" t="s">
        <v>357</v>
      </c>
      <c r="H88" s="194"/>
      <c r="I88" s="194"/>
      <c r="J88" s="194"/>
      <c r="K88" s="194"/>
    </row>
    <row r="89">
      <c r="A89" s="195"/>
      <c r="B89" s="196" t="str">
        <f t="shared" si="5"/>
        <v>TC_03.76</v>
      </c>
      <c r="C89" s="196" t="s">
        <v>75</v>
      </c>
      <c r="D89" s="203" t="s">
        <v>358</v>
      </c>
      <c r="E89" s="195"/>
      <c r="F89" s="198" t="s">
        <v>359</v>
      </c>
      <c r="G89" s="200" t="s">
        <v>360</v>
      </c>
      <c r="H89" s="194"/>
      <c r="I89" s="194"/>
      <c r="J89" s="194"/>
      <c r="K89" s="194"/>
    </row>
    <row r="90">
      <c r="A90" s="195"/>
      <c r="B90" s="196" t="str">
        <f t="shared" si="5"/>
        <v>TC_03.77</v>
      </c>
      <c r="C90" s="196" t="s">
        <v>75</v>
      </c>
      <c r="D90" s="203" t="s">
        <v>361</v>
      </c>
      <c r="E90" s="198" t="s">
        <v>362</v>
      </c>
      <c r="F90" s="198" t="s">
        <v>363</v>
      </c>
      <c r="G90" s="200" t="s">
        <v>364</v>
      </c>
      <c r="H90" s="194"/>
      <c r="I90" s="194"/>
      <c r="J90" s="194"/>
      <c r="K90" s="194"/>
    </row>
    <row r="91">
      <c r="A91" s="195"/>
      <c r="B91" s="196" t="str">
        <f t="shared" si="5"/>
        <v>TC_03.78</v>
      </c>
      <c r="C91" s="196" t="s">
        <v>75</v>
      </c>
      <c r="D91" s="197" t="s">
        <v>365</v>
      </c>
      <c r="E91" s="195"/>
      <c r="F91" s="198" t="s">
        <v>366</v>
      </c>
      <c r="G91" s="198" t="s">
        <v>367</v>
      </c>
      <c r="H91" s="194"/>
      <c r="I91" s="194"/>
      <c r="J91" s="194"/>
      <c r="K91" s="194"/>
    </row>
    <row r="92">
      <c r="A92" s="195"/>
      <c r="B92" s="196" t="str">
        <f t="shared" si="5"/>
        <v>TC_03.79</v>
      </c>
      <c r="C92" s="196" t="s">
        <v>75</v>
      </c>
      <c r="D92" s="197" t="s">
        <v>368</v>
      </c>
      <c r="E92" s="195"/>
      <c r="F92" s="198" t="s">
        <v>369</v>
      </c>
      <c r="G92" s="198" t="s">
        <v>370</v>
      </c>
      <c r="H92" s="194"/>
      <c r="I92" s="194"/>
      <c r="J92" s="194"/>
      <c r="K92" s="194"/>
    </row>
    <row r="93">
      <c r="A93" s="195"/>
      <c r="B93" s="196" t="str">
        <f t="shared" si="5"/>
        <v>TC_03.80</v>
      </c>
      <c r="C93" s="196" t="s">
        <v>75</v>
      </c>
      <c r="D93" s="197" t="s">
        <v>371</v>
      </c>
      <c r="E93" s="195"/>
      <c r="F93" s="198" t="s">
        <v>372</v>
      </c>
      <c r="G93" s="200" t="s">
        <v>373</v>
      </c>
      <c r="H93" s="194"/>
      <c r="I93" s="194"/>
      <c r="J93" s="202"/>
      <c r="K93" s="202"/>
    </row>
    <row r="94">
      <c r="A94" s="195"/>
      <c r="B94" s="196" t="str">
        <f t="shared" si="5"/>
        <v>TC_03.81</v>
      </c>
      <c r="C94" s="196" t="s">
        <v>75</v>
      </c>
      <c r="D94" s="203" t="s">
        <v>374</v>
      </c>
      <c r="E94" s="195"/>
      <c r="F94" s="198" t="s">
        <v>375</v>
      </c>
      <c r="G94" s="200" t="s">
        <v>376</v>
      </c>
      <c r="H94" s="202"/>
      <c r="I94" s="202"/>
      <c r="J94" s="202"/>
      <c r="K94" s="202"/>
    </row>
    <row r="95">
      <c r="A95" s="195"/>
      <c r="B95" s="196" t="str">
        <f t="shared" si="5"/>
        <v>TC_03.82</v>
      </c>
      <c r="C95" s="196" t="s">
        <v>75</v>
      </c>
      <c r="D95" s="203" t="s">
        <v>377</v>
      </c>
      <c r="E95" s="195"/>
      <c r="F95" s="198" t="s">
        <v>378</v>
      </c>
      <c r="G95" s="200" t="s">
        <v>379</v>
      </c>
      <c r="H95" s="194"/>
      <c r="I95" s="194"/>
      <c r="J95" s="202"/>
      <c r="K95" s="202"/>
    </row>
    <row r="96">
      <c r="A96" s="195"/>
      <c r="B96" s="193" t="s">
        <v>380</v>
      </c>
      <c r="C96" s="148"/>
      <c r="D96" s="148"/>
      <c r="E96" s="148"/>
      <c r="F96" s="148"/>
      <c r="G96" s="171"/>
      <c r="H96" s="194"/>
      <c r="I96" s="194"/>
      <c r="J96" s="194"/>
      <c r="K96" s="194"/>
    </row>
    <row r="97">
      <c r="A97" s="204" t="s">
        <v>381</v>
      </c>
      <c r="B97" s="205" t="str">
        <f t="shared" ref="B97:B123" si="6">IF(D97="","",$D$3&amp;"."&amp;COUNTA($D$9:D97)&amp;"")</f>
        <v>TC_03.83</v>
      </c>
      <c r="C97" s="205" t="s">
        <v>75</v>
      </c>
      <c r="D97" s="206" t="s">
        <v>382</v>
      </c>
      <c r="E97" s="207"/>
      <c r="F97" s="208" t="s">
        <v>383</v>
      </c>
      <c r="G97" s="209" t="s">
        <v>384</v>
      </c>
      <c r="H97" s="210"/>
      <c r="I97" s="194"/>
      <c r="J97" s="202"/>
      <c r="K97" s="202"/>
    </row>
    <row r="98">
      <c r="A98" s="195"/>
      <c r="B98" s="196" t="str">
        <f t="shared" si="6"/>
        <v>TC_03.84</v>
      </c>
      <c r="C98" s="196" t="s">
        <v>75</v>
      </c>
      <c r="D98" s="203" t="s">
        <v>385</v>
      </c>
      <c r="E98" s="211"/>
      <c r="F98" s="198" t="s">
        <v>386</v>
      </c>
      <c r="G98" s="200" t="s">
        <v>387</v>
      </c>
      <c r="H98" s="194"/>
      <c r="I98" s="194"/>
      <c r="J98" s="202"/>
      <c r="K98" s="202"/>
    </row>
    <row r="99">
      <c r="A99" s="195"/>
      <c r="B99" s="196" t="str">
        <f t="shared" si="6"/>
        <v>TC_03.85</v>
      </c>
      <c r="C99" s="196" t="s">
        <v>75</v>
      </c>
      <c r="D99" s="203" t="s">
        <v>388</v>
      </c>
      <c r="E99" s="211"/>
      <c r="F99" s="198" t="s">
        <v>389</v>
      </c>
      <c r="G99" s="200" t="s">
        <v>390</v>
      </c>
      <c r="H99" s="194"/>
      <c r="I99" s="194"/>
      <c r="J99" s="202"/>
      <c r="K99" s="202"/>
    </row>
    <row r="100">
      <c r="A100" s="195"/>
      <c r="B100" s="196" t="str">
        <f t="shared" si="6"/>
        <v>TC_03.86</v>
      </c>
      <c r="C100" s="196" t="s">
        <v>75</v>
      </c>
      <c r="D100" s="203" t="s">
        <v>391</v>
      </c>
      <c r="E100" s="211"/>
      <c r="F100" s="198" t="s">
        <v>392</v>
      </c>
      <c r="G100" s="200" t="s">
        <v>393</v>
      </c>
      <c r="H100" s="194"/>
      <c r="I100" s="194"/>
      <c r="J100" s="202"/>
      <c r="K100" s="202"/>
    </row>
    <row r="101">
      <c r="A101" s="195"/>
      <c r="B101" s="196" t="str">
        <f t="shared" si="6"/>
        <v>TC_03.87</v>
      </c>
      <c r="C101" s="196" t="s">
        <v>75</v>
      </c>
      <c r="D101" s="203" t="s">
        <v>394</v>
      </c>
      <c r="E101" s="211"/>
      <c r="F101" s="198" t="s">
        <v>395</v>
      </c>
      <c r="G101" s="200" t="s">
        <v>396</v>
      </c>
      <c r="H101" s="202"/>
      <c r="I101" s="202"/>
      <c r="J101" s="202"/>
      <c r="K101" s="202"/>
    </row>
    <row r="102">
      <c r="A102" s="195"/>
      <c r="B102" s="196" t="str">
        <f t="shared" si="6"/>
        <v>TC_03.88</v>
      </c>
      <c r="C102" s="196" t="s">
        <v>75</v>
      </c>
      <c r="D102" s="203" t="s">
        <v>397</v>
      </c>
      <c r="E102" s="211"/>
      <c r="F102" s="198" t="s">
        <v>398</v>
      </c>
      <c r="G102" s="200" t="s">
        <v>399</v>
      </c>
      <c r="H102" s="202"/>
      <c r="I102" s="202"/>
      <c r="J102" s="202"/>
      <c r="K102" s="202"/>
    </row>
    <row r="103">
      <c r="A103" s="195"/>
      <c r="B103" s="196" t="str">
        <f t="shared" si="6"/>
        <v>TC_03.89</v>
      </c>
      <c r="C103" s="196" t="s">
        <v>75</v>
      </c>
      <c r="D103" s="203" t="s">
        <v>400</v>
      </c>
      <c r="E103" s="211"/>
      <c r="F103" s="198" t="s">
        <v>401</v>
      </c>
      <c r="G103" s="200" t="s">
        <v>402</v>
      </c>
      <c r="H103" s="202"/>
      <c r="I103" s="202"/>
      <c r="J103" s="202"/>
      <c r="K103" s="202"/>
    </row>
    <row r="104">
      <c r="A104" s="195"/>
      <c r="B104" s="196" t="str">
        <f t="shared" si="6"/>
        <v>TC_03.90</v>
      </c>
      <c r="C104" s="196" t="s">
        <v>75</v>
      </c>
      <c r="D104" s="203" t="s">
        <v>403</v>
      </c>
      <c r="E104" s="211"/>
      <c r="F104" s="198" t="s">
        <v>404</v>
      </c>
      <c r="G104" s="200" t="s">
        <v>405</v>
      </c>
      <c r="H104" s="202"/>
      <c r="I104" s="202"/>
      <c r="J104" s="202"/>
      <c r="K104" s="202"/>
    </row>
    <row r="105">
      <c r="A105" s="195"/>
      <c r="B105" s="196" t="str">
        <f t="shared" si="6"/>
        <v>TC_03.91</v>
      </c>
      <c r="C105" s="196" t="s">
        <v>75</v>
      </c>
      <c r="D105" s="203" t="s">
        <v>406</v>
      </c>
      <c r="E105" s="211"/>
      <c r="F105" s="198" t="s">
        <v>407</v>
      </c>
      <c r="G105" s="200" t="s">
        <v>408</v>
      </c>
      <c r="H105" s="202"/>
      <c r="I105" s="202"/>
      <c r="J105" s="202"/>
      <c r="K105" s="202"/>
    </row>
    <row r="106">
      <c r="A106" s="195"/>
      <c r="B106" s="196" t="str">
        <f t="shared" si="6"/>
        <v>TC_03.92</v>
      </c>
      <c r="C106" s="196" t="s">
        <v>75</v>
      </c>
      <c r="D106" s="203" t="s">
        <v>409</v>
      </c>
      <c r="E106" s="211"/>
      <c r="F106" s="198" t="s">
        <v>410</v>
      </c>
      <c r="G106" s="200" t="s">
        <v>411</v>
      </c>
      <c r="H106" s="202"/>
      <c r="I106" s="202"/>
      <c r="J106" s="194"/>
      <c r="K106" s="194"/>
    </row>
    <row r="107">
      <c r="A107" s="195"/>
      <c r="B107" s="196" t="str">
        <f t="shared" si="6"/>
        <v>TC_03.93</v>
      </c>
      <c r="C107" s="196" t="s">
        <v>75</v>
      </c>
      <c r="D107" s="203" t="s">
        <v>412</v>
      </c>
      <c r="E107" s="211"/>
      <c r="F107" s="198" t="s">
        <v>413</v>
      </c>
      <c r="G107" s="200" t="s">
        <v>414</v>
      </c>
      <c r="H107" s="202"/>
      <c r="I107" s="202"/>
      <c r="J107" s="194"/>
      <c r="K107" s="194"/>
    </row>
    <row r="108">
      <c r="A108" s="195"/>
      <c r="B108" s="196" t="str">
        <f t="shared" si="6"/>
        <v>TC_03.94</v>
      </c>
      <c r="C108" s="196" t="s">
        <v>75</v>
      </c>
      <c r="D108" s="203" t="s">
        <v>415</v>
      </c>
      <c r="E108" s="211"/>
      <c r="F108" s="198" t="s">
        <v>416</v>
      </c>
      <c r="G108" s="200" t="s">
        <v>417</v>
      </c>
      <c r="H108" s="202"/>
      <c r="I108" s="202"/>
      <c r="J108" s="194"/>
      <c r="K108" s="194"/>
    </row>
    <row r="109">
      <c r="A109" s="204" t="s">
        <v>381</v>
      </c>
      <c r="B109" s="205" t="str">
        <f t="shared" si="6"/>
        <v>TC_03.95</v>
      </c>
      <c r="C109" s="205" t="s">
        <v>75</v>
      </c>
      <c r="D109" s="206" t="s">
        <v>418</v>
      </c>
      <c r="E109" s="209" t="s">
        <v>419</v>
      </c>
      <c r="F109" s="208" t="s">
        <v>420</v>
      </c>
      <c r="G109" s="209" t="s">
        <v>421</v>
      </c>
      <c r="H109" s="212"/>
      <c r="I109" s="213"/>
      <c r="J109" s="214"/>
      <c r="K109" s="214"/>
    </row>
    <row r="110">
      <c r="A110" s="204" t="s">
        <v>381</v>
      </c>
      <c r="B110" s="215" t="str">
        <f t="shared" si="6"/>
        <v>TC_03.96</v>
      </c>
      <c r="C110" s="215" t="s">
        <v>75</v>
      </c>
      <c r="D110" s="216" t="s">
        <v>422</v>
      </c>
      <c r="E110" s="216" t="s">
        <v>419</v>
      </c>
      <c r="F110" s="216" t="s">
        <v>423</v>
      </c>
      <c r="G110" s="217" t="s">
        <v>424</v>
      </c>
      <c r="H110" s="218"/>
      <c r="I110" s="219"/>
      <c r="J110" s="219"/>
      <c r="K110" s="219"/>
    </row>
    <row r="111">
      <c r="A111" s="204" t="s">
        <v>381</v>
      </c>
      <c r="B111" s="215" t="str">
        <f t="shared" si="6"/>
        <v>TC_03.97</v>
      </c>
      <c r="C111" s="215" t="s">
        <v>75</v>
      </c>
      <c r="D111" s="216" t="s">
        <v>425</v>
      </c>
      <c r="E111" s="216" t="s">
        <v>426</v>
      </c>
      <c r="F111" s="216" t="s">
        <v>427</v>
      </c>
      <c r="G111" s="217" t="s">
        <v>428</v>
      </c>
      <c r="H111" s="218"/>
      <c r="I111" s="219"/>
      <c r="J111" s="219"/>
      <c r="K111" s="219"/>
    </row>
    <row r="112">
      <c r="A112" s="204" t="s">
        <v>381</v>
      </c>
      <c r="B112" s="215" t="str">
        <f t="shared" si="6"/>
        <v>TC_03.98</v>
      </c>
      <c r="C112" s="215" t="s">
        <v>75</v>
      </c>
      <c r="D112" s="216" t="s">
        <v>429</v>
      </c>
      <c r="E112" s="216" t="s">
        <v>419</v>
      </c>
      <c r="F112" s="216" t="s">
        <v>430</v>
      </c>
      <c r="G112" s="217" t="s">
        <v>431</v>
      </c>
      <c r="H112" s="218"/>
      <c r="I112" s="219"/>
      <c r="J112" s="219"/>
      <c r="K112" s="219"/>
    </row>
    <row r="113">
      <c r="A113" s="204" t="s">
        <v>381</v>
      </c>
      <c r="B113" s="215" t="str">
        <f t="shared" si="6"/>
        <v>TC_03.99</v>
      </c>
      <c r="C113" s="215" t="s">
        <v>75</v>
      </c>
      <c r="D113" s="216" t="s">
        <v>432</v>
      </c>
      <c r="E113" s="216" t="s">
        <v>433</v>
      </c>
      <c r="F113" s="216" t="s">
        <v>434</v>
      </c>
      <c r="G113" s="217" t="s">
        <v>435</v>
      </c>
      <c r="H113" s="218"/>
      <c r="I113" s="219"/>
      <c r="J113" s="219"/>
      <c r="K113" s="219"/>
    </row>
    <row r="114">
      <c r="A114" s="204" t="s">
        <v>381</v>
      </c>
      <c r="B114" s="215" t="str">
        <f t="shared" si="6"/>
        <v>TC_03.100</v>
      </c>
      <c r="C114" s="215" t="s">
        <v>75</v>
      </c>
      <c r="D114" s="216" t="s">
        <v>436</v>
      </c>
      <c r="E114" s="216" t="s">
        <v>437</v>
      </c>
      <c r="F114" s="216" t="s">
        <v>438</v>
      </c>
      <c r="G114" s="217" t="s">
        <v>439</v>
      </c>
      <c r="H114" s="218"/>
      <c r="I114" s="219"/>
      <c r="J114" s="219"/>
      <c r="K114" s="219"/>
    </row>
    <row r="115">
      <c r="A115" s="204" t="s">
        <v>381</v>
      </c>
      <c r="B115" s="215" t="str">
        <f t="shared" si="6"/>
        <v>TC_03.101</v>
      </c>
      <c r="C115" s="215" t="s">
        <v>75</v>
      </c>
      <c r="D115" s="216" t="s">
        <v>440</v>
      </c>
      <c r="E115" s="216" t="s">
        <v>419</v>
      </c>
      <c r="F115" s="216" t="s">
        <v>441</v>
      </c>
      <c r="G115" s="217" t="s">
        <v>442</v>
      </c>
      <c r="H115" s="218"/>
      <c r="I115" s="219"/>
      <c r="J115" s="219"/>
      <c r="K115" s="219"/>
    </row>
    <row r="116">
      <c r="A116" s="195"/>
      <c r="B116" s="196" t="str">
        <f t="shared" si="6"/>
        <v>TC_03.102</v>
      </c>
      <c r="C116" s="196" t="s">
        <v>75</v>
      </c>
      <c r="D116" s="203" t="s">
        <v>443</v>
      </c>
      <c r="E116" s="211"/>
      <c r="F116" s="198" t="s">
        <v>444</v>
      </c>
      <c r="G116" s="220" t="s">
        <v>445</v>
      </c>
      <c r="H116" s="194"/>
      <c r="I116" s="194"/>
      <c r="J116" s="194"/>
      <c r="K116" s="194"/>
    </row>
    <row r="117">
      <c r="A117" s="195"/>
      <c r="B117" s="196" t="str">
        <f t="shared" si="6"/>
        <v>TC_03.103</v>
      </c>
      <c r="C117" s="196" t="s">
        <v>75</v>
      </c>
      <c r="D117" s="203" t="s">
        <v>446</v>
      </c>
      <c r="E117" s="211"/>
      <c r="F117" s="198" t="s">
        <v>447</v>
      </c>
      <c r="G117" s="200" t="s">
        <v>448</v>
      </c>
      <c r="H117" s="202"/>
      <c r="I117" s="202"/>
      <c r="J117" s="221"/>
      <c r="K117" s="221"/>
    </row>
    <row r="118">
      <c r="A118" s="195"/>
      <c r="B118" s="196" t="str">
        <f t="shared" si="6"/>
        <v>TC_03.104</v>
      </c>
      <c r="C118" s="196" t="s">
        <v>75</v>
      </c>
      <c r="D118" s="203" t="s">
        <v>449</v>
      </c>
      <c r="E118" s="211"/>
      <c r="F118" s="198" t="s">
        <v>450</v>
      </c>
      <c r="G118" s="200" t="s">
        <v>451</v>
      </c>
      <c r="H118" s="202"/>
      <c r="I118" s="202"/>
      <c r="J118" s="194"/>
      <c r="K118" s="194"/>
    </row>
    <row r="119">
      <c r="A119" s="195"/>
      <c r="B119" s="196" t="str">
        <f t="shared" si="6"/>
        <v>TC_03.105</v>
      </c>
      <c r="C119" s="196" t="s">
        <v>75</v>
      </c>
      <c r="D119" s="203" t="s">
        <v>452</v>
      </c>
      <c r="E119" s="211"/>
      <c r="F119" s="198" t="s">
        <v>453</v>
      </c>
      <c r="G119" s="200" t="s">
        <v>454</v>
      </c>
      <c r="H119" s="202"/>
      <c r="I119" s="202"/>
      <c r="J119" s="194"/>
      <c r="K119" s="194"/>
    </row>
    <row r="120">
      <c r="A120" s="195"/>
      <c r="B120" s="196" t="str">
        <f t="shared" si="6"/>
        <v>TC_03.106</v>
      </c>
      <c r="C120" s="196" t="s">
        <v>75</v>
      </c>
      <c r="D120" s="203" t="s">
        <v>455</v>
      </c>
      <c r="E120" s="195"/>
      <c r="F120" s="198" t="s">
        <v>456</v>
      </c>
      <c r="G120" s="200" t="s">
        <v>457</v>
      </c>
      <c r="H120" s="202"/>
      <c r="I120" s="202"/>
      <c r="J120" s="194"/>
      <c r="K120" s="194"/>
    </row>
    <row r="121">
      <c r="A121" s="195"/>
      <c r="B121" s="196" t="str">
        <f t="shared" si="6"/>
        <v>TC_03.107</v>
      </c>
      <c r="C121" s="196" t="s">
        <v>75</v>
      </c>
      <c r="D121" s="203" t="s">
        <v>458</v>
      </c>
      <c r="E121" s="195"/>
      <c r="F121" s="198" t="s">
        <v>459</v>
      </c>
      <c r="G121" s="200" t="s">
        <v>460</v>
      </c>
      <c r="H121" s="194"/>
      <c r="I121" s="194"/>
      <c r="J121" s="194"/>
      <c r="K121" s="194"/>
    </row>
    <row r="122">
      <c r="A122" s="195"/>
      <c r="B122" s="196" t="str">
        <f t="shared" si="6"/>
        <v>TC_03.108</v>
      </c>
      <c r="C122" s="196" t="s">
        <v>75</v>
      </c>
      <c r="D122" s="203" t="s">
        <v>461</v>
      </c>
      <c r="E122" s="195"/>
      <c r="F122" s="198" t="s">
        <v>462</v>
      </c>
      <c r="G122" s="200" t="s">
        <v>463</v>
      </c>
      <c r="H122" s="194"/>
      <c r="I122" s="194"/>
      <c r="J122" s="194"/>
      <c r="K122" s="194"/>
    </row>
    <row r="123">
      <c r="A123" s="195"/>
      <c r="B123" s="196" t="str">
        <f t="shared" si="6"/>
        <v>TC_03.109</v>
      </c>
      <c r="C123" s="196" t="s">
        <v>75</v>
      </c>
      <c r="D123" s="203" t="s">
        <v>464</v>
      </c>
      <c r="E123" s="195"/>
      <c r="F123" s="198" t="s">
        <v>465</v>
      </c>
      <c r="G123" s="200" t="s">
        <v>466</v>
      </c>
      <c r="H123" s="194"/>
      <c r="I123" s="194"/>
      <c r="J123" s="194"/>
      <c r="K123" s="194"/>
    </row>
    <row r="124">
      <c r="A124" s="195"/>
      <c r="B124" s="222" t="s">
        <v>467</v>
      </c>
      <c r="C124" s="148"/>
      <c r="D124" s="148"/>
      <c r="E124" s="148"/>
      <c r="F124" s="148"/>
      <c r="G124" s="171"/>
      <c r="H124" s="194"/>
      <c r="I124" s="194"/>
      <c r="J124" s="194"/>
      <c r="K124" s="194"/>
    </row>
    <row r="125">
      <c r="A125" s="195"/>
      <c r="B125" s="196" t="str">
        <f t="shared" ref="B125:B138" si="7">IF(D125="","",$D$3&amp;"."&amp;COUNTA($D$9:D125)&amp;"")</f>
        <v>TC_03.110</v>
      </c>
      <c r="C125" s="196" t="s">
        <v>75</v>
      </c>
      <c r="D125" s="203" t="s">
        <v>468</v>
      </c>
      <c r="E125" s="195"/>
      <c r="F125" s="198" t="s">
        <v>469</v>
      </c>
      <c r="G125" s="198" t="s">
        <v>470</v>
      </c>
      <c r="H125" s="194"/>
      <c r="I125" s="194"/>
      <c r="J125" s="194"/>
      <c r="K125" s="194"/>
    </row>
    <row r="126">
      <c r="A126" s="195"/>
      <c r="B126" s="196" t="str">
        <f t="shared" si="7"/>
        <v>TC_03.111</v>
      </c>
      <c r="C126" s="196" t="s">
        <v>75</v>
      </c>
      <c r="D126" s="203" t="s">
        <v>471</v>
      </c>
      <c r="E126" s="195"/>
      <c r="F126" s="198" t="s">
        <v>472</v>
      </c>
      <c r="G126" s="198" t="s">
        <v>470</v>
      </c>
      <c r="H126" s="194"/>
      <c r="I126" s="194"/>
      <c r="J126" s="194"/>
      <c r="K126" s="194"/>
    </row>
    <row r="127">
      <c r="A127" s="204" t="s">
        <v>381</v>
      </c>
      <c r="B127" s="205" t="str">
        <f t="shared" si="7"/>
        <v>TC_03.112</v>
      </c>
      <c r="C127" s="205" t="s">
        <v>75</v>
      </c>
      <c r="D127" s="206" t="s">
        <v>473</v>
      </c>
      <c r="E127" s="223"/>
      <c r="F127" s="208" t="s">
        <v>474</v>
      </c>
      <c r="G127" s="208" t="s">
        <v>475</v>
      </c>
      <c r="H127" s="210"/>
      <c r="I127" s="194"/>
      <c r="J127" s="194"/>
      <c r="K127" s="194"/>
    </row>
    <row r="128">
      <c r="A128" s="195"/>
      <c r="B128" s="196" t="str">
        <f t="shared" si="7"/>
        <v>TC_03.113</v>
      </c>
      <c r="C128" s="196" t="s">
        <v>75</v>
      </c>
      <c r="D128" s="203" t="s">
        <v>476</v>
      </c>
      <c r="E128" s="195"/>
      <c r="F128" s="198" t="s">
        <v>477</v>
      </c>
      <c r="G128" s="198" t="s">
        <v>478</v>
      </c>
      <c r="H128" s="194"/>
      <c r="I128" s="194"/>
      <c r="J128" s="194"/>
      <c r="K128" s="194"/>
    </row>
    <row r="129">
      <c r="A129" s="204" t="s">
        <v>381</v>
      </c>
      <c r="B129" s="205" t="str">
        <f t="shared" si="7"/>
        <v>TC_03.114</v>
      </c>
      <c r="C129" s="205" t="s">
        <v>75</v>
      </c>
      <c r="D129" s="206" t="s">
        <v>479</v>
      </c>
      <c r="E129" s="223"/>
      <c r="F129" s="208" t="s">
        <v>480</v>
      </c>
      <c r="G129" s="208" t="s">
        <v>481</v>
      </c>
      <c r="H129" s="210"/>
      <c r="I129" s="194"/>
      <c r="J129" s="194"/>
      <c r="K129" s="194"/>
    </row>
    <row r="130">
      <c r="A130" s="195"/>
      <c r="B130" s="196" t="str">
        <f t="shared" si="7"/>
        <v>TC_03.115</v>
      </c>
      <c r="C130" s="196" t="s">
        <v>75</v>
      </c>
      <c r="D130" s="203" t="s">
        <v>482</v>
      </c>
      <c r="E130" s="195"/>
      <c r="F130" s="198" t="s">
        <v>483</v>
      </c>
      <c r="G130" s="198" t="s">
        <v>484</v>
      </c>
      <c r="H130" s="194"/>
      <c r="I130" s="194"/>
      <c r="J130" s="194"/>
      <c r="K130" s="194"/>
    </row>
    <row r="131">
      <c r="A131" s="195"/>
      <c r="B131" s="196" t="str">
        <f t="shared" si="7"/>
        <v>TC_03.116</v>
      </c>
      <c r="C131" s="196" t="s">
        <v>75</v>
      </c>
      <c r="D131" s="203" t="s">
        <v>485</v>
      </c>
      <c r="E131" s="195"/>
      <c r="F131" s="198" t="s">
        <v>483</v>
      </c>
      <c r="G131" s="198" t="s">
        <v>486</v>
      </c>
      <c r="H131" s="194"/>
      <c r="I131" s="194"/>
      <c r="J131" s="194"/>
      <c r="K131" s="194"/>
    </row>
    <row r="132">
      <c r="A132" s="195"/>
      <c r="B132" s="196" t="str">
        <f t="shared" si="7"/>
        <v>TC_03.117</v>
      </c>
      <c r="C132" s="196" t="s">
        <v>75</v>
      </c>
      <c r="D132" s="203" t="s">
        <v>487</v>
      </c>
      <c r="E132" s="198" t="s">
        <v>488</v>
      </c>
      <c r="F132" s="198" t="s">
        <v>483</v>
      </c>
      <c r="G132" s="198" t="s">
        <v>489</v>
      </c>
      <c r="H132" s="194"/>
      <c r="I132" s="194"/>
      <c r="J132" s="194"/>
      <c r="K132" s="194"/>
    </row>
    <row r="133">
      <c r="A133" s="195"/>
      <c r="B133" s="196" t="str">
        <f t="shared" si="7"/>
        <v>TC_03.118</v>
      </c>
      <c r="C133" s="196" t="s">
        <v>75</v>
      </c>
      <c r="D133" s="203" t="s">
        <v>490</v>
      </c>
      <c r="E133" s="198" t="s">
        <v>491</v>
      </c>
      <c r="F133" s="198" t="s">
        <v>483</v>
      </c>
      <c r="G133" s="198" t="s">
        <v>492</v>
      </c>
      <c r="H133" s="214"/>
      <c r="I133" s="214"/>
      <c r="J133" s="214"/>
      <c r="K133" s="214"/>
    </row>
    <row r="134">
      <c r="A134" s="204" t="s">
        <v>381</v>
      </c>
      <c r="B134" s="215" t="str">
        <f t="shared" si="7"/>
        <v>TC_03.119</v>
      </c>
      <c r="C134" s="215" t="s">
        <v>75</v>
      </c>
      <c r="D134" s="216" t="s">
        <v>493</v>
      </c>
      <c r="E134" s="216" t="s">
        <v>494</v>
      </c>
      <c r="F134" s="216" t="s">
        <v>495</v>
      </c>
      <c r="G134" s="216" t="s">
        <v>496</v>
      </c>
      <c r="H134" s="218"/>
      <c r="I134" s="219"/>
      <c r="J134" s="219"/>
      <c r="K134" s="219"/>
    </row>
    <row r="135">
      <c r="A135" s="204" t="s">
        <v>381</v>
      </c>
      <c r="B135" s="215" t="str">
        <f t="shared" si="7"/>
        <v>TC_03.120</v>
      </c>
      <c r="C135" s="215" t="s">
        <v>75</v>
      </c>
      <c r="D135" s="216" t="s">
        <v>497</v>
      </c>
      <c r="E135" s="216" t="s">
        <v>498</v>
      </c>
      <c r="F135" s="216" t="s">
        <v>499</v>
      </c>
      <c r="G135" s="216" t="s">
        <v>500</v>
      </c>
      <c r="H135" s="218"/>
      <c r="I135" s="219"/>
      <c r="J135" s="219"/>
      <c r="K135" s="219"/>
    </row>
    <row r="136">
      <c r="A136" s="195"/>
      <c r="B136" s="196" t="str">
        <f t="shared" si="7"/>
        <v>TC_03.121</v>
      </c>
      <c r="C136" s="196" t="s">
        <v>75</v>
      </c>
      <c r="D136" s="203" t="s">
        <v>501</v>
      </c>
      <c r="E136" s="195"/>
      <c r="F136" s="198" t="s">
        <v>502</v>
      </c>
      <c r="G136" s="198" t="s">
        <v>503</v>
      </c>
      <c r="H136" s="221"/>
      <c r="I136" s="221"/>
      <c r="J136" s="221"/>
      <c r="K136" s="221"/>
    </row>
    <row r="137">
      <c r="A137" s="195"/>
      <c r="B137" s="196" t="str">
        <f t="shared" si="7"/>
        <v>TC_03.122</v>
      </c>
      <c r="C137" s="196" t="s">
        <v>75</v>
      </c>
      <c r="D137" s="203" t="s">
        <v>504</v>
      </c>
      <c r="E137" s="195"/>
      <c r="F137" s="198" t="s">
        <v>505</v>
      </c>
      <c r="G137" s="198" t="s">
        <v>506</v>
      </c>
      <c r="H137" s="194"/>
      <c r="I137" s="194"/>
      <c r="J137" s="194"/>
      <c r="K137" s="194"/>
    </row>
    <row r="138">
      <c r="A138" s="195"/>
      <c r="B138" s="196" t="str">
        <f t="shared" si="7"/>
        <v>TC_03.123</v>
      </c>
      <c r="C138" s="196" t="s">
        <v>75</v>
      </c>
      <c r="D138" s="203" t="s">
        <v>507</v>
      </c>
      <c r="E138" s="195"/>
      <c r="F138" s="198" t="s">
        <v>508</v>
      </c>
      <c r="G138" s="198" t="s">
        <v>509</v>
      </c>
      <c r="H138" s="194"/>
      <c r="I138" s="194"/>
      <c r="J138" s="194"/>
      <c r="K138" s="194"/>
    </row>
    <row r="139">
      <c r="A139" s="195"/>
      <c r="B139" s="222" t="s">
        <v>510</v>
      </c>
      <c r="C139" s="148"/>
      <c r="D139" s="148"/>
      <c r="E139" s="148"/>
      <c r="F139" s="148"/>
      <c r="G139" s="171"/>
      <c r="H139" s="194"/>
      <c r="I139" s="194"/>
      <c r="J139" s="194"/>
      <c r="K139" s="194"/>
    </row>
    <row r="140">
      <c r="A140" s="195"/>
      <c r="B140" s="224" t="str">
        <f t="shared" ref="B140:B162" si="8">IF(D140="","",$D$3&amp;"."&amp;COUNTA($D$9:D140)&amp;"")</f>
        <v>TC_03.124</v>
      </c>
      <c r="C140" s="224" t="s">
        <v>75</v>
      </c>
      <c r="D140" s="225" t="s">
        <v>511</v>
      </c>
      <c r="E140" s="226"/>
      <c r="F140" s="227" t="s">
        <v>512</v>
      </c>
      <c r="G140" s="227" t="s">
        <v>513</v>
      </c>
      <c r="H140" s="214"/>
      <c r="I140" s="214"/>
      <c r="J140" s="214"/>
      <c r="K140" s="214"/>
    </row>
    <row r="141">
      <c r="A141" s="204" t="s">
        <v>381</v>
      </c>
      <c r="B141" s="205" t="str">
        <f t="shared" si="8"/>
        <v>TC_03.125</v>
      </c>
      <c r="C141" s="205" t="s">
        <v>75</v>
      </c>
      <c r="D141" s="228" t="s">
        <v>514</v>
      </c>
      <c r="E141" s="223"/>
      <c r="F141" s="208" t="s">
        <v>515</v>
      </c>
      <c r="G141" s="208" t="s">
        <v>516</v>
      </c>
      <c r="H141" s="210"/>
      <c r="I141" s="194"/>
      <c r="J141" s="194"/>
      <c r="K141" s="194"/>
    </row>
    <row r="142">
      <c r="A142" s="204" t="s">
        <v>381</v>
      </c>
      <c r="B142" s="215" t="str">
        <f t="shared" si="8"/>
        <v>TC_03.126</v>
      </c>
      <c r="C142" s="215" t="s">
        <v>75</v>
      </c>
      <c r="D142" s="216" t="s">
        <v>517</v>
      </c>
      <c r="E142" s="216" t="s">
        <v>518</v>
      </c>
      <c r="F142" s="216" t="s">
        <v>519</v>
      </c>
      <c r="G142" s="216" t="s">
        <v>520</v>
      </c>
      <c r="H142" s="218"/>
      <c r="I142" s="219"/>
      <c r="J142" s="219"/>
      <c r="K142" s="219"/>
    </row>
    <row r="143">
      <c r="A143" s="204" t="s">
        <v>381</v>
      </c>
      <c r="B143" s="215" t="str">
        <f t="shared" si="8"/>
        <v>TC_03.127</v>
      </c>
      <c r="C143" s="215" t="s">
        <v>75</v>
      </c>
      <c r="D143" s="216" t="s">
        <v>521</v>
      </c>
      <c r="E143" s="216" t="s">
        <v>522</v>
      </c>
      <c r="F143" s="216" t="s">
        <v>523</v>
      </c>
      <c r="G143" s="216" t="s">
        <v>524</v>
      </c>
      <c r="H143" s="218"/>
      <c r="I143" s="219"/>
      <c r="J143" s="219"/>
      <c r="K143" s="219"/>
    </row>
    <row r="144">
      <c r="A144" s="204" t="s">
        <v>525</v>
      </c>
      <c r="B144" s="215" t="str">
        <f t="shared" si="8"/>
        <v>TC_03.128</v>
      </c>
      <c r="C144" s="215" t="s">
        <v>75</v>
      </c>
      <c r="D144" s="216" t="s">
        <v>526</v>
      </c>
      <c r="E144" s="216" t="s">
        <v>527</v>
      </c>
      <c r="F144" s="216" t="s">
        <v>528</v>
      </c>
      <c r="G144" s="216" t="s">
        <v>529</v>
      </c>
      <c r="H144" s="218"/>
      <c r="I144" s="219"/>
      <c r="J144" s="219"/>
      <c r="K144" s="219"/>
    </row>
    <row r="145">
      <c r="A145" s="204" t="s">
        <v>381</v>
      </c>
      <c r="B145" s="215" t="str">
        <f t="shared" si="8"/>
        <v>TC_03.129</v>
      </c>
      <c r="C145" s="215" t="s">
        <v>75</v>
      </c>
      <c r="D145" s="216" t="s">
        <v>530</v>
      </c>
      <c r="E145" s="216" t="s">
        <v>531</v>
      </c>
      <c r="F145" s="216" t="s">
        <v>532</v>
      </c>
      <c r="G145" s="216" t="s">
        <v>533</v>
      </c>
      <c r="H145" s="218"/>
      <c r="I145" s="219"/>
      <c r="J145" s="219"/>
      <c r="K145" s="219"/>
    </row>
    <row r="146">
      <c r="A146" s="195"/>
      <c r="B146" s="196" t="str">
        <f t="shared" si="8"/>
        <v>TC_03.130</v>
      </c>
      <c r="C146" s="196" t="s">
        <v>75</v>
      </c>
      <c r="D146" s="197" t="s">
        <v>534</v>
      </c>
      <c r="E146" s="195"/>
      <c r="F146" s="198" t="s">
        <v>535</v>
      </c>
      <c r="G146" s="198" t="s">
        <v>536</v>
      </c>
      <c r="H146" s="194"/>
      <c r="I146" s="194"/>
      <c r="J146" s="194"/>
      <c r="K146" s="194"/>
    </row>
    <row r="147">
      <c r="A147" s="195"/>
      <c r="B147" s="196" t="str">
        <f t="shared" si="8"/>
        <v>TC_03.131</v>
      </c>
      <c r="C147" s="196" t="s">
        <v>75</v>
      </c>
      <c r="D147" s="197" t="s">
        <v>537</v>
      </c>
      <c r="E147" s="195"/>
      <c r="F147" s="198" t="s">
        <v>538</v>
      </c>
      <c r="G147" s="198" t="s">
        <v>539</v>
      </c>
      <c r="H147" s="194"/>
      <c r="I147" s="194"/>
      <c r="J147" s="194"/>
      <c r="K147" s="194"/>
    </row>
    <row r="148">
      <c r="A148" s="195"/>
      <c r="B148" s="196" t="str">
        <f t="shared" si="8"/>
        <v>TC_03.132</v>
      </c>
      <c r="C148" s="196" t="s">
        <v>75</v>
      </c>
      <c r="D148" s="197" t="s">
        <v>540</v>
      </c>
      <c r="E148" s="195"/>
      <c r="F148" s="198" t="s">
        <v>541</v>
      </c>
      <c r="G148" s="198" t="s">
        <v>542</v>
      </c>
      <c r="H148" s="194"/>
      <c r="I148" s="194"/>
      <c r="J148" s="194"/>
      <c r="K148" s="194"/>
    </row>
    <row r="149">
      <c r="A149" s="195"/>
      <c r="B149" s="196" t="str">
        <f t="shared" si="8"/>
        <v>TC_03.133</v>
      </c>
      <c r="C149" s="196" t="s">
        <v>75</v>
      </c>
      <c r="D149" s="197" t="s">
        <v>543</v>
      </c>
      <c r="E149" s="195"/>
      <c r="F149" s="198" t="s">
        <v>544</v>
      </c>
      <c r="G149" s="198" t="s">
        <v>545</v>
      </c>
      <c r="H149" s="194"/>
      <c r="I149" s="194"/>
      <c r="J149" s="194"/>
      <c r="K149" s="194"/>
    </row>
    <row r="150">
      <c r="A150" s="195"/>
      <c r="B150" s="229" t="str">
        <f t="shared" si="8"/>
        <v>TC_03.134</v>
      </c>
      <c r="C150" s="229" t="s">
        <v>75</v>
      </c>
      <c r="D150" s="203" t="s">
        <v>546</v>
      </c>
      <c r="E150" s="230" t="s">
        <v>547</v>
      </c>
      <c r="F150" s="230" t="s">
        <v>548</v>
      </c>
      <c r="G150" s="230" t="s">
        <v>549</v>
      </c>
      <c r="H150" s="221"/>
      <c r="I150" s="221"/>
      <c r="J150" s="221"/>
      <c r="K150" s="221"/>
    </row>
    <row r="151">
      <c r="A151" s="195"/>
      <c r="B151" s="196" t="str">
        <f t="shared" si="8"/>
        <v>TC_03.135</v>
      </c>
      <c r="C151" s="196" t="s">
        <v>75</v>
      </c>
      <c r="D151" s="203" t="s">
        <v>550</v>
      </c>
      <c r="E151" s="195"/>
      <c r="F151" s="198" t="s">
        <v>551</v>
      </c>
      <c r="G151" s="198" t="s">
        <v>552</v>
      </c>
      <c r="H151" s="194"/>
      <c r="I151" s="194"/>
      <c r="J151" s="194"/>
      <c r="K151" s="194"/>
    </row>
    <row r="152">
      <c r="A152" s="195"/>
      <c r="B152" s="196" t="str">
        <f t="shared" si="8"/>
        <v>TC_03.136</v>
      </c>
      <c r="C152" s="196" t="s">
        <v>75</v>
      </c>
      <c r="D152" s="203" t="s">
        <v>553</v>
      </c>
      <c r="E152" s="195"/>
      <c r="F152" s="198" t="s">
        <v>554</v>
      </c>
      <c r="G152" s="198" t="s">
        <v>555</v>
      </c>
      <c r="H152" s="194"/>
      <c r="I152" s="194"/>
      <c r="J152" s="194"/>
      <c r="K152" s="194"/>
    </row>
    <row r="153">
      <c r="A153" s="195"/>
      <c r="B153" s="196" t="str">
        <f t="shared" si="8"/>
        <v>TC_03.137</v>
      </c>
      <c r="C153" s="196" t="s">
        <v>75</v>
      </c>
      <c r="D153" s="203" t="s">
        <v>556</v>
      </c>
      <c r="E153" s="195"/>
      <c r="F153" s="198" t="s">
        <v>557</v>
      </c>
      <c r="G153" s="198" t="s">
        <v>558</v>
      </c>
      <c r="H153" s="194"/>
      <c r="I153" s="194"/>
      <c r="J153" s="194"/>
      <c r="K153" s="194"/>
    </row>
    <row r="154">
      <c r="A154" s="195"/>
      <c r="B154" s="196" t="str">
        <f t="shared" si="8"/>
        <v>TC_03.138</v>
      </c>
      <c r="C154" s="196" t="s">
        <v>75</v>
      </c>
      <c r="D154" s="203" t="s">
        <v>559</v>
      </c>
      <c r="E154" s="195"/>
      <c r="F154" s="198" t="s">
        <v>560</v>
      </c>
      <c r="G154" s="198" t="s">
        <v>561</v>
      </c>
      <c r="H154" s="202"/>
      <c r="I154" s="202"/>
      <c r="J154" s="194"/>
      <c r="K154" s="194"/>
    </row>
    <row r="155">
      <c r="A155" s="195"/>
      <c r="B155" s="196" t="str">
        <f t="shared" si="8"/>
        <v>TC_03.139</v>
      </c>
      <c r="C155" s="196" t="s">
        <v>75</v>
      </c>
      <c r="D155" s="203" t="s">
        <v>562</v>
      </c>
      <c r="E155" s="195"/>
      <c r="F155" s="198" t="s">
        <v>563</v>
      </c>
      <c r="G155" s="198" t="s">
        <v>564</v>
      </c>
      <c r="H155" s="194"/>
      <c r="I155" s="194"/>
      <c r="J155" s="194"/>
      <c r="K155" s="194"/>
    </row>
    <row r="156">
      <c r="A156" s="195"/>
      <c r="B156" s="196" t="str">
        <f t="shared" si="8"/>
        <v>TC_03.140</v>
      </c>
      <c r="C156" s="196" t="s">
        <v>75</v>
      </c>
      <c r="D156" s="203" t="s">
        <v>565</v>
      </c>
      <c r="E156" s="195"/>
      <c r="F156" s="198" t="s">
        <v>566</v>
      </c>
      <c r="G156" s="198" t="s">
        <v>567</v>
      </c>
      <c r="H156" s="194"/>
      <c r="I156" s="194"/>
      <c r="J156" s="194"/>
      <c r="K156" s="194"/>
    </row>
    <row r="157">
      <c r="A157" s="195"/>
      <c r="B157" s="196" t="str">
        <f t="shared" si="8"/>
        <v>TC_03.141</v>
      </c>
      <c r="C157" s="196" t="s">
        <v>75</v>
      </c>
      <c r="D157" s="203" t="s">
        <v>568</v>
      </c>
      <c r="E157" s="195"/>
      <c r="F157" s="198" t="s">
        <v>569</v>
      </c>
      <c r="G157" s="198" t="s">
        <v>570</v>
      </c>
      <c r="H157" s="194"/>
      <c r="I157" s="194"/>
      <c r="J157" s="194"/>
      <c r="K157" s="194"/>
    </row>
    <row r="158">
      <c r="A158" s="195"/>
      <c r="B158" s="196" t="str">
        <f t="shared" si="8"/>
        <v>TC_03.142</v>
      </c>
      <c r="C158" s="196" t="s">
        <v>75</v>
      </c>
      <c r="D158" s="203" t="s">
        <v>571</v>
      </c>
      <c r="E158" s="195"/>
      <c r="F158" s="198" t="s">
        <v>572</v>
      </c>
      <c r="G158" s="198" t="s">
        <v>573</v>
      </c>
      <c r="H158" s="194"/>
      <c r="I158" s="194"/>
      <c r="J158" s="194"/>
      <c r="K158" s="194"/>
    </row>
    <row r="159">
      <c r="A159" s="195"/>
      <c r="B159" s="196" t="str">
        <f t="shared" si="8"/>
        <v>TC_03.143</v>
      </c>
      <c r="C159" s="196" t="s">
        <v>75</v>
      </c>
      <c r="D159" s="203" t="s">
        <v>458</v>
      </c>
      <c r="E159" s="195"/>
      <c r="F159" s="198" t="s">
        <v>574</v>
      </c>
      <c r="G159" s="198" t="s">
        <v>575</v>
      </c>
      <c r="H159" s="194"/>
      <c r="I159" s="194"/>
      <c r="J159" s="194"/>
      <c r="K159" s="194"/>
    </row>
    <row r="160">
      <c r="A160" s="195"/>
      <c r="B160" s="196" t="str">
        <f t="shared" si="8"/>
        <v>TC_03.144</v>
      </c>
      <c r="C160" s="196" t="s">
        <v>75</v>
      </c>
      <c r="D160" s="203" t="s">
        <v>461</v>
      </c>
      <c r="E160" s="195"/>
      <c r="F160" s="198" t="s">
        <v>576</v>
      </c>
      <c r="G160" s="198" t="s">
        <v>575</v>
      </c>
      <c r="H160" s="194"/>
      <c r="I160" s="194"/>
      <c r="J160" s="194"/>
      <c r="K160" s="194"/>
    </row>
    <row r="161">
      <c r="A161" s="195"/>
      <c r="B161" s="196" t="str">
        <f t="shared" si="8"/>
        <v>TC_03.145</v>
      </c>
      <c r="C161" s="196" t="s">
        <v>75</v>
      </c>
      <c r="D161" s="203" t="s">
        <v>577</v>
      </c>
      <c r="E161" s="195"/>
      <c r="F161" s="198" t="s">
        <v>578</v>
      </c>
      <c r="G161" s="198" t="s">
        <v>579</v>
      </c>
      <c r="H161" s="194"/>
      <c r="I161" s="194"/>
      <c r="J161" s="194"/>
      <c r="K161" s="194"/>
    </row>
    <row r="162">
      <c r="A162" s="195"/>
      <c r="B162" s="196" t="str">
        <f t="shared" si="8"/>
        <v>TC_03.146</v>
      </c>
      <c r="C162" s="196" t="s">
        <v>75</v>
      </c>
      <c r="D162" s="203" t="s">
        <v>580</v>
      </c>
      <c r="E162" s="195"/>
      <c r="F162" s="198" t="s">
        <v>581</v>
      </c>
      <c r="G162" s="198" t="s">
        <v>582</v>
      </c>
      <c r="H162" s="194"/>
      <c r="I162" s="194"/>
      <c r="J162" s="194"/>
      <c r="K162" s="194"/>
    </row>
    <row r="163">
      <c r="A163" s="231"/>
      <c r="B163" s="231"/>
      <c r="C163" s="231"/>
      <c r="D163" s="231"/>
      <c r="E163" s="231"/>
      <c r="F163" s="231"/>
      <c r="G163" s="231"/>
    </row>
    <row r="164">
      <c r="A164" s="231"/>
      <c r="B164" s="231"/>
      <c r="C164" s="231"/>
      <c r="D164" s="231"/>
      <c r="E164" s="231"/>
      <c r="F164" s="231"/>
      <c r="G164" s="231"/>
    </row>
    <row r="165">
      <c r="A165" s="231"/>
      <c r="B165" s="231"/>
      <c r="C165" s="231"/>
      <c r="D165" s="231"/>
      <c r="E165" s="231"/>
      <c r="F165" s="231"/>
      <c r="G165" s="231"/>
    </row>
    <row r="166">
      <c r="A166" s="231"/>
      <c r="B166" s="231"/>
      <c r="C166" s="231"/>
      <c r="D166" s="231"/>
      <c r="E166" s="231"/>
      <c r="F166" s="231"/>
      <c r="G166" s="231"/>
    </row>
    <row r="167">
      <c r="A167" s="231"/>
      <c r="B167" s="231"/>
      <c r="C167" s="231"/>
      <c r="D167" s="231"/>
      <c r="E167" s="231"/>
      <c r="F167" s="231"/>
      <c r="G167" s="231"/>
    </row>
    <row r="168">
      <c r="A168" s="231"/>
      <c r="B168" s="231"/>
      <c r="C168" s="231"/>
      <c r="D168" s="231"/>
      <c r="E168" s="231"/>
      <c r="F168" s="231"/>
      <c r="G168" s="231"/>
    </row>
    <row r="169">
      <c r="A169" s="231"/>
      <c r="B169" s="231"/>
      <c r="C169" s="231"/>
      <c r="D169" s="231"/>
      <c r="E169" s="231"/>
      <c r="F169" s="231"/>
      <c r="G169" s="231"/>
    </row>
    <row r="170">
      <c r="A170" s="231"/>
      <c r="B170" s="231"/>
      <c r="C170" s="231"/>
      <c r="D170" s="231"/>
      <c r="E170" s="231"/>
      <c r="F170" s="231"/>
      <c r="G170" s="231"/>
    </row>
    <row r="171">
      <c r="A171" s="231"/>
      <c r="B171" s="231"/>
      <c r="C171" s="231"/>
      <c r="D171" s="231"/>
      <c r="E171" s="231"/>
      <c r="F171" s="231"/>
      <c r="G171" s="231"/>
    </row>
    <row r="172">
      <c r="A172" s="231"/>
      <c r="B172" s="231"/>
      <c r="C172" s="231"/>
      <c r="D172" s="231"/>
      <c r="E172" s="231"/>
      <c r="F172" s="231"/>
      <c r="G172" s="231"/>
    </row>
    <row r="173">
      <c r="A173" s="231"/>
      <c r="B173" s="231"/>
      <c r="C173" s="231"/>
      <c r="D173" s="231"/>
      <c r="E173" s="231"/>
      <c r="F173" s="231"/>
      <c r="G173" s="231"/>
    </row>
    <row r="174">
      <c r="A174" s="231"/>
      <c r="B174" s="231"/>
      <c r="C174" s="231"/>
      <c r="D174" s="231"/>
      <c r="E174" s="231"/>
      <c r="F174" s="231"/>
      <c r="G174" s="231"/>
    </row>
    <row r="175">
      <c r="A175" s="231"/>
      <c r="B175" s="231"/>
      <c r="C175" s="231"/>
      <c r="D175" s="231"/>
      <c r="E175" s="231"/>
      <c r="F175" s="231"/>
      <c r="G175" s="231"/>
    </row>
    <row r="176">
      <c r="A176" s="231"/>
      <c r="B176" s="231"/>
      <c r="C176" s="231"/>
      <c r="D176" s="231"/>
      <c r="E176" s="231"/>
      <c r="F176" s="231"/>
      <c r="G176" s="231"/>
    </row>
    <row r="177">
      <c r="A177" s="231"/>
      <c r="B177" s="231"/>
      <c r="C177" s="231"/>
      <c r="D177" s="231"/>
      <c r="E177" s="231"/>
      <c r="F177" s="231"/>
      <c r="G177" s="231"/>
    </row>
    <row r="178">
      <c r="A178" s="231"/>
      <c r="B178" s="231"/>
      <c r="C178" s="231"/>
      <c r="D178" s="231"/>
      <c r="E178" s="231"/>
      <c r="F178" s="231"/>
      <c r="G178" s="231"/>
    </row>
    <row r="179">
      <c r="A179" s="231"/>
      <c r="B179" s="231"/>
      <c r="C179" s="231"/>
      <c r="D179" s="231"/>
      <c r="E179" s="231"/>
      <c r="F179" s="231"/>
      <c r="G179" s="231"/>
    </row>
    <row r="180">
      <c r="A180" s="231"/>
      <c r="B180" s="231"/>
      <c r="C180" s="231"/>
      <c r="D180" s="231"/>
      <c r="E180" s="231"/>
      <c r="F180" s="231"/>
      <c r="G180" s="231"/>
    </row>
    <row r="181">
      <c r="A181" s="231"/>
      <c r="B181" s="231"/>
      <c r="C181" s="231"/>
      <c r="D181" s="231"/>
      <c r="E181" s="231"/>
      <c r="F181" s="231"/>
      <c r="G181" s="231"/>
    </row>
    <row r="182">
      <c r="A182" s="231"/>
      <c r="B182" s="231"/>
      <c r="C182" s="231"/>
      <c r="D182" s="231"/>
      <c r="E182" s="231"/>
      <c r="F182" s="231"/>
      <c r="G182" s="231"/>
    </row>
    <row r="183">
      <c r="A183" s="231"/>
      <c r="B183" s="231"/>
      <c r="C183" s="231"/>
      <c r="D183" s="231"/>
      <c r="E183" s="231"/>
      <c r="F183" s="231"/>
      <c r="G183" s="231"/>
    </row>
    <row r="184">
      <c r="A184" s="231"/>
      <c r="B184" s="231"/>
      <c r="C184" s="231"/>
      <c r="D184" s="231"/>
      <c r="E184" s="231"/>
      <c r="F184" s="231"/>
      <c r="G184" s="231"/>
    </row>
    <row r="185">
      <c r="A185" s="231"/>
      <c r="B185" s="231"/>
      <c r="C185" s="231"/>
      <c r="D185" s="231"/>
      <c r="E185" s="231"/>
      <c r="F185" s="231"/>
      <c r="G185" s="231"/>
    </row>
    <row r="186">
      <c r="A186" s="231"/>
      <c r="B186" s="231"/>
      <c r="C186" s="231"/>
      <c r="D186" s="231"/>
      <c r="E186" s="231"/>
      <c r="F186" s="231"/>
      <c r="G186" s="231"/>
    </row>
    <row r="187">
      <c r="A187" s="231"/>
      <c r="B187" s="231"/>
      <c r="C187" s="231"/>
      <c r="D187" s="231"/>
      <c r="E187" s="231"/>
      <c r="F187" s="231"/>
      <c r="G187" s="231"/>
    </row>
    <row r="188">
      <c r="A188" s="231"/>
      <c r="B188" s="231"/>
      <c r="C188" s="231"/>
      <c r="D188" s="231"/>
      <c r="E188" s="231"/>
      <c r="F188" s="231"/>
      <c r="G188" s="231"/>
    </row>
    <row r="189">
      <c r="A189" s="231"/>
      <c r="B189" s="231"/>
      <c r="C189" s="231"/>
      <c r="D189" s="231"/>
      <c r="E189" s="231"/>
      <c r="F189" s="231"/>
      <c r="G189" s="231"/>
    </row>
    <row r="190">
      <c r="A190" s="231"/>
      <c r="B190" s="231"/>
      <c r="C190" s="231"/>
      <c r="D190" s="231"/>
      <c r="E190" s="231"/>
      <c r="F190" s="231"/>
      <c r="G190" s="231"/>
    </row>
    <row r="191">
      <c r="A191" s="231"/>
      <c r="B191" s="231"/>
      <c r="C191" s="231"/>
      <c r="D191" s="231"/>
      <c r="E191" s="231"/>
      <c r="F191" s="231"/>
      <c r="G191" s="231"/>
    </row>
    <row r="192">
      <c r="A192" s="231"/>
      <c r="B192" s="231"/>
      <c r="C192" s="231"/>
      <c r="D192" s="231"/>
      <c r="E192" s="231"/>
      <c r="F192" s="231"/>
      <c r="G192" s="231"/>
    </row>
    <row r="193">
      <c r="A193" s="231"/>
      <c r="B193" s="231"/>
      <c r="C193" s="231"/>
      <c r="D193" s="231"/>
      <c r="E193" s="231"/>
      <c r="F193" s="231"/>
      <c r="G193" s="231"/>
    </row>
    <row r="194">
      <c r="A194" s="231"/>
      <c r="B194" s="231"/>
      <c r="C194" s="231"/>
      <c r="D194" s="231"/>
      <c r="E194" s="231"/>
      <c r="F194" s="231"/>
      <c r="G194" s="231"/>
    </row>
    <row r="195">
      <c r="A195" s="231"/>
      <c r="B195" s="231"/>
      <c r="C195" s="231"/>
      <c r="D195" s="231"/>
      <c r="E195" s="231"/>
      <c r="F195" s="231"/>
      <c r="G195" s="231"/>
    </row>
    <row r="196">
      <c r="A196" s="231"/>
      <c r="B196" s="231"/>
      <c r="C196" s="231"/>
      <c r="D196" s="231"/>
      <c r="E196" s="231"/>
      <c r="F196" s="231"/>
      <c r="G196" s="231"/>
    </row>
    <row r="197">
      <c r="A197" s="231"/>
      <c r="B197" s="231"/>
      <c r="C197" s="231"/>
      <c r="D197" s="231"/>
      <c r="E197" s="231"/>
      <c r="F197" s="231"/>
      <c r="G197" s="231"/>
    </row>
    <row r="198">
      <c r="A198" s="231"/>
      <c r="B198" s="231"/>
      <c r="C198" s="231"/>
      <c r="D198" s="231"/>
      <c r="E198" s="231"/>
      <c r="F198" s="231"/>
      <c r="G198" s="231"/>
    </row>
    <row r="199">
      <c r="A199" s="231"/>
      <c r="B199" s="231"/>
      <c r="C199" s="231"/>
      <c r="D199" s="231"/>
      <c r="E199" s="231"/>
      <c r="F199" s="231"/>
      <c r="G199" s="231"/>
    </row>
    <row r="200">
      <c r="A200" s="231"/>
      <c r="B200" s="231"/>
      <c r="C200" s="231"/>
      <c r="D200" s="231"/>
      <c r="E200" s="231"/>
      <c r="F200" s="231"/>
      <c r="G200" s="231"/>
    </row>
    <row r="201">
      <c r="A201" s="231"/>
      <c r="B201" s="231"/>
      <c r="C201" s="231"/>
      <c r="D201" s="231"/>
      <c r="E201" s="231"/>
      <c r="F201" s="231"/>
      <c r="G201" s="231"/>
    </row>
    <row r="202">
      <c r="A202" s="231"/>
      <c r="B202" s="231"/>
      <c r="C202" s="231"/>
      <c r="D202" s="231"/>
      <c r="E202" s="231"/>
      <c r="F202" s="231"/>
      <c r="G202" s="231"/>
    </row>
    <row r="203">
      <c r="A203" s="231"/>
      <c r="B203" s="231"/>
      <c r="C203" s="231"/>
      <c r="D203" s="231"/>
      <c r="E203" s="231"/>
      <c r="F203" s="231"/>
      <c r="G203" s="231"/>
    </row>
    <row r="204">
      <c r="A204" s="231"/>
      <c r="B204" s="231"/>
      <c r="C204" s="231"/>
      <c r="D204" s="231"/>
      <c r="E204" s="231"/>
      <c r="F204" s="231"/>
      <c r="G204" s="231"/>
    </row>
    <row r="205">
      <c r="A205" s="231"/>
      <c r="B205" s="231"/>
      <c r="C205" s="231"/>
      <c r="D205" s="231"/>
      <c r="E205" s="231"/>
      <c r="F205" s="231"/>
      <c r="G205" s="231"/>
    </row>
    <row r="206">
      <c r="A206" s="231"/>
      <c r="B206" s="231"/>
      <c r="C206" s="231"/>
      <c r="D206" s="231"/>
      <c r="E206" s="231"/>
      <c r="F206" s="231"/>
      <c r="G206" s="231"/>
    </row>
    <row r="207">
      <c r="A207" s="231"/>
      <c r="B207" s="231"/>
      <c r="C207" s="231"/>
      <c r="D207" s="231"/>
      <c r="E207" s="231"/>
      <c r="F207" s="231"/>
      <c r="G207" s="231"/>
    </row>
    <row r="208">
      <c r="A208" s="231"/>
      <c r="B208" s="231"/>
      <c r="C208" s="231"/>
      <c r="D208" s="231"/>
      <c r="E208" s="231"/>
      <c r="F208" s="231"/>
      <c r="G208" s="231"/>
    </row>
    <row r="209">
      <c r="A209" s="231"/>
      <c r="B209" s="231"/>
      <c r="C209" s="231"/>
      <c r="D209" s="231"/>
      <c r="E209" s="231"/>
      <c r="F209" s="231"/>
      <c r="G209" s="231"/>
    </row>
    <row r="210">
      <c r="A210" s="231"/>
      <c r="B210" s="231"/>
      <c r="C210" s="231"/>
      <c r="D210" s="231"/>
      <c r="E210" s="231"/>
      <c r="F210" s="231"/>
      <c r="G210" s="231"/>
    </row>
    <row r="211">
      <c r="A211" s="231"/>
      <c r="B211" s="231"/>
      <c r="C211" s="231"/>
      <c r="D211" s="231"/>
      <c r="E211" s="231"/>
      <c r="F211" s="231"/>
      <c r="G211" s="231"/>
    </row>
    <row r="212">
      <c r="A212" s="231"/>
      <c r="B212" s="231"/>
      <c r="C212" s="231"/>
      <c r="D212" s="231"/>
      <c r="E212" s="231"/>
      <c r="F212" s="231"/>
      <c r="G212" s="231"/>
    </row>
    <row r="213">
      <c r="A213" s="231"/>
      <c r="B213" s="231"/>
      <c r="C213" s="231"/>
      <c r="D213" s="231"/>
      <c r="E213" s="231"/>
      <c r="F213" s="231"/>
      <c r="G213" s="231"/>
    </row>
    <row r="214">
      <c r="A214" s="231"/>
      <c r="B214" s="231"/>
      <c r="C214" s="231"/>
      <c r="D214" s="231"/>
      <c r="E214" s="231"/>
      <c r="F214" s="231"/>
      <c r="G214" s="231"/>
    </row>
    <row r="215">
      <c r="A215" s="231"/>
      <c r="B215" s="231"/>
      <c r="C215" s="231"/>
      <c r="D215" s="231"/>
      <c r="E215" s="231"/>
      <c r="F215" s="231"/>
      <c r="G215" s="231"/>
    </row>
    <row r="216">
      <c r="A216" s="231"/>
      <c r="B216" s="231"/>
      <c r="C216" s="231"/>
      <c r="D216" s="231"/>
      <c r="E216" s="231"/>
      <c r="F216" s="231"/>
      <c r="G216" s="231"/>
    </row>
    <row r="217">
      <c r="A217" s="231"/>
      <c r="B217" s="231"/>
      <c r="C217" s="231"/>
      <c r="D217" s="231"/>
      <c r="E217" s="231"/>
      <c r="F217" s="231"/>
      <c r="G217" s="231"/>
    </row>
    <row r="218">
      <c r="A218" s="231"/>
      <c r="B218" s="231"/>
      <c r="C218" s="231"/>
      <c r="D218" s="231"/>
      <c r="E218" s="231"/>
      <c r="F218" s="231"/>
      <c r="G218" s="231"/>
    </row>
    <row r="219">
      <c r="A219" s="231"/>
      <c r="B219" s="231"/>
      <c r="C219" s="231"/>
      <c r="D219" s="231"/>
      <c r="E219" s="231"/>
      <c r="F219" s="231"/>
      <c r="G219" s="231"/>
    </row>
    <row r="220">
      <c r="A220" s="231"/>
      <c r="B220" s="231"/>
      <c r="C220" s="231"/>
      <c r="D220" s="231"/>
      <c r="E220" s="231"/>
      <c r="F220" s="231"/>
      <c r="G220" s="231"/>
    </row>
    <row r="221">
      <c r="A221" s="231"/>
      <c r="B221" s="231"/>
      <c r="C221" s="231"/>
      <c r="D221" s="231"/>
      <c r="E221" s="231"/>
      <c r="F221" s="231"/>
      <c r="G221" s="231"/>
    </row>
    <row r="222">
      <c r="A222" s="231"/>
      <c r="B222" s="231"/>
      <c r="C222" s="231"/>
      <c r="D222" s="231"/>
      <c r="E222" s="231"/>
      <c r="F222" s="231"/>
      <c r="G222" s="231"/>
    </row>
    <row r="223">
      <c r="A223" s="231"/>
      <c r="B223" s="231"/>
      <c r="C223" s="231"/>
      <c r="D223" s="231"/>
      <c r="E223" s="231"/>
      <c r="F223" s="231"/>
      <c r="G223" s="231"/>
    </row>
    <row r="224">
      <c r="A224" s="231"/>
      <c r="B224" s="231"/>
      <c r="C224" s="231"/>
      <c r="D224" s="231"/>
      <c r="E224" s="231"/>
      <c r="F224" s="231"/>
      <c r="G224" s="231"/>
    </row>
    <row r="225">
      <c r="A225" s="231"/>
      <c r="B225" s="231"/>
      <c r="C225" s="231"/>
      <c r="D225" s="231"/>
      <c r="E225" s="231"/>
      <c r="F225" s="231"/>
      <c r="G225" s="231"/>
    </row>
    <row r="226">
      <c r="A226" s="231"/>
      <c r="B226" s="231"/>
      <c r="C226" s="231"/>
      <c r="D226" s="231"/>
      <c r="E226" s="231"/>
      <c r="F226" s="231"/>
      <c r="G226" s="231"/>
    </row>
    <row r="227">
      <c r="A227" s="231"/>
      <c r="B227" s="231"/>
      <c r="C227" s="231"/>
      <c r="D227" s="231"/>
      <c r="E227" s="231"/>
      <c r="F227" s="231"/>
      <c r="G227" s="231"/>
    </row>
    <row r="228">
      <c r="A228" s="231"/>
      <c r="B228" s="231"/>
      <c r="C228" s="231"/>
      <c r="D228" s="231"/>
      <c r="E228" s="231"/>
      <c r="F228" s="231"/>
      <c r="G228" s="231"/>
    </row>
    <row r="229">
      <c r="A229" s="231"/>
      <c r="B229" s="231"/>
      <c r="C229" s="231"/>
      <c r="D229" s="231"/>
      <c r="E229" s="231"/>
      <c r="F229" s="231"/>
      <c r="G229" s="231"/>
    </row>
    <row r="230">
      <c r="A230" s="231"/>
      <c r="B230" s="231"/>
      <c r="C230" s="231"/>
      <c r="D230" s="231"/>
      <c r="E230" s="231"/>
      <c r="F230" s="231"/>
      <c r="G230" s="231"/>
    </row>
    <row r="231">
      <c r="A231" s="231"/>
      <c r="B231" s="231"/>
      <c r="C231" s="231"/>
      <c r="D231" s="231"/>
      <c r="E231" s="231"/>
      <c r="F231" s="231"/>
      <c r="G231" s="231"/>
    </row>
    <row r="232">
      <c r="A232" s="231"/>
      <c r="B232" s="231"/>
      <c r="C232" s="231"/>
      <c r="D232" s="231"/>
      <c r="E232" s="231"/>
      <c r="F232" s="231"/>
      <c r="G232" s="231"/>
    </row>
    <row r="233">
      <c r="A233" s="231"/>
      <c r="B233" s="231"/>
      <c r="C233" s="231"/>
      <c r="D233" s="231"/>
      <c r="E233" s="231"/>
      <c r="F233" s="231"/>
      <c r="G233" s="231"/>
    </row>
    <row r="234">
      <c r="A234" s="231"/>
      <c r="B234" s="231"/>
      <c r="C234" s="231"/>
      <c r="D234" s="231"/>
      <c r="E234" s="231"/>
      <c r="F234" s="231"/>
      <c r="G234" s="231"/>
    </row>
    <row r="235">
      <c r="A235" s="231"/>
      <c r="B235" s="231"/>
      <c r="C235" s="231"/>
      <c r="D235" s="231"/>
      <c r="E235" s="231"/>
      <c r="F235" s="231"/>
      <c r="G235" s="231"/>
    </row>
    <row r="236">
      <c r="A236" s="231"/>
      <c r="B236" s="231"/>
      <c r="C236" s="231"/>
      <c r="D236" s="231"/>
      <c r="E236" s="231"/>
      <c r="F236" s="231"/>
      <c r="G236" s="231"/>
    </row>
    <row r="237">
      <c r="A237" s="231"/>
      <c r="B237" s="231"/>
      <c r="C237" s="231"/>
      <c r="D237" s="231"/>
      <c r="E237" s="231"/>
      <c r="F237" s="231"/>
      <c r="G237" s="231"/>
    </row>
    <row r="238">
      <c r="A238" s="231"/>
      <c r="B238" s="231"/>
      <c r="C238" s="231"/>
      <c r="D238" s="231"/>
      <c r="E238" s="231"/>
      <c r="F238" s="231"/>
      <c r="G238" s="231"/>
    </row>
    <row r="239">
      <c r="A239" s="231"/>
      <c r="B239" s="231"/>
      <c r="C239" s="231"/>
      <c r="D239" s="231"/>
      <c r="E239" s="231"/>
      <c r="F239" s="231"/>
      <c r="G239" s="231"/>
    </row>
    <row r="240">
      <c r="A240" s="231"/>
      <c r="B240" s="231"/>
      <c r="C240" s="231"/>
      <c r="D240" s="231"/>
      <c r="E240" s="231"/>
      <c r="F240" s="231"/>
      <c r="G240" s="231"/>
    </row>
    <row r="241">
      <c r="A241" s="231"/>
      <c r="B241" s="231"/>
      <c r="C241" s="231"/>
      <c r="D241" s="231"/>
      <c r="E241" s="231"/>
      <c r="F241" s="231"/>
      <c r="G241" s="231"/>
    </row>
    <row r="242">
      <c r="A242" s="231"/>
      <c r="B242" s="231"/>
      <c r="C242" s="231"/>
      <c r="D242" s="231"/>
      <c r="E242" s="231"/>
      <c r="F242" s="231"/>
      <c r="G242" s="231"/>
    </row>
    <row r="243">
      <c r="A243" s="231"/>
      <c r="B243" s="231"/>
      <c r="C243" s="231"/>
      <c r="D243" s="231"/>
      <c r="E243" s="231"/>
      <c r="F243" s="231"/>
      <c r="G243" s="231"/>
    </row>
    <row r="244">
      <c r="A244" s="231"/>
      <c r="B244" s="231"/>
      <c r="C244" s="231"/>
      <c r="D244" s="231"/>
      <c r="E244" s="231"/>
      <c r="F244" s="231"/>
      <c r="G244" s="231"/>
    </row>
    <row r="245">
      <c r="A245" s="231"/>
      <c r="B245" s="231"/>
      <c r="C245" s="231"/>
      <c r="D245" s="231"/>
      <c r="E245" s="231"/>
      <c r="F245" s="231"/>
      <c r="G245" s="231"/>
    </row>
    <row r="246">
      <c r="A246" s="231"/>
      <c r="B246" s="231"/>
      <c r="C246" s="231"/>
      <c r="D246" s="231"/>
      <c r="E246" s="231"/>
      <c r="F246" s="231"/>
      <c r="G246" s="231"/>
    </row>
    <row r="247">
      <c r="A247" s="231"/>
      <c r="B247" s="231"/>
      <c r="C247" s="231"/>
      <c r="D247" s="231"/>
      <c r="E247" s="231"/>
      <c r="F247" s="231"/>
      <c r="G247" s="231"/>
    </row>
    <row r="248">
      <c r="A248" s="231"/>
      <c r="B248" s="231"/>
      <c r="C248" s="231"/>
      <c r="D248" s="231"/>
      <c r="E248" s="231"/>
      <c r="F248" s="231"/>
      <c r="G248" s="231"/>
    </row>
    <row r="249">
      <c r="A249" s="231"/>
      <c r="B249" s="231"/>
      <c r="C249" s="231"/>
      <c r="D249" s="231"/>
      <c r="E249" s="231"/>
      <c r="F249" s="231"/>
      <c r="G249" s="231"/>
    </row>
    <row r="250">
      <c r="A250" s="231"/>
      <c r="B250" s="231"/>
      <c r="C250" s="231"/>
      <c r="D250" s="231"/>
      <c r="E250" s="231"/>
      <c r="F250" s="231"/>
      <c r="G250" s="231"/>
    </row>
    <row r="251">
      <c r="A251" s="231"/>
      <c r="B251" s="231"/>
      <c r="C251" s="231"/>
      <c r="D251" s="231"/>
      <c r="E251" s="231"/>
      <c r="F251" s="231"/>
      <c r="G251" s="231"/>
    </row>
    <row r="252">
      <c r="A252" s="231"/>
      <c r="B252" s="231"/>
      <c r="C252" s="231"/>
      <c r="D252" s="231"/>
      <c r="E252" s="231"/>
      <c r="F252" s="231"/>
      <c r="G252" s="231"/>
    </row>
    <row r="253">
      <c r="A253" s="231"/>
      <c r="B253" s="231"/>
      <c r="C253" s="231"/>
      <c r="D253" s="231"/>
      <c r="E253" s="231"/>
      <c r="F253" s="231"/>
      <c r="G253" s="231"/>
    </row>
    <row r="254">
      <c r="A254" s="231"/>
      <c r="B254" s="231"/>
      <c r="C254" s="231"/>
      <c r="D254" s="231"/>
      <c r="E254" s="231"/>
      <c r="F254" s="231"/>
      <c r="G254" s="231"/>
    </row>
    <row r="255">
      <c r="A255" s="231"/>
      <c r="B255" s="231"/>
      <c r="C255" s="231"/>
      <c r="D255" s="231"/>
      <c r="E255" s="231"/>
      <c r="F255" s="231"/>
      <c r="G255" s="231"/>
    </row>
    <row r="256">
      <c r="A256" s="231"/>
      <c r="B256" s="231"/>
      <c r="C256" s="231"/>
      <c r="D256" s="231"/>
      <c r="E256" s="231"/>
      <c r="F256" s="231"/>
      <c r="G256" s="231"/>
    </row>
    <row r="257">
      <c r="A257" s="231"/>
      <c r="B257" s="231"/>
      <c r="C257" s="231"/>
      <c r="D257" s="231"/>
      <c r="E257" s="231"/>
      <c r="F257" s="231"/>
      <c r="G257" s="231"/>
    </row>
    <row r="258">
      <c r="A258" s="231"/>
      <c r="B258" s="231"/>
      <c r="C258" s="231"/>
      <c r="D258" s="231"/>
      <c r="E258" s="231"/>
      <c r="F258" s="231"/>
      <c r="G258" s="231"/>
    </row>
    <row r="259">
      <c r="A259" s="231"/>
      <c r="B259" s="231"/>
      <c r="C259" s="231"/>
      <c r="D259" s="231"/>
      <c r="E259" s="231"/>
      <c r="F259" s="231"/>
      <c r="G259" s="231"/>
    </row>
    <row r="260">
      <c r="A260" s="231"/>
      <c r="B260" s="231"/>
      <c r="C260" s="231"/>
      <c r="D260" s="231"/>
      <c r="E260" s="231"/>
      <c r="F260" s="231"/>
      <c r="G260" s="231"/>
    </row>
    <row r="261">
      <c r="A261" s="231"/>
      <c r="B261" s="231"/>
      <c r="C261" s="231"/>
      <c r="D261" s="231"/>
      <c r="E261" s="231"/>
      <c r="F261" s="231"/>
      <c r="G261" s="231"/>
    </row>
    <row r="262">
      <c r="A262" s="231"/>
      <c r="B262" s="231"/>
      <c r="C262" s="231"/>
      <c r="D262" s="231"/>
      <c r="E262" s="231"/>
      <c r="F262" s="231"/>
      <c r="G262" s="231"/>
    </row>
    <row r="263">
      <c r="A263" s="231"/>
      <c r="B263" s="231"/>
      <c r="C263" s="231"/>
      <c r="D263" s="231"/>
      <c r="E263" s="231"/>
      <c r="F263" s="231"/>
      <c r="G263" s="231"/>
    </row>
    <row r="264">
      <c r="A264" s="231"/>
      <c r="B264" s="231"/>
      <c r="C264" s="231"/>
      <c r="D264" s="231"/>
      <c r="E264" s="231"/>
      <c r="F264" s="231"/>
      <c r="G264" s="231"/>
    </row>
    <row r="265">
      <c r="A265" s="231"/>
      <c r="B265" s="231"/>
      <c r="C265" s="231"/>
      <c r="D265" s="231"/>
      <c r="E265" s="231"/>
      <c r="F265" s="231"/>
      <c r="G265" s="231"/>
    </row>
    <row r="266">
      <c r="A266" s="231"/>
      <c r="B266" s="231"/>
      <c r="C266" s="231"/>
      <c r="D266" s="231"/>
      <c r="E266" s="231"/>
      <c r="F266" s="231"/>
      <c r="G266" s="231"/>
    </row>
    <row r="267">
      <c r="A267" s="231"/>
      <c r="B267" s="231"/>
      <c r="C267" s="231"/>
      <c r="D267" s="231"/>
      <c r="E267" s="231"/>
      <c r="F267" s="231"/>
      <c r="G267" s="231"/>
    </row>
    <row r="268">
      <c r="A268" s="231"/>
      <c r="B268" s="231"/>
      <c r="C268" s="231"/>
      <c r="D268" s="231"/>
      <c r="E268" s="231"/>
      <c r="F268" s="231"/>
      <c r="G268" s="231"/>
    </row>
    <row r="269">
      <c r="A269" s="231"/>
      <c r="B269" s="231"/>
      <c r="C269" s="231"/>
      <c r="D269" s="231"/>
      <c r="E269" s="231"/>
      <c r="F269" s="231"/>
      <c r="G269" s="231"/>
    </row>
    <row r="270">
      <c r="A270" s="231"/>
      <c r="B270" s="231"/>
      <c r="C270" s="231"/>
      <c r="D270" s="231"/>
      <c r="E270" s="231"/>
      <c r="F270" s="231"/>
      <c r="G270" s="231"/>
    </row>
    <row r="271">
      <c r="A271" s="231"/>
      <c r="B271" s="231"/>
      <c r="C271" s="231"/>
      <c r="D271" s="231"/>
      <c r="E271" s="231"/>
      <c r="F271" s="231"/>
      <c r="G271" s="231"/>
    </row>
    <row r="272">
      <c r="A272" s="231"/>
      <c r="B272" s="231"/>
      <c r="C272" s="231"/>
      <c r="D272" s="231"/>
      <c r="E272" s="231"/>
      <c r="F272" s="231"/>
      <c r="G272" s="231"/>
    </row>
    <row r="273">
      <c r="A273" s="231"/>
      <c r="B273" s="231"/>
      <c r="C273" s="231"/>
      <c r="D273" s="231"/>
      <c r="E273" s="231"/>
      <c r="F273" s="231"/>
      <c r="G273" s="231"/>
    </row>
    <row r="274">
      <c r="A274" s="231"/>
      <c r="B274" s="231"/>
      <c r="C274" s="231"/>
      <c r="D274" s="231"/>
      <c r="E274" s="231"/>
      <c r="F274" s="231"/>
      <c r="G274" s="231"/>
    </row>
    <row r="275">
      <c r="A275" s="231"/>
      <c r="B275" s="231"/>
      <c r="C275" s="231"/>
      <c r="D275" s="231"/>
      <c r="E275" s="231"/>
      <c r="F275" s="231"/>
      <c r="G275" s="231"/>
    </row>
    <row r="276">
      <c r="A276" s="231"/>
      <c r="B276" s="231"/>
      <c r="C276" s="231"/>
      <c r="D276" s="231"/>
      <c r="E276" s="231"/>
      <c r="F276" s="231"/>
      <c r="G276" s="231"/>
    </row>
    <row r="277">
      <c r="A277" s="231"/>
      <c r="B277" s="231"/>
      <c r="C277" s="231"/>
      <c r="D277" s="231"/>
      <c r="E277" s="231"/>
      <c r="F277" s="231"/>
      <c r="G277" s="231"/>
    </row>
    <row r="278">
      <c r="A278" s="231"/>
      <c r="B278" s="231"/>
      <c r="C278" s="231"/>
      <c r="D278" s="231"/>
      <c r="E278" s="231"/>
      <c r="F278" s="231"/>
      <c r="G278" s="231"/>
    </row>
    <row r="279">
      <c r="A279" s="231"/>
      <c r="B279" s="231"/>
      <c r="C279" s="231"/>
      <c r="D279" s="231"/>
      <c r="E279" s="231"/>
      <c r="F279" s="231"/>
      <c r="G279" s="231"/>
    </row>
    <row r="280">
      <c r="A280" s="231"/>
      <c r="B280" s="231"/>
      <c r="C280" s="231"/>
      <c r="D280" s="231"/>
      <c r="E280" s="231"/>
      <c r="F280" s="231"/>
      <c r="G280" s="231"/>
    </row>
    <row r="281">
      <c r="A281" s="231"/>
      <c r="B281" s="231"/>
      <c r="C281" s="231"/>
      <c r="D281" s="231"/>
      <c r="E281" s="231"/>
      <c r="F281" s="231"/>
      <c r="G281" s="231"/>
    </row>
    <row r="282">
      <c r="A282" s="231"/>
      <c r="B282" s="231"/>
      <c r="C282" s="231"/>
      <c r="D282" s="231"/>
      <c r="E282" s="231"/>
      <c r="F282" s="231"/>
      <c r="G282" s="231"/>
    </row>
    <row r="283">
      <c r="A283" s="231"/>
      <c r="B283" s="231"/>
      <c r="C283" s="231"/>
      <c r="D283" s="231"/>
      <c r="E283" s="231"/>
      <c r="F283" s="231"/>
      <c r="G283" s="231"/>
    </row>
    <row r="284">
      <c r="A284" s="231"/>
      <c r="B284" s="231"/>
      <c r="C284" s="231"/>
      <c r="D284" s="231"/>
      <c r="E284" s="231"/>
      <c r="F284" s="231"/>
      <c r="G284" s="231"/>
    </row>
    <row r="285">
      <c r="A285" s="231"/>
      <c r="B285" s="231"/>
      <c r="C285" s="231"/>
      <c r="D285" s="231"/>
      <c r="E285" s="231"/>
      <c r="F285" s="231"/>
      <c r="G285" s="231"/>
    </row>
    <row r="286">
      <c r="A286" s="231"/>
      <c r="B286" s="231"/>
      <c r="C286" s="231"/>
      <c r="D286" s="231"/>
      <c r="E286" s="231"/>
      <c r="F286" s="231"/>
      <c r="G286" s="231"/>
    </row>
    <row r="287">
      <c r="A287" s="231"/>
      <c r="B287" s="231"/>
      <c r="C287" s="231"/>
      <c r="D287" s="231"/>
      <c r="E287" s="231"/>
      <c r="F287" s="231"/>
      <c r="G287" s="231"/>
    </row>
    <row r="288">
      <c r="A288" s="231"/>
      <c r="B288" s="231"/>
      <c r="C288" s="231"/>
      <c r="D288" s="231"/>
      <c r="E288" s="231"/>
      <c r="F288" s="231"/>
      <c r="G288" s="231"/>
    </row>
    <row r="289">
      <c r="A289" s="231"/>
      <c r="B289" s="231"/>
      <c r="C289" s="231"/>
      <c r="D289" s="231"/>
      <c r="E289" s="231"/>
      <c r="F289" s="231"/>
      <c r="G289" s="231"/>
    </row>
    <row r="290">
      <c r="A290" s="231"/>
      <c r="B290" s="231"/>
      <c r="C290" s="231"/>
      <c r="D290" s="231"/>
      <c r="E290" s="231"/>
      <c r="F290" s="231"/>
      <c r="G290" s="231"/>
    </row>
    <row r="291">
      <c r="A291" s="231"/>
      <c r="B291" s="231"/>
      <c r="C291" s="231"/>
      <c r="D291" s="231"/>
      <c r="E291" s="231"/>
      <c r="F291" s="231"/>
      <c r="G291" s="231"/>
    </row>
    <row r="292">
      <c r="A292" s="231"/>
      <c r="B292" s="231"/>
      <c r="C292" s="231"/>
      <c r="D292" s="231"/>
      <c r="E292" s="231"/>
      <c r="F292" s="231"/>
      <c r="G292" s="231"/>
    </row>
    <row r="293">
      <c r="A293" s="231"/>
      <c r="B293" s="231"/>
      <c r="C293" s="231"/>
      <c r="D293" s="231"/>
      <c r="E293" s="231"/>
      <c r="F293" s="231"/>
      <c r="G293" s="231"/>
    </row>
    <row r="294">
      <c r="A294" s="231"/>
      <c r="B294" s="231"/>
      <c r="C294" s="231"/>
      <c r="D294" s="231"/>
      <c r="E294" s="231"/>
      <c r="F294" s="231"/>
      <c r="G294" s="231"/>
    </row>
    <row r="295">
      <c r="A295" s="231"/>
      <c r="B295" s="231"/>
      <c r="C295" s="231"/>
      <c r="D295" s="231"/>
      <c r="E295" s="231"/>
      <c r="F295" s="231"/>
      <c r="G295" s="231"/>
    </row>
    <row r="296">
      <c r="A296" s="231"/>
      <c r="B296" s="231"/>
      <c r="C296" s="231"/>
      <c r="D296" s="231"/>
      <c r="E296" s="231"/>
      <c r="F296" s="231"/>
      <c r="G296" s="231"/>
    </row>
    <row r="297">
      <c r="A297" s="231"/>
      <c r="B297" s="231"/>
      <c r="C297" s="231"/>
      <c r="D297" s="231"/>
      <c r="E297" s="231"/>
      <c r="F297" s="231"/>
      <c r="G297" s="231"/>
    </row>
    <row r="298">
      <c r="A298" s="231"/>
      <c r="B298" s="231"/>
      <c r="C298" s="231"/>
      <c r="D298" s="231"/>
      <c r="E298" s="231"/>
      <c r="F298" s="231"/>
      <c r="G298" s="231"/>
    </row>
    <row r="299">
      <c r="A299" s="231"/>
      <c r="B299" s="231"/>
      <c r="C299" s="231"/>
      <c r="D299" s="231"/>
      <c r="E299" s="231"/>
      <c r="F299" s="231"/>
      <c r="G299" s="231"/>
    </row>
    <row r="300">
      <c r="A300" s="231"/>
      <c r="B300" s="231"/>
      <c r="C300" s="231"/>
      <c r="D300" s="231"/>
      <c r="E300" s="231"/>
      <c r="F300" s="231"/>
      <c r="G300" s="231"/>
    </row>
    <row r="301">
      <c r="A301" s="231"/>
      <c r="B301" s="231"/>
      <c r="C301" s="231"/>
      <c r="D301" s="231"/>
      <c r="E301" s="231"/>
      <c r="F301" s="231"/>
      <c r="G301" s="231"/>
    </row>
    <row r="302">
      <c r="A302" s="231"/>
      <c r="B302" s="231"/>
      <c r="C302" s="231"/>
      <c r="D302" s="231"/>
      <c r="E302" s="231"/>
      <c r="F302" s="231"/>
      <c r="G302" s="231"/>
    </row>
    <row r="303">
      <c r="A303" s="231"/>
      <c r="B303" s="231"/>
      <c r="C303" s="231"/>
      <c r="D303" s="231"/>
      <c r="E303" s="231"/>
      <c r="F303" s="231"/>
      <c r="G303" s="231"/>
    </row>
    <row r="304">
      <c r="A304" s="231"/>
      <c r="B304" s="231"/>
      <c r="C304" s="231"/>
      <c r="D304" s="231"/>
      <c r="E304" s="231"/>
      <c r="F304" s="231"/>
      <c r="G304" s="231"/>
    </row>
    <row r="305">
      <c r="A305" s="231"/>
      <c r="B305" s="231"/>
      <c r="C305" s="231"/>
      <c r="D305" s="231"/>
      <c r="E305" s="231"/>
      <c r="F305" s="231"/>
      <c r="G305" s="231"/>
    </row>
    <row r="306">
      <c r="A306" s="231"/>
      <c r="B306" s="231"/>
      <c r="C306" s="231"/>
      <c r="D306" s="231"/>
      <c r="E306" s="231"/>
      <c r="F306" s="231"/>
      <c r="G306" s="231"/>
    </row>
    <row r="307">
      <c r="A307" s="231"/>
      <c r="B307" s="231"/>
      <c r="C307" s="231"/>
      <c r="D307" s="231"/>
      <c r="E307" s="231"/>
      <c r="F307" s="231"/>
      <c r="G307" s="231"/>
    </row>
    <row r="308">
      <c r="A308" s="231"/>
      <c r="B308" s="231"/>
      <c r="C308" s="231"/>
      <c r="D308" s="231"/>
      <c r="E308" s="231"/>
      <c r="F308" s="231"/>
      <c r="G308" s="231"/>
    </row>
    <row r="309">
      <c r="A309" s="231"/>
      <c r="B309" s="231"/>
      <c r="C309" s="231"/>
      <c r="D309" s="231"/>
      <c r="E309" s="231"/>
      <c r="F309" s="231"/>
      <c r="G309" s="231"/>
    </row>
    <row r="310">
      <c r="A310" s="231"/>
      <c r="B310" s="231"/>
      <c r="C310" s="231"/>
      <c r="D310" s="231"/>
      <c r="E310" s="231"/>
      <c r="F310" s="231"/>
      <c r="G310" s="231"/>
    </row>
    <row r="311">
      <c r="A311" s="231"/>
      <c r="B311" s="231"/>
      <c r="C311" s="231"/>
      <c r="D311" s="231"/>
      <c r="E311" s="231"/>
      <c r="F311" s="231"/>
      <c r="G311" s="231"/>
    </row>
    <row r="312">
      <c r="A312" s="231"/>
      <c r="B312" s="231"/>
      <c r="C312" s="231"/>
      <c r="D312" s="231"/>
      <c r="E312" s="231"/>
      <c r="F312" s="231"/>
      <c r="G312" s="231"/>
    </row>
    <row r="313">
      <c r="A313" s="231"/>
      <c r="B313" s="231"/>
      <c r="C313" s="231"/>
      <c r="D313" s="231"/>
      <c r="E313" s="231"/>
      <c r="F313" s="231"/>
      <c r="G313" s="231"/>
    </row>
    <row r="314">
      <c r="A314" s="231"/>
      <c r="B314" s="231"/>
      <c r="C314" s="231"/>
      <c r="D314" s="231"/>
      <c r="E314" s="231"/>
      <c r="F314" s="231"/>
      <c r="G314" s="231"/>
    </row>
    <row r="315">
      <c r="A315" s="231"/>
      <c r="B315" s="231"/>
      <c r="C315" s="231"/>
      <c r="D315" s="231"/>
      <c r="E315" s="231"/>
      <c r="F315" s="231"/>
      <c r="G315" s="231"/>
    </row>
    <row r="316">
      <c r="A316" s="231"/>
      <c r="B316" s="231"/>
      <c r="C316" s="231"/>
      <c r="D316" s="231"/>
      <c r="E316" s="231"/>
      <c r="F316" s="231"/>
      <c r="G316" s="231"/>
    </row>
    <row r="317">
      <c r="A317" s="231"/>
      <c r="B317" s="231"/>
      <c r="C317" s="231"/>
      <c r="D317" s="231"/>
      <c r="E317" s="231"/>
      <c r="F317" s="231"/>
      <c r="G317" s="231"/>
    </row>
    <row r="318">
      <c r="A318" s="231"/>
      <c r="B318" s="231"/>
      <c r="C318" s="231"/>
      <c r="D318" s="231"/>
      <c r="E318" s="231"/>
      <c r="F318" s="231"/>
      <c r="G318" s="231"/>
    </row>
    <row r="319">
      <c r="A319" s="231"/>
      <c r="B319" s="231"/>
      <c r="C319" s="231"/>
      <c r="D319" s="231"/>
      <c r="E319" s="231"/>
      <c r="F319" s="231"/>
      <c r="G319" s="231"/>
    </row>
    <row r="320">
      <c r="A320" s="231"/>
      <c r="B320" s="231"/>
      <c r="C320" s="231"/>
      <c r="D320" s="231"/>
      <c r="E320" s="231"/>
      <c r="F320" s="231"/>
      <c r="G320" s="231"/>
    </row>
    <row r="321">
      <c r="A321" s="231"/>
      <c r="B321" s="231"/>
      <c r="C321" s="231"/>
      <c r="D321" s="231"/>
      <c r="E321" s="231"/>
      <c r="F321" s="231"/>
      <c r="G321" s="231"/>
    </row>
    <row r="322">
      <c r="A322" s="231"/>
      <c r="B322" s="231"/>
      <c r="C322" s="231"/>
      <c r="D322" s="231"/>
      <c r="E322" s="231"/>
      <c r="F322" s="231"/>
      <c r="G322" s="231"/>
    </row>
    <row r="323">
      <c r="A323" s="231"/>
      <c r="B323" s="231"/>
      <c r="C323" s="231"/>
      <c r="D323" s="231"/>
      <c r="E323" s="231"/>
      <c r="F323" s="231"/>
      <c r="G323" s="231"/>
    </row>
    <row r="324">
      <c r="A324" s="231"/>
      <c r="B324" s="231"/>
      <c r="C324" s="231"/>
      <c r="D324" s="231"/>
      <c r="E324" s="231"/>
      <c r="F324" s="231"/>
      <c r="G324" s="231"/>
    </row>
    <row r="325">
      <c r="A325" s="231"/>
      <c r="B325" s="231"/>
      <c r="C325" s="231"/>
      <c r="D325" s="231"/>
      <c r="E325" s="231"/>
      <c r="F325" s="231"/>
      <c r="G325" s="231"/>
    </row>
    <row r="326">
      <c r="A326" s="231"/>
      <c r="B326" s="231"/>
      <c r="C326" s="231"/>
      <c r="D326" s="231"/>
      <c r="E326" s="231"/>
      <c r="F326" s="231"/>
      <c r="G326" s="231"/>
    </row>
    <row r="327">
      <c r="A327" s="231"/>
      <c r="B327" s="231"/>
      <c r="C327" s="231"/>
      <c r="D327" s="231"/>
      <c r="E327" s="231"/>
      <c r="F327" s="231"/>
      <c r="G327" s="231"/>
    </row>
    <row r="328">
      <c r="A328" s="231"/>
      <c r="B328" s="231"/>
      <c r="C328" s="231"/>
      <c r="D328" s="231"/>
      <c r="E328" s="231"/>
      <c r="F328" s="231"/>
      <c r="G328" s="231"/>
    </row>
    <row r="329">
      <c r="A329" s="231"/>
      <c r="B329" s="231"/>
      <c r="C329" s="231"/>
      <c r="D329" s="231"/>
      <c r="E329" s="231"/>
      <c r="F329" s="231"/>
      <c r="G329" s="231"/>
    </row>
    <row r="330">
      <c r="A330" s="231"/>
      <c r="B330" s="231"/>
      <c r="C330" s="231"/>
      <c r="D330" s="231"/>
      <c r="E330" s="231"/>
      <c r="F330" s="231"/>
      <c r="G330" s="231"/>
    </row>
    <row r="331">
      <c r="A331" s="231"/>
      <c r="B331" s="231"/>
      <c r="C331" s="231"/>
      <c r="D331" s="231"/>
      <c r="E331" s="231"/>
      <c r="F331" s="231"/>
      <c r="G331" s="231"/>
    </row>
    <row r="332">
      <c r="A332" s="231"/>
      <c r="B332" s="231"/>
      <c r="C332" s="231"/>
      <c r="D332" s="231"/>
      <c r="E332" s="231"/>
      <c r="F332" s="231"/>
      <c r="G332" s="231"/>
    </row>
    <row r="333">
      <c r="A333" s="231"/>
      <c r="B333" s="231"/>
      <c r="C333" s="231"/>
      <c r="D333" s="231"/>
      <c r="E333" s="231"/>
      <c r="F333" s="231"/>
      <c r="G333" s="231"/>
    </row>
    <row r="334">
      <c r="A334" s="231"/>
      <c r="B334" s="231"/>
      <c r="C334" s="231"/>
      <c r="D334" s="231"/>
      <c r="E334" s="231"/>
      <c r="F334" s="231"/>
      <c r="G334" s="231"/>
    </row>
    <row r="335">
      <c r="A335" s="231"/>
      <c r="B335" s="231"/>
      <c r="C335" s="231"/>
      <c r="D335" s="231"/>
      <c r="E335" s="231"/>
      <c r="F335" s="231"/>
      <c r="G335" s="231"/>
    </row>
    <row r="336">
      <c r="A336" s="231"/>
      <c r="B336" s="231"/>
      <c r="C336" s="231"/>
      <c r="D336" s="231"/>
      <c r="E336" s="231"/>
      <c r="F336" s="231"/>
      <c r="G336" s="231"/>
    </row>
    <row r="337">
      <c r="A337" s="231"/>
      <c r="B337" s="231"/>
      <c r="C337" s="231"/>
      <c r="D337" s="231"/>
      <c r="E337" s="231"/>
      <c r="F337" s="231"/>
      <c r="G337" s="231"/>
    </row>
    <row r="338">
      <c r="A338" s="231"/>
      <c r="B338" s="231"/>
      <c r="C338" s="231"/>
      <c r="D338" s="231"/>
      <c r="E338" s="231"/>
      <c r="F338" s="231"/>
      <c r="G338" s="231"/>
    </row>
    <row r="339">
      <c r="A339" s="231"/>
      <c r="B339" s="231"/>
      <c r="C339" s="231"/>
      <c r="D339" s="231"/>
      <c r="E339" s="231"/>
      <c r="F339" s="231"/>
      <c r="G339" s="231"/>
    </row>
    <row r="340">
      <c r="A340" s="231"/>
      <c r="B340" s="231"/>
      <c r="C340" s="231"/>
      <c r="D340" s="231"/>
      <c r="E340" s="231"/>
      <c r="F340" s="231"/>
      <c r="G340" s="231"/>
    </row>
    <row r="341">
      <c r="A341" s="231"/>
      <c r="B341" s="231"/>
      <c r="C341" s="231"/>
      <c r="D341" s="231"/>
      <c r="E341" s="231"/>
      <c r="F341" s="231"/>
      <c r="G341" s="231"/>
    </row>
    <row r="342">
      <c r="A342" s="231"/>
      <c r="B342" s="231"/>
      <c r="C342" s="231"/>
      <c r="D342" s="231"/>
      <c r="E342" s="231"/>
      <c r="F342" s="231"/>
      <c r="G342" s="231"/>
    </row>
    <row r="343">
      <c r="A343" s="231"/>
      <c r="B343" s="231"/>
      <c r="C343" s="231"/>
      <c r="D343" s="231"/>
      <c r="E343" s="231"/>
      <c r="F343" s="231"/>
      <c r="G343" s="231"/>
    </row>
    <row r="344">
      <c r="A344" s="231"/>
      <c r="B344" s="231"/>
      <c r="C344" s="231"/>
      <c r="D344" s="231"/>
      <c r="E344" s="231"/>
      <c r="F344" s="231"/>
      <c r="G344" s="231"/>
    </row>
    <row r="345">
      <c r="A345" s="231"/>
      <c r="B345" s="231"/>
      <c r="C345" s="231"/>
      <c r="D345" s="231"/>
      <c r="E345" s="231"/>
      <c r="F345" s="231"/>
      <c r="G345" s="231"/>
    </row>
    <row r="346">
      <c r="A346" s="231"/>
      <c r="B346" s="231"/>
      <c r="C346" s="231"/>
      <c r="D346" s="231"/>
      <c r="E346" s="231"/>
      <c r="F346" s="231"/>
      <c r="G346" s="231"/>
    </row>
    <row r="347">
      <c r="A347" s="231"/>
      <c r="B347" s="231"/>
      <c r="C347" s="231"/>
      <c r="D347" s="231"/>
      <c r="E347" s="231"/>
      <c r="F347" s="231"/>
      <c r="G347" s="231"/>
    </row>
    <row r="348">
      <c r="A348" s="231"/>
      <c r="B348" s="231"/>
      <c r="C348" s="231"/>
      <c r="D348" s="231"/>
      <c r="E348" s="231"/>
      <c r="F348" s="231"/>
      <c r="G348" s="231"/>
    </row>
    <row r="349">
      <c r="A349" s="231"/>
      <c r="B349" s="231"/>
      <c r="C349" s="231"/>
      <c r="D349" s="231"/>
      <c r="E349" s="231"/>
      <c r="F349" s="231"/>
      <c r="G349" s="231"/>
    </row>
    <row r="350">
      <c r="A350" s="231"/>
      <c r="B350" s="231"/>
      <c r="C350" s="231"/>
      <c r="D350" s="231"/>
      <c r="E350" s="231"/>
      <c r="F350" s="231"/>
      <c r="G350" s="231"/>
    </row>
    <row r="351">
      <c r="A351" s="231"/>
      <c r="B351" s="231"/>
      <c r="C351" s="231"/>
      <c r="D351" s="231"/>
      <c r="E351" s="231"/>
      <c r="F351" s="231"/>
      <c r="G351" s="231"/>
    </row>
    <row r="352">
      <c r="A352" s="231"/>
      <c r="B352" s="231"/>
      <c r="C352" s="231"/>
      <c r="D352" s="231"/>
      <c r="E352" s="231"/>
      <c r="F352" s="231"/>
      <c r="G352" s="231"/>
    </row>
    <row r="353">
      <c r="A353" s="231"/>
      <c r="B353" s="231"/>
      <c r="C353" s="231"/>
      <c r="D353" s="231"/>
      <c r="E353" s="231"/>
      <c r="F353" s="231"/>
      <c r="G353" s="231"/>
    </row>
    <row r="354">
      <c r="A354" s="231"/>
      <c r="B354" s="231"/>
      <c r="C354" s="231"/>
      <c r="D354" s="231"/>
      <c r="E354" s="231"/>
      <c r="F354" s="231"/>
      <c r="G354" s="231"/>
    </row>
    <row r="355">
      <c r="A355" s="231"/>
      <c r="B355" s="231"/>
      <c r="C355" s="231"/>
      <c r="D355" s="231"/>
      <c r="E355" s="231"/>
      <c r="F355" s="231"/>
      <c r="G355" s="231"/>
    </row>
    <row r="356">
      <c r="A356" s="231"/>
      <c r="B356" s="231"/>
      <c r="C356" s="231"/>
      <c r="D356" s="231"/>
      <c r="E356" s="231"/>
      <c r="F356" s="231"/>
      <c r="G356" s="231"/>
    </row>
    <row r="357">
      <c r="A357" s="231"/>
      <c r="B357" s="231"/>
      <c r="C357" s="231"/>
      <c r="D357" s="231"/>
      <c r="E357" s="231"/>
      <c r="F357" s="231"/>
      <c r="G357" s="231"/>
    </row>
    <row r="358">
      <c r="A358" s="231"/>
      <c r="B358" s="231"/>
      <c r="C358" s="231"/>
      <c r="D358" s="231"/>
      <c r="E358" s="231"/>
      <c r="F358" s="231"/>
      <c r="G358" s="231"/>
    </row>
    <row r="359">
      <c r="A359" s="231"/>
      <c r="B359" s="231"/>
      <c r="C359" s="231"/>
      <c r="D359" s="231"/>
      <c r="E359" s="231"/>
      <c r="F359" s="231"/>
      <c r="G359" s="231"/>
    </row>
    <row r="360">
      <c r="A360" s="231"/>
      <c r="B360" s="231"/>
      <c r="C360" s="231"/>
      <c r="D360" s="231"/>
      <c r="E360" s="231"/>
      <c r="F360" s="231"/>
      <c r="G360" s="231"/>
    </row>
    <row r="361">
      <c r="A361" s="231"/>
      <c r="B361" s="231"/>
      <c r="C361" s="231"/>
      <c r="D361" s="231"/>
      <c r="E361" s="231"/>
      <c r="F361" s="231"/>
      <c r="G361" s="231"/>
    </row>
    <row r="362">
      <c r="A362" s="231"/>
      <c r="B362" s="231"/>
      <c r="C362" s="231"/>
      <c r="D362" s="231"/>
      <c r="E362" s="231"/>
      <c r="F362" s="231"/>
      <c r="G362" s="231"/>
    </row>
    <row r="363">
      <c r="A363" s="231"/>
      <c r="B363" s="231"/>
      <c r="C363" s="231"/>
      <c r="D363" s="231"/>
      <c r="E363" s="231"/>
      <c r="F363" s="231"/>
      <c r="G363" s="231"/>
    </row>
    <row r="364">
      <c r="A364" s="231"/>
      <c r="B364" s="231"/>
      <c r="C364" s="231"/>
      <c r="D364" s="231"/>
      <c r="E364" s="231"/>
      <c r="F364" s="231"/>
      <c r="G364" s="231"/>
    </row>
    <row r="365">
      <c r="A365" s="231"/>
      <c r="B365" s="231"/>
      <c r="C365" s="231"/>
      <c r="D365" s="231"/>
      <c r="E365" s="231"/>
      <c r="F365" s="231"/>
      <c r="G365" s="231"/>
    </row>
    <row r="366">
      <c r="A366" s="231"/>
      <c r="B366" s="231"/>
      <c r="C366" s="231"/>
      <c r="D366" s="231"/>
      <c r="E366" s="231"/>
      <c r="F366" s="231"/>
      <c r="G366" s="231"/>
    </row>
    <row r="367">
      <c r="A367" s="231"/>
      <c r="B367" s="231"/>
      <c r="C367" s="231"/>
      <c r="D367" s="231"/>
      <c r="E367" s="231"/>
      <c r="F367" s="231"/>
      <c r="G367" s="231"/>
    </row>
    <row r="368">
      <c r="A368" s="231"/>
      <c r="B368" s="231"/>
      <c r="C368" s="231"/>
      <c r="D368" s="231"/>
      <c r="E368" s="231"/>
      <c r="F368" s="231"/>
      <c r="G368" s="231"/>
    </row>
    <row r="369">
      <c r="A369" s="231"/>
      <c r="B369" s="231"/>
      <c r="C369" s="231"/>
      <c r="D369" s="231"/>
      <c r="E369" s="231"/>
      <c r="F369" s="231"/>
      <c r="G369" s="231"/>
    </row>
    <row r="370">
      <c r="A370" s="231"/>
      <c r="B370" s="231"/>
      <c r="C370" s="231"/>
      <c r="D370" s="231"/>
      <c r="E370" s="231"/>
      <c r="F370" s="231"/>
      <c r="G370" s="231"/>
    </row>
    <row r="371">
      <c r="A371" s="231"/>
      <c r="B371" s="231"/>
      <c r="C371" s="231"/>
      <c r="D371" s="231"/>
      <c r="E371" s="231"/>
      <c r="F371" s="231"/>
      <c r="G371" s="231"/>
    </row>
    <row r="372">
      <c r="A372" s="231"/>
      <c r="B372" s="231"/>
      <c r="C372" s="231"/>
      <c r="D372" s="231"/>
      <c r="E372" s="231"/>
      <c r="F372" s="231"/>
      <c r="G372" s="231"/>
    </row>
    <row r="373">
      <c r="A373" s="231"/>
      <c r="B373" s="231"/>
      <c r="C373" s="231"/>
      <c r="D373" s="231"/>
      <c r="E373" s="231"/>
      <c r="F373" s="231"/>
      <c r="G373" s="231"/>
    </row>
    <row r="374">
      <c r="A374" s="231"/>
      <c r="B374" s="231"/>
      <c r="C374" s="231"/>
      <c r="D374" s="231"/>
      <c r="E374" s="231"/>
      <c r="F374" s="231"/>
      <c r="G374" s="231"/>
    </row>
    <row r="375">
      <c r="A375" s="231"/>
      <c r="B375" s="231"/>
      <c r="C375" s="231"/>
      <c r="D375" s="231"/>
      <c r="E375" s="231"/>
      <c r="F375" s="231"/>
      <c r="G375" s="231"/>
    </row>
    <row r="376">
      <c r="A376" s="231"/>
      <c r="B376" s="231"/>
      <c r="C376" s="231"/>
      <c r="D376" s="231"/>
      <c r="E376" s="231"/>
      <c r="F376" s="231"/>
      <c r="G376" s="231"/>
    </row>
    <row r="377">
      <c r="A377" s="231"/>
      <c r="B377" s="231"/>
      <c r="C377" s="231"/>
      <c r="D377" s="231"/>
      <c r="E377" s="231"/>
      <c r="F377" s="231"/>
      <c r="G377" s="231"/>
    </row>
    <row r="378">
      <c r="A378" s="231"/>
      <c r="B378" s="231"/>
      <c r="C378" s="231"/>
      <c r="D378" s="231"/>
      <c r="E378" s="231"/>
      <c r="F378" s="231"/>
      <c r="G378" s="231"/>
    </row>
    <row r="379">
      <c r="A379" s="231"/>
      <c r="B379" s="231"/>
      <c r="C379" s="231"/>
      <c r="D379" s="231"/>
      <c r="E379" s="231"/>
      <c r="F379" s="231"/>
      <c r="G379" s="231"/>
    </row>
    <row r="380">
      <c r="A380" s="231"/>
      <c r="B380" s="231"/>
      <c r="C380" s="231"/>
      <c r="D380" s="231"/>
      <c r="E380" s="231"/>
      <c r="F380" s="231"/>
      <c r="G380" s="231"/>
    </row>
    <row r="381">
      <c r="A381" s="231"/>
      <c r="B381" s="231"/>
      <c r="C381" s="231"/>
      <c r="D381" s="231"/>
      <c r="E381" s="231"/>
      <c r="F381" s="231"/>
      <c r="G381" s="231"/>
    </row>
    <row r="382">
      <c r="A382" s="231"/>
      <c r="B382" s="231"/>
      <c r="C382" s="231"/>
      <c r="D382" s="231"/>
      <c r="E382" s="231"/>
      <c r="F382" s="231"/>
      <c r="G382" s="231"/>
    </row>
    <row r="383">
      <c r="A383" s="231"/>
      <c r="B383" s="231"/>
      <c r="C383" s="231"/>
      <c r="D383" s="231"/>
      <c r="E383" s="231"/>
      <c r="F383" s="231"/>
      <c r="G383" s="231"/>
    </row>
    <row r="384">
      <c r="A384" s="231"/>
      <c r="B384" s="231"/>
      <c r="C384" s="231"/>
      <c r="D384" s="231"/>
      <c r="E384" s="231"/>
      <c r="F384" s="231"/>
      <c r="G384" s="231"/>
    </row>
    <row r="385">
      <c r="A385" s="231"/>
      <c r="B385" s="231"/>
      <c r="C385" s="231"/>
      <c r="D385" s="231"/>
      <c r="E385" s="231"/>
      <c r="F385" s="231"/>
      <c r="G385" s="231"/>
    </row>
    <row r="386">
      <c r="A386" s="231"/>
      <c r="B386" s="231"/>
      <c r="C386" s="231"/>
      <c r="D386" s="231"/>
      <c r="E386" s="231"/>
      <c r="F386" s="231"/>
      <c r="G386" s="231"/>
    </row>
    <row r="387">
      <c r="A387" s="231"/>
      <c r="B387" s="231"/>
      <c r="C387" s="231"/>
      <c r="D387" s="231"/>
      <c r="E387" s="231"/>
      <c r="F387" s="231"/>
      <c r="G387" s="231"/>
    </row>
    <row r="388">
      <c r="A388" s="231"/>
      <c r="B388" s="231"/>
      <c r="C388" s="231"/>
      <c r="D388" s="231"/>
      <c r="E388" s="231"/>
      <c r="F388" s="231"/>
      <c r="G388" s="231"/>
    </row>
    <row r="389">
      <c r="A389" s="231"/>
      <c r="B389" s="231"/>
      <c r="C389" s="231"/>
      <c r="D389" s="231"/>
      <c r="E389" s="231"/>
      <c r="F389" s="231"/>
      <c r="G389" s="231"/>
    </row>
    <row r="390">
      <c r="A390" s="231"/>
      <c r="B390" s="231"/>
      <c r="C390" s="231"/>
      <c r="D390" s="231"/>
      <c r="E390" s="231"/>
      <c r="F390" s="231"/>
      <c r="G390" s="231"/>
    </row>
    <row r="391">
      <c r="A391" s="231"/>
      <c r="B391" s="231"/>
      <c r="C391" s="231"/>
      <c r="D391" s="231"/>
      <c r="E391" s="231"/>
      <c r="F391" s="231"/>
      <c r="G391" s="231"/>
    </row>
    <row r="392">
      <c r="A392" s="231"/>
      <c r="B392" s="231"/>
      <c r="C392" s="231"/>
      <c r="D392" s="231"/>
      <c r="E392" s="231"/>
      <c r="F392" s="231"/>
      <c r="G392" s="231"/>
    </row>
    <row r="393">
      <c r="A393" s="231"/>
      <c r="B393" s="231"/>
      <c r="C393" s="231"/>
      <c r="D393" s="231"/>
      <c r="E393" s="231"/>
      <c r="F393" s="231"/>
      <c r="G393" s="231"/>
    </row>
    <row r="394">
      <c r="A394" s="231"/>
      <c r="B394" s="231"/>
      <c r="C394" s="231"/>
      <c r="D394" s="231"/>
      <c r="E394" s="231"/>
      <c r="F394" s="231"/>
      <c r="G394" s="231"/>
    </row>
    <row r="395">
      <c r="A395" s="231"/>
      <c r="B395" s="231"/>
      <c r="C395" s="231"/>
      <c r="D395" s="231"/>
      <c r="E395" s="231"/>
      <c r="F395" s="231"/>
      <c r="G395" s="231"/>
    </row>
    <row r="396">
      <c r="A396" s="231"/>
      <c r="B396" s="231"/>
      <c r="C396" s="231"/>
      <c r="D396" s="231"/>
      <c r="E396" s="231"/>
      <c r="F396" s="231"/>
      <c r="G396" s="231"/>
    </row>
    <row r="397">
      <c r="A397" s="231"/>
      <c r="B397" s="231"/>
      <c r="C397" s="231"/>
      <c r="D397" s="231"/>
      <c r="E397" s="231"/>
      <c r="F397" s="231"/>
      <c r="G397" s="231"/>
    </row>
    <row r="398">
      <c r="A398" s="231"/>
      <c r="B398" s="231"/>
      <c r="C398" s="231"/>
      <c r="D398" s="231"/>
      <c r="E398" s="231"/>
      <c r="F398" s="231"/>
      <c r="G398" s="231"/>
    </row>
    <row r="399">
      <c r="A399" s="231"/>
      <c r="B399" s="231"/>
      <c r="C399" s="231"/>
      <c r="D399" s="231"/>
      <c r="E399" s="231"/>
      <c r="F399" s="231"/>
      <c r="G399" s="231"/>
    </row>
    <row r="400">
      <c r="A400" s="231"/>
      <c r="B400" s="231"/>
      <c r="C400" s="231"/>
      <c r="D400" s="231"/>
      <c r="E400" s="231"/>
      <c r="F400" s="231"/>
      <c r="G400" s="231"/>
    </row>
    <row r="401">
      <c r="A401" s="231"/>
      <c r="B401" s="231"/>
      <c r="C401" s="231"/>
      <c r="D401" s="231"/>
      <c r="E401" s="231"/>
      <c r="F401" s="231"/>
      <c r="G401" s="231"/>
    </row>
    <row r="402">
      <c r="A402" s="231"/>
      <c r="B402" s="231"/>
      <c r="C402" s="231"/>
      <c r="D402" s="231"/>
      <c r="E402" s="231"/>
      <c r="F402" s="231"/>
      <c r="G402" s="231"/>
    </row>
    <row r="403">
      <c r="A403" s="231"/>
      <c r="B403" s="231"/>
      <c r="C403" s="231"/>
      <c r="D403" s="231"/>
      <c r="E403" s="231"/>
      <c r="F403" s="231"/>
      <c r="G403" s="231"/>
    </row>
    <row r="404">
      <c r="A404" s="231"/>
      <c r="B404" s="231"/>
      <c r="C404" s="231"/>
      <c r="D404" s="231"/>
      <c r="E404" s="231"/>
      <c r="F404" s="231"/>
      <c r="G404" s="231"/>
    </row>
    <row r="405">
      <c r="A405" s="231"/>
      <c r="B405" s="231"/>
      <c r="C405" s="231"/>
      <c r="D405" s="231"/>
      <c r="E405" s="231"/>
      <c r="F405" s="231"/>
      <c r="G405" s="231"/>
    </row>
    <row r="406">
      <c r="A406" s="231"/>
      <c r="B406" s="231"/>
      <c r="C406" s="231"/>
      <c r="D406" s="231"/>
      <c r="E406" s="231"/>
      <c r="F406" s="231"/>
      <c r="G406" s="231"/>
    </row>
    <row r="407">
      <c r="A407" s="231"/>
      <c r="B407" s="231"/>
      <c r="C407" s="231"/>
      <c r="D407" s="231"/>
      <c r="E407" s="231"/>
      <c r="F407" s="231"/>
      <c r="G407" s="231"/>
    </row>
    <row r="408">
      <c r="A408" s="231"/>
      <c r="B408" s="231"/>
      <c r="C408" s="231"/>
      <c r="D408" s="231"/>
      <c r="E408" s="231"/>
      <c r="F408" s="231"/>
      <c r="G408" s="231"/>
    </row>
    <row r="409">
      <c r="A409" s="231"/>
      <c r="B409" s="231"/>
      <c r="C409" s="231"/>
      <c r="D409" s="231"/>
      <c r="E409" s="231"/>
      <c r="F409" s="231"/>
      <c r="G409" s="231"/>
    </row>
    <row r="410">
      <c r="A410" s="231"/>
      <c r="B410" s="231"/>
      <c r="C410" s="231"/>
      <c r="D410" s="231"/>
      <c r="E410" s="231"/>
      <c r="F410" s="231"/>
      <c r="G410" s="231"/>
    </row>
    <row r="411">
      <c r="A411" s="231"/>
      <c r="B411" s="231"/>
      <c r="C411" s="231"/>
      <c r="D411" s="231"/>
      <c r="E411" s="231"/>
      <c r="F411" s="231"/>
      <c r="G411" s="231"/>
    </row>
    <row r="412">
      <c r="A412" s="231"/>
      <c r="B412" s="231"/>
      <c r="C412" s="231"/>
      <c r="D412" s="231"/>
      <c r="E412" s="231"/>
      <c r="F412" s="231"/>
      <c r="G412" s="231"/>
    </row>
    <row r="413">
      <c r="A413" s="231"/>
      <c r="B413" s="231"/>
      <c r="C413" s="231"/>
      <c r="D413" s="231"/>
      <c r="E413" s="231"/>
      <c r="F413" s="231"/>
      <c r="G413" s="231"/>
    </row>
    <row r="414">
      <c r="A414" s="231"/>
      <c r="B414" s="231"/>
      <c r="C414" s="231"/>
      <c r="D414" s="231"/>
      <c r="E414" s="231"/>
      <c r="F414" s="231"/>
      <c r="G414" s="231"/>
    </row>
    <row r="415">
      <c r="A415" s="231"/>
      <c r="B415" s="231"/>
      <c r="C415" s="231"/>
      <c r="D415" s="231"/>
      <c r="E415" s="231"/>
      <c r="F415" s="231"/>
      <c r="G415" s="231"/>
    </row>
    <row r="416">
      <c r="A416" s="231"/>
      <c r="B416" s="231"/>
      <c r="C416" s="231"/>
      <c r="D416" s="231"/>
      <c r="E416" s="231"/>
      <c r="F416" s="231"/>
      <c r="G416" s="231"/>
    </row>
    <row r="417">
      <c r="A417" s="231"/>
      <c r="B417" s="231"/>
      <c r="C417" s="231"/>
      <c r="D417" s="231"/>
      <c r="E417" s="231"/>
      <c r="F417" s="231"/>
      <c r="G417" s="231"/>
    </row>
    <row r="418">
      <c r="A418" s="231"/>
      <c r="B418" s="231"/>
      <c r="C418" s="231"/>
      <c r="D418" s="231"/>
      <c r="E418" s="231"/>
      <c r="F418" s="231"/>
      <c r="G418" s="231"/>
    </row>
    <row r="419">
      <c r="A419" s="231"/>
      <c r="B419" s="231"/>
      <c r="C419" s="231"/>
      <c r="D419" s="231"/>
      <c r="E419" s="231"/>
      <c r="F419" s="231"/>
      <c r="G419" s="231"/>
    </row>
    <row r="420">
      <c r="A420" s="231"/>
      <c r="B420" s="231"/>
      <c r="C420" s="231"/>
      <c r="D420" s="231"/>
      <c r="E420" s="231"/>
      <c r="F420" s="231"/>
      <c r="G420" s="231"/>
    </row>
    <row r="421">
      <c r="A421" s="231"/>
      <c r="B421" s="231"/>
      <c r="C421" s="231"/>
      <c r="D421" s="231"/>
      <c r="E421" s="231"/>
      <c r="F421" s="231"/>
      <c r="G421" s="231"/>
    </row>
    <row r="422">
      <c r="A422" s="231"/>
      <c r="B422" s="231"/>
      <c r="C422" s="231"/>
      <c r="D422" s="231"/>
      <c r="E422" s="231"/>
      <c r="F422" s="231"/>
      <c r="G422" s="231"/>
    </row>
    <row r="423">
      <c r="A423" s="231"/>
      <c r="B423" s="231"/>
      <c r="C423" s="231"/>
      <c r="D423" s="231"/>
      <c r="E423" s="231"/>
      <c r="F423" s="231"/>
      <c r="G423" s="231"/>
    </row>
    <row r="424">
      <c r="A424" s="231"/>
      <c r="B424" s="231"/>
      <c r="C424" s="231"/>
      <c r="D424" s="231"/>
      <c r="E424" s="231"/>
      <c r="F424" s="231"/>
      <c r="G424" s="231"/>
    </row>
    <row r="425">
      <c r="A425" s="231"/>
      <c r="B425" s="231"/>
      <c r="C425" s="231"/>
      <c r="D425" s="231"/>
      <c r="E425" s="231"/>
      <c r="F425" s="231"/>
      <c r="G425" s="231"/>
    </row>
    <row r="426">
      <c r="A426" s="231"/>
      <c r="B426" s="231"/>
      <c r="C426" s="231"/>
      <c r="D426" s="231"/>
      <c r="E426" s="231"/>
      <c r="F426" s="231"/>
      <c r="G426" s="231"/>
    </row>
    <row r="427">
      <c r="A427" s="231"/>
      <c r="B427" s="231"/>
      <c r="C427" s="231"/>
      <c r="D427" s="231"/>
      <c r="E427" s="231"/>
      <c r="F427" s="231"/>
      <c r="G427" s="231"/>
    </row>
    <row r="428">
      <c r="A428" s="231"/>
      <c r="B428" s="231"/>
      <c r="C428" s="231"/>
      <c r="D428" s="231"/>
      <c r="E428" s="231"/>
      <c r="F428" s="231"/>
      <c r="G428" s="231"/>
    </row>
    <row r="429">
      <c r="A429" s="231"/>
      <c r="B429" s="231"/>
      <c r="C429" s="231"/>
      <c r="D429" s="231"/>
      <c r="E429" s="231"/>
      <c r="F429" s="231"/>
      <c r="G429" s="231"/>
    </row>
    <row r="430">
      <c r="A430" s="231"/>
      <c r="B430" s="231"/>
      <c r="C430" s="231"/>
      <c r="D430" s="231"/>
      <c r="E430" s="231"/>
      <c r="F430" s="231"/>
      <c r="G430" s="231"/>
    </row>
    <row r="431">
      <c r="A431" s="231"/>
      <c r="B431" s="231"/>
      <c r="C431" s="231"/>
      <c r="D431" s="231"/>
      <c r="E431" s="231"/>
      <c r="F431" s="231"/>
      <c r="G431" s="231"/>
    </row>
    <row r="432">
      <c r="A432" s="231"/>
      <c r="B432" s="231"/>
      <c r="C432" s="231"/>
      <c r="D432" s="231"/>
      <c r="E432" s="231"/>
      <c r="F432" s="231"/>
      <c r="G432" s="231"/>
    </row>
    <row r="433">
      <c r="A433" s="231"/>
      <c r="B433" s="231"/>
      <c r="C433" s="231"/>
      <c r="D433" s="231"/>
      <c r="E433" s="231"/>
      <c r="F433" s="231"/>
      <c r="G433" s="231"/>
    </row>
    <row r="434">
      <c r="A434" s="231"/>
      <c r="B434" s="231"/>
      <c r="C434" s="231"/>
      <c r="D434" s="231"/>
      <c r="E434" s="231"/>
      <c r="F434" s="231"/>
      <c r="G434" s="231"/>
    </row>
    <row r="435">
      <c r="A435" s="231"/>
      <c r="B435" s="231"/>
      <c r="C435" s="231"/>
      <c r="D435" s="231"/>
      <c r="E435" s="231"/>
      <c r="F435" s="231"/>
      <c r="G435" s="231"/>
    </row>
    <row r="436">
      <c r="A436" s="231"/>
      <c r="B436" s="231"/>
      <c r="C436" s="231"/>
      <c r="D436" s="231"/>
      <c r="E436" s="231"/>
      <c r="F436" s="231"/>
      <c r="G436" s="231"/>
    </row>
    <row r="437">
      <c r="A437" s="231"/>
      <c r="B437" s="231"/>
      <c r="C437" s="231"/>
      <c r="D437" s="231"/>
      <c r="E437" s="231"/>
      <c r="F437" s="231"/>
      <c r="G437" s="231"/>
    </row>
    <row r="438">
      <c r="A438" s="231"/>
      <c r="B438" s="231"/>
      <c r="C438" s="231"/>
      <c r="D438" s="231"/>
      <c r="E438" s="231"/>
      <c r="F438" s="231"/>
      <c r="G438" s="231"/>
    </row>
    <row r="439">
      <c r="A439" s="231"/>
      <c r="B439" s="231"/>
      <c r="C439" s="231"/>
      <c r="D439" s="231"/>
      <c r="E439" s="231"/>
      <c r="F439" s="231"/>
      <c r="G439" s="231"/>
    </row>
    <row r="440">
      <c r="A440" s="231"/>
      <c r="B440" s="231"/>
      <c r="C440" s="231"/>
      <c r="D440" s="231"/>
      <c r="E440" s="231"/>
      <c r="F440" s="231"/>
      <c r="G440" s="231"/>
    </row>
    <row r="441">
      <c r="A441" s="231"/>
      <c r="B441" s="231"/>
      <c r="C441" s="231"/>
      <c r="D441" s="231"/>
      <c r="E441" s="231"/>
      <c r="F441" s="231"/>
      <c r="G441" s="231"/>
    </row>
    <row r="442">
      <c r="A442" s="231"/>
      <c r="B442" s="231"/>
      <c r="C442" s="231"/>
      <c r="D442" s="231"/>
      <c r="E442" s="231"/>
      <c r="F442" s="231"/>
      <c r="G442" s="231"/>
    </row>
    <row r="443">
      <c r="A443" s="231"/>
      <c r="B443" s="231"/>
      <c r="C443" s="231"/>
      <c r="D443" s="231"/>
      <c r="E443" s="231"/>
      <c r="F443" s="231"/>
      <c r="G443" s="231"/>
    </row>
    <row r="444">
      <c r="A444" s="231"/>
      <c r="B444" s="231"/>
      <c r="C444" s="231"/>
      <c r="D444" s="231"/>
      <c r="E444" s="231"/>
      <c r="F444" s="231"/>
      <c r="G444" s="231"/>
    </row>
    <row r="445">
      <c r="A445" s="231"/>
      <c r="B445" s="231"/>
      <c r="C445" s="231"/>
      <c r="D445" s="231"/>
      <c r="E445" s="231"/>
      <c r="F445" s="231"/>
      <c r="G445" s="231"/>
    </row>
    <row r="446">
      <c r="A446" s="231"/>
      <c r="B446" s="231"/>
      <c r="C446" s="231"/>
      <c r="D446" s="231"/>
      <c r="E446" s="231"/>
      <c r="F446" s="231"/>
      <c r="G446" s="231"/>
    </row>
    <row r="447">
      <c r="A447" s="231"/>
      <c r="B447" s="231"/>
      <c r="C447" s="231"/>
      <c r="D447" s="231"/>
      <c r="E447" s="231"/>
      <c r="F447" s="231"/>
      <c r="G447" s="231"/>
    </row>
    <row r="448">
      <c r="A448" s="231"/>
      <c r="B448" s="231"/>
      <c r="C448" s="231"/>
      <c r="D448" s="231"/>
      <c r="E448" s="231"/>
      <c r="F448" s="231"/>
      <c r="G448" s="231"/>
    </row>
    <row r="449">
      <c r="A449" s="231"/>
      <c r="B449" s="231"/>
      <c r="C449" s="231"/>
      <c r="D449" s="231"/>
      <c r="E449" s="231"/>
      <c r="F449" s="231"/>
      <c r="G449" s="231"/>
    </row>
    <row r="450">
      <c r="A450" s="231"/>
      <c r="B450" s="231"/>
      <c r="C450" s="231"/>
      <c r="D450" s="231"/>
      <c r="E450" s="231"/>
      <c r="F450" s="231"/>
      <c r="G450" s="231"/>
    </row>
    <row r="451">
      <c r="A451" s="231"/>
      <c r="B451" s="231"/>
      <c r="C451" s="231"/>
      <c r="D451" s="231"/>
      <c r="E451" s="231"/>
      <c r="F451" s="231"/>
      <c r="G451" s="231"/>
    </row>
    <row r="452">
      <c r="A452" s="231"/>
      <c r="B452" s="231"/>
      <c r="C452" s="231"/>
      <c r="D452" s="231"/>
      <c r="E452" s="231"/>
      <c r="F452" s="231"/>
      <c r="G452" s="231"/>
    </row>
    <row r="453">
      <c r="A453" s="231"/>
      <c r="B453" s="231"/>
      <c r="C453" s="231"/>
      <c r="D453" s="231"/>
      <c r="E453" s="231"/>
      <c r="F453" s="231"/>
      <c r="G453" s="231"/>
    </row>
    <row r="454">
      <c r="A454" s="231"/>
      <c r="B454" s="231"/>
      <c r="C454" s="231"/>
      <c r="D454" s="231"/>
      <c r="E454" s="231"/>
      <c r="F454" s="231"/>
      <c r="G454" s="231"/>
    </row>
    <row r="455">
      <c r="A455" s="231"/>
      <c r="B455" s="231"/>
      <c r="C455" s="231"/>
      <c r="D455" s="231"/>
      <c r="E455" s="231"/>
      <c r="F455" s="231"/>
      <c r="G455" s="231"/>
    </row>
    <row r="456">
      <c r="A456" s="231"/>
      <c r="B456" s="231"/>
      <c r="C456" s="231"/>
      <c r="D456" s="231"/>
      <c r="E456" s="231"/>
      <c r="F456" s="231"/>
      <c r="G456" s="231"/>
    </row>
    <row r="457">
      <c r="A457" s="231"/>
      <c r="B457" s="231"/>
      <c r="C457" s="231"/>
      <c r="D457" s="231"/>
      <c r="E457" s="231"/>
      <c r="F457" s="231"/>
      <c r="G457" s="231"/>
    </row>
    <row r="458">
      <c r="A458" s="231"/>
      <c r="B458" s="231"/>
      <c r="C458" s="231"/>
      <c r="D458" s="231"/>
      <c r="E458" s="231"/>
      <c r="F458" s="231"/>
      <c r="G458" s="231"/>
    </row>
    <row r="459">
      <c r="A459" s="231"/>
      <c r="B459" s="231"/>
      <c r="C459" s="231"/>
      <c r="D459" s="231"/>
      <c r="E459" s="231"/>
      <c r="F459" s="231"/>
      <c r="G459" s="231"/>
    </row>
    <row r="460">
      <c r="A460" s="231"/>
      <c r="B460" s="231"/>
      <c r="C460" s="231"/>
      <c r="D460" s="231"/>
      <c r="E460" s="231"/>
      <c r="F460" s="231"/>
      <c r="G460" s="231"/>
    </row>
    <row r="461">
      <c r="A461" s="231"/>
      <c r="B461" s="231"/>
      <c r="C461" s="231"/>
      <c r="D461" s="231"/>
      <c r="E461" s="231"/>
      <c r="F461" s="231"/>
      <c r="G461" s="231"/>
    </row>
    <row r="462">
      <c r="A462" s="231"/>
      <c r="B462" s="231"/>
      <c r="C462" s="231"/>
      <c r="D462" s="231"/>
      <c r="E462" s="231"/>
      <c r="F462" s="231"/>
      <c r="G462" s="231"/>
    </row>
    <row r="463">
      <c r="A463" s="231"/>
      <c r="B463" s="231"/>
      <c r="C463" s="231"/>
      <c r="D463" s="231"/>
      <c r="E463" s="231"/>
      <c r="F463" s="231"/>
      <c r="G463" s="231"/>
    </row>
    <row r="464">
      <c r="A464" s="231"/>
      <c r="B464" s="231"/>
      <c r="C464" s="231"/>
      <c r="D464" s="231"/>
      <c r="E464" s="231"/>
      <c r="F464" s="231"/>
      <c r="G464" s="231"/>
    </row>
    <row r="465">
      <c r="A465" s="231"/>
      <c r="B465" s="231"/>
      <c r="C465" s="231"/>
      <c r="D465" s="231"/>
      <c r="E465" s="231"/>
      <c r="F465" s="231"/>
      <c r="G465" s="231"/>
    </row>
    <row r="466">
      <c r="A466" s="231"/>
      <c r="B466" s="231"/>
      <c r="C466" s="231"/>
      <c r="D466" s="231"/>
      <c r="E466" s="231"/>
      <c r="F466" s="231"/>
      <c r="G466" s="231"/>
    </row>
    <row r="467">
      <c r="A467" s="231"/>
      <c r="B467" s="231"/>
      <c r="C467" s="231"/>
      <c r="D467" s="231"/>
      <c r="E467" s="231"/>
      <c r="F467" s="231"/>
      <c r="G467" s="231"/>
    </row>
    <row r="468">
      <c r="A468" s="231"/>
      <c r="B468" s="231"/>
      <c r="C468" s="231"/>
      <c r="D468" s="231"/>
      <c r="E468" s="231"/>
      <c r="F468" s="231"/>
      <c r="G468" s="231"/>
    </row>
    <row r="469">
      <c r="A469" s="231"/>
      <c r="B469" s="231"/>
      <c r="C469" s="231"/>
      <c r="D469" s="231"/>
      <c r="E469" s="231"/>
      <c r="F469" s="231"/>
      <c r="G469" s="231"/>
    </row>
    <row r="470">
      <c r="A470" s="231"/>
      <c r="B470" s="231"/>
      <c r="C470" s="231"/>
      <c r="D470" s="231"/>
      <c r="E470" s="231"/>
      <c r="F470" s="231"/>
      <c r="G470" s="231"/>
    </row>
    <row r="471">
      <c r="A471" s="231"/>
      <c r="B471" s="231"/>
      <c r="C471" s="231"/>
      <c r="D471" s="231"/>
      <c r="E471" s="231"/>
      <c r="F471" s="231"/>
      <c r="G471" s="231"/>
    </row>
    <row r="472">
      <c r="A472" s="231"/>
      <c r="B472" s="231"/>
      <c r="C472" s="231"/>
      <c r="D472" s="231"/>
      <c r="E472" s="231"/>
      <c r="F472" s="231"/>
      <c r="G472" s="231"/>
    </row>
    <row r="473">
      <c r="A473" s="231"/>
      <c r="B473" s="231"/>
      <c r="C473" s="231"/>
      <c r="D473" s="231"/>
      <c r="E473" s="231"/>
      <c r="F473" s="231"/>
      <c r="G473" s="231"/>
    </row>
    <row r="474">
      <c r="A474" s="231"/>
      <c r="B474" s="231"/>
      <c r="C474" s="231"/>
      <c r="D474" s="231"/>
      <c r="E474" s="231"/>
      <c r="F474" s="231"/>
      <c r="G474" s="231"/>
    </row>
    <row r="475">
      <c r="A475" s="231"/>
      <c r="B475" s="231"/>
      <c r="C475" s="231"/>
      <c r="D475" s="231"/>
      <c r="E475" s="231"/>
      <c r="F475" s="231"/>
      <c r="G475" s="231"/>
    </row>
    <row r="476">
      <c r="A476" s="231"/>
      <c r="B476" s="231"/>
      <c r="C476" s="231"/>
      <c r="D476" s="231"/>
      <c r="E476" s="231"/>
      <c r="F476" s="231"/>
      <c r="G476" s="231"/>
    </row>
    <row r="477">
      <c r="A477" s="231"/>
      <c r="B477" s="231"/>
      <c r="C477" s="231"/>
      <c r="D477" s="231"/>
      <c r="E477" s="231"/>
      <c r="F477" s="231"/>
      <c r="G477" s="231"/>
    </row>
    <row r="478">
      <c r="A478" s="231"/>
      <c r="B478" s="231"/>
      <c r="C478" s="231"/>
      <c r="D478" s="231"/>
      <c r="E478" s="231"/>
      <c r="F478" s="231"/>
      <c r="G478" s="231"/>
    </row>
    <row r="479">
      <c r="A479" s="231"/>
      <c r="B479" s="231"/>
      <c r="C479" s="231"/>
      <c r="D479" s="231"/>
      <c r="E479" s="231"/>
      <c r="F479" s="231"/>
      <c r="G479" s="231"/>
    </row>
    <row r="480">
      <c r="A480" s="231"/>
      <c r="B480" s="231"/>
      <c r="C480" s="231"/>
      <c r="D480" s="231"/>
      <c r="E480" s="231"/>
      <c r="F480" s="231"/>
      <c r="G480" s="231"/>
    </row>
    <row r="481">
      <c r="A481" s="231"/>
      <c r="B481" s="231"/>
      <c r="C481" s="231"/>
      <c r="D481" s="231"/>
      <c r="E481" s="231"/>
      <c r="F481" s="231"/>
      <c r="G481" s="231"/>
    </row>
    <row r="482">
      <c r="A482" s="231"/>
      <c r="B482" s="231"/>
      <c r="C482" s="231"/>
      <c r="D482" s="231"/>
      <c r="E482" s="231"/>
      <c r="F482" s="231"/>
      <c r="G482" s="231"/>
    </row>
    <row r="483">
      <c r="A483" s="231"/>
      <c r="B483" s="231"/>
      <c r="C483" s="231"/>
      <c r="D483" s="231"/>
      <c r="E483" s="231"/>
      <c r="F483" s="231"/>
      <c r="G483" s="231"/>
    </row>
    <row r="484">
      <c r="A484" s="231"/>
      <c r="B484" s="231"/>
      <c r="C484" s="231"/>
      <c r="D484" s="231"/>
      <c r="E484" s="231"/>
      <c r="F484" s="231"/>
      <c r="G484" s="231"/>
    </row>
    <row r="485">
      <c r="A485" s="231"/>
      <c r="B485" s="231"/>
      <c r="C485" s="231"/>
      <c r="D485" s="231"/>
      <c r="E485" s="231"/>
      <c r="F485" s="231"/>
      <c r="G485" s="231"/>
    </row>
    <row r="486">
      <c r="A486" s="231"/>
      <c r="B486" s="231"/>
      <c r="C486" s="231"/>
      <c r="D486" s="231"/>
      <c r="E486" s="231"/>
      <c r="F486" s="231"/>
      <c r="G486" s="231"/>
    </row>
    <row r="487">
      <c r="A487" s="231"/>
      <c r="B487" s="231"/>
      <c r="C487" s="231"/>
      <c r="D487" s="231"/>
      <c r="E487" s="231"/>
      <c r="F487" s="231"/>
      <c r="G487" s="231"/>
    </row>
    <row r="488">
      <c r="A488" s="231"/>
      <c r="B488" s="231"/>
      <c r="C488" s="231"/>
      <c r="D488" s="231"/>
      <c r="E488" s="231"/>
      <c r="F488" s="231"/>
      <c r="G488" s="231"/>
    </row>
    <row r="489">
      <c r="A489" s="231"/>
      <c r="B489" s="231"/>
      <c r="C489" s="231"/>
      <c r="D489" s="231"/>
      <c r="E489" s="231"/>
      <c r="F489" s="231"/>
      <c r="G489" s="231"/>
    </row>
    <row r="490">
      <c r="A490" s="231"/>
      <c r="B490" s="231"/>
      <c r="C490" s="231"/>
      <c r="D490" s="231"/>
      <c r="E490" s="231"/>
      <c r="F490" s="231"/>
      <c r="G490" s="231"/>
    </row>
    <row r="491">
      <c r="A491" s="231"/>
      <c r="B491" s="231"/>
      <c r="C491" s="231"/>
      <c r="D491" s="231"/>
      <c r="E491" s="231"/>
      <c r="F491" s="231"/>
      <c r="G491" s="231"/>
    </row>
    <row r="492">
      <c r="A492" s="231"/>
      <c r="B492" s="231"/>
      <c r="C492" s="231"/>
      <c r="D492" s="231"/>
      <c r="E492" s="231"/>
      <c r="F492" s="231"/>
      <c r="G492" s="231"/>
    </row>
    <row r="493">
      <c r="A493" s="231"/>
      <c r="B493" s="231"/>
      <c r="C493" s="231"/>
      <c r="D493" s="231"/>
      <c r="E493" s="231"/>
      <c r="F493" s="231"/>
      <c r="G493" s="231"/>
    </row>
    <row r="494">
      <c r="A494" s="231"/>
      <c r="B494" s="231"/>
      <c r="C494" s="231"/>
      <c r="D494" s="231"/>
      <c r="E494" s="231"/>
      <c r="F494" s="231"/>
      <c r="G494" s="231"/>
    </row>
    <row r="495">
      <c r="A495" s="231"/>
      <c r="B495" s="231"/>
      <c r="C495" s="231"/>
      <c r="D495" s="231"/>
      <c r="E495" s="231"/>
      <c r="F495" s="231"/>
      <c r="G495" s="231"/>
    </row>
    <row r="496">
      <c r="A496" s="231"/>
      <c r="B496" s="231"/>
      <c r="C496" s="231"/>
      <c r="D496" s="231"/>
      <c r="E496" s="231"/>
      <c r="F496" s="231"/>
      <c r="G496" s="231"/>
    </row>
    <row r="497">
      <c r="A497" s="231"/>
      <c r="B497" s="231"/>
      <c r="C497" s="231"/>
      <c r="D497" s="231"/>
      <c r="E497" s="231"/>
      <c r="F497" s="231"/>
      <c r="G497" s="231"/>
    </row>
    <row r="498">
      <c r="A498" s="231"/>
      <c r="B498" s="231"/>
      <c r="C498" s="231"/>
      <c r="D498" s="231"/>
      <c r="E498" s="231"/>
      <c r="F498" s="231"/>
      <c r="G498" s="231"/>
    </row>
    <row r="499">
      <c r="A499" s="231"/>
      <c r="B499" s="231"/>
      <c r="C499" s="231"/>
      <c r="D499" s="231"/>
      <c r="E499" s="231"/>
      <c r="F499" s="231"/>
      <c r="G499" s="231"/>
    </row>
    <row r="500">
      <c r="A500" s="231"/>
      <c r="B500" s="231"/>
      <c r="C500" s="231"/>
      <c r="D500" s="231"/>
      <c r="E500" s="231"/>
      <c r="F500" s="231"/>
      <c r="G500" s="231"/>
    </row>
    <row r="501">
      <c r="A501" s="231"/>
      <c r="B501" s="231"/>
      <c r="C501" s="231"/>
      <c r="D501" s="231"/>
      <c r="E501" s="231"/>
      <c r="F501" s="231"/>
      <c r="G501" s="231"/>
    </row>
    <row r="502">
      <c r="A502" s="231"/>
      <c r="B502" s="231"/>
      <c r="C502" s="231"/>
      <c r="D502" s="231"/>
      <c r="E502" s="231"/>
      <c r="F502" s="231"/>
      <c r="G502" s="231"/>
    </row>
    <row r="503">
      <c r="A503" s="231"/>
      <c r="B503" s="231"/>
      <c r="C503" s="231"/>
      <c r="D503" s="231"/>
      <c r="E503" s="231"/>
      <c r="F503" s="231"/>
      <c r="G503" s="231"/>
    </row>
    <row r="504">
      <c r="A504" s="231"/>
      <c r="B504" s="231"/>
      <c r="C504" s="231"/>
      <c r="D504" s="231"/>
      <c r="E504" s="231"/>
      <c r="F504" s="231"/>
      <c r="G504" s="231"/>
    </row>
    <row r="505">
      <c r="A505" s="231"/>
      <c r="B505" s="231"/>
      <c r="C505" s="231"/>
      <c r="D505" s="231"/>
      <c r="E505" s="231"/>
      <c r="F505" s="231"/>
      <c r="G505" s="231"/>
    </row>
    <row r="506">
      <c r="A506" s="231"/>
      <c r="B506" s="231"/>
      <c r="C506" s="231"/>
      <c r="D506" s="231"/>
      <c r="E506" s="231"/>
      <c r="F506" s="231"/>
      <c r="G506" s="231"/>
    </row>
    <row r="507">
      <c r="A507" s="231"/>
      <c r="B507" s="231"/>
      <c r="C507" s="231"/>
      <c r="D507" s="231"/>
      <c r="E507" s="231"/>
      <c r="F507" s="231"/>
      <c r="G507" s="231"/>
    </row>
    <row r="508">
      <c r="A508" s="231"/>
      <c r="B508" s="231"/>
      <c r="C508" s="231"/>
      <c r="D508" s="231"/>
      <c r="E508" s="231"/>
      <c r="F508" s="231"/>
      <c r="G508" s="231"/>
    </row>
    <row r="509">
      <c r="A509" s="231"/>
      <c r="B509" s="231"/>
      <c r="C509" s="231"/>
      <c r="D509" s="231"/>
      <c r="E509" s="231"/>
      <c r="F509" s="231"/>
      <c r="G509" s="231"/>
    </row>
    <row r="510">
      <c r="A510" s="231"/>
      <c r="B510" s="231"/>
      <c r="C510" s="231"/>
      <c r="D510" s="231"/>
      <c r="E510" s="231"/>
      <c r="F510" s="231"/>
      <c r="G510" s="231"/>
    </row>
    <row r="511">
      <c r="A511" s="231"/>
      <c r="B511" s="231"/>
      <c r="C511" s="231"/>
      <c r="D511" s="231"/>
      <c r="E511" s="231"/>
      <c r="F511" s="231"/>
      <c r="G511" s="231"/>
    </row>
    <row r="512">
      <c r="A512" s="231"/>
      <c r="B512" s="231"/>
      <c r="C512" s="231"/>
      <c r="D512" s="231"/>
      <c r="E512" s="231"/>
      <c r="F512" s="231"/>
      <c r="G512" s="231"/>
    </row>
    <row r="513">
      <c r="A513" s="231"/>
      <c r="B513" s="231"/>
      <c r="C513" s="231"/>
      <c r="D513" s="231"/>
      <c r="E513" s="231"/>
      <c r="F513" s="231"/>
      <c r="G513" s="231"/>
    </row>
    <row r="514">
      <c r="A514" s="231"/>
      <c r="B514" s="231"/>
      <c r="C514" s="231"/>
      <c r="D514" s="231"/>
      <c r="E514" s="231"/>
      <c r="F514" s="231"/>
      <c r="G514" s="231"/>
    </row>
    <row r="515">
      <c r="A515" s="231"/>
      <c r="B515" s="231"/>
      <c r="C515" s="231"/>
      <c r="D515" s="231"/>
      <c r="E515" s="231"/>
      <c r="F515" s="231"/>
      <c r="G515" s="231"/>
    </row>
    <row r="516">
      <c r="A516" s="231"/>
      <c r="B516" s="231"/>
      <c r="C516" s="231"/>
      <c r="D516" s="231"/>
      <c r="E516" s="231"/>
      <c r="F516" s="231"/>
      <c r="G516" s="231"/>
    </row>
    <row r="517">
      <c r="A517" s="231"/>
      <c r="B517" s="231"/>
      <c r="C517" s="231"/>
      <c r="D517" s="231"/>
      <c r="E517" s="231"/>
      <c r="F517" s="231"/>
      <c r="G517" s="231"/>
    </row>
    <row r="518">
      <c r="A518" s="231"/>
      <c r="B518" s="231"/>
      <c r="C518" s="231"/>
      <c r="D518" s="231"/>
      <c r="E518" s="231"/>
      <c r="F518" s="231"/>
      <c r="G518" s="231"/>
    </row>
    <row r="519">
      <c r="A519" s="231"/>
      <c r="B519" s="231"/>
      <c r="C519" s="231"/>
      <c r="D519" s="231"/>
      <c r="E519" s="231"/>
      <c r="F519" s="231"/>
      <c r="G519" s="231"/>
    </row>
    <row r="520">
      <c r="A520" s="231"/>
      <c r="B520" s="231"/>
      <c r="C520" s="231"/>
      <c r="D520" s="231"/>
      <c r="E520" s="231"/>
      <c r="F520" s="231"/>
      <c r="G520" s="231"/>
    </row>
    <row r="521">
      <c r="A521" s="231"/>
      <c r="B521" s="231"/>
      <c r="C521" s="231"/>
      <c r="D521" s="231"/>
      <c r="E521" s="231"/>
      <c r="F521" s="231"/>
      <c r="G521" s="231"/>
    </row>
    <row r="522">
      <c r="A522" s="231"/>
      <c r="B522" s="231"/>
      <c r="C522" s="231"/>
      <c r="D522" s="231"/>
      <c r="E522" s="231"/>
      <c r="F522" s="231"/>
      <c r="G522" s="231"/>
    </row>
    <row r="523">
      <c r="A523" s="231"/>
      <c r="B523" s="231"/>
      <c r="C523" s="231"/>
      <c r="D523" s="231"/>
      <c r="E523" s="231"/>
      <c r="F523" s="231"/>
      <c r="G523" s="231"/>
    </row>
    <row r="524">
      <c r="A524" s="231"/>
      <c r="B524" s="231"/>
      <c r="C524" s="231"/>
      <c r="D524" s="231"/>
      <c r="E524" s="231"/>
      <c r="F524" s="231"/>
      <c r="G524" s="231"/>
    </row>
    <row r="525">
      <c r="A525" s="231"/>
      <c r="B525" s="231"/>
      <c r="C525" s="231"/>
      <c r="D525" s="231"/>
      <c r="E525" s="231"/>
      <c r="F525" s="231"/>
      <c r="G525" s="231"/>
    </row>
    <row r="526">
      <c r="A526" s="231"/>
      <c r="B526" s="231"/>
      <c r="C526" s="231"/>
      <c r="D526" s="231"/>
      <c r="E526" s="231"/>
      <c r="F526" s="231"/>
      <c r="G526" s="231"/>
    </row>
    <row r="527">
      <c r="A527" s="231"/>
      <c r="B527" s="231"/>
      <c r="C527" s="231"/>
      <c r="D527" s="231"/>
      <c r="E527" s="231"/>
      <c r="F527" s="231"/>
      <c r="G527" s="231"/>
    </row>
    <row r="528">
      <c r="A528" s="231"/>
      <c r="B528" s="231"/>
      <c r="C528" s="231"/>
      <c r="D528" s="231"/>
      <c r="E528" s="231"/>
      <c r="F528" s="231"/>
      <c r="G528" s="231"/>
    </row>
    <row r="529">
      <c r="A529" s="231"/>
      <c r="B529" s="231"/>
      <c r="C529" s="231"/>
      <c r="D529" s="231"/>
      <c r="E529" s="231"/>
      <c r="F529" s="231"/>
      <c r="G529" s="231"/>
    </row>
    <row r="530">
      <c r="A530" s="231"/>
      <c r="B530" s="231"/>
      <c r="C530" s="231"/>
      <c r="D530" s="231"/>
      <c r="E530" s="231"/>
      <c r="F530" s="231"/>
      <c r="G530" s="231"/>
    </row>
    <row r="531">
      <c r="A531" s="231"/>
      <c r="B531" s="231"/>
      <c r="C531" s="231"/>
      <c r="D531" s="231"/>
      <c r="E531" s="231"/>
      <c r="F531" s="231"/>
      <c r="G531" s="231"/>
    </row>
    <row r="532">
      <c r="A532" s="231"/>
      <c r="B532" s="231"/>
      <c r="C532" s="231"/>
      <c r="D532" s="231"/>
      <c r="E532" s="231"/>
      <c r="F532" s="231"/>
      <c r="G532" s="231"/>
    </row>
    <row r="533">
      <c r="A533" s="231"/>
      <c r="B533" s="231"/>
      <c r="C533" s="231"/>
      <c r="D533" s="231"/>
      <c r="E533" s="231"/>
      <c r="F533" s="231"/>
      <c r="G533" s="231"/>
    </row>
    <row r="534">
      <c r="A534" s="231"/>
      <c r="B534" s="231"/>
      <c r="C534" s="231"/>
      <c r="D534" s="231"/>
      <c r="E534" s="231"/>
      <c r="F534" s="231"/>
      <c r="G534" s="231"/>
    </row>
    <row r="535">
      <c r="A535" s="231"/>
      <c r="B535" s="231"/>
      <c r="C535" s="231"/>
      <c r="D535" s="231"/>
      <c r="E535" s="231"/>
      <c r="F535" s="231"/>
      <c r="G535" s="231"/>
    </row>
    <row r="536">
      <c r="A536" s="231"/>
      <c r="B536" s="231"/>
      <c r="C536" s="231"/>
      <c r="D536" s="231"/>
      <c r="E536" s="231"/>
      <c r="F536" s="231"/>
      <c r="G536" s="231"/>
    </row>
    <row r="537">
      <c r="A537" s="231"/>
      <c r="B537" s="231"/>
      <c r="C537" s="231"/>
      <c r="D537" s="231"/>
      <c r="E537" s="231"/>
      <c r="F537" s="231"/>
      <c r="G537" s="231"/>
    </row>
    <row r="538">
      <c r="A538" s="231"/>
      <c r="B538" s="231"/>
      <c r="C538" s="231"/>
      <c r="D538" s="231"/>
      <c r="E538" s="231"/>
      <c r="F538" s="231"/>
      <c r="G538" s="231"/>
    </row>
    <row r="539">
      <c r="A539" s="231"/>
      <c r="B539" s="231"/>
      <c r="C539" s="231"/>
      <c r="D539" s="231"/>
      <c r="E539" s="231"/>
      <c r="F539" s="231"/>
      <c r="G539" s="231"/>
    </row>
    <row r="540">
      <c r="A540" s="231"/>
      <c r="B540" s="231"/>
      <c r="C540" s="231"/>
      <c r="D540" s="231"/>
      <c r="E540" s="231"/>
      <c r="F540" s="231"/>
      <c r="G540" s="231"/>
    </row>
    <row r="541">
      <c r="A541" s="231"/>
      <c r="B541" s="231"/>
      <c r="C541" s="231"/>
      <c r="D541" s="231"/>
      <c r="E541" s="231"/>
      <c r="F541" s="231"/>
      <c r="G541" s="231"/>
    </row>
    <row r="542">
      <c r="A542" s="231"/>
      <c r="B542" s="231"/>
      <c r="C542" s="231"/>
      <c r="D542" s="231"/>
      <c r="E542" s="231"/>
      <c r="F542" s="231"/>
      <c r="G542" s="231"/>
    </row>
    <row r="543">
      <c r="A543" s="231"/>
      <c r="B543" s="231"/>
      <c r="C543" s="231"/>
      <c r="D543" s="231"/>
      <c r="E543" s="231"/>
      <c r="F543" s="231"/>
      <c r="G543" s="231"/>
    </row>
    <row r="544">
      <c r="A544" s="231"/>
      <c r="B544" s="231"/>
      <c r="C544" s="231"/>
      <c r="D544" s="231"/>
      <c r="E544" s="231"/>
      <c r="F544" s="231"/>
      <c r="G544" s="231"/>
    </row>
    <row r="545">
      <c r="A545" s="231"/>
      <c r="B545" s="231"/>
      <c r="C545" s="231"/>
      <c r="D545" s="231"/>
      <c r="E545" s="231"/>
      <c r="F545" s="231"/>
      <c r="G545" s="231"/>
    </row>
    <row r="546">
      <c r="A546" s="231"/>
      <c r="B546" s="231"/>
      <c r="C546" s="231"/>
      <c r="D546" s="231"/>
      <c r="E546" s="231"/>
      <c r="F546" s="231"/>
      <c r="G546" s="231"/>
    </row>
    <row r="547">
      <c r="A547" s="231"/>
      <c r="B547" s="231"/>
      <c r="C547" s="231"/>
      <c r="D547" s="231"/>
      <c r="E547" s="231"/>
      <c r="F547" s="231"/>
      <c r="G547" s="231"/>
    </row>
    <row r="548">
      <c r="A548" s="231"/>
      <c r="B548" s="231"/>
      <c r="C548" s="231"/>
      <c r="D548" s="231"/>
      <c r="E548" s="231"/>
      <c r="F548" s="231"/>
      <c r="G548" s="231"/>
    </row>
    <row r="549">
      <c r="A549" s="231"/>
      <c r="B549" s="231"/>
      <c r="C549" s="231"/>
      <c r="D549" s="231"/>
      <c r="E549" s="231"/>
      <c r="F549" s="231"/>
      <c r="G549" s="231"/>
    </row>
    <row r="550">
      <c r="A550" s="231"/>
      <c r="B550" s="231"/>
      <c r="C550" s="231"/>
      <c r="D550" s="231"/>
      <c r="E550" s="231"/>
      <c r="F550" s="231"/>
      <c r="G550" s="231"/>
    </row>
    <row r="551">
      <c r="A551" s="231"/>
      <c r="B551" s="231"/>
      <c r="C551" s="231"/>
      <c r="D551" s="231"/>
      <c r="E551" s="231"/>
      <c r="F551" s="231"/>
      <c r="G551" s="231"/>
    </row>
    <row r="552">
      <c r="A552" s="231"/>
      <c r="B552" s="231"/>
      <c r="C552" s="231"/>
      <c r="D552" s="231"/>
      <c r="E552" s="231"/>
      <c r="F552" s="231"/>
      <c r="G552" s="231"/>
    </row>
    <row r="553">
      <c r="A553" s="231"/>
      <c r="B553" s="231"/>
      <c r="C553" s="231"/>
      <c r="D553" s="231"/>
      <c r="E553" s="231"/>
      <c r="F553" s="231"/>
      <c r="G553" s="231"/>
    </row>
    <row r="554">
      <c r="A554" s="231"/>
      <c r="B554" s="231"/>
      <c r="C554" s="231"/>
      <c r="D554" s="231"/>
      <c r="E554" s="231"/>
      <c r="F554" s="231"/>
      <c r="G554" s="231"/>
    </row>
    <row r="555">
      <c r="A555" s="231"/>
      <c r="B555" s="231"/>
      <c r="C555" s="231"/>
      <c r="D555" s="231"/>
      <c r="E555" s="231"/>
      <c r="F555" s="231"/>
      <c r="G555" s="231"/>
    </row>
    <row r="556">
      <c r="A556" s="231"/>
      <c r="B556" s="231"/>
      <c r="C556" s="231"/>
      <c r="D556" s="231"/>
      <c r="E556" s="231"/>
      <c r="F556" s="231"/>
      <c r="G556" s="231"/>
    </row>
    <row r="557">
      <c r="A557" s="231"/>
      <c r="B557" s="231"/>
      <c r="C557" s="231"/>
      <c r="D557" s="231"/>
      <c r="E557" s="231"/>
      <c r="F557" s="231"/>
      <c r="G557" s="231"/>
    </row>
    <row r="558">
      <c r="A558" s="231"/>
      <c r="B558" s="231"/>
      <c r="C558" s="231"/>
      <c r="D558" s="231"/>
      <c r="E558" s="231"/>
      <c r="F558" s="231"/>
      <c r="G558" s="231"/>
    </row>
    <row r="559">
      <c r="A559" s="231"/>
      <c r="B559" s="231"/>
      <c r="C559" s="231"/>
      <c r="D559" s="231"/>
      <c r="E559" s="231"/>
      <c r="F559" s="231"/>
      <c r="G559" s="231"/>
    </row>
    <row r="560">
      <c r="A560" s="231"/>
      <c r="B560" s="231"/>
      <c r="C560" s="231"/>
      <c r="D560" s="231"/>
      <c r="E560" s="231"/>
      <c r="F560" s="231"/>
      <c r="G560" s="231"/>
    </row>
    <row r="561">
      <c r="A561" s="231"/>
      <c r="B561" s="231"/>
      <c r="C561" s="231"/>
      <c r="D561" s="231"/>
      <c r="E561" s="231"/>
      <c r="F561" s="231"/>
      <c r="G561" s="231"/>
    </row>
    <row r="562">
      <c r="A562" s="231"/>
      <c r="B562" s="231"/>
      <c r="C562" s="231"/>
      <c r="D562" s="231"/>
      <c r="E562" s="231"/>
      <c r="F562" s="231"/>
      <c r="G562" s="231"/>
    </row>
    <row r="563">
      <c r="A563" s="231"/>
      <c r="B563" s="231"/>
      <c r="C563" s="231"/>
      <c r="D563" s="231"/>
      <c r="E563" s="231"/>
      <c r="F563" s="231"/>
      <c r="G563" s="231"/>
    </row>
    <row r="564">
      <c r="A564" s="231"/>
      <c r="B564" s="231"/>
      <c r="C564" s="231"/>
      <c r="D564" s="231"/>
      <c r="E564" s="231"/>
      <c r="F564" s="231"/>
      <c r="G564" s="231"/>
    </row>
    <row r="565">
      <c r="A565" s="231"/>
      <c r="B565" s="231"/>
      <c r="C565" s="231"/>
      <c r="D565" s="231"/>
      <c r="E565" s="231"/>
      <c r="F565" s="231"/>
      <c r="G565" s="231"/>
    </row>
    <row r="566">
      <c r="A566" s="231"/>
      <c r="B566" s="231"/>
      <c r="C566" s="231"/>
      <c r="D566" s="231"/>
      <c r="E566" s="231"/>
      <c r="F566" s="231"/>
      <c r="G566" s="231"/>
    </row>
    <row r="567">
      <c r="A567" s="231"/>
      <c r="B567" s="231"/>
      <c r="C567" s="231"/>
      <c r="D567" s="231"/>
      <c r="E567" s="231"/>
      <c r="F567" s="231"/>
      <c r="G567" s="231"/>
    </row>
    <row r="568">
      <c r="A568" s="231"/>
      <c r="B568" s="231"/>
      <c r="C568" s="231"/>
      <c r="D568" s="231"/>
      <c r="E568" s="231"/>
      <c r="F568" s="231"/>
      <c r="G568" s="231"/>
    </row>
    <row r="569">
      <c r="A569" s="231"/>
      <c r="B569" s="231"/>
      <c r="C569" s="231"/>
      <c r="D569" s="231"/>
      <c r="E569" s="231"/>
      <c r="F569" s="231"/>
      <c r="G569" s="231"/>
    </row>
    <row r="570">
      <c r="A570" s="231"/>
      <c r="B570" s="231"/>
      <c r="C570" s="231"/>
      <c r="D570" s="231"/>
      <c r="E570" s="231"/>
      <c r="F570" s="231"/>
      <c r="G570" s="231"/>
    </row>
    <row r="571">
      <c r="A571" s="231"/>
      <c r="B571" s="231"/>
      <c r="C571" s="231"/>
      <c r="D571" s="231"/>
      <c r="E571" s="231"/>
      <c r="F571" s="231"/>
      <c r="G571" s="231"/>
    </row>
    <row r="572">
      <c r="A572" s="231"/>
      <c r="B572" s="231"/>
      <c r="C572" s="231"/>
      <c r="D572" s="231"/>
      <c r="E572" s="231"/>
      <c r="F572" s="231"/>
      <c r="G572" s="231"/>
    </row>
    <row r="573">
      <c r="A573" s="231"/>
      <c r="B573" s="231"/>
      <c r="C573" s="231"/>
      <c r="D573" s="231"/>
      <c r="E573" s="231"/>
      <c r="F573" s="231"/>
      <c r="G573" s="231"/>
    </row>
    <row r="574">
      <c r="A574" s="231"/>
      <c r="B574" s="231"/>
      <c r="C574" s="231"/>
      <c r="D574" s="231"/>
      <c r="E574" s="231"/>
      <c r="F574" s="231"/>
      <c r="G574" s="231"/>
    </row>
    <row r="575">
      <c r="A575" s="231"/>
      <c r="B575" s="231"/>
      <c r="C575" s="231"/>
      <c r="D575" s="231"/>
      <c r="E575" s="231"/>
      <c r="F575" s="231"/>
      <c r="G575" s="231"/>
    </row>
    <row r="576">
      <c r="A576" s="231"/>
      <c r="B576" s="231"/>
      <c r="C576" s="231"/>
      <c r="D576" s="231"/>
      <c r="E576" s="231"/>
      <c r="F576" s="231"/>
      <c r="G576" s="231"/>
    </row>
    <row r="577">
      <c r="A577" s="231"/>
      <c r="B577" s="231"/>
      <c r="C577" s="231"/>
      <c r="D577" s="231"/>
      <c r="E577" s="231"/>
      <c r="F577" s="231"/>
      <c r="G577" s="231"/>
    </row>
    <row r="578">
      <c r="A578" s="231"/>
      <c r="B578" s="231"/>
      <c r="C578" s="231"/>
      <c r="D578" s="231"/>
      <c r="E578" s="231"/>
      <c r="F578" s="231"/>
      <c r="G578" s="231"/>
    </row>
    <row r="579">
      <c r="A579" s="231"/>
      <c r="B579" s="231"/>
      <c r="C579" s="231"/>
      <c r="D579" s="231"/>
      <c r="E579" s="231"/>
      <c r="F579" s="231"/>
      <c r="G579" s="231"/>
    </row>
    <row r="580">
      <c r="A580" s="231"/>
      <c r="B580" s="231"/>
      <c r="C580" s="231"/>
      <c r="D580" s="231"/>
      <c r="E580" s="231"/>
      <c r="F580" s="231"/>
      <c r="G580" s="231"/>
    </row>
    <row r="581">
      <c r="A581" s="231"/>
      <c r="B581" s="231"/>
      <c r="C581" s="231"/>
      <c r="D581" s="231"/>
      <c r="E581" s="231"/>
      <c r="F581" s="231"/>
      <c r="G581" s="231"/>
    </row>
    <row r="582">
      <c r="A582" s="231"/>
      <c r="B582" s="231"/>
      <c r="C582" s="231"/>
      <c r="D582" s="231"/>
      <c r="E582" s="231"/>
      <c r="F582" s="231"/>
      <c r="G582" s="231"/>
    </row>
    <row r="583">
      <c r="A583" s="231"/>
      <c r="B583" s="231"/>
      <c r="C583" s="231"/>
      <c r="D583" s="231"/>
      <c r="E583" s="231"/>
      <c r="F583" s="231"/>
      <c r="G583" s="231"/>
    </row>
    <row r="584">
      <c r="A584" s="231"/>
      <c r="B584" s="231"/>
      <c r="C584" s="231"/>
      <c r="D584" s="231"/>
      <c r="E584" s="231"/>
      <c r="F584" s="231"/>
      <c r="G584" s="231"/>
    </row>
    <row r="585">
      <c r="A585" s="231"/>
      <c r="B585" s="231"/>
      <c r="C585" s="231"/>
      <c r="D585" s="231"/>
      <c r="E585" s="231"/>
      <c r="F585" s="231"/>
      <c r="G585" s="231"/>
    </row>
    <row r="586">
      <c r="A586" s="231"/>
      <c r="B586" s="231"/>
      <c r="C586" s="231"/>
      <c r="D586" s="231"/>
      <c r="E586" s="231"/>
      <c r="F586" s="231"/>
      <c r="G586" s="231"/>
    </row>
    <row r="587">
      <c r="A587" s="231"/>
      <c r="B587" s="231"/>
      <c r="C587" s="231"/>
      <c r="D587" s="231"/>
      <c r="E587" s="231"/>
      <c r="F587" s="231"/>
      <c r="G587" s="231"/>
    </row>
    <row r="588">
      <c r="A588" s="231"/>
      <c r="B588" s="231"/>
      <c r="C588" s="231"/>
      <c r="D588" s="231"/>
      <c r="E588" s="231"/>
      <c r="F588" s="231"/>
      <c r="G588" s="231"/>
    </row>
    <row r="589">
      <c r="A589" s="231"/>
      <c r="B589" s="231"/>
      <c r="C589" s="231"/>
      <c r="D589" s="231"/>
      <c r="E589" s="231"/>
      <c r="F589" s="231"/>
      <c r="G589" s="231"/>
    </row>
    <row r="590">
      <c r="A590" s="231"/>
      <c r="B590" s="231"/>
      <c r="C590" s="231"/>
      <c r="D590" s="231"/>
      <c r="E590" s="231"/>
      <c r="F590" s="231"/>
      <c r="G590" s="231"/>
    </row>
    <row r="591">
      <c r="A591" s="231"/>
      <c r="B591" s="231"/>
      <c r="C591" s="231"/>
      <c r="D591" s="231"/>
      <c r="E591" s="231"/>
      <c r="F591" s="231"/>
      <c r="G591" s="231"/>
    </row>
    <row r="592">
      <c r="A592" s="231"/>
      <c r="B592" s="231"/>
      <c r="C592" s="231"/>
      <c r="D592" s="231"/>
      <c r="E592" s="231"/>
      <c r="F592" s="231"/>
      <c r="G592" s="231"/>
    </row>
    <row r="593">
      <c r="A593" s="231"/>
      <c r="B593" s="231"/>
      <c r="C593" s="231"/>
      <c r="D593" s="231"/>
      <c r="E593" s="231"/>
      <c r="F593" s="231"/>
      <c r="G593" s="231"/>
    </row>
    <row r="594">
      <c r="A594" s="231"/>
      <c r="B594" s="231"/>
      <c r="C594" s="231"/>
      <c r="D594" s="231"/>
      <c r="E594" s="231"/>
      <c r="F594" s="231"/>
      <c r="G594" s="231"/>
    </row>
    <row r="595">
      <c r="A595" s="231"/>
      <c r="B595" s="231"/>
      <c r="C595" s="231"/>
      <c r="D595" s="231"/>
      <c r="E595" s="231"/>
      <c r="F595" s="231"/>
      <c r="G595" s="231"/>
    </row>
    <row r="596">
      <c r="A596" s="231"/>
      <c r="B596" s="231"/>
      <c r="C596" s="231"/>
      <c r="D596" s="231"/>
      <c r="E596" s="231"/>
      <c r="F596" s="231"/>
      <c r="G596" s="231"/>
    </row>
    <row r="597">
      <c r="A597" s="231"/>
      <c r="B597" s="231"/>
      <c r="C597" s="231"/>
      <c r="D597" s="231"/>
      <c r="E597" s="231"/>
      <c r="F597" s="231"/>
      <c r="G597" s="231"/>
    </row>
    <row r="598">
      <c r="A598" s="231"/>
      <c r="B598" s="231"/>
      <c r="C598" s="231"/>
      <c r="D598" s="231"/>
      <c r="E598" s="231"/>
      <c r="F598" s="231"/>
      <c r="G598" s="231"/>
    </row>
    <row r="599">
      <c r="A599" s="231"/>
      <c r="B599" s="231"/>
      <c r="C599" s="231"/>
      <c r="D599" s="231"/>
      <c r="E599" s="231"/>
      <c r="F599" s="231"/>
      <c r="G599" s="231"/>
    </row>
    <row r="600">
      <c r="A600" s="231"/>
      <c r="B600" s="231"/>
      <c r="C600" s="231"/>
      <c r="D600" s="231"/>
      <c r="E600" s="231"/>
      <c r="F600" s="231"/>
      <c r="G600" s="231"/>
    </row>
    <row r="601">
      <c r="A601" s="231"/>
      <c r="B601" s="231"/>
      <c r="C601" s="231"/>
      <c r="D601" s="231"/>
      <c r="E601" s="231"/>
      <c r="F601" s="231"/>
      <c r="G601" s="231"/>
    </row>
    <row r="602">
      <c r="A602" s="231"/>
      <c r="B602" s="231"/>
      <c r="C602" s="231"/>
      <c r="D602" s="231"/>
      <c r="E602" s="231"/>
      <c r="F602" s="231"/>
      <c r="G602" s="231"/>
    </row>
    <row r="603">
      <c r="A603" s="231"/>
      <c r="B603" s="231"/>
      <c r="C603" s="231"/>
      <c r="D603" s="231"/>
      <c r="E603" s="231"/>
      <c r="F603" s="231"/>
      <c r="G603" s="231"/>
    </row>
    <row r="604">
      <c r="A604" s="231"/>
      <c r="B604" s="231"/>
      <c r="C604" s="231"/>
      <c r="D604" s="231"/>
      <c r="E604" s="231"/>
      <c r="F604" s="231"/>
      <c r="G604" s="231"/>
    </row>
    <row r="605">
      <c r="A605" s="231"/>
      <c r="B605" s="231"/>
      <c r="C605" s="231"/>
      <c r="D605" s="231"/>
      <c r="E605" s="231"/>
      <c r="F605" s="231"/>
      <c r="G605" s="231"/>
    </row>
    <row r="606">
      <c r="A606" s="231"/>
      <c r="B606" s="231"/>
      <c r="C606" s="231"/>
      <c r="D606" s="231"/>
      <c r="E606" s="231"/>
      <c r="F606" s="231"/>
      <c r="G606" s="231"/>
    </row>
    <row r="607">
      <c r="A607" s="231"/>
      <c r="B607" s="231"/>
      <c r="C607" s="231"/>
      <c r="D607" s="231"/>
      <c r="E607" s="231"/>
      <c r="F607" s="231"/>
      <c r="G607" s="231"/>
    </row>
    <row r="608">
      <c r="A608" s="231"/>
      <c r="B608" s="231"/>
      <c r="C608" s="231"/>
      <c r="D608" s="231"/>
      <c r="E608" s="231"/>
      <c r="F608" s="231"/>
      <c r="G608" s="231"/>
    </row>
    <row r="609">
      <c r="A609" s="231"/>
      <c r="B609" s="231"/>
      <c r="C609" s="231"/>
      <c r="D609" s="231"/>
      <c r="E609" s="231"/>
      <c r="F609" s="231"/>
      <c r="G609" s="231"/>
    </row>
    <row r="610">
      <c r="A610" s="231"/>
      <c r="B610" s="231"/>
      <c r="C610" s="231"/>
      <c r="D610" s="231"/>
      <c r="E610" s="231"/>
      <c r="F610" s="231"/>
      <c r="G610" s="231"/>
    </row>
    <row r="611">
      <c r="A611" s="231"/>
      <c r="B611" s="231"/>
      <c r="C611" s="231"/>
      <c r="D611" s="231"/>
      <c r="E611" s="231"/>
      <c r="F611" s="231"/>
      <c r="G611" s="231"/>
    </row>
    <row r="612">
      <c r="A612" s="231"/>
      <c r="B612" s="231"/>
      <c r="C612" s="231"/>
      <c r="D612" s="231"/>
      <c r="E612" s="231"/>
      <c r="F612" s="231"/>
      <c r="G612" s="231"/>
    </row>
    <row r="613">
      <c r="A613" s="231"/>
      <c r="B613" s="231"/>
      <c r="C613" s="231"/>
      <c r="D613" s="231"/>
      <c r="E613" s="231"/>
      <c r="F613" s="231"/>
      <c r="G613" s="231"/>
    </row>
    <row r="614">
      <c r="A614" s="231"/>
      <c r="B614" s="231"/>
      <c r="C614" s="231"/>
      <c r="D614" s="231"/>
      <c r="E614" s="231"/>
      <c r="F614" s="231"/>
      <c r="G614" s="231"/>
    </row>
    <row r="615">
      <c r="A615" s="231"/>
      <c r="B615" s="231"/>
      <c r="C615" s="231"/>
      <c r="D615" s="231"/>
      <c r="E615" s="231"/>
      <c r="F615" s="231"/>
      <c r="G615" s="231"/>
    </row>
    <row r="616">
      <c r="A616" s="231"/>
      <c r="B616" s="231"/>
      <c r="C616" s="231"/>
      <c r="D616" s="231"/>
      <c r="E616" s="231"/>
      <c r="F616" s="231"/>
      <c r="G616" s="231"/>
    </row>
    <row r="617">
      <c r="A617" s="231"/>
      <c r="B617" s="231"/>
      <c r="C617" s="231"/>
      <c r="D617" s="231"/>
      <c r="E617" s="231"/>
      <c r="F617" s="231"/>
      <c r="G617" s="231"/>
    </row>
    <row r="618">
      <c r="A618" s="231"/>
      <c r="B618" s="231"/>
      <c r="C618" s="231"/>
      <c r="D618" s="231"/>
      <c r="E618" s="231"/>
      <c r="F618" s="231"/>
      <c r="G618" s="231"/>
    </row>
    <row r="619">
      <c r="A619" s="231"/>
      <c r="B619" s="231"/>
      <c r="C619" s="231"/>
      <c r="D619" s="231"/>
      <c r="E619" s="231"/>
      <c r="F619" s="231"/>
      <c r="G619" s="231"/>
    </row>
    <row r="620">
      <c r="A620" s="231"/>
      <c r="B620" s="231"/>
      <c r="C620" s="231"/>
      <c r="D620" s="231"/>
      <c r="E620" s="231"/>
      <c r="F620" s="231"/>
      <c r="G620" s="231"/>
    </row>
    <row r="621">
      <c r="A621" s="231"/>
      <c r="B621" s="231"/>
      <c r="C621" s="231"/>
      <c r="D621" s="231"/>
      <c r="E621" s="231"/>
      <c r="F621" s="231"/>
      <c r="G621" s="231"/>
    </row>
    <row r="622">
      <c r="A622" s="231"/>
      <c r="B622" s="231"/>
      <c r="C622" s="231"/>
      <c r="D622" s="231"/>
      <c r="E622" s="231"/>
      <c r="F622" s="231"/>
      <c r="G622" s="231"/>
    </row>
    <row r="623">
      <c r="A623" s="231"/>
      <c r="B623" s="231"/>
      <c r="C623" s="231"/>
      <c r="D623" s="231"/>
      <c r="E623" s="231"/>
      <c r="F623" s="231"/>
      <c r="G623" s="231"/>
    </row>
    <row r="624">
      <c r="A624" s="231"/>
      <c r="B624" s="231"/>
      <c r="C624" s="231"/>
      <c r="D624" s="231"/>
      <c r="E624" s="231"/>
      <c r="F624" s="231"/>
      <c r="G624" s="231"/>
    </row>
    <row r="625">
      <c r="A625" s="231"/>
      <c r="B625" s="231"/>
      <c r="C625" s="231"/>
      <c r="D625" s="231"/>
      <c r="E625" s="231"/>
      <c r="F625" s="231"/>
      <c r="G625" s="231"/>
    </row>
    <row r="626">
      <c r="A626" s="231"/>
      <c r="B626" s="231"/>
      <c r="C626" s="231"/>
      <c r="D626" s="231"/>
      <c r="E626" s="231"/>
      <c r="F626" s="231"/>
      <c r="G626" s="231"/>
    </row>
    <row r="627">
      <c r="A627" s="231"/>
      <c r="B627" s="231"/>
      <c r="C627" s="231"/>
      <c r="D627" s="231"/>
      <c r="E627" s="231"/>
      <c r="F627" s="231"/>
      <c r="G627" s="231"/>
    </row>
    <row r="628">
      <c r="A628" s="231"/>
      <c r="B628" s="231"/>
      <c r="C628" s="231"/>
      <c r="D628" s="231"/>
      <c r="E628" s="231"/>
      <c r="F628" s="231"/>
      <c r="G628" s="231"/>
    </row>
    <row r="629">
      <c r="A629" s="231"/>
      <c r="B629" s="231"/>
      <c r="C629" s="231"/>
      <c r="D629" s="231"/>
      <c r="E629" s="231"/>
      <c r="F629" s="231"/>
      <c r="G629" s="231"/>
    </row>
    <row r="630">
      <c r="A630" s="231"/>
      <c r="B630" s="231"/>
      <c r="C630" s="231"/>
      <c r="D630" s="231"/>
      <c r="E630" s="231"/>
      <c r="F630" s="231"/>
      <c r="G630" s="231"/>
    </row>
    <row r="631">
      <c r="A631" s="231"/>
      <c r="B631" s="231"/>
      <c r="C631" s="231"/>
      <c r="D631" s="231"/>
      <c r="E631" s="231"/>
      <c r="F631" s="231"/>
      <c r="G631" s="231"/>
    </row>
    <row r="632">
      <c r="A632" s="231"/>
      <c r="B632" s="231"/>
      <c r="C632" s="231"/>
      <c r="D632" s="231"/>
      <c r="E632" s="231"/>
      <c r="F632" s="231"/>
      <c r="G632" s="231"/>
    </row>
    <row r="633">
      <c r="A633" s="231"/>
      <c r="B633" s="231"/>
      <c r="C633" s="231"/>
      <c r="D633" s="231"/>
      <c r="E633" s="231"/>
      <c r="F633" s="231"/>
      <c r="G633" s="231"/>
    </row>
    <row r="634">
      <c r="A634" s="231"/>
      <c r="B634" s="231"/>
      <c r="C634" s="231"/>
      <c r="D634" s="231"/>
      <c r="E634" s="231"/>
      <c r="F634" s="231"/>
      <c r="G634" s="231"/>
    </row>
    <row r="635">
      <c r="A635" s="231"/>
      <c r="B635" s="231"/>
      <c r="C635" s="231"/>
      <c r="D635" s="231"/>
      <c r="E635" s="231"/>
      <c r="F635" s="231"/>
      <c r="G635" s="231"/>
    </row>
    <row r="636">
      <c r="A636" s="231"/>
      <c r="B636" s="231"/>
      <c r="C636" s="231"/>
      <c r="D636" s="231"/>
      <c r="E636" s="231"/>
      <c r="F636" s="231"/>
      <c r="G636" s="231"/>
    </row>
    <row r="637">
      <c r="A637" s="231"/>
      <c r="B637" s="231"/>
      <c r="C637" s="231"/>
      <c r="D637" s="231"/>
      <c r="E637" s="231"/>
      <c r="F637" s="231"/>
      <c r="G637" s="231"/>
    </row>
    <row r="638">
      <c r="A638" s="231"/>
      <c r="B638" s="231"/>
      <c r="C638" s="231"/>
      <c r="D638" s="231"/>
      <c r="E638" s="231"/>
      <c r="F638" s="231"/>
      <c r="G638" s="231"/>
    </row>
    <row r="639">
      <c r="A639" s="231"/>
      <c r="B639" s="231"/>
      <c r="C639" s="231"/>
      <c r="D639" s="231"/>
      <c r="E639" s="231"/>
      <c r="F639" s="231"/>
      <c r="G639" s="231"/>
    </row>
    <row r="640">
      <c r="A640" s="231"/>
      <c r="B640" s="231"/>
      <c r="C640" s="231"/>
      <c r="D640" s="231"/>
      <c r="E640" s="231"/>
      <c r="F640" s="231"/>
      <c r="G640" s="231"/>
    </row>
    <row r="641">
      <c r="A641" s="231"/>
      <c r="B641" s="231"/>
      <c r="C641" s="231"/>
      <c r="D641" s="231"/>
      <c r="E641" s="231"/>
      <c r="F641" s="231"/>
      <c r="G641" s="231"/>
    </row>
    <row r="642">
      <c r="A642" s="231"/>
      <c r="B642" s="231"/>
      <c r="C642" s="231"/>
      <c r="D642" s="231"/>
      <c r="E642" s="231"/>
      <c r="F642" s="231"/>
      <c r="G642" s="231"/>
    </row>
    <row r="643">
      <c r="A643" s="231"/>
      <c r="B643" s="231"/>
      <c r="C643" s="231"/>
      <c r="D643" s="231"/>
      <c r="E643" s="231"/>
      <c r="F643" s="231"/>
      <c r="G643" s="231"/>
    </row>
    <row r="644">
      <c r="A644" s="231"/>
      <c r="B644" s="231"/>
      <c r="C644" s="231"/>
      <c r="D644" s="231"/>
      <c r="E644" s="231"/>
      <c r="F644" s="231"/>
      <c r="G644" s="231"/>
    </row>
    <row r="645">
      <c r="A645" s="231"/>
      <c r="B645" s="231"/>
      <c r="C645" s="231"/>
      <c r="D645" s="231"/>
      <c r="E645" s="231"/>
      <c r="F645" s="231"/>
      <c r="G645" s="231"/>
    </row>
    <row r="646">
      <c r="A646" s="231"/>
      <c r="B646" s="231"/>
      <c r="C646" s="231"/>
      <c r="D646" s="231"/>
      <c r="E646" s="231"/>
      <c r="F646" s="231"/>
      <c r="G646" s="231"/>
    </row>
    <row r="647">
      <c r="A647" s="231"/>
      <c r="B647" s="231"/>
      <c r="C647" s="231"/>
      <c r="D647" s="231"/>
      <c r="E647" s="231"/>
      <c r="F647" s="231"/>
      <c r="G647" s="231"/>
    </row>
    <row r="648">
      <c r="A648" s="231"/>
      <c r="B648" s="231"/>
      <c r="C648" s="231"/>
      <c r="D648" s="231"/>
      <c r="E648" s="231"/>
      <c r="F648" s="231"/>
      <c r="G648" s="231"/>
    </row>
    <row r="649">
      <c r="A649" s="231"/>
      <c r="B649" s="231"/>
      <c r="C649" s="231"/>
      <c r="D649" s="231"/>
      <c r="E649" s="231"/>
      <c r="F649" s="231"/>
      <c r="G649" s="231"/>
    </row>
    <row r="650">
      <c r="A650" s="231"/>
      <c r="B650" s="231"/>
      <c r="C650" s="231"/>
      <c r="D650" s="231"/>
      <c r="E650" s="231"/>
      <c r="F650" s="231"/>
      <c r="G650" s="231"/>
    </row>
    <row r="651">
      <c r="A651" s="231"/>
      <c r="B651" s="231"/>
      <c r="C651" s="231"/>
      <c r="D651" s="231"/>
      <c r="E651" s="231"/>
      <c r="F651" s="231"/>
      <c r="G651" s="231"/>
    </row>
    <row r="652">
      <c r="A652" s="231"/>
      <c r="B652" s="231"/>
      <c r="C652" s="231"/>
      <c r="D652" s="231"/>
      <c r="E652" s="231"/>
      <c r="F652" s="231"/>
      <c r="G652" s="231"/>
    </row>
    <row r="653">
      <c r="A653" s="231"/>
      <c r="B653" s="231"/>
      <c r="C653" s="231"/>
      <c r="D653" s="231"/>
      <c r="E653" s="231"/>
      <c r="F653" s="231"/>
      <c r="G653" s="231"/>
    </row>
    <row r="654">
      <c r="A654" s="231"/>
      <c r="B654" s="231"/>
      <c r="C654" s="231"/>
      <c r="D654" s="231"/>
      <c r="E654" s="231"/>
      <c r="F654" s="231"/>
      <c r="G654" s="231"/>
    </row>
    <row r="655">
      <c r="A655" s="231"/>
      <c r="B655" s="231"/>
      <c r="C655" s="231"/>
      <c r="D655" s="231"/>
      <c r="E655" s="231"/>
      <c r="F655" s="231"/>
      <c r="G655" s="231"/>
    </row>
    <row r="656">
      <c r="A656" s="231"/>
      <c r="B656" s="231"/>
      <c r="C656" s="231"/>
      <c r="D656" s="231"/>
      <c r="E656" s="231"/>
      <c r="F656" s="231"/>
      <c r="G656" s="231"/>
    </row>
    <row r="657">
      <c r="A657" s="231"/>
      <c r="B657" s="231"/>
      <c r="C657" s="231"/>
      <c r="D657" s="231"/>
      <c r="E657" s="231"/>
      <c r="F657" s="231"/>
      <c r="G657" s="231"/>
    </row>
    <row r="658">
      <c r="A658" s="231"/>
      <c r="B658" s="231"/>
      <c r="C658" s="231"/>
      <c r="D658" s="231"/>
      <c r="E658" s="231"/>
      <c r="F658" s="231"/>
      <c r="G658" s="231"/>
    </row>
    <row r="659">
      <c r="A659" s="231"/>
      <c r="B659" s="231"/>
      <c r="C659" s="231"/>
      <c r="D659" s="231"/>
      <c r="E659" s="231"/>
      <c r="F659" s="231"/>
      <c r="G659" s="231"/>
    </row>
    <row r="660">
      <c r="A660" s="231"/>
      <c r="B660" s="231"/>
      <c r="C660" s="231"/>
      <c r="D660" s="231"/>
      <c r="E660" s="231"/>
      <c r="F660" s="231"/>
      <c r="G660" s="231"/>
    </row>
    <row r="661">
      <c r="A661" s="231"/>
      <c r="B661" s="231"/>
      <c r="C661" s="231"/>
      <c r="D661" s="231"/>
      <c r="E661" s="231"/>
      <c r="F661" s="231"/>
      <c r="G661" s="231"/>
    </row>
    <row r="662">
      <c r="A662" s="231"/>
      <c r="B662" s="231"/>
      <c r="C662" s="231"/>
      <c r="D662" s="231"/>
      <c r="E662" s="231"/>
      <c r="F662" s="231"/>
      <c r="G662" s="231"/>
    </row>
    <row r="663">
      <c r="A663" s="231"/>
      <c r="B663" s="231"/>
      <c r="C663" s="231"/>
      <c r="D663" s="231"/>
      <c r="E663" s="231"/>
      <c r="F663" s="231"/>
      <c r="G663" s="231"/>
    </row>
    <row r="664">
      <c r="A664" s="231"/>
      <c r="B664" s="231"/>
      <c r="C664" s="231"/>
      <c r="D664" s="231"/>
      <c r="E664" s="231"/>
      <c r="F664" s="231"/>
      <c r="G664" s="231"/>
    </row>
    <row r="665">
      <c r="A665" s="231"/>
      <c r="B665" s="231"/>
      <c r="C665" s="231"/>
      <c r="D665" s="231"/>
      <c r="E665" s="231"/>
      <c r="F665" s="231"/>
      <c r="G665" s="231"/>
    </row>
    <row r="666">
      <c r="A666" s="231"/>
      <c r="B666" s="231"/>
      <c r="C666" s="231"/>
      <c r="D666" s="231"/>
      <c r="E666" s="231"/>
      <c r="F666" s="231"/>
      <c r="G666" s="231"/>
    </row>
    <row r="667">
      <c r="A667" s="231"/>
      <c r="B667" s="231"/>
      <c r="C667" s="231"/>
      <c r="D667" s="231"/>
      <c r="E667" s="231"/>
      <c r="F667" s="231"/>
      <c r="G667" s="231"/>
    </row>
    <row r="668">
      <c r="A668" s="231"/>
      <c r="B668" s="231"/>
      <c r="C668" s="231"/>
      <c r="D668" s="231"/>
      <c r="E668" s="231"/>
      <c r="F668" s="231"/>
      <c r="G668" s="231"/>
    </row>
    <row r="669">
      <c r="A669" s="231"/>
      <c r="B669" s="231"/>
      <c r="C669" s="231"/>
      <c r="D669" s="231"/>
      <c r="E669" s="231"/>
      <c r="F669" s="231"/>
      <c r="G669" s="231"/>
    </row>
    <row r="670">
      <c r="A670" s="231"/>
      <c r="B670" s="231"/>
      <c r="C670" s="231"/>
      <c r="D670" s="231"/>
      <c r="E670" s="231"/>
      <c r="F670" s="231"/>
      <c r="G670" s="231"/>
    </row>
    <row r="671">
      <c r="A671" s="231"/>
      <c r="B671" s="231"/>
      <c r="C671" s="231"/>
      <c r="D671" s="231"/>
      <c r="E671" s="231"/>
      <c r="F671" s="231"/>
      <c r="G671" s="231"/>
    </row>
    <row r="672">
      <c r="A672" s="231"/>
      <c r="B672" s="231"/>
      <c r="C672" s="231"/>
      <c r="D672" s="231"/>
      <c r="E672" s="231"/>
      <c r="F672" s="231"/>
      <c r="G672" s="231"/>
    </row>
    <row r="673">
      <c r="A673" s="231"/>
      <c r="B673" s="231"/>
      <c r="C673" s="231"/>
      <c r="D673" s="231"/>
      <c r="E673" s="231"/>
      <c r="F673" s="231"/>
      <c r="G673" s="231"/>
    </row>
    <row r="674">
      <c r="A674" s="231"/>
      <c r="B674" s="231"/>
      <c r="C674" s="231"/>
      <c r="D674" s="231"/>
      <c r="E674" s="231"/>
      <c r="F674" s="231"/>
      <c r="G674" s="231"/>
    </row>
    <row r="675">
      <c r="A675" s="231"/>
      <c r="B675" s="231"/>
      <c r="C675" s="231"/>
      <c r="D675" s="231"/>
      <c r="E675" s="231"/>
      <c r="F675" s="231"/>
      <c r="G675" s="231"/>
    </row>
    <row r="676">
      <c r="A676" s="231"/>
      <c r="B676" s="231"/>
      <c r="C676" s="231"/>
      <c r="D676" s="231"/>
      <c r="E676" s="231"/>
      <c r="F676" s="231"/>
      <c r="G676" s="231"/>
    </row>
    <row r="677">
      <c r="A677" s="231"/>
      <c r="B677" s="231"/>
      <c r="C677" s="231"/>
      <c r="D677" s="231"/>
      <c r="E677" s="231"/>
      <c r="F677" s="231"/>
      <c r="G677" s="231"/>
    </row>
    <row r="678">
      <c r="A678" s="231"/>
      <c r="B678" s="231"/>
      <c r="C678" s="231"/>
      <c r="D678" s="231"/>
      <c r="E678" s="231"/>
      <c r="F678" s="231"/>
      <c r="G678" s="231"/>
    </row>
    <row r="679">
      <c r="A679" s="231"/>
      <c r="B679" s="231"/>
      <c r="C679" s="231"/>
      <c r="D679" s="231"/>
      <c r="E679" s="231"/>
      <c r="F679" s="231"/>
      <c r="G679" s="231"/>
    </row>
    <row r="680">
      <c r="A680" s="231"/>
      <c r="B680" s="231"/>
      <c r="C680" s="231"/>
      <c r="D680" s="231"/>
      <c r="E680" s="231"/>
      <c r="F680" s="231"/>
      <c r="G680" s="231"/>
    </row>
    <row r="681">
      <c r="A681" s="231"/>
      <c r="B681" s="231"/>
      <c r="C681" s="231"/>
      <c r="D681" s="231"/>
      <c r="E681" s="231"/>
      <c r="F681" s="231"/>
      <c r="G681" s="231"/>
    </row>
    <row r="682">
      <c r="A682" s="231"/>
      <c r="B682" s="231"/>
      <c r="C682" s="231"/>
      <c r="D682" s="231"/>
      <c r="E682" s="231"/>
      <c r="F682" s="231"/>
      <c r="G682" s="231"/>
    </row>
    <row r="683">
      <c r="A683" s="231"/>
      <c r="B683" s="231"/>
      <c r="C683" s="231"/>
      <c r="D683" s="231"/>
      <c r="E683" s="231"/>
      <c r="F683" s="231"/>
      <c r="G683" s="231"/>
    </row>
    <row r="684">
      <c r="A684" s="231"/>
      <c r="B684" s="231"/>
      <c r="C684" s="231"/>
      <c r="D684" s="231"/>
      <c r="E684" s="231"/>
      <c r="F684" s="231"/>
      <c r="G684" s="231"/>
    </row>
    <row r="685">
      <c r="A685" s="231"/>
      <c r="B685" s="231"/>
      <c r="C685" s="231"/>
      <c r="D685" s="231"/>
      <c r="E685" s="231"/>
      <c r="F685" s="231"/>
      <c r="G685" s="231"/>
    </row>
    <row r="686">
      <c r="A686" s="231"/>
      <c r="B686" s="231"/>
      <c r="C686" s="231"/>
      <c r="D686" s="231"/>
      <c r="E686" s="231"/>
      <c r="F686" s="231"/>
      <c r="G686" s="231"/>
    </row>
    <row r="687">
      <c r="A687" s="231"/>
      <c r="B687" s="231"/>
      <c r="C687" s="231"/>
      <c r="D687" s="231"/>
      <c r="E687" s="231"/>
      <c r="F687" s="231"/>
      <c r="G687" s="231"/>
    </row>
    <row r="688">
      <c r="A688" s="231"/>
      <c r="B688" s="231"/>
      <c r="C688" s="231"/>
      <c r="D688" s="231"/>
      <c r="E688" s="231"/>
      <c r="F688" s="231"/>
      <c r="G688" s="231"/>
    </row>
    <row r="689">
      <c r="A689" s="231"/>
      <c r="B689" s="231"/>
      <c r="C689" s="231"/>
      <c r="D689" s="231"/>
      <c r="E689" s="231"/>
      <c r="F689" s="231"/>
      <c r="G689" s="231"/>
    </row>
    <row r="690">
      <c r="A690" s="231"/>
      <c r="B690" s="231"/>
      <c r="C690" s="231"/>
      <c r="D690" s="231"/>
      <c r="E690" s="231"/>
      <c r="F690" s="231"/>
      <c r="G690" s="231"/>
    </row>
    <row r="691">
      <c r="A691" s="231"/>
      <c r="B691" s="231"/>
      <c r="C691" s="231"/>
      <c r="D691" s="231"/>
      <c r="E691" s="231"/>
      <c r="F691" s="231"/>
      <c r="G691" s="231"/>
    </row>
    <row r="692">
      <c r="A692" s="231"/>
      <c r="B692" s="231"/>
      <c r="C692" s="231"/>
      <c r="D692" s="231"/>
      <c r="E692" s="231"/>
      <c r="F692" s="231"/>
      <c r="G692" s="231"/>
    </row>
    <row r="693">
      <c r="A693" s="231"/>
      <c r="B693" s="231"/>
      <c r="C693" s="231"/>
      <c r="D693" s="231"/>
      <c r="E693" s="231"/>
      <c r="F693" s="231"/>
      <c r="G693" s="231"/>
    </row>
    <row r="694">
      <c r="A694" s="231"/>
      <c r="B694" s="231"/>
      <c r="C694" s="231"/>
      <c r="D694" s="231"/>
      <c r="E694" s="231"/>
      <c r="F694" s="231"/>
      <c r="G694" s="231"/>
    </row>
    <row r="695">
      <c r="A695" s="231"/>
      <c r="B695" s="231"/>
      <c r="C695" s="231"/>
      <c r="D695" s="231"/>
      <c r="E695" s="231"/>
      <c r="F695" s="231"/>
      <c r="G695" s="231"/>
    </row>
    <row r="696">
      <c r="A696" s="231"/>
      <c r="B696" s="231"/>
      <c r="C696" s="231"/>
      <c r="D696" s="231"/>
      <c r="E696" s="231"/>
      <c r="F696" s="231"/>
      <c r="G696" s="231"/>
    </row>
    <row r="697">
      <c r="A697" s="231"/>
      <c r="B697" s="231"/>
      <c r="C697" s="231"/>
      <c r="D697" s="231"/>
      <c r="E697" s="231"/>
      <c r="F697" s="231"/>
      <c r="G697" s="231"/>
    </row>
    <row r="698">
      <c r="A698" s="231"/>
      <c r="B698" s="231"/>
      <c r="C698" s="231"/>
      <c r="D698" s="231"/>
      <c r="E698" s="231"/>
      <c r="F698" s="231"/>
      <c r="G698" s="231"/>
    </row>
    <row r="699">
      <c r="A699" s="231"/>
      <c r="B699" s="231"/>
      <c r="C699" s="231"/>
      <c r="D699" s="231"/>
      <c r="E699" s="231"/>
      <c r="F699" s="231"/>
      <c r="G699" s="231"/>
    </row>
    <row r="700">
      <c r="A700" s="231"/>
      <c r="B700" s="231"/>
      <c r="C700" s="231"/>
      <c r="D700" s="231"/>
      <c r="E700" s="231"/>
      <c r="F700" s="231"/>
      <c r="G700" s="231"/>
    </row>
    <row r="701">
      <c r="A701" s="231"/>
      <c r="B701" s="231"/>
      <c r="C701" s="231"/>
      <c r="D701" s="231"/>
      <c r="E701" s="231"/>
      <c r="F701" s="231"/>
      <c r="G701" s="231"/>
    </row>
    <row r="702">
      <c r="A702" s="231"/>
      <c r="B702" s="231"/>
      <c r="C702" s="231"/>
      <c r="D702" s="231"/>
      <c r="E702" s="231"/>
      <c r="F702" s="231"/>
      <c r="G702" s="231"/>
    </row>
    <row r="703">
      <c r="A703" s="231"/>
      <c r="B703" s="231"/>
      <c r="C703" s="231"/>
      <c r="D703" s="231"/>
      <c r="E703" s="231"/>
      <c r="F703" s="231"/>
      <c r="G703" s="231"/>
    </row>
    <row r="704">
      <c r="A704" s="231"/>
      <c r="B704" s="231"/>
      <c r="C704" s="231"/>
      <c r="D704" s="231"/>
      <c r="E704" s="231"/>
      <c r="F704" s="231"/>
      <c r="G704" s="231"/>
    </row>
    <row r="705">
      <c r="A705" s="231"/>
      <c r="B705" s="231"/>
      <c r="C705" s="231"/>
      <c r="D705" s="231"/>
      <c r="E705" s="231"/>
      <c r="F705" s="231"/>
      <c r="G705" s="231"/>
    </row>
    <row r="706">
      <c r="A706" s="231"/>
      <c r="B706" s="231"/>
      <c r="C706" s="231"/>
      <c r="D706" s="231"/>
      <c r="E706" s="231"/>
      <c r="F706" s="231"/>
      <c r="G706" s="231"/>
    </row>
    <row r="707">
      <c r="A707" s="231"/>
      <c r="B707" s="231"/>
      <c r="C707" s="231"/>
      <c r="D707" s="231"/>
      <c r="E707" s="231"/>
      <c r="F707" s="231"/>
      <c r="G707" s="231"/>
    </row>
    <row r="708">
      <c r="A708" s="231"/>
      <c r="B708" s="231"/>
      <c r="C708" s="231"/>
      <c r="D708" s="231"/>
      <c r="E708" s="231"/>
      <c r="F708" s="231"/>
      <c r="G708" s="231"/>
    </row>
    <row r="709">
      <c r="A709" s="231"/>
      <c r="B709" s="231"/>
      <c r="C709" s="231"/>
      <c r="D709" s="231"/>
      <c r="E709" s="231"/>
      <c r="F709" s="231"/>
      <c r="G709" s="231"/>
    </row>
    <row r="710">
      <c r="A710" s="231"/>
      <c r="B710" s="231"/>
      <c r="C710" s="231"/>
      <c r="D710" s="231"/>
      <c r="E710" s="231"/>
      <c r="F710" s="231"/>
      <c r="G710" s="231"/>
    </row>
    <row r="711">
      <c r="A711" s="231"/>
      <c r="B711" s="231"/>
      <c r="C711" s="231"/>
      <c r="D711" s="231"/>
      <c r="E711" s="231"/>
      <c r="F711" s="231"/>
      <c r="G711" s="231"/>
    </row>
    <row r="712">
      <c r="A712" s="231"/>
      <c r="B712" s="231"/>
      <c r="C712" s="231"/>
      <c r="D712" s="231"/>
      <c r="E712" s="231"/>
      <c r="F712" s="231"/>
      <c r="G712" s="231"/>
    </row>
    <row r="713">
      <c r="A713" s="231"/>
      <c r="B713" s="231"/>
      <c r="C713" s="231"/>
      <c r="D713" s="231"/>
      <c r="E713" s="231"/>
      <c r="F713" s="231"/>
      <c r="G713" s="231"/>
    </row>
    <row r="714">
      <c r="A714" s="231"/>
      <c r="B714" s="231"/>
      <c r="C714" s="231"/>
      <c r="D714" s="231"/>
      <c r="E714" s="231"/>
      <c r="F714" s="231"/>
      <c r="G714" s="231"/>
    </row>
    <row r="715">
      <c r="A715" s="231"/>
      <c r="B715" s="231"/>
      <c r="C715" s="231"/>
      <c r="D715" s="231"/>
      <c r="E715" s="231"/>
      <c r="F715" s="231"/>
      <c r="G715" s="231"/>
    </row>
    <row r="716">
      <c r="A716" s="231"/>
      <c r="B716" s="231"/>
      <c r="C716" s="231"/>
      <c r="D716" s="231"/>
      <c r="E716" s="231"/>
      <c r="F716" s="231"/>
      <c r="G716" s="231"/>
    </row>
    <row r="717">
      <c r="A717" s="231"/>
      <c r="B717" s="231"/>
      <c r="C717" s="231"/>
      <c r="D717" s="231"/>
      <c r="E717" s="231"/>
      <c r="F717" s="231"/>
      <c r="G717" s="231"/>
    </row>
    <row r="718">
      <c r="A718" s="231"/>
      <c r="B718" s="231"/>
      <c r="C718" s="231"/>
      <c r="D718" s="231"/>
      <c r="E718" s="231"/>
      <c r="F718" s="231"/>
      <c r="G718" s="231"/>
    </row>
    <row r="719">
      <c r="A719" s="231"/>
      <c r="B719" s="231"/>
      <c r="C719" s="231"/>
      <c r="D719" s="231"/>
      <c r="E719" s="231"/>
      <c r="F719" s="231"/>
      <c r="G719" s="231"/>
    </row>
    <row r="720">
      <c r="A720" s="231"/>
      <c r="B720" s="231"/>
      <c r="C720" s="231"/>
      <c r="D720" s="231"/>
      <c r="E720" s="231"/>
      <c r="F720" s="231"/>
      <c r="G720" s="231"/>
    </row>
    <row r="721">
      <c r="A721" s="231"/>
      <c r="B721" s="231"/>
      <c r="C721" s="231"/>
      <c r="D721" s="231"/>
      <c r="E721" s="231"/>
      <c r="F721" s="231"/>
      <c r="G721" s="231"/>
    </row>
    <row r="722">
      <c r="A722" s="231"/>
      <c r="B722" s="231"/>
      <c r="C722" s="231"/>
      <c r="D722" s="231"/>
      <c r="E722" s="231"/>
      <c r="F722" s="231"/>
      <c r="G722" s="231"/>
    </row>
    <row r="723">
      <c r="A723" s="231"/>
      <c r="B723" s="231"/>
      <c r="C723" s="231"/>
      <c r="D723" s="231"/>
      <c r="E723" s="231"/>
      <c r="F723" s="231"/>
      <c r="G723" s="231"/>
    </row>
    <row r="724">
      <c r="A724" s="231"/>
      <c r="B724" s="231"/>
      <c r="C724" s="231"/>
      <c r="D724" s="231"/>
      <c r="E724" s="231"/>
      <c r="F724" s="231"/>
      <c r="G724" s="231"/>
    </row>
    <row r="725">
      <c r="A725" s="231"/>
      <c r="B725" s="231"/>
      <c r="C725" s="231"/>
      <c r="D725" s="231"/>
      <c r="E725" s="231"/>
      <c r="F725" s="231"/>
      <c r="G725" s="231"/>
    </row>
    <row r="726">
      <c r="A726" s="231"/>
      <c r="B726" s="231"/>
      <c r="C726" s="231"/>
      <c r="D726" s="231"/>
      <c r="E726" s="231"/>
      <c r="F726" s="231"/>
      <c r="G726" s="231"/>
    </row>
    <row r="727">
      <c r="A727" s="231"/>
      <c r="B727" s="231"/>
      <c r="C727" s="231"/>
      <c r="D727" s="231"/>
      <c r="E727" s="231"/>
      <c r="F727" s="231"/>
      <c r="G727" s="231"/>
    </row>
    <row r="728">
      <c r="A728" s="231"/>
      <c r="B728" s="231"/>
      <c r="C728" s="231"/>
      <c r="D728" s="231"/>
      <c r="E728" s="231"/>
      <c r="F728" s="231"/>
      <c r="G728" s="231"/>
    </row>
    <row r="729">
      <c r="A729" s="231"/>
      <c r="B729" s="231"/>
      <c r="C729" s="231"/>
      <c r="D729" s="231"/>
      <c r="E729" s="231"/>
      <c r="F729" s="231"/>
      <c r="G729" s="231"/>
    </row>
    <row r="730">
      <c r="A730" s="231"/>
      <c r="B730" s="231"/>
      <c r="C730" s="231"/>
      <c r="D730" s="231"/>
      <c r="E730" s="231"/>
      <c r="F730" s="231"/>
      <c r="G730" s="231"/>
    </row>
    <row r="731">
      <c r="A731" s="231"/>
      <c r="B731" s="231"/>
      <c r="C731" s="231"/>
      <c r="D731" s="231"/>
      <c r="E731" s="231"/>
      <c r="F731" s="231"/>
      <c r="G731" s="231"/>
    </row>
    <row r="732">
      <c r="A732" s="231"/>
      <c r="B732" s="231"/>
      <c r="C732" s="231"/>
      <c r="D732" s="231"/>
      <c r="E732" s="231"/>
      <c r="F732" s="231"/>
      <c r="G732" s="231"/>
    </row>
    <row r="733">
      <c r="A733" s="231"/>
      <c r="B733" s="231"/>
      <c r="C733" s="231"/>
      <c r="D733" s="231"/>
      <c r="E733" s="231"/>
      <c r="F733" s="231"/>
      <c r="G733" s="231"/>
    </row>
    <row r="734">
      <c r="A734" s="231"/>
      <c r="B734" s="231"/>
      <c r="C734" s="231"/>
      <c r="D734" s="231"/>
      <c r="E734" s="231"/>
      <c r="F734" s="231"/>
      <c r="G734" s="231"/>
    </row>
    <row r="735">
      <c r="A735" s="231"/>
      <c r="B735" s="231"/>
      <c r="C735" s="231"/>
      <c r="D735" s="231"/>
      <c r="E735" s="231"/>
      <c r="F735" s="231"/>
      <c r="G735" s="231"/>
    </row>
    <row r="736">
      <c r="A736" s="231"/>
      <c r="B736" s="231"/>
      <c r="C736" s="231"/>
      <c r="D736" s="231"/>
      <c r="E736" s="231"/>
      <c r="F736" s="231"/>
      <c r="G736" s="231"/>
    </row>
    <row r="737">
      <c r="A737" s="231"/>
      <c r="B737" s="231"/>
      <c r="C737" s="231"/>
      <c r="D737" s="231"/>
      <c r="E737" s="231"/>
      <c r="F737" s="231"/>
      <c r="G737" s="231"/>
    </row>
    <row r="738">
      <c r="A738" s="231"/>
      <c r="B738" s="231"/>
      <c r="C738" s="231"/>
      <c r="D738" s="231"/>
      <c r="E738" s="231"/>
      <c r="F738" s="231"/>
      <c r="G738" s="231"/>
    </row>
    <row r="739">
      <c r="A739" s="231"/>
      <c r="B739" s="231"/>
      <c r="C739" s="231"/>
      <c r="D739" s="231"/>
      <c r="E739" s="231"/>
      <c r="F739" s="231"/>
      <c r="G739" s="231"/>
    </row>
    <row r="740">
      <c r="A740" s="231"/>
      <c r="B740" s="231"/>
      <c r="C740" s="231"/>
      <c r="D740" s="231"/>
      <c r="E740" s="231"/>
      <c r="F740" s="231"/>
      <c r="G740" s="231"/>
    </row>
    <row r="741">
      <c r="A741" s="231"/>
      <c r="B741" s="231"/>
      <c r="C741" s="231"/>
      <c r="D741" s="231"/>
      <c r="E741" s="231"/>
      <c r="F741" s="231"/>
      <c r="G741" s="231"/>
    </row>
    <row r="742">
      <c r="A742" s="231"/>
      <c r="B742" s="231"/>
      <c r="C742" s="231"/>
      <c r="D742" s="231"/>
      <c r="E742" s="231"/>
      <c r="F742" s="231"/>
      <c r="G742" s="231"/>
    </row>
    <row r="743">
      <c r="A743" s="231"/>
      <c r="B743" s="231"/>
      <c r="C743" s="231"/>
      <c r="D743" s="231"/>
      <c r="E743" s="231"/>
      <c r="F743" s="231"/>
      <c r="G743" s="231"/>
    </row>
    <row r="744">
      <c r="A744" s="231"/>
      <c r="B744" s="231"/>
      <c r="C744" s="231"/>
      <c r="D744" s="231"/>
      <c r="E744" s="231"/>
      <c r="F744" s="231"/>
      <c r="G744" s="231"/>
    </row>
    <row r="745">
      <c r="A745" s="231"/>
      <c r="B745" s="231"/>
      <c r="C745" s="231"/>
      <c r="D745" s="231"/>
      <c r="E745" s="231"/>
      <c r="F745" s="231"/>
      <c r="G745" s="231"/>
    </row>
    <row r="746">
      <c r="A746" s="231"/>
      <c r="B746" s="231"/>
      <c r="C746" s="231"/>
      <c r="D746" s="231"/>
      <c r="E746" s="231"/>
      <c r="F746" s="231"/>
      <c r="G746" s="231"/>
    </row>
    <row r="747">
      <c r="A747" s="231"/>
      <c r="B747" s="231"/>
      <c r="C747" s="231"/>
      <c r="D747" s="231"/>
      <c r="E747" s="231"/>
      <c r="F747" s="231"/>
      <c r="G747" s="231"/>
    </row>
    <row r="748">
      <c r="A748" s="231"/>
      <c r="B748" s="231"/>
      <c r="C748" s="231"/>
      <c r="D748" s="231"/>
      <c r="E748" s="231"/>
      <c r="F748" s="231"/>
      <c r="G748" s="231"/>
    </row>
    <row r="749">
      <c r="A749" s="231"/>
      <c r="B749" s="231"/>
      <c r="C749" s="231"/>
      <c r="D749" s="231"/>
      <c r="E749" s="231"/>
      <c r="F749" s="231"/>
      <c r="G749" s="231"/>
    </row>
    <row r="750">
      <c r="A750" s="231"/>
      <c r="B750" s="231"/>
      <c r="C750" s="231"/>
      <c r="D750" s="231"/>
      <c r="E750" s="231"/>
      <c r="F750" s="231"/>
      <c r="G750" s="231"/>
    </row>
    <row r="751">
      <c r="A751" s="231"/>
      <c r="B751" s="231"/>
      <c r="C751" s="231"/>
      <c r="D751" s="231"/>
      <c r="E751" s="231"/>
      <c r="F751" s="231"/>
      <c r="G751" s="231"/>
    </row>
    <row r="752">
      <c r="A752" s="231"/>
      <c r="B752" s="231"/>
      <c r="C752" s="231"/>
      <c r="D752" s="231"/>
      <c r="E752" s="231"/>
      <c r="F752" s="231"/>
      <c r="G752" s="231"/>
    </row>
    <row r="753">
      <c r="A753" s="231"/>
      <c r="B753" s="231"/>
      <c r="C753" s="231"/>
      <c r="D753" s="231"/>
      <c r="E753" s="231"/>
      <c r="F753" s="231"/>
      <c r="G753" s="231"/>
    </row>
    <row r="754">
      <c r="A754" s="231"/>
      <c r="B754" s="231"/>
      <c r="C754" s="231"/>
      <c r="D754" s="231"/>
      <c r="E754" s="231"/>
      <c r="F754" s="231"/>
      <c r="G754" s="231"/>
    </row>
    <row r="755">
      <c r="A755" s="231"/>
      <c r="B755" s="231"/>
      <c r="C755" s="231"/>
      <c r="D755" s="231"/>
      <c r="E755" s="231"/>
      <c r="F755" s="231"/>
      <c r="G755" s="231"/>
    </row>
    <row r="756">
      <c r="A756" s="231"/>
      <c r="B756" s="231"/>
      <c r="C756" s="231"/>
      <c r="D756" s="231"/>
      <c r="E756" s="231"/>
      <c r="F756" s="231"/>
      <c r="G756" s="231"/>
    </row>
    <row r="757">
      <c r="A757" s="231"/>
      <c r="B757" s="231"/>
      <c r="C757" s="231"/>
      <c r="D757" s="231"/>
      <c r="E757" s="231"/>
      <c r="F757" s="231"/>
      <c r="G757" s="231"/>
    </row>
    <row r="758">
      <c r="A758" s="231"/>
      <c r="B758" s="231"/>
      <c r="C758" s="231"/>
      <c r="D758" s="231"/>
      <c r="E758" s="231"/>
      <c r="F758" s="231"/>
      <c r="G758" s="231"/>
    </row>
    <row r="759">
      <c r="A759" s="231"/>
      <c r="B759" s="231"/>
      <c r="C759" s="231"/>
      <c r="D759" s="231"/>
      <c r="E759" s="231"/>
      <c r="F759" s="231"/>
      <c r="G759" s="231"/>
    </row>
    <row r="760">
      <c r="A760" s="231"/>
      <c r="B760" s="231"/>
      <c r="C760" s="231"/>
      <c r="D760" s="231"/>
      <c r="E760" s="231"/>
      <c r="F760" s="231"/>
      <c r="G760" s="231"/>
    </row>
    <row r="761">
      <c r="A761" s="231"/>
      <c r="B761" s="231"/>
      <c r="C761" s="231"/>
      <c r="D761" s="231"/>
      <c r="E761" s="231"/>
      <c r="F761" s="231"/>
      <c r="G761" s="231"/>
    </row>
    <row r="762">
      <c r="A762" s="231"/>
      <c r="B762" s="231"/>
      <c r="C762" s="231"/>
      <c r="D762" s="231"/>
      <c r="E762" s="231"/>
      <c r="F762" s="231"/>
      <c r="G762" s="231"/>
    </row>
    <row r="763">
      <c r="A763" s="231"/>
      <c r="B763" s="231"/>
      <c r="C763" s="231"/>
      <c r="D763" s="231"/>
      <c r="E763" s="231"/>
      <c r="F763" s="231"/>
      <c r="G763" s="231"/>
    </row>
    <row r="764">
      <c r="A764" s="231"/>
      <c r="B764" s="231"/>
      <c r="C764" s="231"/>
      <c r="D764" s="231"/>
      <c r="E764" s="231"/>
      <c r="F764" s="231"/>
      <c r="G764" s="231"/>
    </row>
    <row r="765">
      <c r="A765" s="231"/>
      <c r="B765" s="231"/>
      <c r="C765" s="231"/>
      <c r="D765" s="231"/>
      <c r="E765" s="231"/>
      <c r="F765" s="231"/>
      <c r="G765" s="231"/>
    </row>
    <row r="766">
      <c r="A766" s="231"/>
      <c r="B766" s="231"/>
      <c r="C766" s="231"/>
      <c r="D766" s="231"/>
      <c r="E766" s="231"/>
      <c r="F766" s="231"/>
      <c r="G766" s="231"/>
    </row>
    <row r="767">
      <c r="A767" s="231"/>
      <c r="B767" s="231"/>
      <c r="C767" s="231"/>
      <c r="D767" s="231"/>
      <c r="E767" s="231"/>
      <c r="F767" s="231"/>
      <c r="G767" s="231"/>
    </row>
    <row r="768">
      <c r="A768" s="231"/>
      <c r="B768" s="231"/>
      <c r="C768" s="231"/>
      <c r="D768" s="231"/>
      <c r="E768" s="231"/>
      <c r="F768" s="231"/>
      <c r="G768" s="231"/>
    </row>
    <row r="769">
      <c r="A769" s="231"/>
      <c r="B769" s="231"/>
      <c r="C769" s="231"/>
      <c r="D769" s="231"/>
      <c r="E769" s="231"/>
      <c r="F769" s="231"/>
      <c r="G769" s="231"/>
    </row>
    <row r="770">
      <c r="A770" s="231"/>
      <c r="B770" s="231"/>
      <c r="C770" s="231"/>
      <c r="D770" s="231"/>
      <c r="E770" s="231"/>
      <c r="F770" s="231"/>
      <c r="G770" s="231"/>
    </row>
    <row r="771">
      <c r="A771" s="231"/>
      <c r="B771" s="231"/>
      <c r="C771" s="231"/>
      <c r="D771" s="231"/>
      <c r="E771" s="231"/>
      <c r="F771" s="231"/>
      <c r="G771" s="231"/>
    </row>
    <row r="772">
      <c r="A772" s="231"/>
      <c r="B772" s="231"/>
      <c r="C772" s="231"/>
      <c r="D772" s="231"/>
      <c r="E772" s="231"/>
      <c r="F772" s="231"/>
      <c r="G772" s="231"/>
    </row>
    <row r="773">
      <c r="A773" s="231"/>
      <c r="B773" s="231"/>
      <c r="C773" s="231"/>
      <c r="D773" s="231"/>
      <c r="E773" s="231"/>
      <c r="F773" s="231"/>
      <c r="G773" s="231"/>
    </row>
    <row r="774">
      <c r="A774" s="231"/>
      <c r="B774" s="231"/>
      <c r="C774" s="231"/>
      <c r="D774" s="231"/>
      <c r="E774" s="231"/>
      <c r="F774" s="231"/>
      <c r="G774" s="231"/>
    </row>
    <row r="775">
      <c r="A775" s="231"/>
      <c r="B775" s="231"/>
      <c r="C775" s="231"/>
      <c r="D775" s="231"/>
      <c r="E775" s="231"/>
      <c r="F775" s="231"/>
      <c r="G775" s="231"/>
    </row>
    <row r="776">
      <c r="A776" s="231"/>
      <c r="B776" s="231"/>
      <c r="C776" s="231"/>
      <c r="D776" s="231"/>
      <c r="E776" s="231"/>
      <c r="F776" s="231"/>
      <c r="G776" s="231"/>
    </row>
    <row r="777">
      <c r="A777" s="231"/>
      <c r="B777" s="231"/>
      <c r="C777" s="231"/>
      <c r="D777" s="231"/>
      <c r="E777" s="231"/>
      <c r="F777" s="231"/>
      <c r="G777" s="231"/>
    </row>
    <row r="778">
      <c r="A778" s="231"/>
      <c r="B778" s="231"/>
      <c r="C778" s="231"/>
      <c r="D778" s="231"/>
      <c r="E778" s="231"/>
      <c r="F778" s="231"/>
      <c r="G778" s="231"/>
    </row>
    <row r="779">
      <c r="A779" s="231"/>
      <c r="B779" s="231"/>
      <c r="C779" s="231"/>
      <c r="D779" s="231"/>
      <c r="E779" s="231"/>
      <c r="F779" s="231"/>
      <c r="G779" s="231"/>
    </row>
    <row r="780">
      <c r="A780" s="231"/>
      <c r="B780" s="231"/>
      <c r="C780" s="231"/>
      <c r="D780" s="231"/>
      <c r="E780" s="231"/>
      <c r="F780" s="231"/>
      <c r="G780" s="231"/>
    </row>
    <row r="781">
      <c r="A781" s="231"/>
      <c r="B781" s="231"/>
      <c r="C781" s="231"/>
      <c r="D781" s="231"/>
      <c r="E781" s="231"/>
      <c r="F781" s="231"/>
      <c r="G781" s="231"/>
    </row>
    <row r="782">
      <c r="A782" s="231"/>
      <c r="B782" s="231"/>
      <c r="C782" s="231"/>
      <c r="D782" s="231"/>
      <c r="E782" s="231"/>
      <c r="F782" s="231"/>
      <c r="G782" s="231"/>
    </row>
    <row r="783">
      <c r="A783" s="231"/>
      <c r="B783" s="231"/>
      <c r="C783" s="231"/>
      <c r="D783" s="231"/>
      <c r="E783" s="231"/>
      <c r="F783" s="231"/>
      <c r="G783" s="231"/>
    </row>
    <row r="784">
      <c r="A784" s="231"/>
      <c r="B784" s="231"/>
      <c r="C784" s="231"/>
      <c r="D784" s="231"/>
      <c r="E784" s="231"/>
      <c r="F784" s="231"/>
      <c r="G784" s="231"/>
    </row>
    <row r="785">
      <c r="A785" s="231"/>
      <c r="B785" s="231"/>
      <c r="C785" s="231"/>
      <c r="D785" s="231"/>
      <c r="E785" s="231"/>
      <c r="F785" s="231"/>
      <c r="G785" s="231"/>
    </row>
    <row r="786">
      <c r="A786" s="231"/>
      <c r="B786" s="231"/>
      <c r="C786" s="231"/>
      <c r="D786" s="231"/>
      <c r="E786" s="231"/>
      <c r="F786" s="231"/>
      <c r="G786" s="231"/>
    </row>
    <row r="787">
      <c r="A787" s="231"/>
      <c r="B787" s="231"/>
      <c r="C787" s="231"/>
      <c r="D787" s="231"/>
      <c r="E787" s="231"/>
      <c r="F787" s="231"/>
      <c r="G787" s="231"/>
    </row>
    <row r="788">
      <c r="A788" s="231"/>
      <c r="B788" s="231"/>
      <c r="C788" s="231"/>
      <c r="D788" s="231"/>
      <c r="E788" s="231"/>
      <c r="F788" s="231"/>
      <c r="G788" s="231"/>
    </row>
    <row r="789">
      <c r="A789" s="231"/>
      <c r="B789" s="231"/>
      <c r="C789" s="231"/>
      <c r="D789" s="231"/>
      <c r="E789" s="231"/>
      <c r="F789" s="231"/>
      <c r="G789" s="231"/>
    </row>
    <row r="790">
      <c r="A790" s="231"/>
      <c r="B790" s="231"/>
      <c r="C790" s="231"/>
      <c r="D790" s="231"/>
      <c r="E790" s="231"/>
      <c r="F790" s="231"/>
      <c r="G790" s="231"/>
    </row>
    <row r="791">
      <c r="A791" s="231"/>
      <c r="B791" s="231"/>
      <c r="C791" s="231"/>
      <c r="D791" s="231"/>
      <c r="E791" s="231"/>
      <c r="F791" s="231"/>
      <c r="G791" s="231"/>
    </row>
    <row r="792">
      <c r="A792" s="231"/>
      <c r="B792" s="231"/>
      <c r="C792" s="231"/>
      <c r="D792" s="231"/>
      <c r="E792" s="231"/>
      <c r="F792" s="231"/>
      <c r="G792" s="231"/>
    </row>
    <row r="793">
      <c r="A793" s="231"/>
      <c r="B793" s="231"/>
      <c r="C793" s="231"/>
      <c r="D793" s="231"/>
      <c r="E793" s="231"/>
      <c r="F793" s="231"/>
      <c r="G793" s="231"/>
    </row>
    <row r="794">
      <c r="A794" s="231"/>
      <c r="B794" s="231"/>
      <c r="C794" s="231"/>
      <c r="D794" s="231"/>
      <c r="E794" s="231"/>
      <c r="F794" s="231"/>
      <c r="G794" s="231"/>
    </row>
    <row r="795">
      <c r="A795" s="231"/>
      <c r="B795" s="231"/>
      <c r="C795" s="231"/>
      <c r="D795" s="231"/>
      <c r="E795" s="231"/>
      <c r="F795" s="231"/>
      <c r="G795" s="231"/>
    </row>
    <row r="796">
      <c r="A796" s="231"/>
      <c r="B796" s="231"/>
      <c r="C796" s="231"/>
      <c r="D796" s="231"/>
      <c r="E796" s="231"/>
      <c r="F796" s="231"/>
      <c r="G796" s="231"/>
    </row>
    <row r="797">
      <c r="A797" s="231"/>
      <c r="B797" s="231"/>
      <c r="C797" s="231"/>
      <c r="D797" s="231"/>
      <c r="E797" s="231"/>
      <c r="F797" s="231"/>
      <c r="G797" s="231"/>
    </row>
    <row r="798">
      <c r="A798" s="231"/>
      <c r="B798" s="231"/>
      <c r="C798" s="231"/>
      <c r="D798" s="231"/>
      <c r="E798" s="231"/>
      <c r="F798" s="231"/>
      <c r="G798" s="231"/>
    </row>
    <row r="799">
      <c r="A799" s="231"/>
      <c r="B799" s="231"/>
      <c r="C799" s="231"/>
      <c r="D799" s="231"/>
      <c r="E799" s="231"/>
      <c r="F799" s="231"/>
      <c r="G799" s="231"/>
    </row>
    <row r="800">
      <c r="A800" s="231"/>
      <c r="B800" s="231"/>
      <c r="C800" s="231"/>
      <c r="D800" s="231"/>
      <c r="E800" s="231"/>
      <c r="F800" s="231"/>
      <c r="G800" s="231"/>
    </row>
    <row r="801">
      <c r="A801" s="231"/>
      <c r="B801" s="231"/>
      <c r="C801" s="231"/>
      <c r="D801" s="231"/>
      <c r="E801" s="231"/>
      <c r="F801" s="231"/>
      <c r="G801" s="231"/>
    </row>
    <row r="802">
      <c r="A802" s="231"/>
      <c r="B802" s="231"/>
      <c r="C802" s="231"/>
      <c r="D802" s="231"/>
      <c r="E802" s="231"/>
      <c r="F802" s="231"/>
      <c r="G802" s="231"/>
    </row>
    <row r="803">
      <c r="A803" s="231"/>
      <c r="B803" s="231"/>
      <c r="C803" s="231"/>
      <c r="D803" s="231"/>
      <c r="E803" s="231"/>
      <c r="F803" s="231"/>
      <c r="G803" s="231"/>
    </row>
    <row r="804">
      <c r="A804" s="231"/>
      <c r="B804" s="231"/>
      <c r="C804" s="231"/>
      <c r="D804" s="231"/>
      <c r="E804" s="231"/>
      <c r="F804" s="231"/>
      <c r="G804" s="231"/>
    </row>
    <row r="805">
      <c r="A805" s="231"/>
      <c r="B805" s="231"/>
      <c r="C805" s="231"/>
      <c r="D805" s="231"/>
      <c r="E805" s="231"/>
      <c r="F805" s="231"/>
      <c r="G805" s="231"/>
    </row>
    <row r="806">
      <c r="A806" s="231"/>
      <c r="B806" s="231"/>
      <c r="C806" s="231"/>
      <c r="D806" s="231"/>
      <c r="E806" s="231"/>
      <c r="F806" s="231"/>
      <c r="G806" s="231"/>
    </row>
    <row r="807">
      <c r="A807" s="231"/>
      <c r="B807" s="231"/>
      <c r="C807" s="231"/>
      <c r="D807" s="231"/>
      <c r="E807" s="231"/>
      <c r="F807" s="231"/>
      <c r="G807" s="231"/>
    </row>
    <row r="808">
      <c r="A808" s="231"/>
      <c r="B808" s="231"/>
      <c r="C808" s="231"/>
      <c r="D808" s="231"/>
      <c r="E808" s="231"/>
      <c r="F808" s="231"/>
      <c r="G808" s="231"/>
    </row>
    <row r="809">
      <c r="A809" s="231"/>
      <c r="B809" s="231"/>
      <c r="C809" s="231"/>
      <c r="D809" s="231"/>
      <c r="E809" s="231"/>
      <c r="F809" s="231"/>
      <c r="G809" s="231"/>
    </row>
    <row r="810">
      <c r="A810" s="231"/>
      <c r="B810" s="231"/>
      <c r="C810" s="231"/>
      <c r="D810" s="231"/>
      <c r="E810" s="231"/>
      <c r="F810" s="231"/>
      <c r="G810" s="231"/>
    </row>
    <row r="811">
      <c r="A811" s="231"/>
      <c r="B811" s="231"/>
      <c r="C811" s="231"/>
      <c r="D811" s="231"/>
      <c r="E811" s="231"/>
      <c r="F811" s="231"/>
      <c r="G811" s="231"/>
    </row>
    <row r="812">
      <c r="A812" s="231"/>
      <c r="B812" s="231"/>
      <c r="C812" s="231"/>
      <c r="D812" s="231"/>
      <c r="E812" s="231"/>
      <c r="F812" s="231"/>
      <c r="G812" s="231"/>
    </row>
    <row r="813">
      <c r="A813" s="231"/>
      <c r="B813" s="231"/>
      <c r="C813" s="231"/>
      <c r="D813" s="231"/>
      <c r="E813" s="231"/>
      <c r="F813" s="231"/>
      <c r="G813" s="231"/>
    </row>
    <row r="814">
      <c r="A814" s="231"/>
      <c r="B814" s="231"/>
      <c r="C814" s="231"/>
      <c r="D814" s="231"/>
      <c r="E814" s="231"/>
      <c r="F814" s="231"/>
      <c r="G814" s="231"/>
    </row>
    <row r="815">
      <c r="A815" s="231"/>
      <c r="B815" s="231"/>
      <c r="C815" s="231"/>
      <c r="D815" s="231"/>
      <c r="E815" s="231"/>
      <c r="F815" s="231"/>
      <c r="G815" s="231"/>
    </row>
    <row r="816">
      <c r="A816" s="231"/>
      <c r="B816" s="231"/>
      <c r="C816" s="231"/>
      <c r="D816" s="231"/>
      <c r="E816" s="231"/>
      <c r="F816" s="231"/>
      <c r="G816" s="231"/>
    </row>
    <row r="817">
      <c r="A817" s="231"/>
      <c r="B817" s="231"/>
      <c r="C817" s="231"/>
      <c r="D817" s="231"/>
      <c r="E817" s="231"/>
      <c r="F817" s="231"/>
      <c r="G817" s="231"/>
    </row>
    <row r="818">
      <c r="A818" s="231"/>
      <c r="B818" s="231"/>
      <c r="C818" s="231"/>
      <c r="D818" s="231"/>
      <c r="E818" s="231"/>
      <c r="F818" s="231"/>
      <c r="G818" s="231"/>
    </row>
    <row r="819">
      <c r="A819" s="231"/>
      <c r="B819" s="231"/>
      <c r="C819" s="231"/>
      <c r="D819" s="231"/>
      <c r="E819" s="231"/>
      <c r="F819" s="231"/>
      <c r="G819" s="231"/>
    </row>
    <row r="820">
      <c r="A820" s="231"/>
      <c r="B820" s="231"/>
      <c r="C820" s="231"/>
      <c r="D820" s="231"/>
      <c r="E820" s="231"/>
      <c r="F820" s="231"/>
      <c r="G820" s="231"/>
    </row>
    <row r="821">
      <c r="A821" s="231"/>
      <c r="B821" s="231"/>
      <c r="C821" s="231"/>
      <c r="D821" s="231"/>
      <c r="E821" s="231"/>
      <c r="F821" s="231"/>
      <c r="G821" s="231"/>
    </row>
    <row r="822">
      <c r="A822" s="231"/>
      <c r="B822" s="231"/>
      <c r="C822" s="231"/>
      <c r="D822" s="231"/>
      <c r="E822" s="231"/>
      <c r="F822" s="231"/>
      <c r="G822" s="231"/>
    </row>
    <row r="823">
      <c r="A823" s="231"/>
      <c r="B823" s="231"/>
      <c r="C823" s="231"/>
      <c r="D823" s="231"/>
      <c r="E823" s="231"/>
      <c r="F823" s="231"/>
      <c r="G823" s="231"/>
    </row>
    <row r="824">
      <c r="A824" s="231"/>
      <c r="B824" s="231"/>
      <c r="C824" s="231"/>
      <c r="D824" s="231"/>
      <c r="E824" s="231"/>
      <c r="F824" s="231"/>
      <c r="G824" s="231"/>
    </row>
    <row r="825">
      <c r="A825" s="231"/>
      <c r="B825" s="231"/>
      <c r="C825" s="231"/>
      <c r="D825" s="231"/>
      <c r="E825" s="231"/>
      <c r="F825" s="231"/>
      <c r="G825" s="231"/>
    </row>
    <row r="826">
      <c r="A826" s="231"/>
      <c r="B826" s="231"/>
      <c r="C826" s="231"/>
      <c r="D826" s="231"/>
      <c r="E826" s="231"/>
      <c r="F826" s="231"/>
      <c r="G826" s="231"/>
    </row>
    <row r="827">
      <c r="A827" s="231"/>
      <c r="B827" s="231"/>
      <c r="C827" s="231"/>
      <c r="D827" s="231"/>
      <c r="E827" s="231"/>
      <c r="F827" s="231"/>
      <c r="G827" s="231"/>
    </row>
    <row r="828">
      <c r="A828" s="231"/>
      <c r="B828" s="231"/>
      <c r="C828" s="231"/>
      <c r="D828" s="231"/>
      <c r="E828" s="231"/>
      <c r="F828" s="231"/>
      <c r="G828" s="231"/>
    </row>
    <row r="829">
      <c r="A829" s="231"/>
      <c r="B829" s="231"/>
      <c r="C829" s="231"/>
      <c r="D829" s="231"/>
      <c r="E829" s="231"/>
      <c r="F829" s="231"/>
      <c r="G829" s="231"/>
    </row>
    <row r="830">
      <c r="A830" s="231"/>
      <c r="B830" s="231"/>
      <c r="C830" s="231"/>
      <c r="D830" s="231"/>
      <c r="E830" s="231"/>
      <c r="F830" s="231"/>
      <c r="G830" s="231"/>
    </row>
    <row r="831">
      <c r="A831" s="231"/>
      <c r="B831" s="231"/>
      <c r="C831" s="231"/>
      <c r="D831" s="231"/>
      <c r="E831" s="231"/>
      <c r="F831" s="231"/>
      <c r="G831" s="231"/>
    </row>
    <row r="832">
      <c r="A832" s="231"/>
      <c r="B832" s="231"/>
      <c r="C832" s="231"/>
      <c r="D832" s="231"/>
      <c r="E832" s="231"/>
      <c r="F832" s="231"/>
      <c r="G832" s="231"/>
    </row>
    <row r="833">
      <c r="A833" s="231"/>
      <c r="B833" s="231"/>
      <c r="C833" s="231"/>
      <c r="D833" s="231"/>
      <c r="E833" s="231"/>
      <c r="F833" s="231"/>
      <c r="G833" s="231"/>
    </row>
    <row r="834">
      <c r="A834" s="231"/>
      <c r="B834" s="231"/>
      <c r="C834" s="231"/>
      <c r="D834" s="231"/>
      <c r="E834" s="231"/>
      <c r="F834" s="231"/>
      <c r="G834" s="231"/>
    </row>
    <row r="835">
      <c r="A835" s="231"/>
      <c r="B835" s="231"/>
      <c r="C835" s="231"/>
      <c r="D835" s="231"/>
      <c r="E835" s="231"/>
      <c r="F835" s="231"/>
      <c r="G835" s="231"/>
    </row>
    <row r="836">
      <c r="A836" s="231"/>
      <c r="B836" s="231"/>
      <c r="C836" s="231"/>
      <c r="D836" s="231"/>
      <c r="E836" s="231"/>
      <c r="F836" s="231"/>
      <c r="G836" s="231"/>
    </row>
    <row r="837">
      <c r="A837" s="231"/>
      <c r="B837" s="231"/>
      <c r="C837" s="231"/>
      <c r="D837" s="231"/>
      <c r="E837" s="231"/>
      <c r="F837" s="231"/>
      <c r="G837" s="231"/>
    </row>
    <row r="838">
      <c r="A838" s="231"/>
      <c r="B838" s="231"/>
      <c r="C838" s="231"/>
      <c r="D838" s="231"/>
      <c r="E838" s="231"/>
      <c r="F838" s="231"/>
      <c r="G838" s="231"/>
    </row>
    <row r="839">
      <c r="A839" s="231"/>
      <c r="B839" s="231"/>
      <c r="C839" s="231"/>
      <c r="D839" s="231"/>
      <c r="E839" s="231"/>
      <c r="F839" s="231"/>
      <c r="G839" s="231"/>
    </row>
    <row r="840">
      <c r="A840" s="231"/>
      <c r="B840" s="231"/>
      <c r="C840" s="231"/>
      <c r="D840" s="231"/>
      <c r="E840" s="231"/>
      <c r="F840" s="231"/>
      <c r="G840" s="231"/>
    </row>
    <row r="841">
      <c r="A841" s="231"/>
      <c r="B841" s="231"/>
      <c r="C841" s="231"/>
      <c r="D841" s="231"/>
      <c r="E841" s="231"/>
      <c r="F841" s="231"/>
      <c r="G841" s="231"/>
    </row>
    <row r="842">
      <c r="A842" s="231"/>
      <c r="B842" s="231"/>
      <c r="C842" s="231"/>
      <c r="D842" s="231"/>
      <c r="E842" s="231"/>
      <c r="F842" s="231"/>
      <c r="G842" s="231"/>
    </row>
    <row r="843">
      <c r="A843" s="231"/>
      <c r="B843" s="231"/>
      <c r="C843" s="231"/>
      <c r="D843" s="231"/>
      <c r="E843" s="231"/>
      <c r="F843" s="231"/>
      <c r="G843" s="231"/>
    </row>
    <row r="844">
      <c r="A844" s="231"/>
      <c r="B844" s="231"/>
      <c r="C844" s="231"/>
      <c r="D844" s="231"/>
      <c r="E844" s="231"/>
      <c r="F844" s="231"/>
      <c r="G844" s="231"/>
    </row>
    <row r="845">
      <c r="A845" s="231"/>
      <c r="B845" s="231"/>
      <c r="C845" s="231"/>
      <c r="D845" s="231"/>
      <c r="E845" s="231"/>
      <c r="F845" s="231"/>
      <c r="G845" s="231"/>
    </row>
    <row r="846">
      <c r="A846" s="231"/>
      <c r="B846" s="231"/>
      <c r="C846" s="231"/>
      <c r="D846" s="231"/>
      <c r="E846" s="231"/>
      <c r="F846" s="231"/>
      <c r="G846" s="231"/>
    </row>
    <row r="847">
      <c r="A847" s="231"/>
      <c r="B847" s="231"/>
      <c r="C847" s="231"/>
      <c r="D847" s="231"/>
      <c r="E847" s="231"/>
      <c r="F847" s="231"/>
      <c r="G847" s="231"/>
    </row>
    <row r="848">
      <c r="A848" s="231"/>
      <c r="B848" s="231"/>
      <c r="C848" s="231"/>
      <c r="D848" s="231"/>
      <c r="E848" s="231"/>
      <c r="F848" s="231"/>
      <c r="G848" s="231"/>
    </row>
    <row r="849">
      <c r="A849" s="231"/>
      <c r="B849" s="231"/>
      <c r="C849" s="231"/>
      <c r="D849" s="231"/>
      <c r="E849" s="231"/>
      <c r="F849" s="231"/>
      <c r="G849" s="231"/>
    </row>
    <row r="850">
      <c r="A850" s="231"/>
      <c r="B850" s="231"/>
      <c r="C850" s="231"/>
      <c r="D850" s="231"/>
      <c r="E850" s="231"/>
      <c r="F850" s="231"/>
      <c r="G850" s="231"/>
    </row>
    <row r="851">
      <c r="A851" s="231"/>
      <c r="B851" s="231"/>
      <c r="C851" s="231"/>
      <c r="D851" s="231"/>
      <c r="E851" s="231"/>
      <c r="F851" s="231"/>
      <c r="G851" s="231"/>
    </row>
    <row r="852">
      <c r="A852" s="231"/>
      <c r="B852" s="231"/>
      <c r="C852" s="231"/>
      <c r="D852" s="231"/>
      <c r="E852" s="231"/>
      <c r="F852" s="231"/>
      <c r="G852" s="231"/>
    </row>
    <row r="853">
      <c r="A853" s="231"/>
      <c r="B853" s="231"/>
      <c r="C853" s="231"/>
      <c r="D853" s="231"/>
      <c r="E853" s="231"/>
      <c r="F853" s="231"/>
      <c r="G853" s="231"/>
    </row>
    <row r="854">
      <c r="A854" s="231"/>
      <c r="B854" s="231"/>
      <c r="C854" s="231"/>
      <c r="D854" s="231"/>
      <c r="E854" s="231"/>
      <c r="F854" s="231"/>
      <c r="G854" s="231"/>
    </row>
    <row r="855">
      <c r="A855" s="231"/>
      <c r="B855" s="231"/>
      <c r="C855" s="231"/>
      <c r="D855" s="231"/>
      <c r="E855" s="231"/>
      <c r="F855" s="231"/>
      <c r="G855" s="231"/>
    </row>
    <row r="856">
      <c r="A856" s="231"/>
      <c r="B856" s="231"/>
      <c r="C856" s="231"/>
      <c r="D856" s="231"/>
      <c r="E856" s="231"/>
      <c r="F856" s="231"/>
      <c r="G856" s="231"/>
    </row>
    <row r="857">
      <c r="A857" s="231"/>
      <c r="B857" s="231"/>
      <c r="C857" s="231"/>
      <c r="D857" s="231"/>
      <c r="E857" s="231"/>
      <c r="F857" s="231"/>
      <c r="G857" s="231"/>
    </row>
    <row r="858">
      <c r="A858" s="231"/>
      <c r="B858" s="231"/>
      <c r="C858" s="231"/>
      <c r="D858" s="231"/>
      <c r="E858" s="231"/>
      <c r="F858" s="231"/>
      <c r="G858" s="231"/>
    </row>
    <row r="859">
      <c r="A859" s="231"/>
      <c r="B859" s="231"/>
      <c r="C859" s="231"/>
      <c r="D859" s="231"/>
      <c r="E859" s="231"/>
      <c r="F859" s="231"/>
      <c r="G859" s="231"/>
    </row>
    <row r="860">
      <c r="A860" s="231"/>
      <c r="B860" s="231"/>
      <c r="C860" s="231"/>
      <c r="D860" s="231"/>
      <c r="E860" s="231"/>
      <c r="F860" s="231"/>
      <c r="G860" s="231"/>
    </row>
    <row r="861">
      <c r="A861" s="231"/>
      <c r="B861" s="231"/>
      <c r="C861" s="231"/>
      <c r="D861" s="231"/>
      <c r="E861" s="231"/>
      <c r="F861" s="231"/>
      <c r="G861" s="231"/>
    </row>
    <row r="862">
      <c r="A862" s="231"/>
      <c r="B862" s="231"/>
      <c r="C862" s="231"/>
      <c r="D862" s="231"/>
      <c r="E862" s="231"/>
      <c r="F862" s="231"/>
      <c r="G862" s="231"/>
    </row>
    <row r="863">
      <c r="A863" s="231"/>
      <c r="B863" s="231"/>
      <c r="C863" s="231"/>
      <c r="D863" s="231"/>
      <c r="E863" s="231"/>
      <c r="F863" s="231"/>
      <c r="G863" s="231"/>
    </row>
    <row r="864">
      <c r="A864" s="231"/>
      <c r="B864" s="231"/>
      <c r="C864" s="231"/>
      <c r="D864" s="231"/>
      <c r="E864" s="231"/>
      <c r="F864" s="231"/>
      <c r="G864" s="231"/>
    </row>
    <row r="865">
      <c r="A865" s="231"/>
      <c r="B865" s="231"/>
      <c r="C865" s="231"/>
      <c r="D865" s="231"/>
      <c r="E865" s="231"/>
      <c r="F865" s="231"/>
      <c r="G865" s="231"/>
    </row>
    <row r="866">
      <c r="A866" s="231"/>
      <c r="B866" s="231"/>
      <c r="C866" s="231"/>
      <c r="D866" s="231"/>
      <c r="E866" s="231"/>
      <c r="F866" s="231"/>
      <c r="G866" s="231"/>
    </row>
    <row r="867">
      <c r="A867" s="231"/>
      <c r="B867" s="231"/>
      <c r="C867" s="231"/>
      <c r="D867" s="231"/>
      <c r="E867" s="231"/>
      <c r="F867" s="231"/>
      <c r="G867" s="231"/>
    </row>
    <row r="868">
      <c r="A868" s="231"/>
      <c r="B868" s="231"/>
      <c r="C868" s="231"/>
      <c r="D868" s="231"/>
      <c r="E868" s="231"/>
      <c r="F868" s="231"/>
      <c r="G868" s="231"/>
    </row>
    <row r="869">
      <c r="A869" s="231"/>
      <c r="B869" s="231"/>
      <c r="C869" s="231"/>
      <c r="D869" s="231"/>
      <c r="E869" s="231"/>
      <c r="F869" s="231"/>
      <c r="G869" s="231"/>
    </row>
    <row r="870">
      <c r="A870" s="231"/>
      <c r="B870" s="231"/>
      <c r="C870" s="231"/>
      <c r="D870" s="231"/>
      <c r="E870" s="231"/>
      <c r="F870" s="231"/>
      <c r="G870" s="231"/>
    </row>
    <row r="871">
      <c r="A871" s="231"/>
      <c r="B871" s="231"/>
      <c r="C871" s="231"/>
      <c r="D871" s="231"/>
      <c r="E871" s="231"/>
      <c r="F871" s="231"/>
      <c r="G871" s="231"/>
    </row>
    <row r="872">
      <c r="A872" s="231"/>
      <c r="B872" s="231"/>
      <c r="C872" s="231"/>
      <c r="D872" s="231"/>
      <c r="E872" s="231"/>
      <c r="F872" s="231"/>
      <c r="G872" s="231"/>
    </row>
    <row r="873">
      <c r="A873" s="231"/>
      <c r="B873" s="231"/>
      <c r="C873" s="231"/>
      <c r="D873" s="231"/>
      <c r="E873" s="231"/>
      <c r="F873" s="231"/>
      <c r="G873" s="231"/>
    </row>
    <row r="874">
      <c r="A874" s="231"/>
      <c r="B874" s="231"/>
      <c r="C874" s="231"/>
      <c r="D874" s="231"/>
      <c r="E874" s="231"/>
      <c r="F874" s="231"/>
      <c r="G874" s="231"/>
    </row>
    <row r="875">
      <c r="A875" s="231"/>
      <c r="B875" s="231"/>
      <c r="C875" s="231"/>
      <c r="D875" s="231"/>
      <c r="E875" s="231"/>
      <c r="F875" s="231"/>
      <c r="G875" s="231"/>
    </row>
    <row r="876">
      <c r="A876" s="231"/>
      <c r="B876" s="231"/>
      <c r="C876" s="231"/>
      <c r="D876" s="231"/>
      <c r="E876" s="231"/>
      <c r="F876" s="231"/>
      <c r="G876" s="231"/>
    </row>
    <row r="877">
      <c r="A877" s="231"/>
      <c r="B877" s="231"/>
      <c r="C877" s="231"/>
      <c r="D877" s="231"/>
      <c r="E877" s="231"/>
      <c r="F877" s="231"/>
      <c r="G877" s="231"/>
    </row>
    <row r="878">
      <c r="A878" s="231"/>
      <c r="B878" s="231"/>
      <c r="C878" s="231"/>
      <c r="D878" s="231"/>
      <c r="E878" s="231"/>
      <c r="F878" s="231"/>
      <c r="G878" s="231"/>
    </row>
    <row r="879">
      <c r="A879" s="231"/>
      <c r="B879" s="231"/>
      <c r="C879" s="231"/>
      <c r="D879" s="231"/>
      <c r="E879" s="231"/>
      <c r="F879" s="231"/>
      <c r="G879" s="231"/>
    </row>
    <row r="880">
      <c r="A880" s="231"/>
      <c r="B880" s="231"/>
      <c r="C880" s="231"/>
      <c r="D880" s="231"/>
      <c r="E880" s="231"/>
      <c r="F880" s="231"/>
      <c r="G880" s="231"/>
    </row>
    <row r="881">
      <c r="A881" s="231"/>
      <c r="B881" s="231"/>
      <c r="C881" s="231"/>
      <c r="D881" s="231"/>
      <c r="E881" s="231"/>
      <c r="F881" s="231"/>
      <c r="G881" s="231"/>
    </row>
    <row r="882">
      <c r="A882" s="231"/>
      <c r="B882" s="231"/>
      <c r="C882" s="231"/>
      <c r="D882" s="231"/>
      <c r="E882" s="231"/>
      <c r="F882" s="231"/>
      <c r="G882" s="231"/>
    </row>
    <row r="883">
      <c r="A883" s="231"/>
      <c r="B883" s="231"/>
      <c r="C883" s="231"/>
      <c r="D883" s="231"/>
      <c r="E883" s="231"/>
      <c r="F883" s="231"/>
      <c r="G883" s="231"/>
    </row>
    <row r="884">
      <c r="A884" s="231"/>
      <c r="B884" s="231"/>
      <c r="C884" s="231"/>
      <c r="D884" s="231"/>
      <c r="E884" s="231"/>
      <c r="F884" s="231"/>
      <c r="G884" s="231"/>
    </row>
    <row r="885">
      <c r="A885" s="231"/>
      <c r="B885" s="231"/>
      <c r="C885" s="231"/>
      <c r="D885" s="231"/>
      <c r="E885" s="231"/>
      <c r="F885" s="231"/>
      <c r="G885" s="231"/>
    </row>
    <row r="886">
      <c r="A886" s="231"/>
      <c r="B886" s="231"/>
      <c r="C886" s="231"/>
      <c r="D886" s="231"/>
      <c r="E886" s="231"/>
      <c r="F886" s="231"/>
      <c r="G886" s="231"/>
    </row>
    <row r="887">
      <c r="A887" s="231"/>
      <c r="B887" s="231"/>
      <c r="C887" s="231"/>
      <c r="D887" s="231"/>
      <c r="E887" s="231"/>
      <c r="F887" s="231"/>
      <c r="G887" s="231"/>
    </row>
    <row r="888">
      <c r="A888" s="231"/>
      <c r="B888" s="231"/>
      <c r="C888" s="231"/>
      <c r="D888" s="231"/>
      <c r="E888" s="231"/>
      <c r="F888" s="231"/>
      <c r="G888" s="231"/>
    </row>
    <row r="889">
      <c r="A889" s="231"/>
      <c r="B889" s="231"/>
      <c r="C889" s="231"/>
      <c r="D889" s="231"/>
      <c r="E889" s="231"/>
      <c r="F889" s="231"/>
      <c r="G889" s="231"/>
    </row>
    <row r="890">
      <c r="A890" s="231"/>
      <c r="B890" s="231"/>
      <c r="C890" s="231"/>
      <c r="D890" s="231"/>
      <c r="E890" s="231"/>
      <c r="F890" s="231"/>
      <c r="G890" s="231"/>
    </row>
    <row r="891">
      <c r="A891" s="231"/>
      <c r="B891" s="231"/>
      <c r="C891" s="231"/>
      <c r="D891" s="231"/>
      <c r="E891" s="231"/>
      <c r="F891" s="231"/>
      <c r="G891" s="231"/>
    </row>
    <row r="892">
      <c r="A892" s="231"/>
      <c r="B892" s="231"/>
      <c r="C892" s="231"/>
      <c r="D892" s="231"/>
      <c r="E892" s="231"/>
      <c r="F892" s="231"/>
      <c r="G892" s="231"/>
    </row>
    <row r="893">
      <c r="A893" s="231"/>
      <c r="B893" s="231"/>
      <c r="C893" s="231"/>
      <c r="D893" s="231"/>
      <c r="E893" s="231"/>
      <c r="F893" s="231"/>
      <c r="G893" s="231"/>
    </row>
    <row r="894">
      <c r="A894" s="231"/>
      <c r="B894" s="231"/>
      <c r="C894" s="231"/>
      <c r="D894" s="231"/>
      <c r="E894" s="231"/>
      <c r="F894" s="231"/>
      <c r="G894" s="231"/>
    </row>
    <row r="895">
      <c r="A895" s="231"/>
      <c r="B895" s="231"/>
      <c r="C895" s="231"/>
      <c r="D895" s="231"/>
      <c r="E895" s="231"/>
      <c r="F895" s="231"/>
      <c r="G895" s="231"/>
    </row>
    <row r="896">
      <c r="A896" s="231"/>
      <c r="B896" s="231"/>
      <c r="C896" s="231"/>
      <c r="D896" s="231"/>
      <c r="E896" s="231"/>
      <c r="F896" s="231"/>
      <c r="G896" s="231"/>
    </row>
    <row r="897">
      <c r="A897" s="231"/>
      <c r="B897" s="231"/>
      <c r="C897" s="231"/>
      <c r="D897" s="231"/>
      <c r="E897" s="231"/>
      <c r="F897" s="231"/>
      <c r="G897" s="231"/>
    </row>
    <row r="898">
      <c r="A898" s="231"/>
      <c r="B898" s="231"/>
      <c r="C898" s="231"/>
      <c r="D898" s="231"/>
      <c r="E898" s="231"/>
      <c r="F898" s="231"/>
      <c r="G898" s="231"/>
    </row>
    <row r="899">
      <c r="A899" s="231"/>
      <c r="B899" s="231"/>
      <c r="C899" s="231"/>
      <c r="D899" s="231"/>
      <c r="E899" s="231"/>
      <c r="F899" s="231"/>
      <c r="G899" s="231"/>
    </row>
    <row r="900">
      <c r="A900" s="231"/>
      <c r="B900" s="231"/>
      <c r="C900" s="231"/>
      <c r="D900" s="231"/>
      <c r="E900" s="231"/>
      <c r="F900" s="231"/>
      <c r="G900" s="231"/>
    </row>
    <row r="901">
      <c r="A901" s="231"/>
      <c r="B901" s="231"/>
      <c r="C901" s="231"/>
      <c r="D901" s="231"/>
      <c r="E901" s="231"/>
      <c r="F901" s="231"/>
      <c r="G901" s="231"/>
    </row>
    <row r="902">
      <c r="A902" s="231"/>
      <c r="B902" s="231"/>
      <c r="C902" s="231"/>
      <c r="D902" s="231"/>
      <c r="E902" s="231"/>
      <c r="F902" s="231"/>
      <c r="G902" s="231"/>
    </row>
    <row r="903">
      <c r="A903" s="231"/>
      <c r="B903" s="231"/>
      <c r="C903" s="231"/>
      <c r="D903" s="231"/>
      <c r="E903" s="231"/>
      <c r="F903" s="231"/>
      <c r="G903" s="231"/>
    </row>
    <row r="904">
      <c r="A904" s="231"/>
      <c r="B904" s="231"/>
      <c r="C904" s="231"/>
      <c r="D904" s="231"/>
      <c r="E904" s="231"/>
      <c r="F904" s="231"/>
      <c r="G904" s="231"/>
    </row>
    <row r="905">
      <c r="A905" s="231"/>
      <c r="B905" s="231"/>
      <c r="C905" s="231"/>
      <c r="D905" s="231"/>
      <c r="E905" s="231"/>
      <c r="F905" s="231"/>
      <c r="G905" s="231"/>
    </row>
    <row r="906">
      <c r="A906" s="231"/>
      <c r="B906" s="231"/>
      <c r="C906" s="231"/>
      <c r="D906" s="231"/>
      <c r="E906" s="231"/>
      <c r="F906" s="231"/>
      <c r="G906" s="231"/>
    </row>
    <row r="907">
      <c r="A907" s="231"/>
      <c r="B907" s="231"/>
      <c r="C907" s="231"/>
      <c r="D907" s="231"/>
      <c r="E907" s="231"/>
      <c r="F907" s="231"/>
      <c r="G907" s="231"/>
    </row>
    <row r="908">
      <c r="A908" s="231"/>
      <c r="B908" s="231"/>
      <c r="C908" s="231"/>
      <c r="D908" s="231"/>
      <c r="E908" s="231"/>
      <c r="F908" s="231"/>
      <c r="G908" s="231"/>
    </row>
    <row r="909">
      <c r="A909" s="231"/>
      <c r="B909" s="231"/>
      <c r="C909" s="231"/>
      <c r="D909" s="231"/>
      <c r="E909" s="231"/>
      <c r="F909" s="231"/>
      <c r="G909" s="231"/>
    </row>
    <row r="910">
      <c r="A910" s="231"/>
      <c r="B910" s="231"/>
      <c r="C910" s="231"/>
      <c r="D910" s="231"/>
      <c r="E910" s="231"/>
      <c r="F910" s="231"/>
      <c r="G910" s="231"/>
    </row>
    <row r="911">
      <c r="A911" s="231"/>
      <c r="B911" s="231"/>
      <c r="C911" s="231"/>
      <c r="D911" s="231"/>
      <c r="E911" s="231"/>
      <c r="F911" s="231"/>
      <c r="G911" s="231"/>
    </row>
    <row r="912">
      <c r="A912" s="231"/>
      <c r="B912" s="231"/>
      <c r="C912" s="231"/>
      <c r="D912" s="231"/>
      <c r="E912" s="231"/>
      <c r="F912" s="231"/>
      <c r="G912" s="231"/>
    </row>
    <row r="913">
      <c r="A913" s="231"/>
      <c r="B913" s="231"/>
      <c r="C913" s="231"/>
      <c r="D913" s="231"/>
      <c r="E913" s="231"/>
      <c r="F913" s="231"/>
      <c r="G913" s="231"/>
    </row>
    <row r="914">
      <c r="A914" s="231"/>
      <c r="B914" s="231"/>
      <c r="C914" s="231"/>
      <c r="D914" s="231"/>
      <c r="E914" s="231"/>
      <c r="F914" s="231"/>
      <c r="G914" s="231"/>
    </row>
    <row r="915">
      <c r="A915" s="231"/>
      <c r="B915" s="231"/>
      <c r="C915" s="231"/>
      <c r="D915" s="231"/>
      <c r="E915" s="231"/>
      <c r="F915" s="231"/>
      <c r="G915" s="231"/>
    </row>
    <row r="916">
      <c r="A916" s="231"/>
      <c r="B916" s="231"/>
      <c r="C916" s="231"/>
      <c r="D916" s="231"/>
      <c r="E916" s="231"/>
      <c r="F916" s="231"/>
      <c r="G916" s="231"/>
    </row>
    <row r="917">
      <c r="A917" s="231"/>
      <c r="B917" s="231"/>
      <c r="C917" s="231"/>
      <c r="D917" s="231"/>
      <c r="E917" s="231"/>
      <c r="F917" s="231"/>
      <c r="G917" s="231"/>
    </row>
    <row r="918">
      <c r="A918" s="231"/>
      <c r="B918" s="231"/>
      <c r="C918" s="231"/>
      <c r="D918" s="231"/>
      <c r="E918" s="231"/>
      <c r="F918" s="231"/>
      <c r="G918" s="231"/>
    </row>
    <row r="919">
      <c r="A919" s="231"/>
      <c r="B919" s="231"/>
      <c r="C919" s="231"/>
      <c r="D919" s="231"/>
      <c r="E919" s="231"/>
      <c r="F919" s="231"/>
      <c r="G919" s="231"/>
    </row>
    <row r="920">
      <c r="A920" s="231"/>
      <c r="B920" s="231"/>
      <c r="C920" s="231"/>
      <c r="D920" s="231"/>
      <c r="E920" s="231"/>
      <c r="F920" s="231"/>
      <c r="G920" s="231"/>
    </row>
    <row r="921">
      <c r="A921" s="231"/>
      <c r="B921" s="231"/>
      <c r="C921" s="231"/>
      <c r="D921" s="231"/>
      <c r="E921" s="231"/>
      <c r="F921" s="231"/>
      <c r="G921" s="231"/>
    </row>
    <row r="922">
      <c r="A922" s="231"/>
      <c r="B922" s="231"/>
      <c r="C922" s="231"/>
      <c r="D922" s="231"/>
      <c r="E922" s="231"/>
      <c r="F922" s="231"/>
      <c r="G922" s="231"/>
    </row>
    <row r="923">
      <c r="A923" s="231"/>
      <c r="B923" s="231"/>
      <c r="C923" s="231"/>
      <c r="D923" s="231"/>
      <c r="E923" s="231"/>
      <c r="F923" s="231"/>
      <c r="G923" s="231"/>
    </row>
    <row r="924">
      <c r="A924" s="231"/>
      <c r="B924" s="231"/>
      <c r="C924" s="231"/>
      <c r="D924" s="231"/>
      <c r="E924" s="231"/>
      <c r="F924" s="231"/>
      <c r="G924" s="231"/>
    </row>
    <row r="925">
      <c r="A925" s="231"/>
      <c r="B925" s="231"/>
      <c r="C925" s="231"/>
      <c r="D925" s="231"/>
      <c r="E925" s="231"/>
      <c r="F925" s="231"/>
      <c r="G925" s="231"/>
    </row>
    <row r="926">
      <c r="A926" s="231"/>
      <c r="B926" s="231"/>
      <c r="C926" s="231"/>
      <c r="D926" s="231"/>
      <c r="E926" s="231"/>
      <c r="F926" s="231"/>
      <c r="G926" s="231"/>
    </row>
    <row r="927">
      <c r="A927" s="231"/>
      <c r="B927" s="231"/>
      <c r="C927" s="231"/>
      <c r="D927" s="231"/>
      <c r="E927" s="231"/>
      <c r="F927" s="231"/>
      <c r="G927" s="231"/>
    </row>
    <row r="928">
      <c r="A928" s="231"/>
      <c r="B928" s="231"/>
      <c r="C928" s="231"/>
      <c r="D928" s="231"/>
      <c r="E928" s="231"/>
      <c r="F928" s="231"/>
      <c r="G928" s="231"/>
    </row>
    <row r="929">
      <c r="A929" s="231"/>
      <c r="B929" s="231"/>
      <c r="C929" s="231"/>
      <c r="D929" s="231"/>
      <c r="E929" s="231"/>
      <c r="F929" s="231"/>
      <c r="G929" s="231"/>
    </row>
    <row r="930">
      <c r="A930" s="231"/>
      <c r="B930" s="231"/>
      <c r="C930" s="231"/>
      <c r="D930" s="231"/>
      <c r="E930" s="231"/>
      <c r="F930" s="231"/>
      <c r="G930" s="231"/>
    </row>
    <row r="931">
      <c r="A931" s="231"/>
      <c r="B931" s="231"/>
      <c r="C931" s="231"/>
      <c r="D931" s="231"/>
      <c r="E931" s="231"/>
      <c r="F931" s="231"/>
      <c r="G931" s="231"/>
    </row>
    <row r="932">
      <c r="A932" s="231"/>
      <c r="B932" s="231"/>
      <c r="C932" s="231"/>
      <c r="D932" s="231"/>
      <c r="E932" s="231"/>
      <c r="F932" s="231"/>
      <c r="G932" s="231"/>
    </row>
    <row r="933">
      <c r="A933" s="231"/>
      <c r="B933" s="231"/>
      <c r="C933" s="231"/>
      <c r="D933" s="231"/>
      <c r="E933" s="231"/>
      <c r="F933" s="231"/>
      <c r="G933" s="231"/>
    </row>
    <row r="934">
      <c r="A934" s="231"/>
      <c r="B934" s="231"/>
      <c r="C934" s="231"/>
      <c r="D934" s="231"/>
      <c r="E934" s="231"/>
      <c r="F934" s="231"/>
      <c r="G934" s="231"/>
    </row>
    <row r="935">
      <c r="A935" s="231"/>
      <c r="B935" s="231"/>
      <c r="C935" s="231"/>
      <c r="D935" s="231"/>
      <c r="E935" s="231"/>
      <c r="F935" s="231"/>
      <c r="G935" s="231"/>
    </row>
    <row r="936">
      <c r="A936" s="231"/>
      <c r="B936" s="231"/>
      <c r="C936" s="231"/>
      <c r="D936" s="231"/>
      <c r="E936" s="231"/>
      <c r="F936" s="231"/>
      <c r="G936" s="231"/>
    </row>
    <row r="937">
      <c r="A937" s="231"/>
      <c r="B937" s="231"/>
      <c r="C937" s="231"/>
      <c r="D937" s="231"/>
      <c r="E937" s="231"/>
      <c r="F937" s="231"/>
      <c r="G937" s="231"/>
    </row>
    <row r="938">
      <c r="A938" s="231"/>
      <c r="B938" s="231"/>
      <c r="C938" s="231"/>
      <c r="D938" s="231"/>
      <c r="E938" s="231"/>
      <c r="F938" s="231"/>
      <c r="G938" s="231"/>
    </row>
    <row r="939">
      <c r="A939" s="231"/>
      <c r="B939" s="231"/>
      <c r="C939" s="231"/>
      <c r="D939" s="231"/>
      <c r="E939" s="231"/>
      <c r="F939" s="231"/>
      <c r="G939" s="231"/>
    </row>
    <row r="940">
      <c r="A940" s="231"/>
      <c r="B940" s="231"/>
      <c r="C940" s="231"/>
      <c r="D940" s="231"/>
      <c r="E940" s="231"/>
      <c r="F940" s="231"/>
      <c r="G940" s="231"/>
    </row>
    <row r="941">
      <c r="A941" s="231"/>
      <c r="B941" s="231"/>
      <c r="C941" s="231"/>
      <c r="D941" s="231"/>
      <c r="E941" s="231"/>
      <c r="F941" s="231"/>
      <c r="G941" s="231"/>
    </row>
    <row r="942">
      <c r="A942" s="231"/>
      <c r="B942" s="231"/>
      <c r="C942" s="231"/>
      <c r="D942" s="231"/>
      <c r="E942" s="231"/>
      <c r="F942" s="231"/>
      <c r="G942" s="231"/>
    </row>
    <row r="943">
      <c r="A943" s="231"/>
      <c r="B943" s="231"/>
      <c r="C943" s="231"/>
      <c r="D943" s="231"/>
      <c r="E943" s="231"/>
      <c r="F943" s="231"/>
      <c r="G943" s="231"/>
    </row>
    <row r="944">
      <c r="A944" s="231"/>
      <c r="B944" s="231"/>
      <c r="C944" s="231"/>
      <c r="D944" s="231"/>
      <c r="E944" s="231"/>
      <c r="F944" s="231"/>
      <c r="G944" s="231"/>
    </row>
    <row r="945">
      <c r="A945" s="231"/>
      <c r="B945" s="231"/>
      <c r="C945" s="231"/>
      <c r="D945" s="231"/>
      <c r="E945" s="231"/>
      <c r="F945" s="231"/>
      <c r="G945" s="231"/>
    </row>
    <row r="946">
      <c r="A946" s="231"/>
      <c r="B946" s="231"/>
      <c r="C946" s="231"/>
      <c r="D946" s="231"/>
      <c r="E946" s="231"/>
      <c r="F946" s="231"/>
      <c r="G946" s="231"/>
    </row>
    <row r="947">
      <c r="A947" s="231"/>
      <c r="B947" s="231"/>
      <c r="C947" s="231"/>
      <c r="D947" s="231"/>
      <c r="E947" s="231"/>
      <c r="F947" s="231"/>
      <c r="G947" s="231"/>
    </row>
    <row r="948">
      <c r="A948" s="231"/>
      <c r="B948" s="231"/>
      <c r="C948" s="231"/>
      <c r="D948" s="231"/>
      <c r="E948" s="231"/>
      <c r="F948" s="231"/>
      <c r="G948" s="231"/>
    </row>
    <row r="949">
      <c r="A949" s="231"/>
      <c r="B949" s="231"/>
      <c r="C949" s="231"/>
      <c r="D949" s="231"/>
      <c r="E949" s="231"/>
      <c r="F949" s="231"/>
      <c r="G949" s="231"/>
    </row>
    <row r="950">
      <c r="A950" s="231"/>
      <c r="B950" s="231"/>
      <c r="C950" s="231"/>
      <c r="D950" s="231"/>
      <c r="E950" s="231"/>
      <c r="F950" s="231"/>
      <c r="G950" s="231"/>
    </row>
    <row r="951">
      <c r="A951" s="231"/>
      <c r="B951" s="231"/>
      <c r="C951" s="231"/>
      <c r="D951" s="231"/>
      <c r="E951" s="231"/>
      <c r="F951" s="231"/>
      <c r="G951" s="231"/>
    </row>
    <row r="952">
      <c r="A952" s="231"/>
      <c r="B952" s="231"/>
      <c r="C952" s="231"/>
      <c r="D952" s="231"/>
      <c r="E952" s="231"/>
      <c r="F952" s="231"/>
      <c r="G952" s="231"/>
    </row>
    <row r="953">
      <c r="A953" s="231"/>
      <c r="B953" s="231"/>
      <c r="C953" s="231"/>
      <c r="D953" s="231"/>
      <c r="E953" s="231"/>
      <c r="F953" s="231"/>
      <c r="G953" s="231"/>
    </row>
    <row r="954">
      <c r="A954" s="231"/>
      <c r="B954" s="231"/>
      <c r="C954" s="231"/>
      <c r="D954" s="231"/>
      <c r="E954" s="231"/>
      <c r="F954" s="231"/>
      <c r="G954" s="231"/>
    </row>
    <row r="955">
      <c r="A955" s="231"/>
      <c r="B955" s="231"/>
      <c r="C955" s="231"/>
      <c r="D955" s="231"/>
      <c r="E955" s="231"/>
      <c r="F955" s="231"/>
      <c r="G955" s="231"/>
    </row>
    <row r="956">
      <c r="A956" s="231"/>
      <c r="B956" s="231"/>
      <c r="C956" s="231"/>
      <c r="D956" s="231"/>
      <c r="E956" s="231"/>
      <c r="F956" s="231"/>
      <c r="G956" s="231"/>
    </row>
    <row r="957">
      <c r="A957" s="231"/>
      <c r="B957" s="231"/>
      <c r="C957" s="231"/>
      <c r="D957" s="231"/>
      <c r="E957" s="231"/>
      <c r="F957" s="231"/>
      <c r="G957" s="231"/>
    </row>
    <row r="958">
      <c r="A958" s="231"/>
      <c r="B958" s="231"/>
      <c r="C958" s="231"/>
      <c r="D958" s="231"/>
      <c r="E958" s="231"/>
      <c r="F958" s="231"/>
      <c r="G958" s="231"/>
    </row>
    <row r="959">
      <c r="A959" s="231"/>
      <c r="B959" s="231"/>
      <c r="C959" s="231"/>
      <c r="D959" s="231"/>
      <c r="E959" s="231"/>
      <c r="F959" s="231"/>
      <c r="G959" s="231"/>
    </row>
    <row r="960">
      <c r="A960" s="231"/>
      <c r="B960" s="231"/>
      <c r="C960" s="231"/>
      <c r="D960" s="231"/>
      <c r="E960" s="231"/>
      <c r="F960" s="231"/>
      <c r="G960" s="231"/>
    </row>
    <row r="961">
      <c r="A961" s="231"/>
      <c r="B961" s="231"/>
      <c r="C961" s="231"/>
      <c r="D961" s="231"/>
      <c r="E961" s="231"/>
      <c r="F961" s="231"/>
      <c r="G961" s="231"/>
    </row>
    <row r="962">
      <c r="A962" s="231"/>
      <c r="B962" s="231"/>
      <c r="C962" s="231"/>
      <c r="D962" s="231"/>
      <c r="E962" s="231"/>
      <c r="F962" s="231"/>
      <c r="G962" s="231"/>
    </row>
    <row r="963">
      <c r="A963" s="231"/>
      <c r="B963" s="231"/>
      <c r="C963" s="231"/>
      <c r="D963" s="231"/>
      <c r="E963" s="231"/>
      <c r="F963" s="231"/>
      <c r="G963" s="231"/>
    </row>
    <row r="964">
      <c r="A964" s="231"/>
      <c r="B964" s="231"/>
      <c r="C964" s="231"/>
      <c r="D964" s="231"/>
      <c r="E964" s="231"/>
      <c r="F964" s="231"/>
      <c r="G964" s="231"/>
    </row>
    <row r="965">
      <c r="A965" s="231"/>
      <c r="B965" s="231"/>
      <c r="C965" s="231"/>
      <c r="D965" s="231"/>
      <c r="E965" s="231"/>
      <c r="F965" s="231"/>
      <c r="G965" s="231"/>
    </row>
    <row r="966">
      <c r="A966" s="231"/>
      <c r="B966" s="231"/>
      <c r="C966" s="231"/>
      <c r="D966" s="231"/>
      <c r="E966" s="231"/>
      <c r="F966" s="231"/>
      <c r="G966" s="231"/>
    </row>
    <row r="967">
      <c r="A967" s="231"/>
      <c r="B967" s="231"/>
      <c r="C967" s="231"/>
      <c r="D967" s="231"/>
      <c r="E967" s="231"/>
      <c r="F967" s="231"/>
      <c r="G967" s="231"/>
    </row>
    <row r="968">
      <c r="A968" s="231"/>
      <c r="B968" s="231"/>
      <c r="C968" s="231"/>
      <c r="D968" s="231"/>
      <c r="E968" s="231"/>
      <c r="F968" s="231"/>
      <c r="G968" s="231"/>
    </row>
    <row r="969">
      <c r="A969" s="231"/>
      <c r="B969" s="231"/>
      <c r="C969" s="231"/>
      <c r="D969" s="231"/>
      <c r="E969" s="231"/>
      <c r="F969" s="231"/>
      <c r="G969" s="231"/>
    </row>
    <row r="970">
      <c r="A970" s="231"/>
      <c r="B970" s="231"/>
      <c r="C970" s="231"/>
      <c r="D970" s="231"/>
      <c r="E970" s="231"/>
      <c r="F970" s="231"/>
      <c r="G970" s="231"/>
    </row>
    <row r="971">
      <c r="A971" s="231"/>
      <c r="B971" s="231"/>
      <c r="C971" s="231"/>
      <c r="D971" s="231"/>
      <c r="E971" s="231"/>
      <c r="F971" s="231"/>
      <c r="G971" s="231"/>
    </row>
    <row r="972">
      <c r="A972" s="231"/>
      <c r="B972" s="231"/>
      <c r="C972" s="231"/>
      <c r="D972" s="231"/>
      <c r="E972" s="231"/>
      <c r="F972" s="231"/>
      <c r="G972" s="231"/>
    </row>
    <row r="973">
      <c r="A973" s="231"/>
      <c r="B973" s="231"/>
      <c r="C973" s="231"/>
      <c r="D973" s="231"/>
      <c r="E973" s="231"/>
      <c r="F973" s="231"/>
      <c r="G973" s="231"/>
    </row>
    <row r="974">
      <c r="A974" s="231"/>
      <c r="B974" s="231"/>
      <c r="C974" s="231"/>
      <c r="D974" s="231"/>
      <c r="E974" s="231"/>
      <c r="F974" s="231"/>
      <c r="G974" s="231"/>
    </row>
    <row r="975">
      <c r="A975" s="231"/>
      <c r="B975" s="231"/>
      <c r="C975" s="231"/>
      <c r="D975" s="231"/>
      <c r="E975" s="231"/>
      <c r="F975" s="231"/>
      <c r="G975" s="231"/>
    </row>
    <row r="976">
      <c r="A976" s="231"/>
      <c r="B976" s="231"/>
      <c r="C976" s="231"/>
      <c r="D976" s="231"/>
      <c r="E976" s="231"/>
      <c r="F976" s="231"/>
      <c r="G976" s="231"/>
    </row>
    <row r="977">
      <c r="A977" s="231"/>
      <c r="B977" s="231"/>
      <c r="C977" s="231"/>
      <c r="D977" s="231"/>
      <c r="E977" s="231"/>
      <c r="F977" s="231"/>
      <c r="G977" s="231"/>
    </row>
    <row r="978">
      <c r="A978" s="231"/>
      <c r="B978" s="231"/>
      <c r="C978" s="231"/>
      <c r="D978" s="231"/>
      <c r="E978" s="231"/>
      <c r="F978" s="231"/>
      <c r="G978" s="231"/>
    </row>
    <row r="979">
      <c r="A979" s="231"/>
      <c r="B979" s="231"/>
      <c r="C979" s="231"/>
      <c r="D979" s="231"/>
      <c r="E979" s="231"/>
      <c r="F979" s="231"/>
      <c r="G979" s="231"/>
    </row>
    <row r="980">
      <c r="A980" s="231"/>
      <c r="B980" s="231"/>
      <c r="C980" s="231"/>
      <c r="D980" s="231"/>
      <c r="E980" s="231"/>
      <c r="F980" s="231"/>
      <c r="G980" s="231"/>
    </row>
    <row r="981">
      <c r="A981" s="231"/>
      <c r="B981" s="231"/>
      <c r="C981" s="231"/>
      <c r="D981" s="231"/>
      <c r="E981" s="231"/>
      <c r="F981" s="231"/>
      <c r="G981" s="231"/>
    </row>
    <row r="982">
      <c r="A982" s="231"/>
      <c r="B982" s="231"/>
      <c r="C982" s="231"/>
      <c r="D982" s="231"/>
      <c r="E982" s="231"/>
      <c r="F982" s="231"/>
      <c r="G982" s="231"/>
    </row>
    <row r="983">
      <c r="A983" s="231"/>
      <c r="B983" s="231"/>
      <c r="C983" s="231"/>
      <c r="D983" s="231"/>
      <c r="E983" s="231"/>
      <c r="F983" s="231"/>
      <c r="G983" s="231"/>
    </row>
    <row r="984">
      <c r="A984" s="231"/>
      <c r="B984" s="231"/>
      <c r="C984" s="231"/>
      <c r="D984" s="231"/>
      <c r="E984" s="231"/>
      <c r="F984" s="231"/>
      <c r="G984" s="231"/>
    </row>
    <row r="985">
      <c r="A985" s="231"/>
      <c r="B985" s="231"/>
      <c r="C985" s="231"/>
      <c r="D985" s="231"/>
      <c r="E985" s="231"/>
      <c r="F985" s="231"/>
      <c r="G985" s="231"/>
    </row>
    <row r="986">
      <c r="A986" s="231"/>
      <c r="B986" s="231"/>
      <c r="C986" s="231"/>
      <c r="D986" s="231"/>
      <c r="E986" s="231"/>
      <c r="F986" s="231"/>
      <c r="G986" s="231"/>
    </row>
    <row r="987">
      <c r="A987" s="231"/>
      <c r="B987" s="231"/>
      <c r="C987" s="231"/>
      <c r="D987" s="231"/>
      <c r="E987" s="231"/>
      <c r="F987" s="231"/>
      <c r="G987" s="231"/>
    </row>
    <row r="988">
      <c r="A988" s="231"/>
      <c r="B988" s="231"/>
      <c r="C988" s="231"/>
      <c r="D988" s="231"/>
      <c r="E988" s="231"/>
      <c r="F988" s="231"/>
      <c r="G988" s="231"/>
    </row>
    <row r="989">
      <c r="A989" s="231"/>
      <c r="B989" s="231"/>
      <c r="C989" s="231"/>
      <c r="D989" s="231"/>
      <c r="E989" s="231"/>
      <c r="F989" s="231"/>
      <c r="G989" s="231"/>
    </row>
    <row r="990">
      <c r="A990" s="231"/>
      <c r="B990" s="231"/>
      <c r="C990" s="231"/>
      <c r="D990" s="231"/>
      <c r="E990" s="231"/>
      <c r="F990" s="231"/>
      <c r="G990" s="231"/>
    </row>
    <row r="991">
      <c r="A991" s="231"/>
      <c r="B991" s="231"/>
      <c r="C991" s="231"/>
      <c r="D991" s="231"/>
      <c r="E991" s="231"/>
      <c r="F991" s="231"/>
      <c r="G991" s="231"/>
    </row>
    <row r="992">
      <c r="A992" s="231"/>
      <c r="B992" s="231"/>
      <c r="C992" s="231"/>
      <c r="D992" s="231"/>
      <c r="E992" s="231"/>
      <c r="F992" s="231"/>
      <c r="G992" s="231"/>
    </row>
    <row r="993">
      <c r="A993" s="231"/>
      <c r="B993" s="231"/>
      <c r="C993" s="231"/>
      <c r="D993" s="231"/>
      <c r="E993" s="231"/>
      <c r="F993" s="231"/>
      <c r="G993" s="231"/>
    </row>
    <row r="994">
      <c r="A994" s="231"/>
      <c r="B994" s="231"/>
      <c r="C994" s="231"/>
      <c r="D994" s="231"/>
      <c r="E994" s="231"/>
      <c r="F994" s="231"/>
      <c r="G994" s="231"/>
    </row>
    <row r="995">
      <c r="A995" s="231"/>
      <c r="B995" s="231"/>
      <c r="C995" s="231"/>
      <c r="D995" s="231"/>
      <c r="E995" s="231"/>
      <c r="F995" s="231"/>
      <c r="G995" s="231"/>
    </row>
    <row r="996">
      <c r="A996" s="231"/>
      <c r="B996" s="231"/>
      <c r="C996" s="231"/>
      <c r="D996" s="231"/>
      <c r="E996" s="231"/>
      <c r="F996" s="231"/>
      <c r="G996" s="231"/>
    </row>
    <row r="997">
      <c r="A997" s="231"/>
      <c r="B997" s="231"/>
      <c r="C997" s="231"/>
      <c r="D997" s="231"/>
      <c r="E997" s="231"/>
      <c r="F997" s="231"/>
      <c r="G997" s="231"/>
    </row>
    <row r="998">
      <c r="A998" s="231"/>
      <c r="B998" s="231"/>
      <c r="C998" s="231"/>
      <c r="D998" s="231"/>
      <c r="E998" s="231"/>
      <c r="F998" s="231"/>
      <c r="G998" s="231"/>
    </row>
    <row r="999">
      <c r="A999" s="231"/>
      <c r="B999" s="231"/>
      <c r="C999" s="231"/>
      <c r="D999" s="231"/>
      <c r="E999" s="231"/>
      <c r="F999" s="231"/>
      <c r="G999" s="231"/>
    </row>
    <row r="1000">
      <c r="A1000" s="231"/>
      <c r="B1000" s="231"/>
      <c r="C1000" s="231"/>
      <c r="D1000" s="231"/>
      <c r="E1000" s="231"/>
      <c r="F1000" s="231"/>
      <c r="G1000" s="231"/>
    </row>
  </sheetData>
  <mergeCells count="21">
    <mergeCell ref="E7:E8"/>
    <mergeCell ref="F7:F8"/>
    <mergeCell ref="G7:G8"/>
    <mergeCell ref="H7:K7"/>
    <mergeCell ref="C2:F2"/>
    <mergeCell ref="B3:C3"/>
    <mergeCell ref="D3:E3"/>
    <mergeCell ref="B4:C4"/>
    <mergeCell ref="D4:E4"/>
    <mergeCell ref="A7:A8"/>
    <mergeCell ref="B7:B8"/>
    <mergeCell ref="B9:G9"/>
    <mergeCell ref="B124:G124"/>
    <mergeCell ref="B139:G139"/>
    <mergeCell ref="C7:C8"/>
    <mergeCell ref="D7:D8"/>
    <mergeCell ref="B28:G28"/>
    <mergeCell ref="B43:G43"/>
    <mergeCell ref="B54:G54"/>
    <mergeCell ref="B70:G70"/>
    <mergeCell ref="B96:G96"/>
  </mergeCells>
  <dataValidations>
    <dataValidation type="list" allowBlank="1" showErrorMessage="1" sqref="A10:A162">
      <formula1>"QC,AI"</formula1>
    </dataValidation>
    <dataValidation type="list" allowBlank="1" showErrorMessage="1" sqref="H9:H154">
      <formula1>"Pass,Fail,Block,N/A"</formula1>
    </dataValidation>
    <dataValidation type="list" allowBlank="1" showErrorMessage="1" sqref="C10:C27 C29:C42 C44:C53 C55:C69 C71:C95 C97:C117 C119:C123 C125:C130 C132:C138 C140:C154">
      <formula1>"High,Medium,Low"</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pageSetUpPr/>
  </sheetPr>
  <sheetViews>
    <sheetView showGridLines="0" workbookViewId="0"/>
  </sheetViews>
  <sheetFormatPr customHeight="1" defaultColWidth="12.63" defaultRowHeight="15.0" outlineLevelRow="1"/>
  <cols>
    <col customWidth="1" min="1" max="2" width="11.38"/>
    <col customWidth="1" min="3" max="3" width="13.38"/>
    <col customWidth="1" min="4" max="4" width="35.5"/>
    <col customWidth="1" min="5" max="5" width="17.63"/>
    <col customWidth="1" min="6" max="6" width="40.38"/>
    <col customWidth="1" min="7" max="7" width="53.38"/>
    <col customWidth="1" min="8" max="8" width="8.38"/>
    <col customWidth="1" min="9" max="9" width="12.25"/>
    <col customWidth="1" min="10" max="10" width="13.5"/>
    <col customWidth="1" min="11" max="11" width="14.88"/>
  </cols>
  <sheetData>
    <row r="1" outlineLevel="1">
      <c r="A1" s="232"/>
      <c r="B1" s="233"/>
      <c r="C1" s="234"/>
      <c r="D1" s="235"/>
      <c r="E1" s="235"/>
      <c r="F1" s="236"/>
      <c r="G1" s="237"/>
      <c r="H1" s="238"/>
      <c r="I1" s="239"/>
      <c r="J1" s="240"/>
      <c r="K1" s="241"/>
    </row>
    <row r="2" outlineLevel="1">
      <c r="A2" s="232"/>
      <c r="B2" s="242"/>
      <c r="C2" s="243"/>
      <c r="D2" s="182"/>
      <c r="E2" s="182"/>
      <c r="F2" s="182"/>
      <c r="G2" s="244"/>
      <c r="H2" s="238"/>
      <c r="I2" s="239"/>
      <c r="J2" s="240"/>
      <c r="K2" s="241"/>
    </row>
    <row r="3" outlineLevel="1">
      <c r="A3" s="245"/>
      <c r="B3" s="246" t="s">
        <v>122</v>
      </c>
      <c r="C3" s="122"/>
      <c r="D3" s="247" t="s">
        <v>118</v>
      </c>
      <c r="E3" s="122"/>
      <c r="F3" s="248"/>
      <c r="G3" s="249"/>
      <c r="H3" s="238"/>
      <c r="I3" s="239"/>
      <c r="J3" s="240"/>
      <c r="K3" s="248"/>
    </row>
    <row r="4" outlineLevel="1">
      <c r="A4" s="245"/>
      <c r="B4" s="246" t="s">
        <v>123</v>
      </c>
      <c r="C4" s="122"/>
      <c r="D4" s="250" t="s">
        <v>40</v>
      </c>
      <c r="E4" s="122"/>
      <c r="F4" s="248"/>
      <c r="G4" s="249"/>
      <c r="H4" s="238"/>
      <c r="I4" s="239"/>
      <c r="J4" s="240"/>
      <c r="K4" s="248"/>
    </row>
    <row r="5" outlineLevel="1">
      <c r="A5" s="232"/>
      <c r="B5" s="251"/>
      <c r="C5" s="251"/>
      <c r="D5" s="251"/>
      <c r="E5" s="251"/>
      <c r="F5" s="252"/>
      <c r="G5" s="253"/>
      <c r="H5" s="238"/>
      <c r="I5" s="239"/>
      <c r="J5" s="240"/>
      <c r="K5" s="241"/>
    </row>
    <row r="6" outlineLevel="1">
      <c r="A6" s="232"/>
      <c r="B6" s="254"/>
      <c r="C6" s="254"/>
      <c r="D6" s="254"/>
      <c r="E6" s="254"/>
      <c r="F6" s="255"/>
      <c r="G6" s="253"/>
      <c r="H6" s="238"/>
      <c r="I6" s="239"/>
      <c r="J6" s="240"/>
      <c r="K6" s="241"/>
    </row>
    <row r="7">
      <c r="A7" s="256" t="s">
        <v>125</v>
      </c>
      <c r="B7" s="256" t="s">
        <v>126</v>
      </c>
      <c r="C7" s="256" t="s">
        <v>127</v>
      </c>
      <c r="D7" s="256" t="s">
        <v>128</v>
      </c>
      <c r="E7" s="256" t="s">
        <v>129</v>
      </c>
      <c r="F7" s="256" t="s">
        <v>130</v>
      </c>
      <c r="G7" s="256" t="s">
        <v>131</v>
      </c>
      <c r="H7" s="257" t="str">
        <f>#REF!</f>
        <v>#REF!</v>
      </c>
      <c r="I7" s="148"/>
      <c r="J7" s="148"/>
      <c r="K7" s="171"/>
    </row>
    <row r="8">
      <c r="A8" s="56"/>
      <c r="B8" s="56"/>
      <c r="C8" s="56"/>
      <c r="D8" s="56"/>
      <c r="E8" s="56"/>
      <c r="F8" s="56"/>
      <c r="G8" s="56"/>
      <c r="H8" s="258" t="s">
        <v>132</v>
      </c>
      <c r="I8" s="258" t="s">
        <v>133</v>
      </c>
      <c r="J8" s="258" t="s">
        <v>134</v>
      </c>
      <c r="K8" s="258" t="s">
        <v>135</v>
      </c>
    </row>
    <row r="9">
      <c r="A9" s="259"/>
      <c r="B9" s="260" t="s">
        <v>583</v>
      </c>
      <c r="C9" s="148"/>
      <c r="D9" s="148"/>
      <c r="E9" s="148"/>
      <c r="F9" s="148"/>
      <c r="G9" s="171"/>
      <c r="H9" s="261"/>
      <c r="I9" s="262"/>
      <c r="J9" s="262"/>
      <c r="K9" s="262"/>
    </row>
    <row r="10" outlineLevel="1">
      <c r="A10" s="263"/>
      <c r="B10" s="158" t="str">
        <f t="shared" ref="B10:B30" si="1">IF(F10="","",$D$3&amp;"."&amp;COUNTA($F$9:F10)&amp;"")</f>
        <v>TC_05.1</v>
      </c>
      <c r="C10" s="264" t="s">
        <v>73</v>
      </c>
      <c r="D10" s="265" t="s">
        <v>584</v>
      </c>
      <c r="E10" s="265" t="s">
        <v>585</v>
      </c>
      <c r="F10" s="265" t="s">
        <v>586</v>
      </c>
      <c r="G10" s="265" t="s">
        <v>587</v>
      </c>
      <c r="H10" s="261"/>
      <c r="I10" s="262"/>
      <c r="J10" s="262"/>
      <c r="K10" s="262"/>
    </row>
    <row r="11" outlineLevel="1">
      <c r="A11" s="263"/>
      <c r="B11" s="158" t="str">
        <f t="shared" si="1"/>
        <v>TC_05.2</v>
      </c>
      <c r="C11" s="264" t="s">
        <v>73</v>
      </c>
      <c r="D11" s="265" t="s">
        <v>588</v>
      </c>
      <c r="E11" s="265" t="s">
        <v>589</v>
      </c>
      <c r="F11" s="265" t="s">
        <v>586</v>
      </c>
      <c r="G11" s="265" t="s">
        <v>590</v>
      </c>
      <c r="H11" s="261"/>
      <c r="I11" s="262"/>
      <c r="J11" s="262"/>
      <c r="K11" s="262"/>
    </row>
    <row r="12" outlineLevel="1">
      <c r="A12" s="263"/>
      <c r="B12" s="158" t="str">
        <f t="shared" si="1"/>
        <v>TC_05.3</v>
      </c>
      <c r="C12" s="264" t="s">
        <v>75</v>
      </c>
      <c r="D12" s="265" t="s">
        <v>591</v>
      </c>
      <c r="E12" s="265" t="s">
        <v>592</v>
      </c>
      <c r="F12" s="265" t="s">
        <v>593</v>
      </c>
      <c r="G12" s="265" t="s">
        <v>594</v>
      </c>
      <c r="H12" s="261"/>
      <c r="I12" s="262"/>
      <c r="J12" s="262"/>
      <c r="K12" s="262"/>
    </row>
    <row r="13" outlineLevel="1">
      <c r="A13" s="263"/>
      <c r="B13" s="158" t="str">
        <f t="shared" si="1"/>
        <v>TC_05.4</v>
      </c>
      <c r="C13" s="264" t="s">
        <v>73</v>
      </c>
      <c r="D13" s="265" t="s">
        <v>595</v>
      </c>
      <c r="E13" s="265" t="s">
        <v>596</v>
      </c>
      <c r="F13" s="265" t="s">
        <v>597</v>
      </c>
      <c r="G13" s="265" t="s">
        <v>598</v>
      </c>
      <c r="H13" s="261"/>
      <c r="I13" s="262"/>
      <c r="J13" s="262"/>
      <c r="K13" s="262"/>
    </row>
    <row r="14">
      <c r="A14" s="266"/>
      <c r="B14" s="267" t="str">
        <f t="shared" si="1"/>
        <v>TC_05.5</v>
      </c>
      <c r="C14" s="264" t="s">
        <v>73</v>
      </c>
      <c r="D14" s="265" t="s">
        <v>599</v>
      </c>
      <c r="E14" s="265" t="s">
        <v>600</v>
      </c>
      <c r="F14" s="265" t="s">
        <v>601</v>
      </c>
      <c r="G14" s="265" t="s">
        <v>602</v>
      </c>
      <c r="H14" s="261"/>
      <c r="I14" s="262"/>
      <c r="J14" s="262"/>
      <c r="K14" s="262"/>
    </row>
    <row r="15">
      <c r="A15" s="263"/>
      <c r="B15" s="158" t="str">
        <f t="shared" si="1"/>
        <v>TC_05.6</v>
      </c>
      <c r="C15" s="264" t="s">
        <v>73</v>
      </c>
      <c r="D15" s="265" t="s">
        <v>603</v>
      </c>
      <c r="E15" s="265" t="s">
        <v>604</v>
      </c>
      <c r="F15" s="265" t="s">
        <v>605</v>
      </c>
      <c r="G15" s="265" t="s">
        <v>606</v>
      </c>
      <c r="H15" s="261"/>
      <c r="I15" s="261"/>
      <c r="J15" s="262"/>
      <c r="K15" s="262"/>
    </row>
    <row r="16">
      <c r="A16" s="268" t="s">
        <v>381</v>
      </c>
      <c r="B16" s="269" t="str">
        <f t="shared" si="1"/>
        <v>TC_05.7</v>
      </c>
      <c r="C16" s="270" t="s">
        <v>75</v>
      </c>
      <c r="D16" s="271" t="s">
        <v>607</v>
      </c>
      <c r="E16" s="271" t="s">
        <v>608</v>
      </c>
      <c r="F16" s="271" t="s">
        <v>609</v>
      </c>
      <c r="G16" s="271" t="s">
        <v>610</v>
      </c>
      <c r="H16" s="261"/>
      <c r="I16" s="261"/>
      <c r="J16" s="262"/>
      <c r="K16" s="262"/>
    </row>
    <row r="17">
      <c r="A17" s="268" t="s">
        <v>381</v>
      </c>
      <c r="B17" s="269" t="str">
        <f t="shared" si="1"/>
        <v>TC_05.8</v>
      </c>
      <c r="C17" s="270" t="s">
        <v>75</v>
      </c>
      <c r="D17" s="271" t="s">
        <v>611</v>
      </c>
      <c r="E17" s="271" t="s">
        <v>612</v>
      </c>
      <c r="F17" s="271" t="s">
        <v>613</v>
      </c>
      <c r="G17" s="271" t="s">
        <v>614</v>
      </c>
      <c r="H17" s="261"/>
      <c r="I17" s="261"/>
      <c r="J17" s="262"/>
      <c r="K17" s="262"/>
    </row>
    <row r="18">
      <c r="A18" s="266"/>
      <c r="B18" s="267" t="str">
        <f t="shared" si="1"/>
        <v>TC_05.9</v>
      </c>
      <c r="C18" s="264" t="s">
        <v>77</v>
      </c>
      <c r="D18" s="265" t="s">
        <v>615</v>
      </c>
      <c r="E18" s="265" t="s">
        <v>596</v>
      </c>
      <c r="F18" s="265" t="s">
        <v>616</v>
      </c>
      <c r="G18" s="265" t="s">
        <v>617</v>
      </c>
      <c r="H18" s="261"/>
      <c r="I18" s="262"/>
      <c r="J18" s="262"/>
      <c r="K18" s="262"/>
    </row>
    <row r="19" outlineLevel="1">
      <c r="A19" s="263"/>
      <c r="B19" s="158" t="str">
        <f t="shared" si="1"/>
        <v>TC_05.10</v>
      </c>
      <c r="C19" s="264" t="s">
        <v>77</v>
      </c>
      <c r="D19" s="265" t="s">
        <v>618</v>
      </c>
      <c r="E19" s="265" t="s">
        <v>596</v>
      </c>
      <c r="F19" s="265" t="s">
        <v>619</v>
      </c>
      <c r="G19" s="265" t="s">
        <v>620</v>
      </c>
      <c r="H19" s="261"/>
      <c r="I19" s="261"/>
      <c r="J19" s="262"/>
      <c r="K19" s="262"/>
    </row>
    <row r="20" outlineLevel="1">
      <c r="A20" s="263"/>
      <c r="B20" s="158" t="str">
        <f t="shared" si="1"/>
        <v>TC_05.11</v>
      </c>
      <c r="C20" s="264" t="s">
        <v>73</v>
      </c>
      <c r="D20" s="265" t="s">
        <v>621</v>
      </c>
      <c r="E20" s="265" t="s">
        <v>622</v>
      </c>
      <c r="F20" s="265" t="s">
        <v>623</v>
      </c>
      <c r="G20" s="265" t="s">
        <v>624</v>
      </c>
      <c r="H20" s="261"/>
      <c r="I20" s="261"/>
      <c r="J20" s="262"/>
      <c r="K20" s="262"/>
    </row>
    <row r="21" outlineLevel="1">
      <c r="A21" s="263"/>
      <c r="B21" s="158" t="str">
        <f t="shared" si="1"/>
        <v>TC_05.12</v>
      </c>
      <c r="C21" s="264" t="s">
        <v>73</v>
      </c>
      <c r="D21" s="265" t="s">
        <v>625</v>
      </c>
      <c r="E21" s="265" t="s">
        <v>626</v>
      </c>
      <c r="F21" s="265" t="s">
        <v>627</v>
      </c>
      <c r="G21" s="265" t="s">
        <v>628</v>
      </c>
      <c r="H21" s="261"/>
      <c r="I21" s="261"/>
      <c r="J21" s="262"/>
      <c r="K21" s="262"/>
    </row>
    <row r="22" outlineLevel="1">
      <c r="A22" s="263"/>
      <c r="B22" s="158" t="str">
        <f t="shared" si="1"/>
        <v>TC_05.13</v>
      </c>
      <c r="C22" s="264" t="s">
        <v>73</v>
      </c>
      <c r="D22" s="265" t="s">
        <v>629</v>
      </c>
      <c r="E22" s="265" t="s">
        <v>630</v>
      </c>
      <c r="F22" s="265" t="s">
        <v>631</v>
      </c>
      <c r="G22" s="265" t="s">
        <v>632</v>
      </c>
      <c r="H22" s="261"/>
      <c r="I22" s="261"/>
      <c r="J22" s="262"/>
      <c r="K22" s="262"/>
    </row>
    <row r="23" outlineLevel="1">
      <c r="A23" s="263"/>
      <c r="B23" s="158" t="str">
        <f t="shared" si="1"/>
        <v>TC_05.14</v>
      </c>
      <c r="C23" s="264" t="s">
        <v>75</v>
      </c>
      <c r="D23" s="265" t="s">
        <v>633</v>
      </c>
      <c r="E23" s="265" t="s">
        <v>634</v>
      </c>
      <c r="F23" s="265" t="s">
        <v>635</v>
      </c>
      <c r="G23" s="265" t="s">
        <v>636</v>
      </c>
      <c r="H23" s="261"/>
      <c r="I23" s="261"/>
      <c r="J23" s="262"/>
      <c r="K23" s="262"/>
    </row>
    <row r="24">
      <c r="A24" s="266"/>
      <c r="B24" s="267" t="str">
        <f t="shared" si="1"/>
        <v>TC_05.15</v>
      </c>
      <c r="C24" s="264" t="s">
        <v>73</v>
      </c>
      <c r="D24" s="265" t="s">
        <v>637</v>
      </c>
      <c r="E24" s="265" t="s">
        <v>596</v>
      </c>
      <c r="F24" s="265" t="s">
        <v>638</v>
      </c>
      <c r="G24" s="265" t="s">
        <v>639</v>
      </c>
      <c r="H24" s="261"/>
      <c r="I24" s="261"/>
      <c r="J24" s="262"/>
      <c r="K24" s="262"/>
    </row>
    <row r="25" outlineLevel="1">
      <c r="A25" s="268" t="s">
        <v>381</v>
      </c>
      <c r="B25" s="269" t="str">
        <f t="shared" si="1"/>
        <v>TC_05.16</v>
      </c>
      <c r="C25" s="270" t="s">
        <v>75</v>
      </c>
      <c r="D25" s="271" t="s">
        <v>640</v>
      </c>
      <c r="E25" s="271" t="s">
        <v>596</v>
      </c>
      <c r="F25" s="271" t="s">
        <v>641</v>
      </c>
      <c r="G25" s="271" t="s">
        <v>642</v>
      </c>
      <c r="H25" s="261"/>
      <c r="I25" s="261"/>
      <c r="J25" s="262"/>
      <c r="K25" s="262"/>
    </row>
    <row r="26" outlineLevel="1">
      <c r="A26" s="263"/>
      <c r="B26" s="158" t="str">
        <f t="shared" si="1"/>
        <v>TC_05.17</v>
      </c>
      <c r="C26" s="264" t="s">
        <v>77</v>
      </c>
      <c r="D26" s="265" t="s">
        <v>643</v>
      </c>
      <c r="E26" s="265" t="s">
        <v>644</v>
      </c>
      <c r="F26" s="265" t="s">
        <v>645</v>
      </c>
      <c r="G26" s="265" t="s">
        <v>646</v>
      </c>
      <c r="H26" s="261"/>
      <c r="I26" s="261"/>
      <c r="J26" s="262"/>
      <c r="K26" s="262"/>
    </row>
    <row r="27" outlineLevel="1">
      <c r="A27" s="263"/>
      <c r="B27" s="158" t="str">
        <f t="shared" si="1"/>
        <v>TC_05.18</v>
      </c>
      <c r="C27" s="264" t="s">
        <v>75</v>
      </c>
      <c r="D27" s="265" t="s">
        <v>647</v>
      </c>
      <c r="E27" s="265" t="s">
        <v>596</v>
      </c>
      <c r="F27" s="265" t="s">
        <v>648</v>
      </c>
      <c r="G27" s="265" t="s">
        <v>649</v>
      </c>
      <c r="H27" s="261"/>
      <c r="I27" s="261"/>
      <c r="J27" s="262"/>
      <c r="K27" s="262"/>
    </row>
    <row r="28" outlineLevel="1">
      <c r="A28" s="263"/>
      <c r="B28" s="158" t="str">
        <f t="shared" si="1"/>
        <v>TC_05.19</v>
      </c>
      <c r="C28" s="272" t="s">
        <v>73</v>
      </c>
      <c r="D28" s="273" t="s">
        <v>650</v>
      </c>
      <c r="E28" s="273" t="s">
        <v>651</v>
      </c>
      <c r="F28" s="273" t="s">
        <v>652</v>
      </c>
      <c r="G28" s="273" t="s">
        <v>653</v>
      </c>
      <c r="H28" s="261"/>
      <c r="I28" s="261"/>
      <c r="J28" s="262"/>
      <c r="K28" s="262"/>
    </row>
    <row r="29" outlineLevel="1">
      <c r="A29" s="263"/>
      <c r="B29" s="158" t="str">
        <f t="shared" si="1"/>
        <v>TC_05.20</v>
      </c>
      <c r="C29" s="264" t="s">
        <v>73</v>
      </c>
      <c r="D29" s="265" t="s">
        <v>654</v>
      </c>
      <c r="E29" s="265" t="s">
        <v>655</v>
      </c>
      <c r="F29" s="265" t="s">
        <v>656</v>
      </c>
      <c r="G29" s="265" t="s">
        <v>657</v>
      </c>
      <c r="H29" s="261"/>
      <c r="I29" s="261"/>
      <c r="J29" s="262"/>
      <c r="K29" s="262"/>
    </row>
    <row r="30" outlineLevel="1">
      <c r="A30" s="263"/>
      <c r="B30" s="158" t="str">
        <f t="shared" si="1"/>
        <v>TC_05.21</v>
      </c>
      <c r="C30" s="264" t="s">
        <v>75</v>
      </c>
      <c r="D30" s="265" t="s">
        <v>658</v>
      </c>
      <c r="E30" s="265" t="s">
        <v>659</v>
      </c>
      <c r="F30" s="265" t="s">
        <v>660</v>
      </c>
      <c r="G30" s="265" t="s">
        <v>661</v>
      </c>
      <c r="H30" s="261"/>
      <c r="I30" s="261"/>
      <c r="J30" s="262"/>
      <c r="K30" s="262"/>
    </row>
    <row r="31" outlineLevel="1">
      <c r="A31" s="259"/>
      <c r="B31" s="274" t="s">
        <v>662</v>
      </c>
      <c r="C31" s="148"/>
      <c r="D31" s="148"/>
      <c r="E31" s="148"/>
      <c r="F31" s="148"/>
      <c r="G31" s="171"/>
      <c r="H31" s="261"/>
      <c r="I31" s="261"/>
      <c r="J31" s="262"/>
      <c r="K31" s="262"/>
    </row>
    <row r="32" outlineLevel="1">
      <c r="A32" s="263"/>
      <c r="B32" s="158" t="str">
        <f t="shared" ref="B32:B127" si="2">IF(F32="","",$D$3&amp;"."&amp;COUNTA($F$9:F32)&amp;"")</f>
        <v>TC_05.22</v>
      </c>
      <c r="C32" s="275" t="s">
        <v>73</v>
      </c>
      <c r="D32" s="276" t="s">
        <v>663</v>
      </c>
      <c r="E32" s="276" t="s">
        <v>664</v>
      </c>
      <c r="F32" s="276" t="s">
        <v>665</v>
      </c>
      <c r="G32" s="276" t="s">
        <v>666</v>
      </c>
      <c r="H32" s="261"/>
      <c r="I32" s="261"/>
      <c r="J32" s="262"/>
      <c r="K32" s="262"/>
    </row>
    <row r="33" outlineLevel="1">
      <c r="A33" s="277" t="s">
        <v>381</v>
      </c>
      <c r="B33" s="269" t="str">
        <f t="shared" si="2"/>
        <v>TC_05.23</v>
      </c>
      <c r="C33" s="278" t="s">
        <v>73</v>
      </c>
      <c r="D33" s="279" t="s">
        <v>667</v>
      </c>
      <c r="E33" s="279" t="s">
        <v>668</v>
      </c>
      <c r="F33" s="279" t="s">
        <v>669</v>
      </c>
      <c r="G33" s="279" t="s">
        <v>670</v>
      </c>
      <c r="H33" s="261"/>
      <c r="I33" s="261"/>
      <c r="J33" s="262"/>
      <c r="K33" s="262"/>
    </row>
    <row r="34" outlineLevel="1">
      <c r="A34" s="263"/>
      <c r="B34" s="158" t="str">
        <f t="shared" si="2"/>
        <v>TC_05.24</v>
      </c>
      <c r="C34" s="275" t="s">
        <v>73</v>
      </c>
      <c r="D34" s="276" t="s">
        <v>671</v>
      </c>
      <c r="E34" s="276" t="s">
        <v>672</v>
      </c>
      <c r="F34" s="276" t="s">
        <v>673</v>
      </c>
      <c r="G34" s="276" t="s">
        <v>674</v>
      </c>
      <c r="H34" s="261"/>
      <c r="I34" s="261"/>
      <c r="J34" s="262"/>
      <c r="K34" s="262"/>
    </row>
    <row r="35" outlineLevel="1">
      <c r="A35" s="263"/>
      <c r="B35" s="158" t="str">
        <f t="shared" si="2"/>
        <v>TC_05.25</v>
      </c>
      <c r="C35" s="280" t="s">
        <v>73</v>
      </c>
      <c r="D35" s="281" t="s">
        <v>675</v>
      </c>
      <c r="E35" s="281" t="s">
        <v>676</v>
      </c>
      <c r="F35" s="281" t="s">
        <v>677</v>
      </c>
      <c r="G35" s="281" t="s">
        <v>678</v>
      </c>
      <c r="H35" s="261"/>
      <c r="I35" s="261"/>
      <c r="J35" s="262"/>
      <c r="K35" s="262"/>
    </row>
    <row r="36">
      <c r="A36" s="266"/>
      <c r="B36" s="267" t="str">
        <f t="shared" si="2"/>
        <v>TC_05.26</v>
      </c>
      <c r="C36" s="275" t="s">
        <v>75</v>
      </c>
      <c r="D36" s="276" t="s">
        <v>679</v>
      </c>
      <c r="E36" s="276" t="s">
        <v>680</v>
      </c>
      <c r="F36" s="276" t="s">
        <v>681</v>
      </c>
      <c r="G36" s="276" t="s">
        <v>682</v>
      </c>
      <c r="H36" s="261"/>
      <c r="I36" s="262"/>
      <c r="J36" s="262"/>
      <c r="K36" s="262"/>
    </row>
    <row r="37" outlineLevel="1">
      <c r="A37" s="263"/>
      <c r="B37" s="158" t="str">
        <f t="shared" si="2"/>
        <v>TC_05.27</v>
      </c>
      <c r="C37" s="275" t="s">
        <v>73</v>
      </c>
      <c r="D37" s="276" t="s">
        <v>683</v>
      </c>
      <c r="E37" s="276" t="s">
        <v>684</v>
      </c>
      <c r="F37" s="276" t="s">
        <v>685</v>
      </c>
      <c r="G37" s="276" t="s">
        <v>686</v>
      </c>
      <c r="H37" s="261"/>
      <c r="I37" s="261"/>
      <c r="J37" s="262"/>
      <c r="K37" s="262"/>
    </row>
    <row r="38" outlineLevel="1">
      <c r="A38" s="263"/>
      <c r="B38" s="158" t="str">
        <f t="shared" si="2"/>
        <v>TC_05.28</v>
      </c>
      <c r="C38" s="275" t="s">
        <v>73</v>
      </c>
      <c r="D38" s="276" t="s">
        <v>687</v>
      </c>
      <c r="E38" s="276" t="s">
        <v>688</v>
      </c>
      <c r="F38" s="276" t="s">
        <v>689</v>
      </c>
      <c r="G38" s="276" t="s">
        <v>690</v>
      </c>
      <c r="H38" s="261"/>
      <c r="I38" s="261"/>
      <c r="J38" s="262"/>
      <c r="K38" s="262"/>
    </row>
    <row r="39" outlineLevel="1">
      <c r="A39" s="277" t="s">
        <v>381</v>
      </c>
      <c r="B39" s="269" t="str">
        <f t="shared" si="2"/>
        <v>TC_05.29</v>
      </c>
      <c r="C39" s="278" t="s">
        <v>75</v>
      </c>
      <c r="D39" s="279" t="s">
        <v>691</v>
      </c>
      <c r="E39" s="279" t="s">
        <v>692</v>
      </c>
      <c r="F39" s="279" t="s">
        <v>693</v>
      </c>
      <c r="G39" s="279" t="s">
        <v>694</v>
      </c>
      <c r="H39" s="261"/>
      <c r="I39" s="261"/>
      <c r="J39" s="262"/>
      <c r="K39" s="262"/>
    </row>
    <row r="40">
      <c r="A40" s="266"/>
      <c r="B40" s="267" t="str">
        <f t="shared" si="2"/>
        <v>TC_05.30</v>
      </c>
      <c r="C40" s="275" t="s">
        <v>73</v>
      </c>
      <c r="D40" s="276" t="s">
        <v>695</v>
      </c>
      <c r="E40" s="276" t="s">
        <v>696</v>
      </c>
      <c r="F40" s="276" t="s">
        <v>697</v>
      </c>
      <c r="G40" s="276" t="s">
        <v>698</v>
      </c>
      <c r="H40" s="261"/>
      <c r="I40" s="262"/>
      <c r="J40" s="262"/>
      <c r="K40" s="262"/>
    </row>
    <row r="41" outlineLevel="1">
      <c r="A41" s="263"/>
      <c r="B41" s="158" t="str">
        <f t="shared" si="2"/>
        <v>TC_05.31</v>
      </c>
      <c r="C41" s="280" t="s">
        <v>73</v>
      </c>
      <c r="D41" s="276" t="s">
        <v>699</v>
      </c>
      <c r="E41" s="281" t="s">
        <v>688</v>
      </c>
      <c r="F41" s="276" t="s">
        <v>700</v>
      </c>
      <c r="G41" s="276" t="s">
        <v>701</v>
      </c>
      <c r="H41" s="261"/>
      <c r="I41" s="261"/>
      <c r="J41" s="262"/>
      <c r="K41" s="262"/>
    </row>
    <row r="42" outlineLevel="1">
      <c r="A42" s="263"/>
      <c r="B42" s="158" t="str">
        <f t="shared" si="2"/>
        <v>TC_05.32</v>
      </c>
      <c r="C42" s="275" t="s">
        <v>73</v>
      </c>
      <c r="D42" s="276" t="s">
        <v>702</v>
      </c>
      <c r="E42" s="276" t="s">
        <v>703</v>
      </c>
      <c r="F42" s="276" t="s">
        <v>704</v>
      </c>
      <c r="G42" s="276" t="s">
        <v>705</v>
      </c>
      <c r="H42" s="261"/>
      <c r="I42" s="261"/>
      <c r="J42" s="262"/>
      <c r="K42" s="262"/>
    </row>
    <row r="43" outlineLevel="1">
      <c r="A43" s="263"/>
      <c r="B43" s="158" t="str">
        <f t="shared" si="2"/>
        <v>TC_05.33</v>
      </c>
      <c r="C43" s="280" t="s">
        <v>73</v>
      </c>
      <c r="D43" s="281" t="s">
        <v>706</v>
      </c>
      <c r="E43" s="281" t="s">
        <v>707</v>
      </c>
      <c r="F43" s="281" t="s">
        <v>708</v>
      </c>
      <c r="G43" s="281" t="s">
        <v>709</v>
      </c>
      <c r="H43" s="261"/>
      <c r="I43" s="261"/>
      <c r="J43" s="262"/>
      <c r="K43" s="262"/>
    </row>
    <row r="44" outlineLevel="1">
      <c r="A44" s="263"/>
      <c r="B44" s="158" t="str">
        <f t="shared" si="2"/>
        <v>TC_05.34</v>
      </c>
      <c r="C44" s="280" t="s">
        <v>73</v>
      </c>
      <c r="D44" s="281" t="s">
        <v>710</v>
      </c>
      <c r="E44" s="281" t="s">
        <v>711</v>
      </c>
      <c r="F44" s="281" t="s">
        <v>712</v>
      </c>
      <c r="G44" s="281" t="s">
        <v>713</v>
      </c>
      <c r="H44" s="261"/>
      <c r="I44" s="261"/>
      <c r="J44" s="262"/>
      <c r="K44" s="262"/>
    </row>
    <row r="45" outlineLevel="1">
      <c r="A45" s="263"/>
      <c r="B45" s="158" t="str">
        <f t="shared" si="2"/>
        <v>TC_05.35</v>
      </c>
      <c r="C45" s="280" t="s">
        <v>73</v>
      </c>
      <c r="D45" s="276" t="s">
        <v>714</v>
      </c>
      <c r="E45" s="281" t="s">
        <v>711</v>
      </c>
      <c r="F45" s="276" t="s">
        <v>715</v>
      </c>
      <c r="G45" s="276" t="s">
        <v>716</v>
      </c>
      <c r="H45" s="261"/>
      <c r="I45" s="261"/>
      <c r="J45" s="262"/>
      <c r="K45" s="262"/>
    </row>
    <row r="46" outlineLevel="1">
      <c r="A46" s="263"/>
      <c r="B46" s="158" t="str">
        <f t="shared" si="2"/>
        <v>TC_05.36</v>
      </c>
      <c r="C46" s="280" t="s">
        <v>73</v>
      </c>
      <c r="D46" s="276" t="s">
        <v>717</v>
      </c>
      <c r="E46" s="276" t="s">
        <v>711</v>
      </c>
      <c r="F46" s="276" t="s">
        <v>718</v>
      </c>
      <c r="G46" s="276" t="s">
        <v>719</v>
      </c>
      <c r="H46" s="261"/>
      <c r="I46" s="261"/>
      <c r="J46" s="262"/>
      <c r="K46" s="261"/>
    </row>
    <row r="47" outlineLevel="1">
      <c r="A47" s="263"/>
      <c r="B47" s="158" t="str">
        <f t="shared" si="2"/>
        <v>TC_05.37</v>
      </c>
      <c r="C47" s="280" t="s">
        <v>73</v>
      </c>
      <c r="D47" s="276" t="s">
        <v>720</v>
      </c>
      <c r="E47" s="276" t="s">
        <v>688</v>
      </c>
      <c r="F47" s="276" t="s">
        <v>721</v>
      </c>
      <c r="G47" s="276" t="s">
        <v>722</v>
      </c>
      <c r="H47" s="261"/>
      <c r="I47" s="261"/>
      <c r="J47" s="262"/>
      <c r="K47" s="262"/>
    </row>
    <row r="48">
      <c r="A48" s="282" t="s">
        <v>381</v>
      </c>
      <c r="B48" s="268" t="str">
        <f t="shared" si="2"/>
        <v>TC_05.38</v>
      </c>
      <c r="C48" s="278" t="s">
        <v>73</v>
      </c>
      <c r="D48" s="279" t="s">
        <v>723</v>
      </c>
      <c r="E48" s="279" t="s">
        <v>711</v>
      </c>
      <c r="F48" s="279" t="s">
        <v>724</v>
      </c>
      <c r="G48" s="279" t="s">
        <v>725</v>
      </c>
      <c r="H48" s="261"/>
      <c r="I48" s="261"/>
      <c r="J48" s="262"/>
      <c r="K48" s="262"/>
    </row>
    <row r="49" outlineLevel="1">
      <c r="A49" s="263"/>
      <c r="B49" s="158" t="str">
        <f t="shared" si="2"/>
        <v>TC_05.39</v>
      </c>
      <c r="C49" s="275" t="s">
        <v>75</v>
      </c>
      <c r="D49" s="276" t="s">
        <v>726</v>
      </c>
      <c r="E49" s="276" t="s">
        <v>727</v>
      </c>
      <c r="F49" s="276" t="s">
        <v>728</v>
      </c>
      <c r="G49" s="276" t="s">
        <v>729</v>
      </c>
      <c r="H49" s="261"/>
      <c r="I49" s="261"/>
      <c r="J49" s="261"/>
      <c r="K49" s="261"/>
    </row>
    <row r="50" outlineLevel="1">
      <c r="A50" s="263"/>
      <c r="B50" s="158" t="str">
        <f t="shared" si="2"/>
        <v>TC_05.40</v>
      </c>
      <c r="C50" s="275" t="s">
        <v>73</v>
      </c>
      <c r="D50" s="276" t="s">
        <v>730</v>
      </c>
      <c r="E50" s="276" t="s">
        <v>731</v>
      </c>
      <c r="F50" s="276" t="s">
        <v>732</v>
      </c>
      <c r="G50" s="276" t="s">
        <v>733</v>
      </c>
      <c r="H50" s="261"/>
      <c r="I50" s="261"/>
      <c r="J50" s="262"/>
      <c r="K50" s="262"/>
    </row>
    <row r="51" outlineLevel="1">
      <c r="A51" s="263"/>
      <c r="B51" s="158" t="str">
        <f t="shared" si="2"/>
        <v>TC_05.41</v>
      </c>
      <c r="C51" s="280" t="s">
        <v>73</v>
      </c>
      <c r="D51" s="281" t="s">
        <v>734</v>
      </c>
      <c r="E51" s="281" t="s">
        <v>735</v>
      </c>
      <c r="F51" s="281" t="s">
        <v>736</v>
      </c>
      <c r="G51" s="281" t="s">
        <v>737</v>
      </c>
      <c r="H51" s="261"/>
      <c r="I51" s="261"/>
      <c r="J51" s="262"/>
      <c r="K51" s="262"/>
    </row>
    <row r="52" outlineLevel="1">
      <c r="A52" s="266"/>
      <c r="B52" s="158" t="str">
        <f t="shared" si="2"/>
        <v>TC_05.42</v>
      </c>
      <c r="C52" s="275" t="s">
        <v>73</v>
      </c>
      <c r="D52" s="276" t="s">
        <v>738</v>
      </c>
      <c r="E52" s="276" t="s">
        <v>739</v>
      </c>
      <c r="F52" s="276" t="s">
        <v>740</v>
      </c>
      <c r="G52" s="276" t="s">
        <v>741</v>
      </c>
      <c r="H52" s="261"/>
      <c r="I52" s="261"/>
      <c r="J52" s="262"/>
      <c r="K52" s="262"/>
    </row>
    <row r="53" outlineLevel="1">
      <c r="A53" s="263"/>
      <c r="B53" s="158" t="str">
        <f t="shared" si="2"/>
        <v>TC_05.43</v>
      </c>
      <c r="C53" s="275" t="s">
        <v>73</v>
      </c>
      <c r="D53" s="276" t="s">
        <v>742</v>
      </c>
      <c r="E53" s="276" t="s">
        <v>743</v>
      </c>
      <c r="F53" s="276" t="s">
        <v>744</v>
      </c>
      <c r="G53" s="276" t="s">
        <v>745</v>
      </c>
      <c r="H53" s="261"/>
      <c r="I53" s="261"/>
      <c r="J53" s="262"/>
      <c r="K53" s="261"/>
    </row>
    <row r="54" outlineLevel="1">
      <c r="A54" s="263"/>
      <c r="B54" s="158" t="str">
        <f t="shared" si="2"/>
        <v>TC_05.44</v>
      </c>
      <c r="C54" s="280" t="s">
        <v>73</v>
      </c>
      <c r="D54" s="281" t="s">
        <v>746</v>
      </c>
      <c r="E54" s="281" t="s">
        <v>747</v>
      </c>
      <c r="F54" s="281" t="s">
        <v>748</v>
      </c>
      <c r="G54" s="281" t="s">
        <v>749</v>
      </c>
      <c r="H54" s="261"/>
      <c r="I54" s="261"/>
      <c r="J54" s="262"/>
      <c r="K54" s="261"/>
    </row>
    <row r="55">
      <c r="A55" s="263"/>
      <c r="B55" s="267" t="str">
        <f t="shared" si="2"/>
        <v>TC_05.45</v>
      </c>
      <c r="C55" s="275" t="s">
        <v>75</v>
      </c>
      <c r="D55" s="276" t="s">
        <v>750</v>
      </c>
      <c r="E55" s="276" t="s">
        <v>751</v>
      </c>
      <c r="F55" s="276" t="s">
        <v>752</v>
      </c>
      <c r="G55" s="276" t="s">
        <v>753</v>
      </c>
      <c r="H55" s="261"/>
      <c r="I55" s="261"/>
      <c r="J55" s="262"/>
      <c r="K55" s="262"/>
    </row>
    <row r="56">
      <c r="A56" s="266"/>
      <c r="B56" s="158" t="str">
        <f t="shared" si="2"/>
        <v>TC_05.46</v>
      </c>
      <c r="C56" s="275" t="s">
        <v>75</v>
      </c>
      <c r="D56" s="276" t="s">
        <v>754</v>
      </c>
      <c r="E56" s="276" t="s">
        <v>755</v>
      </c>
      <c r="F56" s="276" t="s">
        <v>756</v>
      </c>
      <c r="G56" s="276" t="s">
        <v>757</v>
      </c>
      <c r="H56" s="261"/>
      <c r="I56" s="261"/>
      <c r="J56" s="262"/>
      <c r="K56" s="261"/>
    </row>
    <row r="57">
      <c r="A57" s="263"/>
      <c r="B57" s="158" t="str">
        <f t="shared" si="2"/>
        <v>TC_05.47</v>
      </c>
      <c r="C57" s="275" t="s">
        <v>73</v>
      </c>
      <c r="D57" s="276" t="s">
        <v>758</v>
      </c>
      <c r="E57" s="276" t="s">
        <v>759</v>
      </c>
      <c r="F57" s="276" t="s">
        <v>760</v>
      </c>
      <c r="G57" s="276" t="s">
        <v>761</v>
      </c>
      <c r="H57" s="283"/>
      <c r="I57" s="283"/>
      <c r="J57" s="284"/>
      <c r="K57" s="261"/>
    </row>
    <row r="58">
      <c r="A58" s="263"/>
      <c r="B58" s="158" t="str">
        <f t="shared" si="2"/>
        <v>TC_05.48</v>
      </c>
      <c r="C58" s="275" t="s">
        <v>73</v>
      </c>
      <c r="D58" s="276" t="s">
        <v>762</v>
      </c>
      <c r="E58" s="276" t="s">
        <v>676</v>
      </c>
      <c r="F58" s="276" t="s">
        <v>763</v>
      </c>
      <c r="G58" s="276" t="s">
        <v>764</v>
      </c>
      <c r="H58" s="283"/>
      <c r="I58" s="283"/>
      <c r="J58" s="284"/>
      <c r="K58" s="261"/>
    </row>
    <row r="59">
      <c r="A59" s="263"/>
      <c r="B59" s="158" t="str">
        <f t="shared" si="2"/>
        <v>TC_05.49</v>
      </c>
      <c r="C59" s="275" t="s">
        <v>75</v>
      </c>
      <c r="D59" s="276" t="s">
        <v>765</v>
      </c>
      <c r="E59" s="276" t="s">
        <v>766</v>
      </c>
      <c r="F59" s="276" t="s">
        <v>767</v>
      </c>
      <c r="G59" s="276" t="s">
        <v>768</v>
      </c>
      <c r="H59" s="283"/>
      <c r="I59" s="283"/>
      <c r="J59" s="284"/>
      <c r="K59" s="283"/>
    </row>
    <row r="60">
      <c r="A60" s="266"/>
      <c r="B60" s="158" t="str">
        <f t="shared" si="2"/>
        <v>TC_05.50</v>
      </c>
      <c r="C60" s="275" t="s">
        <v>75</v>
      </c>
      <c r="D60" s="276" t="s">
        <v>769</v>
      </c>
      <c r="E60" s="276" t="s">
        <v>766</v>
      </c>
      <c r="F60" s="276" t="s">
        <v>770</v>
      </c>
      <c r="G60" s="276" t="s">
        <v>771</v>
      </c>
      <c r="H60" s="283"/>
      <c r="I60" s="283"/>
      <c r="J60" s="284"/>
      <c r="K60" s="283"/>
    </row>
    <row r="61">
      <c r="A61" s="263"/>
      <c r="B61" s="267" t="str">
        <f t="shared" si="2"/>
        <v>TC_05.51</v>
      </c>
      <c r="C61" s="275" t="s">
        <v>73</v>
      </c>
      <c r="D61" s="276" t="s">
        <v>772</v>
      </c>
      <c r="E61" s="276" t="s">
        <v>773</v>
      </c>
      <c r="F61" s="276" t="s">
        <v>774</v>
      </c>
      <c r="G61" s="276" t="s">
        <v>775</v>
      </c>
      <c r="H61" s="283"/>
      <c r="I61" s="283"/>
      <c r="J61" s="283"/>
      <c r="K61" s="283"/>
    </row>
    <row r="62" outlineLevel="1">
      <c r="A62" s="263"/>
      <c r="B62" s="158" t="str">
        <f t="shared" si="2"/>
        <v>TC_05.52</v>
      </c>
      <c r="C62" s="275" t="s">
        <v>73</v>
      </c>
      <c r="D62" s="276" t="s">
        <v>776</v>
      </c>
      <c r="E62" s="276" t="s">
        <v>711</v>
      </c>
      <c r="F62" s="276" t="s">
        <v>777</v>
      </c>
      <c r="G62" s="276" t="s">
        <v>778</v>
      </c>
      <c r="H62" s="283"/>
      <c r="I62" s="283"/>
      <c r="J62" s="284"/>
      <c r="K62" s="283"/>
    </row>
    <row r="63" outlineLevel="1">
      <c r="A63" s="263"/>
      <c r="B63" s="158" t="str">
        <f t="shared" si="2"/>
        <v>TC_05.53</v>
      </c>
      <c r="C63" s="275" t="s">
        <v>73</v>
      </c>
      <c r="D63" s="276" t="s">
        <v>779</v>
      </c>
      <c r="E63" s="276" t="s">
        <v>676</v>
      </c>
      <c r="F63" s="276" t="s">
        <v>780</v>
      </c>
      <c r="G63" s="276" t="s">
        <v>716</v>
      </c>
      <c r="H63" s="283"/>
      <c r="I63" s="283"/>
      <c r="J63" s="284"/>
      <c r="K63" s="283"/>
    </row>
    <row r="64" outlineLevel="1">
      <c r="A64" s="263"/>
      <c r="B64" s="158" t="str">
        <f t="shared" si="2"/>
        <v>TC_05.54</v>
      </c>
      <c r="C64" s="280" t="s">
        <v>73</v>
      </c>
      <c r="D64" s="281" t="s">
        <v>781</v>
      </c>
      <c r="E64" s="281" t="s">
        <v>676</v>
      </c>
      <c r="F64" s="281" t="s">
        <v>782</v>
      </c>
      <c r="G64" s="281" t="s">
        <v>783</v>
      </c>
      <c r="H64" s="283"/>
      <c r="I64" s="283"/>
      <c r="J64" s="284"/>
      <c r="K64" s="283"/>
    </row>
    <row r="65" outlineLevel="1">
      <c r="A65" s="263"/>
      <c r="B65" s="158" t="str">
        <f t="shared" si="2"/>
        <v>TC_05.55</v>
      </c>
      <c r="C65" s="275" t="s">
        <v>75</v>
      </c>
      <c r="D65" s="276" t="s">
        <v>784</v>
      </c>
      <c r="E65" s="276" t="s">
        <v>755</v>
      </c>
      <c r="F65" s="276" t="s">
        <v>785</v>
      </c>
      <c r="G65" s="276" t="s">
        <v>786</v>
      </c>
      <c r="H65" s="283"/>
      <c r="I65" s="283"/>
      <c r="J65" s="284"/>
      <c r="K65" s="283"/>
    </row>
    <row r="66" outlineLevel="1">
      <c r="A66" s="263"/>
      <c r="B66" s="158" t="str">
        <f t="shared" si="2"/>
        <v>TC_05.56</v>
      </c>
      <c r="C66" s="275" t="s">
        <v>73</v>
      </c>
      <c r="D66" s="276" t="s">
        <v>787</v>
      </c>
      <c r="E66" s="276" t="s">
        <v>676</v>
      </c>
      <c r="F66" s="276" t="s">
        <v>788</v>
      </c>
      <c r="G66" s="276" t="s">
        <v>789</v>
      </c>
      <c r="H66" s="283"/>
      <c r="I66" s="283"/>
      <c r="J66" s="284"/>
      <c r="K66" s="283"/>
    </row>
    <row r="67">
      <c r="A67" s="266"/>
      <c r="B67" s="158" t="str">
        <f t="shared" si="2"/>
        <v>TC_05.57</v>
      </c>
      <c r="C67" s="275" t="s">
        <v>73</v>
      </c>
      <c r="D67" s="276" t="s">
        <v>790</v>
      </c>
      <c r="E67" s="276" t="s">
        <v>676</v>
      </c>
      <c r="F67" s="276" t="s">
        <v>791</v>
      </c>
      <c r="G67" s="285" t="s">
        <v>792</v>
      </c>
      <c r="H67" s="283"/>
      <c r="I67" s="283"/>
      <c r="J67" s="284"/>
      <c r="K67" s="284"/>
    </row>
    <row r="68">
      <c r="A68" s="266"/>
      <c r="B68" s="158" t="str">
        <f t="shared" si="2"/>
        <v>TC_05.58</v>
      </c>
      <c r="C68" s="275" t="s">
        <v>73</v>
      </c>
      <c r="D68" s="276" t="s">
        <v>793</v>
      </c>
      <c r="E68" s="276" t="s">
        <v>676</v>
      </c>
      <c r="F68" s="276" t="s">
        <v>794</v>
      </c>
      <c r="G68" s="276" t="s">
        <v>795</v>
      </c>
      <c r="H68" s="261"/>
      <c r="I68" s="261"/>
      <c r="J68" s="262"/>
      <c r="K68" s="262"/>
    </row>
    <row r="69">
      <c r="A69" s="266"/>
      <c r="B69" s="158" t="str">
        <f t="shared" si="2"/>
        <v>TC_05.59</v>
      </c>
      <c r="C69" s="275" t="s">
        <v>75</v>
      </c>
      <c r="D69" s="276" t="s">
        <v>796</v>
      </c>
      <c r="E69" s="276" t="s">
        <v>676</v>
      </c>
      <c r="F69" s="276" t="s">
        <v>797</v>
      </c>
      <c r="G69" s="276" t="s">
        <v>786</v>
      </c>
      <c r="H69" s="283"/>
      <c r="I69" s="283"/>
      <c r="J69" s="284"/>
      <c r="K69" s="284"/>
    </row>
    <row r="70">
      <c r="A70" s="266"/>
      <c r="B70" s="158" t="str">
        <f t="shared" si="2"/>
        <v>TC_05.60</v>
      </c>
      <c r="C70" s="280" t="s">
        <v>73</v>
      </c>
      <c r="D70" s="281" t="s">
        <v>798</v>
      </c>
      <c r="E70" s="281" t="s">
        <v>676</v>
      </c>
      <c r="F70" s="281" t="s">
        <v>799</v>
      </c>
      <c r="G70" s="281" t="s">
        <v>716</v>
      </c>
      <c r="H70" s="261"/>
      <c r="I70" s="261"/>
      <c r="J70" s="262"/>
      <c r="K70" s="262"/>
    </row>
    <row r="71">
      <c r="A71" s="266"/>
      <c r="B71" s="158" t="str">
        <f t="shared" si="2"/>
        <v>TC_05.61</v>
      </c>
      <c r="C71" s="275" t="s">
        <v>73</v>
      </c>
      <c r="D71" s="276" t="s">
        <v>800</v>
      </c>
      <c r="E71" s="276" t="s">
        <v>676</v>
      </c>
      <c r="F71" s="276" t="s">
        <v>801</v>
      </c>
      <c r="G71" s="285" t="s">
        <v>802</v>
      </c>
      <c r="H71" s="261"/>
      <c r="I71" s="261"/>
      <c r="J71" s="262"/>
      <c r="K71" s="262"/>
    </row>
    <row r="72">
      <c r="A72" s="266"/>
      <c r="B72" s="158" t="str">
        <f t="shared" si="2"/>
        <v>TC_05.62</v>
      </c>
      <c r="C72" s="275" t="s">
        <v>73</v>
      </c>
      <c r="D72" s="276" t="s">
        <v>803</v>
      </c>
      <c r="E72" s="276" t="s">
        <v>676</v>
      </c>
      <c r="F72" s="276" t="s">
        <v>804</v>
      </c>
      <c r="G72" s="276" t="s">
        <v>805</v>
      </c>
      <c r="H72" s="261"/>
      <c r="I72" s="261"/>
      <c r="J72" s="262"/>
      <c r="K72" s="262"/>
    </row>
    <row r="73">
      <c r="A73" s="266"/>
      <c r="B73" s="158" t="str">
        <f t="shared" si="2"/>
        <v>TC_05.63</v>
      </c>
      <c r="C73" s="275" t="s">
        <v>73</v>
      </c>
      <c r="D73" s="276" t="s">
        <v>806</v>
      </c>
      <c r="E73" s="276" t="s">
        <v>807</v>
      </c>
      <c r="F73" s="276" t="s">
        <v>808</v>
      </c>
      <c r="G73" s="276" t="s">
        <v>809</v>
      </c>
      <c r="H73" s="261"/>
      <c r="I73" s="261"/>
      <c r="J73" s="262"/>
      <c r="K73" s="262"/>
    </row>
    <row r="74">
      <c r="A74" s="266"/>
      <c r="B74" s="158" t="str">
        <f t="shared" si="2"/>
        <v>TC_05.64</v>
      </c>
      <c r="C74" s="275" t="s">
        <v>73</v>
      </c>
      <c r="D74" s="276" t="s">
        <v>810</v>
      </c>
      <c r="E74" s="276" t="s">
        <v>811</v>
      </c>
      <c r="F74" s="276" t="s">
        <v>812</v>
      </c>
      <c r="G74" s="276" t="s">
        <v>813</v>
      </c>
      <c r="H74" s="261"/>
      <c r="I74" s="261"/>
      <c r="J74" s="262"/>
      <c r="K74" s="262"/>
    </row>
    <row r="75">
      <c r="A75" s="266"/>
      <c r="B75" s="158" t="str">
        <f t="shared" si="2"/>
        <v>TC_05.65</v>
      </c>
      <c r="C75" s="275" t="s">
        <v>73</v>
      </c>
      <c r="D75" s="276" t="s">
        <v>814</v>
      </c>
      <c r="E75" s="276" t="s">
        <v>815</v>
      </c>
      <c r="F75" s="276" t="s">
        <v>816</v>
      </c>
      <c r="G75" s="276" t="s">
        <v>817</v>
      </c>
      <c r="H75" s="261"/>
      <c r="I75" s="261"/>
      <c r="J75" s="262"/>
      <c r="K75" s="262"/>
    </row>
    <row r="76">
      <c r="A76" s="266"/>
      <c r="B76" s="158" t="str">
        <f t="shared" si="2"/>
        <v>TC_05.66</v>
      </c>
      <c r="C76" s="275" t="s">
        <v>73</v>
      </c>
      <c r="D76" s="276" t="s">
        <v>818</v>
      </c>
      <c r="E76" s="276" t="s">
        <v>819</v>
      </c>
      <c r="F76" s="276" t="s">
        <v>820</v>
      </c>
      <c r="G76" s="276" t="s">
        <v>821</v>
      </c>
      <c r="H76" s="261"/>
      <c r="I76" s="261"/>
      <c r="J76" s="262"/>
      <c r="K76" s="262"/>
    </row>
    <row r="77">
      <c r="A77" s="266"/>
      <c r="B77" s="158" t="str">
        <f t="shared" si="2"/>
        <v>TC_05.67</v>
      </c>
      <c r="C77" s="275" t="s">
        <v>73</v>
      </c>
      <c r="D77" s="276" t="s">
        <v>822</v>
      </c>
      <c r="E77" s="276" t="s">
        <v>711</v>
      </c>
      <c r="F77" s="276" t="s">
        <v>823</v>
      </c>
      <c r="G77" s="276" t="s">
        <v>824</v>
      </c>
      <c r="H77" s="261"/>
      <c r="I77" s="261"/>
      <c r="J77" s="262"/>
      <c r="K77" s="262"/>
    </row>
    <row r="78">
      <c r="A78" s="266"/>
      <c r="B78" s="158" t="str">
        <f t="shared" si="2"/>
        <v>TC_05.68</v>
      </c>
      <c r="C78" s="275" t="s">
        <v>73</v>
      </c>
      <c r="D78" s="276" t="s">
        <v>825</v>
      </c>
      <c r="E78" s="276" t="s">
        <v>826</v>
      </c>
      <c r="F78" s="276" t="s">
        <v>827</v>
      </c>
      <c r="G78" s="276" t="s">
        <v>828</v>
      </c>
      <c r="H78" s="261"/>
      <c r="I78" s="261"/>
      <c r="J78" s="262"/>
      <c r="K78" s="262"/>
    </row>
    <row r="79">
      <c r="A79" s="266"/>
      <c r="B79" s="158" t="str">
        <f t="shared" si="2"/>
        <v>TC_05.69</v>
      </c>
      <c r="C79" s="275" t="s">
        <v>73</v>
      </c>
      <c r="D79" s="276" t="s">
        <v>829</v>
      </c>
      <c r="E79" s="276" t="s">
        <v>676</v>
      </c>
      <c r="F79" s="276" t="s">
        <v>830</v>
      </c>
      <c r="G79" s="276" t="s">
        <v>831</v>
      </c>
      <c r="H79" s="261"/>
      <c r="I79" s="261"/>
      <c r="J79" s="262"/>
      <c r="K79" s="262"/>
    </row>
    <row r="80">
      <c r="A80" s="266"/>
      <c r="B80" s="158" t="str">
        <f t="shared" si="2"/>
        <v>TC_05.70</v>
      </c>
      <c r="C80" s="275" t="s">
        <v>73</v>
      </c>
      <c r="D80" s="276" t="s">
        <v>832</v>
      </c>
      <c r="E80" s="276" t="s">
        <v>676</v>
      </c>
      <c r="F80" s="276" t="s">
        <v>833</v>
      </c>
      <c r="G80" s="276" t="s">
        <v>783</v>
      </c>
      <c r="H80" s="261"/>
      <c r="I80" s="261"/>
      <c r="J80" s="262"/>
      <c r="K80" s="262"/>
    </row>
    <row r="81">
      <c r="A81" s="266"/>
      <c r="B81" s="158" t="str">
        <f t="shared" si="2"/>
        <v>TC_05.71</v>
      </c>
      <c r="C81" s="275" t="s">
        <v>73</v>
      </c>
      <c r="D81" s="276" t="s">
        <v>834</v>
      </c>
      <c r="E81" s="276" t="s">
        <v>676</v>
      </c>
      <c r="F81" s="276" t="s">
        <v>835</v>
      </c>
      <c r="G81" s="276" t="s">
        <v>836</v>
      </c>
      <c r="H81" s="261"/>
      <c r="I81" s="261"/>
      <c r="J81" s="262"/>
      <c r="K81" s="262"/>
    </row>
    <row r="82">
      <c r="A82" s="266"/>
      <c r="B82" s="158" t="str">
        <f t="shared" si="2"/>
        <v>TC_05.72</v>
      </c>
      <c r="C82" s="275" t="s">
        <v>73</v>
      </c>
      <c r="D82" s="276" t="s">
        <v>837</v>
      </c>
      <c r="E82" s="276" t="s">
        <v>807</v>
      </c>
      <c r="F82" s="276" t="s">
        <v>838</v>
      </c>
      <c r="G82" s="276" t="s">
        <v>809</v>
      </c>
      <c r="H82" s="261"/>
      <c r="I82" s="261"/>
      <c r="J82" s="262"/>
      <c r="K82" s="262"/>
    </row>
    <row r="83">
      <c r="A83" s="266"/>
      <c r="B83" s="158" t="str">
        <f t="shared" si="2"/>
        <v>TC_05.73</v>
      </c>
      <c r="C83" s="275" t="s">
        <v>73</v>
      </c>
      <c r="D83" s="276" t="s">
        <v>839</v>
      </c>
      <c r="E83" s="276" t="s">
        <v>811</v>
      </c>
      <c r="F83" s="276" t="s">
        <v>840</v>
      </c>
      <c r="G83" s="276" t="s">
        <v>813</v>
      </c>
      <c r="H83" s="261"/>
      <c r="I83" s="261"/>
      <c r="J83" s="262"/>
      <c r="K83" s="262"/>
    </row>
    <row r="84">
      <c r="A84" s="266"/>
      <c r="B84" s="158" t="str">
        <f t="shared" si="2"/>
        <v>TC_05.74</v>
      </c>
      <c r="C84" s="275" t="s">
        <v>73</v>
      </c>
      <c r="D84" s="276" t="s">
        <v>841</v>
      </c>
      <c r="E84" s="276" t="s">
        <v>815</v>
      </c>
      <c r="F84" s="276" t="s">
        <v>842</v>
      </c>
      <c r="G84" s="276" t="s">
        <v>817</v>
      </c>
      <c r="H84" s="261"/>
      <c r="I84" s="261"/>
      <c r="J84" s="262"/>
      <c r="K84" s="262"/>
    </row>
    <row r="85">
      <c r="A85" s="266"/>
      <c r="B85" s="158" t="str">
        <f t="shared" si="2"/>
        <v>TC_05.75</v>
      </c>
      <c r="C85" s="275" t="s">
        <v>75</v>
      </c>
      <c r="D85" s="276" t="s">
        <v>843</v>
      </c>
      <c r="E85" s="276" t="s">
        <v>844</v>
      </c>
      <c r="F85" s="276" t="s">
        <v>845</v>
      </c>
      <c r="G85" s="276" t="s">
        <v>846</v>
      </c>
      <c r="H85" s="261"/>
      <c r="I85" s="261"/>
      <c r="J85" s="262"/>
      <c r="K85" s="262"/>
    </row>
    <row r="86">
      <c r="A86" s="282" t="s">
        <v>381</v>
      </c>
      <c r="B86" s="269" t="str">
        <f t="shared" si="2"/>
        <v>TC_05.76</v>
      </c>
      <c r="C86" s="278" t="s">
        <v>73</v>
      </c>
      <c r="D86" s="279" t="s">
        <v>847</v>
      </c>
      <c r="E86" s="279" t="s">
        <v>676</v>
      </c>
      <c r="F86" s="279" t="s">
        <v>848</v>
      </c>
      <c r="G86" s="279" t="s">
        <v>849</v>
      </c>
      <c r="H86" s="261"/>
      <c r="I86" s="261"/>
      <c r="J86" s="262"/>
      <c r="K86" s="262"/>
    </row>
    <row r="87">
      <c r="A87" s="266"/>
      <c r="B87" s="158" t="str">
        <f t="shared" si="2"/>
        <v>TC_05.77</v>
      </c>
      <c r="C87" s="275" t="s">
        <v>73</v>
      </c>
      <c r="D87" s="276" t="s">
        <v>850</v>
      </c>
      <c r="E87" s="276" t="s">
        <v>676</v>
      </c>
      <c r="F87" s="276" t="s">
        <v>851</v>
      </c>
      <c r="G87" s="276" t="s">
        <v>783</v>
      </c>
      <c r="H87" s="261"/>
      <c r="I87" s="261"/>
      <c r="J87" s="262"/>
      <c r="K87" s="262"/>
    </row>
    <row r="88">
      <c r="A88" s="266"/>
      <c r="B88" s="158" t="str">
        <f t="shared" si="2"/>
        <v>TC_05.78</v>
      </c>
      <c r="C88" s="275" t="s">
        <v>73</v>
      </c>
      <c r="D88" s="276" t="s">
        <v>852</v>
      </c>
      <c r="E88" s="276" t="s">
        <v>676</v>
      </c>
      <c r="F88" s="276" t="s">
        <v>853</v>
      </c>
      <c r="G88" s="276" t="s">
        <v>716</v>
      </c>
      <c r="H88" s="261"/>
      <c r="I88" s="261"/>
      <c r="J88" s="262"/>
      <c r="K88" s="262"/>
    </row>
    <row r="89">
      <c r="A89" s="266"/>
      <c r="B89" s="158" t="str">
        <f t="shared" si="2"/>
        <v>TC_05.79</v>
      </c>
      <c r="C89" s="275" t="s">
        <v>73</v>
      </c>
      <c r="D89" s="276" t="s">
        <v>854</v>
      </c>
      <c r="E89" s="276" t="s">
        <v>676</v>
      </c>
      <c r="F89" s="276" t="s">
        <v>855</v>
      </c>
      <c r="G89" s="276" t="s">
        <v>856</v>
      </c>
      <c r="H89" s="261"/>
      <c r="I89" s="261"/>
      <c r="J89" s="262"/>
      <c r="K89" s="262"/>
    </row>
    <row r="90">
      <c r="A90" s="266"/>
      <c r="B90" s="158" t="str">
        <f t="shared" si="2"/>
        <v>TC_05.80</v>
      </c>
      <c r="C90" s="275" t="s">
        <v>73</v>
      </c>
      <c r="D90" s="276" t="s">
        <v>857</v>
      </c>
      <c r="E90" s="276" t="s">
        <v>676</v>
      </c>
      <c r="F90" s="276" t="s">
        <v>858</v>
      </c>
      <c r="G90" s="276" t="s">
        <v>783</v>
      </c>
      <c r="H90" s="261"/>
      <c r="I90" s="261"/>
      <c r="J90" s="262"/>
      <c r="K90" s="262"/>
    </row>
    <row r="91">
      <c r="A91" s="266"/>
      <c r="B91" s="158" t="str">
        <f t="shared" si="2"/>
        <v>TC_05.81</v>
      </c>
      <c r="C91" s="275" t="s">
        <v>73</v>
      </c>
      <c r="D91" s="276" t="s">
        <v>859</v>
      </c>
      <c r="E91" s="276" t="s">
        <v>676</v>
      </c>
      <c r="F91" s="276" t="s">
        <v>860</v>
      </c>
      <c r="G91" s="276" t="s">
        <v>716</v>
      </c>
      <c r="H91" s="261"/>
      <c r="I91" s="261"/>
      <c r="J91" s="262"/>
      <c r="K91" s="262"/>
    </row>
    <row r="92">
      <c r="A92" s="266"/>
      <c r="B92" s="158" t="str">
        <f t="shared" si="2"/>
        <v>TC_05.82</v>
      </c>
      <c r="C92" s="275" t="s">
        <v>73</v>
      </c>
      <c r="D92" s="276" t="s">
        <v>861</v>
      </c>
      <c r="E92" s="276" t="s">
        <v>807</v>
      </c>
      <c r="F92" s="276" t="s">
        <v>862</v>
      </c>
      <c r="G92" s="276" t="s">
        <v>809</v>
      </c>
      <c r="H92" s="261"/>
      <c r="I92" s="261"/>
      <c r="J92" s="262"/>
      <c r="K92" s="262"/>
    </row>
    <row r="93">
      <c r="A93" s="266"/>
      <c r="B93" s="158" t="str">
        <f t="shared" si="2"/>
        <v>TC_05.83</v>
      </c>
      <c r="C93" s="275" t="s">
        <v>73</v>
      </c>
      <c r="D93" s="276" t="s">
        <v>863</v>
      </c>
      <c r="E93" s="276" t="s">
        <v>811</v>
      </c>
      <c r="F93" s="276" t="s">
        <v>864</v>
      </c>
      <c r="G93" s="276" t="s">
        <v>813</v>
      </c>
      <c r="H93" s="261"/>
      <c r="I93" s="261"/>
      <c r="J93" s="284"/>
      <c r="K93" s="284"/>
    </row>
    <row r="94">
      <c r="A94" s="266"/>
      <c r="B94" s="158" t="str">
        <f t="shared" si="2"/>
        <v>TC_05.84</v>
      </c>
      <c r="C94" s="275" t="s">
        <v>73</v>
      </c>
      <c r="D94" s="276" t="s">
        <v>865</v>
      </c>
      <c r="E94" s="276" t="s">
        <v>866</v>
      </c>
      <c r="F94" s="276" t="s">
        <v>867</v>
      </c>
      <c r="G94" s="276" t="s">
        <v>868</v>
      </c>
      <c r="H94" s="283"/>
      <c r="I94" s="283"/>
      <c r="J94" s="284"/>
      <c r="K94" s="284"/>
    </row>
    <row r="95">
      <c r="A95" s="266"/>
      <c r="B95" s="158" t="str">
        <f t="shared" si="2"/>
        <v>TC_05.85</v>
      </c>
      <c r="C95" s="275" t="s">
        <v>75</v>
      </c>
      <c r="D95" s="276" t="s">
        <v>869</v>
      </c>
      <c r="E95" s="276" t="s">
        <v>676</v>
      </c>
      <c r="F95" s="276" t="s">
        <v>870</v>
      </c>
      <c r="G95" s="276" t="s">
        <v>871</v>
      </c>
      <c r="H95" s="261"/>
      <c r="I95" s="261"/>
      <c r="J95" s="284"/>
      <c r="K95" s="284"/>
    </row>
    <row r="96">
      <c r="A96" s="266"/>
      <c r="B96" s="158" t="str">
        <f t="shared" si="2"/>
        <v>TC_05.86</v>
      </c>
      <c r="C96" s="280" t="s">
        <v>75</v>
      </c>
      <c r="D96" s="281" t="s">
        <v>872</v>
      </c>
      <c r="E96" s="281" t="s">
        <v>873</v>
      </c>
      <c r="F96" s="281" t="s">
        <v>874</v>
      </c>
      <c r="G96" s="281" t="s">
        <v>875</v>
      </c>
      <c r="H96" s="261"/>
      <c r="I96" s="261"/>
      <c r="J96" s="262"/>
      <c r="K96" s="262"/>
    </row>
    <row r="97">
      <c r="A97" s="266"/>
      <c r="B97" s="158" t="str">
        <f t="shared" si="2"/>
        <v>TC_05.87</v>
      </c>
      <c r="C97" s="275" t="s">
        <v>73</v>
      </c>
      <c r="D97" s="276" t="s">
        <v>876</v>
      </c>
      <c r="E97" s="276" t="s">
        <v>676</v>
      </c>
      <c r="F97" s="276" t="s">
        <v>877</v>
      </c>
      <c r="G97" s="276" t="s">
        <v>878</v>
      </c>
      <c r="H97" s="286"/>
      <c r="I97" s="261"/>
      <c r="J97" s="284"/>
      <c r="K97" s="284"/>
    </row>
    <row r="98">
      <c r="A98" s="266"/>
      <c r="B98" s="158" t="str">
        <f t="shared" si="2"/>
        <v>TC_05.88</v>
      </c>
      <c r="C98" s="275" t="s">
        <v>73</v>
      </c>
      <c r="D98" s="276" t="s">
        <v>879</v>
      </c>
      <c r="E98" s="276" t="s">
        <v>880</v>
      </c>
      <c r="F98" s="276" t="s">
        <v>881</v>
      </c>
      <c r="G98" s="276" t="s">
        <v>882</v>
      </c>
      <c r="H98" s="261"/>
      <c r="I98" s="261"/>
      <c r="J98" s="284"/>
      <c r="K98" s="284"/>
    </row>
    <row r="99">
      <c r="A99" s="266"/>
      <c r="B99" s="158" t="str">
        <f t="shared" si="2"/>
        <v>TC_05.89</v>
      </c>
      <c r="C99" s="275" t="s">
        <v>73</v>
      </c>
      <c r="D99" s="276" t="s">
        <v>883</v>
      </c>
      <c r="E99" s="276" t="s">
        <v>811</v>
      </c>
      <c r="F99" s="276" t="s">
        <v>884</v>
      </c>
      <c r="G99" s="276" t="s">
        <v>885</v>
      </c>
      <c r="H99" s="261"/>
      <c r="I99" s="261"/>
      <c r="J99" s="284"/>
      <c r="K99" s="284"/>
    </row>
    <row r="100">
      <c r="A100" s="266"/>
      <c r="B100" s="158" t="str">
        <f t="shared" si="2"/>
        <v>TC_05.90</v>
      </c>
      <c r="C100" s="275" t="s">
        <v>73</v>
      </c>
      <c r="D100" s="276" t="s">
        <v>886</v>
      </c>
      <c r="E100" s="276" t="s">
        <v>815</v>
      </c>
      <c r="F100" s="276" t="s">
        <v>887</v>
      </c>
      <c r="G100" s="276" t="s">
        <v>888</v>
      </c>
      <c r="H100" s="261"/>
      <c r="I100" s="261"/>
      <c r="J100" s="284"/>
      <c r="K100" s="284"/>
    </row>
    <row r="101">
      <c r="A101" s="266"/>
      <c r="B101" s="158" t="str">
        <f t="shared" si="2"/>
        <v>TC_05.91</v>
      </c>
      <c r="C101" s="275" t="s">
        <v>73</v>
      </c>
      <c r="D101" s="276" t="s">
        <v>889</v>
      </c>
      <c r="E101" s="276" t="s">
        <v>819</v>
      </c>
      <c r="F101" s="276" t="s">
        <v>890</v>
      </c>
      <c r="G101" s="276" t="s">
        <v>891</v>
      </c>
      <c r="H101" s="283"/>
      <c r="I101" s="283"/>
      <c r="J101" s="284"/>
      <c r="K101" s="284"/>
    </row>
    <row r="102">
      <c r="A102" s="266"/>
      <c r="B102" s="158" t="str">
        <f t="shared" si="2"/>
        <v>TC_05.92</v>
      </c>
      <c r="C102" s="275" t="s">
        <v>75</v>
      </c>
      <c r="D102" s="276" t="s">
        <v>892</v>
      </c>
      <c r="E102" s="276" t="s">
        <v>893</v>
      </c>
      <c r="F102" s="276" t="s">
        <v>894</v>
      </c>
      <c r="G102" s="276" t="s">
        <v>895</v>
      </c>
      <c r="H102" s="283"/>
      <c r="I102" s="283"/>
      <c r="J102" s="284"/>
      <c r="K102" s="284"/>
    </row>
    <row r="103">
      <c r="A103" s="266"/>
      <c r="B103" s="158" t="str">
        <f t="shared" si="2"/>
        <v>TC_05.93</v>
      </c>
      <c r="C103" s="275" t="s">
        <v>73</v>
      </c>
      <c r="D103" s="276" t="s">
        <v>896</v>
      </c>
      <c r="E103" s="276" t="s">
        <v>676</v>
      </c>
      <c r="F103" s="276" t="s">
        <v>897</v>
      </c>
      <c r="G103" s="276" t="s">
        <v>898</v>
      </c>
      <c r="H103" s="283"/>
      <c r="I103" s="283"/>
      <c r="J103" s="284"/>
      <c r="K103" s="284"/>
    </row>
    <row r="104">
      <c r="A104" s="282" t="s">
        <v>381</v>
      </c>
      <c r="B104" s="269" t="str">
        <f t="shared" si="2"/>
        <v>TC_05.94</v>
      </c>
      <c r="C104" s="278" t="s">
        <v>73</v>
      </c>
      <c r="D104" s="279" t="s">
        <v>899</v>
      </c>
      <c r="E104" s="279" t="s">
        <v>676</v>
      </c>
      <c r="F104" s="279" t="s">
        <v>900</v>
      </c>
      <c r="G104" s="279" t="s">
        <v>901</v>
      </c>
      <c r="H104" s="283"/>
      <c r="I104" s="283"/>
      <c r="J104" s="284"/>
      <c r="K104" s="284"/>
    </row>
    <row r="105">
      <c r="A105" s="266"/>
      <c r="B105" s="158" t="str">
        <f t="shared" si="2"/>
        <v>TC_05.95</v>
      </c>
      <c r="C105" s="275" t="s">
        <v>73</v>
      </c>
      <c r="D105" s="276" t="s">
        <v>902</v>
      </c>
      <c r="E105" s="276" t="s">
        <v>676</v>
      </c>
      <c r="F105" s="276" t="s">
        <v>903</v>
      </c>
      <c r="G105" s="276" t="s">
        <v>904</v>
      </c>
      <c r="H105" s="283"/>
      <c r="I105" s="283"/>
      <c r="J105" s="284"/>
      <c r="K105" s="284"/>
    </row>
    <row r="106">
      <c r="A106" s="266"/>
      <c r="B106" s="158" t="str">
        <f t="shared" si="2"/>
        <v>TC_05.96</v>
      </c>
      <c r="C106" s="275" t="s">
        <v>73</v>
      </c>
      <c r="D106" s="276" t="s">
        <v>905</v>
      </c>
      <c r="E106" s="276" t="s">
        <v>906</v>
      </c>
      <c r="F106" s="276" t="s">
        <v>907</v>
      </c>
      <c r="G106" s="276" t="s">
        <v>908</v>
      </c>
      <c r="H106" s="283"/>
      <c r="I106" s="283"/>
      <c r="J106" s="262"/>
      <c r="K106" s="262"/>
    </row>
    <row r="107">
      <c r="A107" s="266"/>
      <c r="B107" s="158" t="str">
        <f t="shared" si="2"/>
        <v>TC_05.97</v>
      </c>
      <c r="C107" s="275" t="s">
        <v>73</v>
      </c>
      <c r="D107" s="276" t="s">
        <v>909</v>
      </c>
      <c r="E107" s="276" t="s">
        <v>811</v>
      </c>
      <c r="F107" s="276" t="s">
        <v>910</v>
      </c>
      <c r="G107" s="276" t="s">
        <v>911</v>
      </c>
      <c r="H107" s="283"/>
      <c r="I107" s="283"/>
      <c r="J107" s="262"/>
      <c r="K107" s="262"/>
    </row>
    <row r="108">
      <c r="A108" s="266"/>
      <c r="B108" s="158" t="str">
        <f t="shared" si="2"/>
        <v>TC_05.98</v>
      </c>
      <c r="C108" s="275" t="s">
        <v>73</v>
      </c>
      <c r="D108" s="276" t="s">
        <v>912</v>
      </c>
      <c r="E108" s="276" t="s">
        <v>815</v>
      </c>
      <c r="F108" s="276" t="s">
        <v>913</v>
      </c>
      <c r="G108" s="276" t="s">
        <v>914</v>
      </c>
      <c r="H108" s="283"/>
      <c r="I108" s="283"/>
      <c r="J108" s="262"/>
      <c r="K108" s="262"/>
    </row>
    <row r="109">
      <c r="A109" s="266"/>
      <c r="B109" s="158" t="str">
        <f t="shared" si="2"/>
        <v>TC_05.99</v>
      </c>
      <c r="C109" s="275" t="s">
        <v>73</v>
      </c>
      <c r="D109" s="276" t="s">
        <v>915</v>
      </c>
      <c r="E109" s="276" t="s">
        <v>916</v>
      </c>
      <c r="F109" s="276" t="s">
        <v>917</v>
      </c>
      <c r="G109" s="276" t="s">
        <v>918</v>
      </c>
      <c r="H109" s="287"/>
      <c r="I109" s="288"/>
      <c r="J109" s="289"/>
      <c r="K109" s="289"/>
    </row>
    <row r="110">
      <c r="A110" s="266"/>
      <c r="B110" s="158" t="str">
        <f t="shared" si="2"/>
        <v>TC_05.100</v>
      </c>
      <c r="C110" s="275" t="s">
        <v>75</v>
      </c>
      <c r="D110" s="276" t="s">
        <v>919</v>
      </c>
      <c r="E110" s="276" t="s">
        <v>916</v>
      </c>
      <c r="F110" s="276" t="s">
        <v>920</v>
      </c>
      <c r="G110" s="276" t="s">
        <v>921</v>
      </c>
      <c r="H110" s="290"/>
      <c r="I110" s="291"/>
      <c r="J110" s="292"/>
      <c r="K110" s="292"/>
    </row>
    <row r="111">
      <c r="A111" s="266"/>
      <c r="B111" s="158" t="str">
        <f t="shared" si="2"/>
        <v>TC_05.101</v>
      </c>
      <c r="C111" s="275" t="s">
        <v>75</v>
      </c>
      <c r="D111" s="276" t="s">
        <v>922</v>
      </c>
      <c r="E111" s="276" t="s">
        <v>893</v>
      </c>
      <c r="F111" s="276" t="s">
        <v>923</v>
      </c>
      <c r="G111" s="276" t="s">
        <v>895</v>
      </c>
      <c r="H111" s="290"/>
      <c r="I111" s="291"/>
      <c r="J111" s="292"/>
      <c r="K111" s="292"/>
    </row>
    <row r="112">
      <c r="A112" s="266"/>
      <c r="B112" s="158" t="str">
        <f t="shared" si="2"/>
        <v>TC_05.102</v>
      </c>
      <c r="C112" s="275" t="s">
        <v>73</v>
      </c>
      <c r="D112" s="276" t="s">
        <v>924</v>
      </c>
      <c r="E112" s="276" t="s">
        <v>925</v>
      </c>
      <c r="F112" s="276" t="s">
        <v>926</v>
      </c>
      <c r="G112" s="276" t="s">
        <v>927</v>
      </c>
      <c r="H112" s="290"/>
      <c r="I112" s="291"/>
      <c r="J112" s="292"/>
      <c r="K112" s="292"/>
    </row>
    <row r="113">
      <c r="A113" s="282" t="s">
        <v>381</v>
      </c>
      <c r="B113" s="269" t="str">
        <f t="shared" si="2"/>
        <v>TC_05.103</v>
      </c>
      <c r="C113" s="278" t="s">
        <v>73</v>
      </c>
      <c r="D113" s="279" t="s">
        <v>928</v>
      </c>
      <c r="E113" s="279" t="s">
        <v>676</v>
      </c>
      <c r="F113" s="279" t="s">
        <v>929</v>
      </c>
      <c r="G113" s="279" t="s">
        <v>930</v>
      </c>
      <c r="H113" s="290"/>
      <c r="I113" s="291"/>
      <c r="J113" s="292"/>
      <c r="K113" s="292"/>
    </row>
    <row r="114">
      <c r="A114" s="266"/>
      <c r="B114" s="158" t="str">
        <f t="shared" si="2"/>
        <v>TC_05.104</v>
      </c>
      <c r="C114" s="275" t="s">
        <v>73</v>
      </c>
      <c r="D114" s="276" t="s">
        <v>931</v>
      </c>
      <c r="E114" s="276" t="s">
        <v>676</v>
      </c>
      <c r="F114" s="276" t="s">
        <v>932</v>
      </c>
      <c r="G114" s="276" t="s">
        <v>933</v>
      </c>
      <c r="H114" s="290"/>
      <c r="I114" s="291"/>
      <c r="J114" s="292"/>
      <c r="K114" s="292"/>
    </row>
    <row r="115">
      <c r="A115" s="266"/>
      <c r="B115" s="158" t="str">
        <f t="shared" si="2"/>
        <v>TC_05.105</v>
      </c>
      <c r="C115" s="275" t="s">
        <v>75</v>
      </c>
      <c r="D115" s="276" t="s">
        <v>934</v>
      </c>
      <c r="E115" s="276" t="s">
        <v>935</v>
      </c>
      <c r="F115" s="276" t="s">
        <v>936</v>
      </c>
      <c r="G115" s="276" t="s">
        <v>937</v>
      </c>
      <c r="H115" s="290"/>
      <c r="I115" s="291"/>
      <c r="J115" s="292"/>
      <c r="K115" s="292"/>
    </row>
    <row r="116">
      <c r="A116" s="269" t="s">
        <v>381</v>
      </c>
      <c r="B116" s="269" t="str">
        <f t="shared" si="2"/>
        <v>TC_05.106</v>
      </c>
      <c r="C116" s="268" t="s">
        <v>73</v>
      </c>
      <c r="D116" s="271" t="s">
        <v>938</v>
      </c>
      <c r="E116" s="271" t="s">
        <v>939</v>
      </c>
      <c r="F116" s="271" t="s">
        <v>940</v>
      </c>
      <c r="G116" s="271" t="s">
        <v>941</v>
      </c>
      <c r="H116" s="261"/>
      <c r="I116" s="261"/>
      <c r="J116" s="262"/>
      <c r="K116" s="262"/>
    </row>
    <row r="117">
      <c r="A117" s="269" t="s">
        <v>381</v>
      </c>
      <c r="B117" s="269" t="str">
        <f t="shared" si="2"/>
        <v>TC_05.107</v>
      </c>
      <c r="C117" s="268" t="s">
        <v>75</v>
      </c>
      <c r="D117" s="271" t="s">
        <v>942</v>
      </c>
      <c r="E117" s="271" t="s">
        <v>943</v>
      </c>
      <c r="F117" s="271" t="s">
        <v>944</v>
      </c>
      <c r="G117" s="271" t="s">
        <v>945</v>
      </c>
      <c r="H117" s="283"/>
      <c r="I117" s="283"/>
      <c r="J117" s="293"/>
      <c r="K117" s="293"/>
    </row>
    <row r="118">
      <c r="A118" s="269" t="s">
        <v>381</v>
      </c>
      <c r="B118" s="269" t="str">
        <f t="shared" si="2"/>
        <v>TC_05.108</v>
      </c>
      <c r="C118" s="268" t="s">
        <v>75</v>
      </c>
      <c r="D118" s="271" t="s">
        <v>946</v>
      </c>
      <c r="E118" s="271" t="s">
        <v>947</v>
      </c>
      <c r="F118" s="271" t="s">
        <v>948</v>
      </c>
      <c r="G118" s="271" t="s">
        <v>949</v>
      </c>
      <c r="H118" s="283"/>
      <c r="I118" s="283"/>
      <c r="J118" s="262"/>
      <c r="K118" s="262"/>
    </row>
    <row r="119">
      <c r="A119" s="269" t="s">
        <v>381</v>
      </c>
      <c r="B119" s="269" t="str">
        <f t="shared" si="2"/>
        <v>TC_05.109</v>
      </c>
      <c r="C119" s="268" t="s">
        <v>75</v>
      </c>
      <c r="D119" s="271" t="s">
        <v>950</v>
      </c>
      <c r="E119" s="271" t="s">
        <v>951</v>
      </c>
      <c r="F119" s="271" t="s">
        <v>952</v>
      </c>
      <c r="G119" s="271" t="s">
        <v>953</v>
      </c>
      <c r="H119" s="283"/>
      <c r="I119" s="283"/>
      <c r="J119" s="262"/>
      <c r="K119" s="262"/>
    </row>
    <row r="120">
      <c r="A120" s="269" t="s">
        <v>381</v>
      </c>
      <c r="B120" s="269" t="str">
        <f t="shared" si="2"/>
        <v>TC_05.110</v>
      </c>
      <c r="C120" s="268" t="s">
        <v>75</v>
      </c>
      <c r="D120" s="271" t="s">
        <v>954</v>
      </c>
      <c r="E120" s="271" t="s">
        <v>955</v>
      </c>
      <c r="F120" s="271" t="s">
        <v>956</v>
      </c>
      <c r="G120" s="271" t="s">
        <v>957</v>
      </c>
      <c r="H120" s="283"/>
      <c r="I120" s="283"/>
      <c r="J120" s="262"/>
      <c r="K120" s="262"/>
    </row>
    <row r="121">
      <c r="A121" s="269" t="s">
        <v>381</v>
      </c>
      <c r="B121" s="269" t="str">
        <f t="shared" si="2"/>
        <v>TC_05.111</v>
      </c>
      <c r="C121" s="268" t="s">
        <v>75</v>
      </c>
      <c r="D121" s="271" t="s">
        <v>958</v>
      </c>
      <c r="E121" s="271" t="s">
        <v>959</v>
      </c>
      <c r="F121" s="271" t="s">
        <v>960</v>
      </c>
      <c r="G121" s="271" t="s">
        <v>961</v>
      </c>
      <c r="H121" s="261"/>
      <c r="I121" s="261"/>
      <c r="J121" s="262"/>
      <c r="K121" s="262"/>
    </row>
    <row r="122">
      <c r="A122" s="269" t="s">
        <v>381</v>
      </c>
      <c r="B122" s="269" t="str">
        <f t="shared" si="2"/>
        <v>TC_05.112</v>
      </c>
      <c r="C122" s="268" t="s">
        <v>75</v>
      </c>
      <c r="D122" s="271" t="s">
        <v>962</v>
      </c>
      <c r="E122" s="271" t="s">
        <v>963</v>
      </c>
      <c r="F122" s="271" t="s">
        <v>964</v>
      </c>
      <c r="G122" s="271" t="s">
        <v>965</v>
      </c>
      <c r="H122" s="261"/>
      <c r="I122" s="261"/>
      <c r="J122" s="262"/>
      <c r="K122" s="262"/>
    </row>
    <row r="123">
      <c r="A123" s="269" t="s">
        <v>381</v>
      </c>
      <c r="B123" s="269" t="str">
        <f t="shared" si="2"/>
        <v>TC_05.113</v>
      </c>
      <c r="C123" s="268" t="s">
        <v>75</v>
      </c>
      <c r="D123" s="271" t="s">
        <v>966</v>
      </c>
      <c r="E123" s="271" t="s">
        <v>967</v>
      </c>
      <c r="F123" s="271" t="s">
        <v>968</v>
      </c>
      <c r="G123" s="271" t="s">
        <v>969</v>
      </c>
      <c r="H123" s="261"/>
      <c r="I123" s="261"/>
      <c r="J123" s="262"/>
      <c r="K123" s="262"/>
    </row>
    <row r="124">
      <c r="A124" s="269" t="s">
        <v>381</v>
      </c>
      <c r="B124" s="269" t="str">
        <f t="shared" si="2"/>
        <v>TC_05.114</v>
      </c>
      <c r="C124" s="269" t="s">
        <v>75</v>
      </c>
      <c r="D124" s="294" t="s">
        <v>970</v>
      </c>
      <c r="E124" s="294" t="s">
        <v>967</v>
      </c>
      <c r="F124" s="294" t="s">
        <v>971</v>
      </c>
      <c r="G124" s="294" t="s">
        <v>972</v>
      </c>
      <c r="H124" s="261"/>
      <c r="I124" s="261"/>
      <c r="J124" s="262"/>
      <c r="K124" s="262"/>
    </row>
    <row r="125">
      <c r="A125" s="269" t="s">
        <v>381</v>
      </c>
      <c r="B125" s="269" t="str">
        <f t="shared" si="2"/>
        <v>TC_05.115</v>
      </c>
      <c r="C125" s="268" t="s">
        <v>73</v>
      </c>
      <c r="D125" s="271" t="s">
        <v>973</v>
      </c>
      <c r="E125" s="271" t="s">
        <v>974</v>
      </c>
      <c r="F125" s="271" t="s">
        <v>975</v>
      </c>
      <c r="G125" s="271" t="s">
        <v>976</v>
      </c>
      <c r="H125" s="261"/>
      <c r="I125" s="261"/>
      <c r="J125" s="262"/>
      <c r="K125" s="262"/>
    </row>
    <row r="126">
      <c r="A126" s="269" t="s">
        <v>381</v>
      </c>
      <c r="B126" s="269" t="str">
        <f t="shared" si="2"/>
        <v>TC_05.116</v>
      </c>
      <c r="C126" s="268" t="s">
        <v>73</v>
      </c>
      <c r="D126" s="271" t="s">
        <v>977</v>
      </c>
      <c r="E126" s="271" t="s">
        <v>978</v>
      </c>
      <c r="F126" s="271" t="s">
        <v>979</v>
      </c>
      <c r="G126" s="271" t="s">
        <v>980</v>
      </c>
      <c r="H126" s="261"/>
      <c r="I126" s="261"/>
      <c r="J126" s="262"/>
      <c r="K126" s="262"/>
    </row>
    <row r="127">
      <c r="A127" s="269" t="s">
        <v>381</v>
      </c>
      <c r="B127" s="269" t="str">
        <f t="shared" si="2"/>
        <v>TC_05.117</v>
      </c>
      <c r="C127" s="268" t="s">
        <v>73</v>
      </c>
      <c r="D127" s="271" t="s">
        <v>981</v>
      </c>
      <c r="E127" s="271" t="s">
        <v>978</v>
      </c>
      <c r="F127" s="271" t="s">
        <v>982</v>
      </c>
      <c r="G127" s="271" t="s">
        <v>983</v>
      </c>
      <c r="H127" s="286"/>
      <c r="I127" s="261"/>
      <c r="J127" s="262"/>
      <c r="K127" s="262"/>
    </row>
    <row r="128">
      <c r="A128" s="295"/>
      <c r="B128" s="296" t="s">
        <v>984</v>
      </c>
      <c r="C128" s="148"/>
      <c r="D128" s="148"/>
      <c r="E128" s="148"/>
      <c r="F128" s="148"/>
      <c r="G128" s="171"/>
      <c r="H128" s="261"/>
      <c r="I128" s="261"/>
      <c r="J128" s="262"/>
      <c r="K128" s="262"/>
    </row>
    <row r="129">
      <c r="A129" s="266"/>
      <c r="B129" s="158" t="str">
        <f t="shared" ref="B129:B153" si="3">IF(F129="","",$D$3&amp;"."&amp;COUNTA($F$9:F129)&amp;"")</f>
        <v>TC_05.118</v>
      </c>
      <c r="C129" s="275" t="s">
        <v>73</v>
      </c>
      <c r="D129" s="276" t="s">
        <v>985</v>
      </c>
      <c r="E129" s="276" t="s">
        <v>986</v>
      </c>
      <c r="F129" s="276" t="s">
        <v>987</v>
      </c>
      <c r="G129" s="276" t="s">
        <v>988</v>
      </c>
      <c r="H129" s="286"/>
      <c r="I129" s="261"/>
      <c r="J129" s="262"/>
      <c r="K129" s="262"/>
    </row>
    <row r="130">
      <c r="A130" s="266"/>
      <c r="B130" s="158" t="str">
        <f t="shared" si="3"/>
        <v>TC_05.119</v>
      </c>
      <c r="C130" s="275" t="s">
        <v>73</v>
      </c>
      <c r="D130" s="276" t="s">
        <v>989</v>
      </c>
      <c r="E130" s="276" t="s">
        <v>990</v>
      </c>
      <c r="F130" s="276" t="s">
        <v>987</v>
      </c>
      <c r="G130" s="276" t="s">
        <v>991</v>
      </c>
      <c r="H130" s="261"/>
      <c r="I130" s="261"/>
      <c r="J130" s="262"/>
      <c r="K130" s="262"/>
    </row>
    <row r="131">
      <c r="A131" s="282" t="s">
        <v>381</v>
      </c>
      <c r="B131" s="269" t="str">
        <f t="shared" si="3"/>
        <v>TC_05.120</v>
      </c>
      <c r="C131" s="278" t="s">
        <v>73</v>
      </c>
      <c r="D131" s="279" t="s">
        <v>992</v>
      </c>
      <c r="E131" s="279" t="s">
        <v>993</v>
      </c>
      <c r="F131" s="279" t="s">
        <v>994</v>
      </c>
      <c r="G131" s="279" t="s">
        <v>995</v>
      </c>
      <c r="H131" s="261"/>
      <c r="I131" s="261"/>
      <c r="J131" s="262"/>
      <c r="K131" s="262"/>
    </row>
    <row r="132">
      <c r="A132" s="266"/>
      <c r="B132" s="158" t="str">
        <f t="shared" si="3"/>
        <v>TC_05.121</v>
      </c>
      <c r="C132" s="275" t="s">
        <v>73</v>
      </c>
      <c r="D132" s="276" t="s">
        <v>996</v>
      </c>
      <c r="E132" s="276" t="s">
        <v>997</v>
      </c>
      <c r="F132" s="276" t="s">
        <v>998</v>
      </c>
      <c r="G132" s="276" t="s">
        <v>999</v>
      </c>
      <c r="H132" s="261"/>
      <c r="I132" s="261"/>
      <c r="J132" s="262"/>
      <c r="K132" s="262"/>
    </row>
    <row r="133">
      <c r="A133" s="266"/>
      <c r="B133" s="158" t="str">
        <f t="shared" si="3"/>
        <v>TC_05.122</v>
      </c>
      <c r="C133" s="275" t="s">
        <v>73</v>
      </c>
      <c r="D133" s="276" t="s">
        <v>1000</v>
      </c>
      <c r="E133" s="276" t="s">
        <v>997</v>
      </c>
      <c r="F133" s="276" t="s">
        <v>1001</v>
      </c>
      <c r="G133" s="276" t="s">
        <v>778</v>
      </c>
      <c r="H133" s="297"/>
      <c r="I133" s="297"/>
      <c r="J133" s="289"/>
      <c r="K133" s="289"/>
    </row>
    <row r="134">
      <c r="A134" s="266"/>
      <c r="B134" s="158" t="str">
        <f t="shared" si="3"/>
        <v>TC_05.123</v>
      </c>
      <c r="C134" s="275" t="s">
        <v>73</v>
      </c>
      <c r="D134" s="276" t="s">
        <v>1002</v>
      </c>
      <c r="E134" s="276" t="s">
        <v>1003</v>
      </c>
      <c r="F134" s="276" t="s">
        <v>1004</v>
      </c>
      <c r="G134" s="276" t="s">
        <v>1005</v>
      </c>
      <c r="H134" s="290"/>
      <c r="I134" s="291"/>
      <c r="J134" s="292"/>
      <c r="K134" s="292"/>
    </row>
    <row r="135">
      <c r="A135" s="266"/>
      <c r="B135" s="158" t="str">
        <f t="shared" si="3"/>
        <v>TC_05.124</v>
      </c>
      <c r="C135" s="275" t="s">
        <v>73</v>
      </c>
      <c r="D135" s="276" t="s">
        <v>1006</v>
      </c>
      <c r="E135" s="276" t="s">
        <v>997</v>
      </c>
      <c r="F135" s="276" t="s">
        <v>1007</v>
      </c>
      <c r="G135" s="276" t="s">
        <v>1008</v>
      </c>
      <c r="H135" s="290"/>
      <c r="I135" s="291"/>
      <c r="J135" s="292"/>
      <c r="K135" s="292"/>
    </row>
    <row r="136">
      <c r="A136" s="266"/>
      <c r="B136" s="158" t="str">
        <f t="shared" si="3"/>
        <v>TC_05.125</v>
      </c>
      <c r="C136" s="275" t="s">
        <v>73</v>
      </c>
      <c r="D136" s="276" t="s">
        <v>1009</v>
      </c>
      <c r="E136" s="276" t="s">
        <v>997</v>
      </c>
      <c r="F136" s="276" t="s">
        <v>1010</v>
      </c>
      <c r="G136" s="276" t="s">
        <v>1011</v>
      </c>
      <c r="H136" s="298"/>
      <c r="I136" s="298"/>
      <c r="J136" s="293"/>
      <c r="K136" s="293"/>
    </row>
    <row r="137">
      <c r="A137" s="266"/>
      <c r="B137" s="158" t="str">
        <f t="shared" si="3"/>
        <v>TC_05.126</v>
      </c>
      <c r="C137" s="275" t="s">
        <v>73</v>
      </c>
      <c r="D137" s="276" t="s">
        <v>1012</v>
      </c>
      <c r="E137" s="276" t="s">
        <v>1013</v>
      </c>
      <c r="F137" s="276" t="s">
        <v>1014</v>
      </c>
      <c r="G137" s="276" t="s">
        <v>1015</v>
      </c>
      <c r="H137" s="261"/>
      <c r="I137" s="261"/>
      <c r="J137" s="262"/>
      <c r="K137" s="262"/>
    </row>
    <row r="138">
      <c r="A138" s="266"/>
      <c r="B138" s="158" t="str">
        <f t="shared" si="3"/>
        <v>TC_05.127</v>
      </c>
      <c r="C138" s="275" t="s">
        <v>73</v>
      </c>
      <c r="D138" s="276" t="s">
        <v>1016</v>
      </c>
      <c r="E138" s="276" t="s">
        <v>997</v>
      </c>
      <c r="F138" s="276" t="s">
        <v>1017</v>
      </c>
      <c r="G138" s="276" t="s">
        <v>1018</v>
      </c>
      <c r="H138" s="261"/>
      <c r="I138" s="261"/>
      <c r="J138" s="262"/>
      <c r="K138" s="262"/>
    </row>
    <row r="139">
      <c r="A139" s="266"/>
      <c r="B139" s="158" t="str">
        <f t="shared" si="3"/>
        <v>TC_05.128</v>
      </c>
      <c r="C139" s="280" t="s">
        <v>73</v>
      </c>
      <c r="D139" s="281" t="s">
        <v>1019</v>
      </c>
      <c r="E139" s="281" t="s">
        <v>1020</v>
      </c>
      <c r="F139" s="281" t="s">
        <v>1021</v>
      </c>
      <c r="G139" s="281" t="s">
        <v>1022</v>
      </c>
      <c r="H139" s="261"/>
      <c r="I139" s="261"/>
      <c r="J139" s="262"/>
      <c r="K139" s="262"/>
    </row>
    <row r="140">
      <c r="A140" s="266"/>
      <c r="B140" s="158" t="str">
        <f t="shared" si="3"/>
        <v>TC_05.129</v>
      </c>
      <c r="C140" s="275" t="s">
        <v>73</v>
      </c>
      <c r="D140" s="276" t="s">
        <v>1023</v>
      </c>
      <c r="E140" s="276" t="s">
        <v>997</v>
      </c>
      <c r="F140" s="276" t="s">
        <v>1024</v>
      </c>
      <c r="G140" s="276" t="s">
        <v>1025</v>
      </c>
      <c r="H140" s="297"/>
      <c r="I140" s="297"/>
      <c r="J140" s="289"/>
      <c r="K140" s="289"/>
    </row>
    <row r="141">
      <c r="A141" s="266"/>
      <c r="B141" s="158" t="str">
        <f t="shared" si="3"/>
        <v>TC_05.130</v>
      </c>
      <c r="C141" s="275" t="s">
        <v>73</v>
      </c>
      <c r="D141" s="276" t="s">
        <v>1026</v>
      </c>
      <c r="E141" s="276" t="s">
        <v>1027</v>
      </c>
      <c r="F141" s="276" t="s">
        <v>1028</v>
      </c>
      <c r="G141" s="276" t="s">
        <v>1029</v>
      </c>
      <c r="H141" s="286"/>
      <c r="I141" s="261"/>
      <c r="J141" s="262"/>
      <c r="K141" s="262"/>
    </row>
    <row r="142">
      <c r="A142" s="266"/>
      <c r="B142" s="158" t="str">
        <f t="shared" si="3"/>
        <v>TC_05.131</v>
      </c>
      <c r="C142" s="275" t="s">
        <v>73</v>
      </c>
      <c r="D142" s="276" t="s">
        <v>1030</v>
      </c>
      <c r="E142" s="276" t="s">
        <v>997</v>
      </c>
      <c r="F142" s="276" t="s">
        <v>1031</v>
      </c>
      <c r="G142" s="276" t="s">
        <v>1032</v>
      </c>
      <c r="H142" s="290"/>
      <c r="I142" s="291"/>
      <c r="J142" s="292"/>
      <c r="K142" s="292"/>
    </row>
    <row r="143">
      <c r="A143" s="266"/>
      <c r="B143" s="158" t="str">
        <f t="shared" si="3"/>
        <v>TC_05.132</v>
      </c>
      <c r="C143" s="275" t="s">
        <v>73</v>
      </c>
      <c r="D143" s="276" t="s">
        <v>1033</v>
      </c>
      <c r="E143" s="276" t="s">
        <v>1034</v>
      </c>
      <c r="F143" s="276" t="s">
        <v>1035</v>
      </c>
      <c r="G143" s="276" t="s">
        <v>1036</v>
      </c>
      <c r="H143" s="290"/>
      <c r="I143" s="291"/>
      <c r="J143" s="292"/>
      <c r="K143" s="292"/>
    </row>
    <row r="144">
      <c r="A144" s="266"/>
      <c r="B144" s="158" t="str">
        <f t="shared" si="3"/>
        <v>TC_05.133</v>
      </c>
      <c r="C144" s="275" t="s">
        <v>73</v>
      </c>
      <c r="D144" s="276" t="s">
        <v>1037</v>
      </c>
      <c r="E144" s="276" t="s">
        <v>997</v>
      </c>
      <c r="F144" s="276" t="s">
        <v>1038</v>
      </c>
      <c r="G144" s="276" t="s">
        <v>1039</v>
      </c>
      <c r="H144" s="290"/>
      <c r="I144" s="291"/>
      <c r="J144" s="292"/>
      <c r="K144" s="292"/>
    </row>
    <row r="145">
      <c r="A145" s="266"/>
      <c r="B145" s="158" t="str">
        <f t="shared" si="3"/>
        <v>TC_05.134</v>
      </c>
      <c r="C145" s="275" t="s">
        <v>73</v>
      </c>
      <c r="D145" s="276" t="s">
        <v>1040</v>
      </c>
      <c r="E145" s="276" t="s">
        <v>997</v>
      </c>
      <c r="F145" s="276" t="s">
        <v>1041</v>
      </c>
      <c r="G145" s="276" t="s">
        <v>1042</v>
      </c>
      <c r="H145" s="290"/>
      <c r="I145" s="291"/>
      <c r="J145" s="292"/>
      <c r="K145" s="292"/>
    </row>
    <row r="146">
      <c r="A146" s="266"/>
      <c r="B146" s="158" t="str">
        <f t="shared" si="3"/>
        <v>TC_05.135</v>
      </c>
      <c r="C146" s="275" t="s">
        <v>73</v>
      </c>
      <c r="D146" s="276" t="s">
        <v>1043</v>
      </c>
      <c r="E146" s="276" t="s">
        <v>997</v>
      </c>
      <c r="F146" s="276" t="s">
        <v>1044</v>
      </c>
      <c r="G146" s="276" t="s">
        <v>1045</v>
      </c>
      <c r="H146" s="261"/>
      <c r="I146" s="261"/>
      <c r="J146" s="262"/>
      <c r="K146" s="262"/>
    </row>
    <row r="147">
      <c r="A147" s="266"/>
      <c r="B147" s="158" t="str">
        <f t="shared" si="3"/>
        <v>TC_05.136</v>
      </c>
      <c r="C147" s="275" t="s">
        <v>73</v>
      </c>
      <c r="D147" s="276" t="s">
        <v>1046</v>
      </c>
      <c r="E147" s="276" t="s">
        <v>1047</v>
      </c>
      <c r="F147" s="276" t="s">
        <v>1048</v>
      </c>
      <c r="G147" s="276" t="s">
        <v>888</v>
      </c>
      <c r="H147" s="261"/>
      <c r="I147" s="261"/>
      <c r="J147" s="262"/>
      <c r="K147" s="262"/>
    </row>
    <row r="148">
      <c r="A148" s="266"/>
      <c r="B148" s="158" t="str">
        <f t="shared" si="3"/>
        <v>TC_05.137</v>
      </c>
      <c r="C148" s="275" t="s">
        <v>73</v>
      </c>
      <c r="D148" s="276" t="s">
        <v>1049</v>
      </c>
      <c r="E148" s="276" t="s">
        <v>997</v>
      </c>
      <c r="F148" s="276" t="s">
        <v>1050</v>
      </c>
      <c r="G148" s="276" t="s">
        <v>1051</v>
      </c>
      <c r="H148" s="261"/>
      <c r="I148" s="261"/>
      <c r="J148" s="262"/>
      <c r="K148" s="262"/>
    </row>
    <row r="149">
      <c r="A149" s="282" t="s">
        <v>381</v>
      </c>
      <c r="B149" s="269" t="str">
        <f t="shared" si="3"/>
        <v>TC_05.138</v>
      </c>
      <c r="C149" s="278" t="s">
        <v>73</v>
      </c>
      <c r="D149" s="279" t="s">
        <v>1052</v>
      </c>
      <c r="E149" s="279" t="s">
        <v>997</v>
      </c>
      <c r="F149" s="279" t="s">
        <v>1053</v>
      </c>
      <c r="G149" s="279" t="s">
        <v>930</v>
      </c>
      <c r="H149" s="261"/>
      <c r="I149" s="261"/>
      <c r="J149" s="262"/>
      <c r="K149" s="262"/>
    </row>
    <row r="150">
      <c r="A150" s="266"/>
      <c r="B150" s="158" t="str">
        <f t="shared" si="3"/>
        <v>TC_05.139</v>
      </c>
      <c r="C150" s="275" t="s">
        <v>75</v>
      </c>
      <c r="D150" s="276" t="s">
        <v>1054</v>
      </c>
      <c r="E150" s="276" t="s">
        <v>997</v>
      </c>
      <c r="F150" s="276" t="s">
        <v>1055</v>
      </c>
      <c r="G150" s="276" t="s">
        <v>1056</v>
      </c>
      <c r="H150" s="298"/>
      <c r="I150" s="298"/>
      <c r="J150" s="293"/>
      <c r="K150" s="293"/>
    </row>
    <row r="151">
      <c r="A151" s="266"/>
      <c r="B151" s="158" t="str">
        <f t="shared" si="3"/>
        <v>TC_05.140</v>
      </c>
      <c r="C151" s="275" t="s">
        <v>75</v>
      </c>
      <c r="D151" s="276" t="s">
        <v>1057</v>
      </c>
      <c r="E151" s="276" t="s">
        <v>1058</v>
      </c>
      <c r="F151" s="276" t="s">
        <v>1059</v>
      </c>
      <c r="G151" s="299" t="s">
        <v>1060</v>
      </c>
      <c r="H151" s="261"/>
      <c r="I151" s="261"/>
      <c r="J151" s="262"/>
      <c r="K151" s="262"/>
    </row>
    <row r="152">
      <c r="A152" s="269" t="s">
        <v>381</v>
      </c>
      <c r="B152" s="269" t="str">
        <f t="shared" si="3"/>
        <v>TC_05.141</v>
      </c>
      <c r="C152" s="268" t="s">
        <v>73</v>
      </c>
      <c r="D152" s="271" t="s">
        <v>1061</v>
      </c>
      <c r="E152" s="271" t="s">
        <v>1062</v>
      </c>
      <c r="F152" s="271" t="s">
        <v>1063</v>
      </c>
      <c r="G152" s="271" t="s">
        <v>1064</v>
      </c>
      <c r="H152" s="261"/>
      <c r="I152" s="261"/>
      <c r="J152" s="262"/>
      <c r="K152" s="262"/>
    </row>
    <row r="153">
      <c r="A153" s="269" t="s">
        <v>381</v>
      </c>
      <c r="B153" s="269" t="str">
        <f t="shared" si="3"/>
        <v>TC_05.142</v>
      </c>
      <c r="C153" s="268" t="s">
        <v>73</v>
      </c>
      <c r="D153" s="271" t="s">
        <v>1065</v>
      </c>
      <c r="E153" s="271" t="s">
        <v>1062</v>
      </c>
      <c r="F153" s="271" t="s">
        <v>1066</v>
      </c>
      <c r="G153" s="271" t="s">
        <v>1067</v>
      </c>
      <c r="H153" s="261"/>
      <c r="I153" s="261"/>
      <c r="J153" s="262"/>
      <c r="K153" s="262"/>
    </row>
    <row r="154">
      <c r="A154" s="300"/>
      <c r="B154" s="158"/>
      <c r="C154" s="267"/>
      <c r="D154" s="301"/>
      <c r="E154" s="302"/>
      <c r="F154" s="265"/>
      <c r="G154" s="265"/>
      <c r="H154" s="283"/>
      <c r="I154" s="283"/>
      <c r="J154" s="262"/>
      <c r="K154" s="262"/>
    </row>
    <row r="155">
      <c r="A155" s="300"/>
      <c r="B155" s="158"/>
      <c r="C155" s="267"/>
      <c r="D155" s="301"/>
      <c r="E155" s="302"/>
      <c r="F155" s="265"/>
      <c r="G155" s="265"/>
      <c r="H155" s="261"/>
      <c r="I155" s="261"/>
      <c r="J155" s="262"/>
      <c r="K155" s="262"/>
    </row>
    <row r="156">
      <c r="A156" s="300"/>
      <c r="B156" s="158"/>
      <c r="C156" s="267"/>
      <c r="D156" s="301"/>
      <c r="E156" s="302"/>
      <c r="F156" s="265"/>
      <c r="G156" s="265"/>
      <c r="H156" s="261"/>
      <c r="I156" s="261"/>
      <c r="J156" s="262"/>
      <c r="K156" s="262"/>
    </row>
    <row r="157">
      <c r="A157" s="300"/>
      <c r="B157" s="158"/>
      <c r="C157" s="267"/>
      <c r="D157" s="301"/>
      <c r="E157" s="302"/>
      <c r="F157" s="265"/>
      <c r="G157" s="265"/>
      <c r="H157" s="261"/>
      <c r="I157" s="261"/>
      <c r="J157" s="262"/>
      <c r="K157" s="262"/>
    </row>
    <row r="158">
      <c r="A158" s="300"/>
      <c r="B158" s="158"/>
      <c r="C158" s="267"/>
      <c r="D158" s="301"/>
      <c r="E158" s="302"/>
      <c r="F158" s="265"/>
      <c r="G158" s="265"/>
      <c r="H158" s="261"/>
      <c r="I158" s="261"/>
      <c r="J158" s="262"/>
      <c r="K158" s="262"/>
    </row>
    <row r="159">
      <c r="A159" s="300"/>
      <c r="B159" s="158"/>
      <c r="C159" s="267"/>
      <c r="D159" s="301"/>
      <c r="E159" s="302"/>
      <c r="F159" s="265"/>
      <c r="G159" s="265"/>
      <c r="H159" s="261"/>
      <c r="I159" s="261"/>
      <c r="J159" s="262"/>
      <c r="K159" s="262"/>
    </row>
    <row r="160">
      <c r="A160" s="300"/>
      <c r="B160" s="158"/>
      <c r="C160" s="267"/>
      <c r="D160" s="301"/>
      <c r="E160" s="302"/>
      <c r="F160" s="265"/>
      <c r="G160" s="265"/>
      <c r="H160" s="261"/>
      <c r="I160" s="261"/>
      <c r="J160" s="262"/>
      <c r="K160" s="262"/>
    </row>
    <row r="161">
      <c r="A161" s="300"/>
      <c r="B161" s="158"/>
      <c r="C161" s="267"/>
      <c r="D161" s="301"/>
      <c r="E161" s="302"/>
      <c r="F161" s="265"/>
      <c r="G161" s="265"/>
      <c r="H161" s="261"/>
      <c r="I161" s="261"/>
      <c r="J161" s="262"/>
      <c r="K161" s="262"/>
    </row>
    <row r="162">
      <c r="A162" s="300"/>
      <c r="B162" s="158"/>
      <c r="C162" s="267"/>
      <c r="D162" s="301"/>
      <c r="E162" s="302"/>
      <c r="F162" s="265"/>
      <c r="G162" s="265"/>
      <c r="H162" s="261"/>
      <c r="I162" s="261"/>
      <c r="J162" s="262"/>
      <c r="K162" s="262"/>
    </row>
  </sheetData>
  <mergeCells count="16">
    <mergeCell ref="C7:C8"/>
    <mergeCell ref="D7:D8"/>
    <mergeCell ref="B31:G31"/>
    <mergeCell ref="B128:G128"/>
    <mergeCell ref="E7:E8"/>
    <mergeCell ref="F7:F8"/>
    <mergeCell ref="G7:G8"/>
    <mergeCell ref="H7:K7"/>
    <mergeCell ref="C2:F2"/>
    <mergeCell ref="B3:C3"/>
    <mergeCell ref="D3:E3"/>
    <mergeCell ref="B4:C4"/>
    <mergeCell ref="D4:E4"/>
    <mergeCell ref="A7:A8"/>
    <mergeCell ref="B7:B8"/>
    <mergeCell ref="B9:G9"/>
  </mergeCells>
  <conditionalFormatting sqref="H9:H162">
    <cfRule type="cellIs" dxfId="0" priority="1" operator="equal">
      <formula>"Block"</formula>
    </cfRule>
  </conditionalFormatting>
  <conditionalFormatting sqref="H9:H162">
    <cfRule type="cellIs" dxfId="1" priority="2" operator="equal">
      <formula>"Fail"</formula>
    </cfRule>
  </conditionalFormatting>
  <conditionalFormatting sqref="H9:H162">
    <cfRule type="cellIs" dxfId="2" priority="3" operator="equal">
      <formula>"Pass"</formula>
    </cfRule>
  </conditionalFormatting>
  <conditionalFormatting sqref="H9:H162">
    <cfRule type="cellIs" dxfId="3" priority="4" operator="equal">
      <formula>"N/A"</formula>
    </cfRule>
  </conditionalFormatting>
  <conditionalFormatting sqref="H9:H162">
    <cfRule type="cellIs" dxfId="4" priority="5" operator="equal">
      <formula>"Block"</formula>
    </cfRule>
  </conditionalFormatting>
  <conditionalFormatting sqref="H9:H162">
    <cfRule type="cellIs" dxfId="5" priority="6" operator="equal">
      <formula>"Fail"</formula>
    </cfRule>
  </conditionalFormatting>
  <conditionalFormatting sqref="H9:H162">
    <cfRule type="cellIs" dxfId="6" priority="7" operator="equal">
      <formula>"Pass"</formula>
    </cfRule>
  </conditionalFormatting>
  <conditionalFormatting sqref="H9:H162">
    <cfRule type="cellIs" dxfId="7" priority="8" operator="equal">
      <formula>"N/A"</formula>
    </cfRule>
  </conditionalFormatting>
  <conditionalFormatting sqref="H9:H162">
    <cfRule type="cellIs" dxfId="0" priority="9" operator="equal">
      <formula>"Block"</formula>
    </cfRule>
  </conditionalFormatting>
  <conditionalFormatting sqref="H9:H162">
    <cfRule type="cellIs" dxfId="1" priority="10" operator="equal">
      <formula>"Fail"</formula>
    </cfRule>
  </conditionalFormatting>
  <conditionalFormatting sqref="H9:H162">
    <cfRule type="cellIs" dxfId="2" priority="11" operator="equal">
      <formula>"Pass"</formula>
    </cfRule>
  </conditionalFormatting>
  <conditionalFormatting sqref="H9:H162">
    <cfRule type="cellIs" dxfId="3" priority="12" operator="equal">
      <formula>"N/A"</formula>
    </cfRule>
  </conditionalFormatting>
  <dataValidations>
    <dataValidation type="list" allowBlank="1" showErrorMessage="1" sqref="A10:A162">
      <formula1>"QC,AI"</formula1>
    </dataValidation>
    <dataValidation type="list" allowBlank="1" showErrorMessage="1" sqref="H9:H162">
      <formula1>"Pass,Fail,Block,N/A"</formula1>
    </dataValidation>
    <dataValidation type="list" allowBlank="1" showErrorMessage="1" sqref="C10:C30 C32:C127 C129:C162">
      <formula1>"High,Medium,Low"</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27.63"/>
    <col customWidth="1" min="5" max="5" width="40.38"/>
    <col customWidth="1" min="6" max="6" width="53.38"/>
    <col customWidth="1" min="7" max="7" width="8.38"/>
    <col customWidth="1" min="8" max="9" width="10.0"/>
    <col customWidth="1" min="10" max="10" width="10.75"/>
    <col customWidth="1" min="11" max="11" width="13.5"/>
    <col customWidth="1" min="12" max="12" width="14.88"/>
    <col customWidth="1" min="13" max="90" width="8.38"/>
  </cols>
  <sheetData>
    <row r="1" hidden="1" outlineLevel="1">
      <c r="A1" s="303"/>
      <c r="B1" s="234"/>
      <c r="C1" s="304"/>
      <c r="D1" s="235"/>
      <c r="E1" s="236"/>
      <c r="F1" s="237"/>
      <c r="G1" s="234"/>
      <c r="H1" s="234"/>
      <c r="I1" s="234"/>
      <c r="J1" s="240"/>
      <c r="K1" s="240"/>
      <c r="L1" s="241"/>
      <c r="M1" s="234"/>
      <c r="N1" s="240"/>
      <c r="O1" s="240"/>
      <c r="P1" s="241"/>
      <c r="Q1" s="234"/>
      <c r="R1" s="240"/>
      <c r="S1" s="240"/>
      <c r="T1" s="241"/>
      <c r="U1" s="234"/>
      <c r="V1" s="240"/>
      <c r="W1" s="240"/>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row>
    <row r="2" hidden="1" outlineLevel="1">
      <c r="A2" s="242"/>
      <c r="B2" s="305"/>
      <c r="C2" s="182"/>
      <c r="D2" s="182"/>
      <c r="E2" s="182"/>
      <c r="F2" s="244"/>
      <c r="G2" s="234"/>
      <c r="H2" s="234"/>
      <c r="I2" s="234"/>
      <c r="J2" s="240"/>
      <c r="K2" s="240"/>
      <c r="L2" s="241"/>
      <c r="M2" s="234"/>
      <c r="N2" s="240"/>
      <c r="O2" s="240"/>
      <c r="P2" s="241"/>
      <c r="Q2" s="234"/>
      <c r="R2" s="240"/>
      <c r="S2" s="240"/>
      <c r="T2" s="241"/>
      <c r="U2" s="234"/>
      <c r="V2" s="240"/>
      <c r="W2" s="240"/>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row>
    <row r="3" hidden="1" outlineLevel="1">
      <c r="A3" s="306" t="s">
        <v>122</v>
      </c>
      <c r="B3" s="122"/>
      <c r="C3" s="307" t="s">
        <v>114</v>
      </c>
      <c r="D3" s="122"/>
      <c r="E3" s="248"/>
      <c r="F3" s="249"/>
      <c r="G3" s="234"/>
      <c r="H3" s="234"/>
      <c r="I3" s="234"/>
      <c r="J3" s="240"/>
      <c r="K3" s="240"/>
      <c r="L3" s="241"/>
      <c r="M3" s="234"/>
      <c r="N3" s="240"/>
      <c r="O3" s="240"/>
      <c r="P3" s="248"/>
      <c r="Q3" s="234"/>
      <c r="R3" s="240"/>
      <c r="S3" s="240"/>
      <c r="T3" s="248"/>
      <c r="U3" s="234"/>
      <c r="V3" s="240"/>
      <c r="W3" s="240"/>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8"/>
      <c r="AV3" s="248"/>
      <c r="AW3" s="248"/>
      <c r="AX3" s="248"/>
      <c r="AY3" s="248"/>
      <c r="AZ3" s="248"/>
      <c r="BA3" s="248"/>
      <c r="BB3" s="248"/>
      <c r="BC3" s="248"/>
      <c r="BD3" s="248"/>
      <c r="BE3" s="248"/>
      <c r="BF3" s="248"/>
      <c r="BG3" s="248"/>
      <c r="BH3" s="248"/>
      <c r="BI3" s="248"/>
      <c r="BJ3" s="248"/>
      <c r="BK3" s="248"/>
      <c r="BL3" s="248"/>
      <c r="BM3" s="248"/>
      <c r="BN3" s="248"/>
      <c r="BO3" s="248"/>
      <c r="BP3" s="248"/>
      <c r="BQ3" s="248"/>
      <c r="BR3" s="248"/>
      <c r="BS3" s="248"/>
      <c r="BT3" s="248"/>
      <c r="BU3" s="248"/>
      <c r="BV3" s="248"/>
      <c r="BW3" s="248"/>
      <c r="BX3" s="248"/>
      <c r="BY3" s="248"/>
      <c r="BZ3" s="248"/>
      <c r="CA3" s="248"/>
      <c r="CB3" s="248"/>
      <c r="CC3" s="248"/>
      <c r="CD3" s="248"/>
      <c r="CE3" s="248"/>
      <c r="CF3" s="248"/>
      <c r="CG3" s="248"/>
      <c r="CH3" s="248"/>
      <c r="CI3" s="248"/>
      <c r="CJ3" s="248"/>
      <c r="CK3" s="248"/>
      <c r="CL3" s="248"/>
    </row>
    <row r="4" hidden="1" outlineLevel="1">
      <c r="A4" s="306" t="s">
        <v>123</v>
      </c>
      <c r="B4" s="122"/>
      <c r="C4" s="250" t="s">
        <v>22</v>
      </c>
      <c r="D4" s="122"/>
      <c r="E4" s="248"/>
      <c r="F4" s="249"/>
      <c r="G4" s="234"/>
      <c r="H4" s="234"/>
      <c r="I4" s="234"/>
      <c r="J4" s="240"/>
      <c r="K4" s="240"/>
      <c r="L4" s="241"/>
      <c r="M4" s="234"/>
      <c r="N4" s="240"/>
      <c r="O4" s="240"/>
      <c r="P4" s="248"/>
      <c r="Q4" s="234"/>
      <c r="R4" s="240"/>
      <c r="S4" s="240"/>
      <c r="T4" s="248"/>
      <c r="U4" s="234"/>
      <c r="V4" s="240"/>
      <c r="W4" s="240"/>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8"/>
      <c r="BR4" s="248"/>
      <c r="BS4" s="248"/>
      <c r="BT4" s="248"/>
      <c r="BU4" s="248"/>
      <c r="BV4" s="248"/>
      <c r="BW4" s="248"/>
      <c r="BX4" s="248"/>
      <c r="BY4" s="248"/>
      <c r="BZ4" s="248"/>
      <c r="CA4" s="248"/>
      <c r="CB4" s="248"/>
      <c r="CC4" s="248"/>
      <c r="CD4" s="248"/>
      <c r="CE4" s="248"/>
      <c r="CF4" s="248"/>
      <c r="CG4" s="248"/>
      <c r="CH4" s="248"/>
      <c r="CI4" s="248"/>
      <c r="CJ4" s="248"/>
      <c r="CK4" s="248"/>
      <c r="CL4" s="248"/>
    </row>
    <row r="5" hidden="1" outlineLevel="1">
      <c r="A5" s="308"/>
      <c r="B5" s="308"/>
      <c r="C5" s="251"/>
      <c r="D5" s="251"/>
      <c r="E5" s="252"/>
      <c r="F5" s="253"/>
      <c r="G5" s="234"/>
      <c r="H5" s="234"/>
      <c r="I5" s="234"/>
      <c r="J5" s="240"/>
      <c r="K5" s="240"/>
      <c r="L5" s="241"/>
      <c r="M5" s="234"/>
      <c r="N5" s="240"/>
      <c r="O5" s="240"/>
      <c r="P5" s="241"/>
      <c r="Q5" s="234"/>
      <c r="R5" s="240"/>
      <c r="S5" s="240"/>
      <c r="T5" s="241"/>
      <c r="U5" s="234"/>
      <c r="V5" s="240"/>
      <c r="W5" s="240"/>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c r="BH5" s="241"/>
      <c r="BI5" s="241"/>
      <c r="BJ5" s="241"/>
      <c r="BK5" s="241"/>
      <c r="BL5" s="241"/>
      <c r="BM5" s="241"/>
      <c r="BN5" s="241"/>
      <c r="BO5" s="241"/>
      <c r="BP5" s="241"/>
      <c r="BQ5" s="241"/>
      <c r="BR5" s="241"/>
      <c r="BS5" s="241"/>
      <c r="BT5" s="241"/>
      <c r="BU5" s="241"/>
      <c r="BV5" s="241"/>
      <c r="BW5" s="241"/>
      <c r="BX5" s="241"/>
      <c r="BY5" s="241"/>
      <c r="BZ5" s="241"/>
      <c r="CA5" s="241"/>
      <c r="CB5" s="241"/>
      <c r="CC5" s="241"/>
      <c r="CD5" s="241"/>
      <c r="CE5" s="241"/>
      <c r="CF5" s="241"/>
      <c r="CG5" s="241"/>
      <c r="CH5" s="241"/>
      <c r="CI5" s="241"/>
      <c r="CJ5" s="241"/>
      <c r="CK5" s="241"/>
      <c r="CL5" s="241"/>
    </row>
    <row r="6" hidden="1" outlineLevel="1">
      <c r="A6" s="309"/>
      <c r="B6" s="309"/>
      <c r="C6" s="254"/>
      <c r="D6" s="254"/>
      <c r="E6" s="255"/>
      <c r="F6" s="253"/>
      <c r="G6" s="234"/>
      <c r="H6" s="234"/>
      <c r="I6" s="234"/>
      <c r="J6" s="240"/>
      <c r="K6" s="240"/>
      <c r="L6" s="241"/>
      <c r="M6" s="234"/>
      <c r="N6" s="240"/>
      <c r="O6" s="240"/>
      <c r="P6" s="241"/>
      <c r="Q6" s="234"/>
      <c r="R6" s="240"/>
      <c r="S6" s="240"/>
      <c r="T6" s="241"/>
      <c r="U6" s="234"/>
      <c r="V6" s="240"/>
      <c r="W6" s="240"/>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1"/>
      <c r="BK6" s="241"/>
      <c r="BL6" s="241"/>
      <c r="BM6" s="241"/>
      <c r="BN6" s="241"/>
      <c r="BO6" s="241"/>
      <c r="BP6" s="241"/>
      <c r="BQ6" s="241"/>
      <c r="BR6" s="241"/>
      <c r="BS6" s="241"/>
      <c r="BT6" s="241"/>
      <c r="BU6" s="241"/>
      <c r="BV6" s="241"/>
      <c r="BW6" s="241"/>
      <c r="BX6" s="241"/>
      <c r="BY6" s="241"/>
      <c r="BZ6" s="241"/>
      <c r="CA6" s="241"/>
      <c r="CB6" s="241"/>
      <c r="CC6" s="241"/>
      <c r="CD6" s="241"/>
      <c r="CE6" s="241"/>
      <c r="CF6" s="241"/>
      <c r="CG6" s="241"/>
      <c r="CH6" s="241"/>
      <c r="CI6" s="241"/>
      <c r="CJ6" s="241"/>
      <c r="CK6" s="241"/>
      <c r="CL6" s="241"/>
    </row>
    <row r="7">
      <c r="A7" s="310" t="s">
        <v>126</v>
      </c>
      <c r="B7" s="310" t="s">
        <v>127</v>
      </c>
      <c r="C7" s="146" t="s">
        <v>128</v>
      </c>
      <c r="D7" s="146" t="s">
        <v>129</v>
      </c>
      <c r="E7" s="146" t="s">
        <v>130</v>
      </c>
      <c r="F7" s="311" t="s">
        <v>131</v>
      </c>
      <c r="G7" s="312" t="str">
        <f>Summary!G8</f>
        <v>Round 1 (09/04/2026 - 15/04/2026)</v>
      </c>
      <c r="H7" s="313"/>
      <c r="I7" s="313"/>
      <c r="J7" s="313"/>
      <c r="K7" s="313"/>
      <c r="L7" s="314"/>
      <c r="M7" s="312" t="str">
        <f>Summary!L8</f>
        <v>Round 2 (dd/mm/yyyy - dd/mm/yyyy)</v>
      </c>
      <c r="N7" s="313"/>
      <c r="O7" s="313"/>
      <c r="P7" s="314"/>
      <c r="Q7" s="315" t="str">
        <f>Summary!Q8</f>
        <v>Round 3(dd/mm/yyyy - dd/mm/yyyy)</v>
      </c>
      <c r="R7" s="148"/>
      <c r="S7" s="148"/>
      <c r="T7" s="171"/>
      <c r="U7" s="315" t="str">
        <f>Summary!V8</f>
        <v>Round 4 (dd/mm/yyyy - dd/mm/yyyy)</v>
      </c>
      <c r="V7" s="148"/>
      <c r="W7" s="148"/>
      <c r="X7" s="171"/>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c r="BO7" s="316"/>
      <c r="BP7" s="316"/>
      <c r="BQ7" s="316"/>
      <c r="BR7" s="316"/>
      <c r="BS7" s="316"/>
      <c r="BT7" s="316"/>
      <c r="BU7" s="316"/>
      <c r="BV7" s="316"/>
      <c r="BW7" s="316"/>
      <c r="BX7" s="316"/>
      <c r="BY7" s="316"/>
      <c r="BZ7" s="316"/>
      <c r="CA7" s="316"/>
      <c r="CB7" s="316"/>
      <c r="CC7" s="316"/>
      <c r="CD7" s="316"/>
      <c r="CE7" s="316"/>
      <c r="CF7" s="316"/>
      <c r="CG7" s="316"/>
      <c r="CH7" s="316"/>
      <c r="CI7" s="316"/>
      <c r="CJ7" s="316"/>
      <c r="CK7" s="316"/>
      <c r="CL7" s="316"/>
    </row>
    <row r="8">
      <c r="A8" s="56"/>
      <c r="B8" s="56"/>
      <c r="C8" s="56"/>
      <c r="D8" s="56"/>
      <c r="E8" s="56"/>
      <c r="F8" s="56"/>
      <c r="G8" s="315" t="s">
        <v>132</v>
      </c>
      <c r="H8" s="148"/>
      <c r="I8" s="171"/>
      <c r="J8" s="317" t="s">
        <v>133</v>
      </c>
      <c r="K8" s="317" t="s">
        <v>134</v>
      </c>
      <c r="L8" s="318" t="s">
        <v>135</v>
      </c>
      <c r="M8" s="317" t="s">
        <v>132</v>
      </c>
      <c r="N8" s="317" t="s">
        <v>133</v>
      </c>
      <c r="O8" s="317" t="s">
        <v>134</v>
      </c>
      <c r="P8" s="317" t="s">
        <v>135</v>
      </c>
      <c r="Q8" s="317" t="s">
        <v>132</v>
      </c>
      <c r="R8" s="317" t="s">
        <v>133</v>
      </c>
      <c r="S8" s="317" t="s">
        <v>134</v>
      </c>
      <c r="T8" s="317" t="s">
        <v>135</v>
      </c>
      <c r="U8" s="317" t="s">
        <v>132</v>
      </c>
      <c r="V8" s="317" t="s">
        <v>133</v>
      </c>
      <c r="W8" s="317" t="s">
        <v>134</v>
      </c>
      <c r="X8" s="317" t="s">
        <v>135</v>
      </c>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6"/>
      <c r="BK8" s="316"/>
      <c r="BL8" s="316"/>
      <c r="BM8" s="316"/>
      <c r="BN8" s="316"/>
      <c r="BO8" s="316"/>
      <c r="BP8" s="316"/>
      <c r="BQ8" s="316"/>
      <c r="BR8" s="316"/>
      <c r="BS8" s="316"/>
      <c r="BT8" s="316"/>
      <c r="BU8" s="316"/>
      <c r="BV8" s="316"/>
      <c r="BW8" s="316"/>
      <c r="BX8" s="316"/>
      <c r="BY8" s="316"/>
      <c r="BZ8" s="316"/>
      <c r="CA8" s="316"/>
      <c r="CB8" s="316"/>
      <c r="CC8" s="316"/>
      <c r="CD8" s="316"/>
      <c r="CE8" s="316"/>
      <c r="CF8" s="316"/>
      <c r="CG8" s="316"/>
      <c r="CH8" s="316"/>
      <c r="CI8" s="316"/>
      <c r="CJ8" s="316"/>
      <c r="CK8" s="316"/>
      <c r="CL8" s="316"/>
    </row>
    <row r="9">
      <c r="A9" s="319" t="s">
        <v>1068</v>
      </c>
      <c r="B9" s="148"/>
      <c r="C9" s="148"/>
      <c r="D9" s="148"/>
      <c r="E9" s="148"/>
      <c r="F9" s="171"/>
      <c r="G9" s="320" t="s">
        <v>1069</v>
      </c>
      <c r="H9" s="320" t="s">
        <v>1070</v>
      </c>
      <c r="I9" s="320" t="s">
        <v>1071</v>
      </c>
      <c r="J9" s="158"/>
      <c r="K9" s="273"/>
      <c r="L9" s="321"/>
      <c r="M9" s="273"/>
      <c r="N9" s="273"/>
      <c r="O9" s="273"/>
      <c r="P9" s="273"/>
      <c r="Q9" s="273"/>
      <c r="R9" s="273"/>
      <c r="S9" s="273"/>
      <c r="T9" s="273"/>
      <c r="U9" s="265"/>
      <c r="V9" s="273"/>
      <c r="W9" s="273"/>
      <c r="X9" s="273"/>
      <c r="Y9" s="249"/>
      <c r="Z9" s="249"/>
      <c r="AA9" s="249"/>
      <c r="AB9" s="249"/>
      <c r="AC9" s="249"/>
      <c r="AD9" s="249"/>
      <c r="AE9" s="249"/>
      <c r="AF9" s="249"/>
      <c r="AG9" s="249"/>
      <c r="AH9" s="249"/>
      <c r="AI9" s="249"/>
      <c r="AJ9" s="249"/>
      <c r="AK9" s="249"/>
      <c r="AL9" s="249"/>
      <c r="AM9" s="249"/>
      <c r="AN9" s="249"/>
      <c r="AO9" s="249"/>
      <c r="AP9" s="249"/>
      <c r="AQ9" s="249"/>
      <c r="AR9" s="249"/>
      <c r="AS9" s="249"/>
      <c r="AT9" s="249"/>
      <c r="AU9" s="249"/>
      <c r="AV9" s="249"/>
      <c r="AW9" s="249"/>
      <c r="AX9" s="249"/>
      <c r="AY9" s="249"/>
      <c r="AZ9" s="249"/>
      <c r="BA9" s="249"/>
      <c r="BB9" s="249"/>
      <c r="BC9" s="249"/>
      <c r="BD9" s="249"/>
      <c r="BE9" s="249"/>
      <c r="BF9" s="249"/>
      <c r="BG9" s="249"/>
      <c r="BH9" s="249"/>
      <c r="BI9" s="249"/>
      <c r="BJ9" s="249"/>
      <c r="BK9" s="249"/>
      <c r="BL9" s="249"/>
      <c r="BM9" s="249"/>
      <c r="BN9" s="249"/>
      <c r="BO9" s="249"/>
      <c r="BP9" s="249"/>
      <c r="BQ9" s="249"/>
      <c r="BR9" s="249"/>
      <c r="BS9" s="249"/>
      <c r="BT9" s="249"/>
      <c r="BU9" s="249"/>
      <c r="BV9" s="249"/>
      <c r="BW9" s="249"/>
      <c r="BX9" s="249"/>
      <c r="BY9" s="249"/>
      <c r="BZ9" s="249"/>
      <c r="CA9" s="249"/>
      <c r="CB9" s="249"/>
      <c r="CC9" s="249"/>
      <c r="CD9" s="249"/>
      <c r="CE9" s="249"/>
      <c r="CF9" s="249"/>
      <c r="CG9" s="249"/>
      <c r="CH9" s="249"/>
      <c r="CI9" s="249"/>
      <c r="CJ9" s="249"/>
      <c r="CK9" s="249"/>
      <c r="CL9" s="249"/>
    </row>
    <row r="10">
      <c r="A10" s="322" t="s">
        <v>1072</v>
      </c>
      <c r="B10" s="148"/>
      <c r="C10" s="148"/>
      <c r="D10" s="148"/>
      <c r="E10" s="148"/>
      <c r="F10" s="171"/>
      <c r="G10" s="323"/>
      <c r="H10" s="323"/>
      <c r="I10" s="323"/>
      <c r="J10" s="158"/>
      <c r="K10" s="273"/>
      <c r="L10" s="321"/>
      <c r="M10" s="273"/>
      <c r="N10" s="273"/>
      <c r="O10" s="273"/>
      <c r="P10" s="273"/>
      <c r="Q10" s="273"/>
      <c r="R10" s="273"/>
      <c r="S10" s="273"/>
      <c r="T10" s="273"/>
      <c r="U10" s="265"/>
      <c r="V10" s="273"/>
      <c r="W10" s="273"/>
      <c r="X10" s="273"/>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49"/>
      <c r="AU10" s="249"/>
      <c r="AV10" s="249"/>
      <c r="AW10" s="249"/>
      <c r="AX10" s="249"/>
      <c r="AY10" s="249"/>
      <c r="AZ10" s="249"/>
      <c r="BA10" s="249"/>
      <c r="BB10" s="249"/>
      <c r="BC10" s="249"/>
      <c r="BD10" s="249"/>
      <c r="BE10" s="249"/>
      <c r="BF10" s="249"/>
      <c r="BG10" s="249"/>
      <c r="BH10" s="249"/>
      <c r="BI10" s="249"/>
      <c r="BJ10" s="249"/>
      <c r="BK10" s="249"/>
      <c r="BL10" s="249"/>
      <c r="BM10" s="249"/>
      <c r="BN10" s="249"/>
      <c r="BO10" s="249"/>
      <c r="BP10" s="249"/>
      <c r="BQ10" s="249"/>
      <c r="BR10" s="249"/>
      <c r="BS10" s="249"/>
      <c r="BT10" s="249"/>
      <c r="BU10" s="249"/>
      <c r="BV10" s="249"/>
      <c r="BW10" s="249"/>
      <c r="BX10" s="249"/>
      <c r="BY10" s="249"/>
      <c r="BZ10" s="249"/>
      <c r="CA10" s="249"/>
      <c r="CB10" s="249"/>
      <c r="CC10" s="249"/>
      <c r="CD10" s="249"/>
      <c r="CE10" s="249"/>
      <c r="CF10" s="249"/>
      <c r="CG10" s="249"/>
      <c r="CH10" s="249"/>
      <c r="CI10" s="249"/>
      <c r="CJ10" s="249"/>
      <c r="CK10" s="249"/>
      <c r="CL10" s="249"/>
    </row>
    <row r="11">
      <c r="A11" s="324" t="s">
        <v>1073</v>
      </c>
      <c r="B11" s="148"/>
      <c r="C11" s="148"/>
      <c r="D11" s="148"/>
      <c r="E11" s="148"/>
      <c r="F11" s="171"/>
      <c r="G11" s="323"/>
      <c r="H11" s="323"/>
      <c r="I11" s="323"/>
      <c r="J11" s="158"/>
      <c r="K11" s="273"/>
      <c r="L11" s="321"/>
      <c r="M11" s="273"/>
      <c r="N11" s="273"/>
      <c r="O11" s="273"/>
      <c r="P11" s="273"/>
      <c r="Q11" s="273"/>
      <c r="R11" s="273"/>
      <c r="S11" s="273"/>
      <c r="T11" s="273"/>
      <c r="U11" s="265"/>
      <c r="V11" s="273"/>
      <c r="W11" s="273"/>
      <c r="X11" s="273"/>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49"/>
      <c r="AX11" s="249"/>
      <c r="AY11" s="249"/>
      <c r="AZ11" s="249"/>
      <c r="BA11" s="249"/>
      <c r="BB11" s="249"/>
      <c r="BC11" s="249"/>
      <c r="BD11" s="249"/>
      <c r="BE11" s="249"/>
      <c r="BF11" s="249"/>
      <c r="BG11" s="249"/>
      <c r="BH11" s="249"/>
      <c r="BI11" s="249"/>
      <c r="BJ11" s="249"/>
      <c r="BK11" s="249"/>
      <c r="BL11" s="249"/>
      <c r="BM11" s="249"/>
      <c r="BN11" s="249"/>
      <c r="BO11" s="249"/>
      <c r="BP11" s="249"/>
      <c r="BQ11" s="249"/>
      <c r="BR11" s="249"/>
      <c r="BS11" s="249"/>
      <c r="BT11" s="249"/>
      <c r="BU11" s="249"/>
      <c r="BV11" s="249"/>
      <c r="BW11" s="249"/>
      <c r="BX11" s="249"/>
      <c r="BY11" s="249"/>
      <c r="BZ11" s="249"/>
      <c r="CA11" s="249"/>
      <c r="CB11" s="249"/>
      <c r="CC11" s="249"/>
      <c r="CD11" s="249"/>
      <c r="CE11" s="249"/>
      <c r="CF11" s="249"/>
      <c r="CG11" s="249"/>
      <c r="CH11" s="249"/>
      <c r="CI11" s="249"/>
      <c r="CJ11" s="249"/>
      <c r="CK11" s="249"/>
      <c r="CL11" s="249"/>
    </row>
    <row r="12" outlineLevel="1">
      <c r="A12" s="325" t="str">
        <f t="shared" ref="A12:A14" si="1">IF(E12="","",$C$3&amp;"."&amp;COUNTA($E$12:E12)&amp;"")</f>
        <v>TC_01.1</v>
      </c>
      <c r="B12" s="326" t="s">
        <v>75</v>
      </c>
      <c r="C12" s="327" t="s">
        <v>1074</v>
      </c>
      <c r="D12" s="328" t="s">
        <v>1075</v>
      </c>
      <c r="E12" s="329" t="s">
        <v>1076</v>
      </c>
      <c r="F12" s="330" t="s">
        <v>1077</v>
      </c>
      <c r="G12" s="43"/>
      <c r="H12" s="43"/>
      <c r="I12" s="43"/>
      <c r="J12" s="323"/>
      <c r="K12" s="325"/>
      <c r="L12" s="60"/>
      <c r="M12" s="61"/>
      <c r="N12" s="325"/>
      <c r="O12" s="325"/>
      <c r="P12" s="331"/>
      <c r="Q12" s="61"/>
      <c r="R12" s="325"/>
      <c r="S12" s="325"/>
      <c r="T12" s="331"/>
      <c r="U12" s="43"/>
      <c r="V12" s="325"/>
      <c r="W12" s="325"/>
      <c r="X12" s="331"/>
      <c r="Y12" s="332"/>
      <c r="Z12" s="332"/>
      <c r="AA12" s="332"/>
      <c r="AB12" s="332"/>
      <c r="AC12" s="332"/>
      <c r="AD12" s="332"/>
      <c r="AE12" s="332"/>
      <c r="AF12" s="332"/>
      <c r="AG12" s="332"/>
      <c r="AH12" s="332"/>
      <c r="AI12" s="332"/>
      <c r="AJ12" s="332"/>
      <c r="AK12" s="332"/>
      <c r="AL12" s="332"/>
      <c r="AM12" s="332"/>
      <c r="AN12" s="332"/>
      <c r="AO12" s="332"/>
      <c r="AP12" s="332"/>
      <c r="AQ12" s="332"/>
      <c r="AR12" s="332"/>
      <c r="AS12" s="332"/>
      <c r="AT12" s="332"/>
      <c r="AU12" s="332"/>
      <c r="AV12" s="332"/>
      <c r="AW12" s="332"/>
      <c r="AX12" s="332"/>
      <c r="AY12" s="332"/>
      <c r="AZ12" s="332"/>
      <c r="BA12" s="332"/>
      <c r="BB12" s="332"/>
      <c r="BC12" s="332"/>
      <c r="BD12" s="332"/>
      <c r="BE12" s="332"/>
      <c r="BF12" s="332"/>
      <c r="BG12" s="332"/>
      <c r="BH12" s="332"/>
      <c r="BI12" s="332"/>
      <c r="BJ12" s="332"/>
      <c r="BK12" s="332"/>
      <c r="BL12" s="332"/>
      <c r="BM12" s="332"/>
      <c r="BN12" s="332"/>
      <c r="BO12" s="332"/>
      <c r="BP12" s="332"/>
      <c r="BQ12" s="332"/>
      <c r="BR12" s="332"/>
      <c r="BS12" s="332"/>
      <c r="BT12" s="332"/>
      <c r="BU12" s="332"/>
      <c r="BV12" s="332"/>
      <c r="BW12" s="332"/>
      <c r="BX12" s="332"/>
      <c r="BY12" s="332"/>
      <c r="BZ12" s="332"/>
      <c r="CA12" s="332"/>
      <c r="CB12" s="332"/>
      <c r="CC12" s="332"/>
      <c r="CD12" s="332"/>
      <c r="CE12" s="332"/>
      <c r="CF12" s="332"/>
      <c r="CG12" s="332"/>
      <c r="CH12" s="332"/>
      <c r="CI12" s="332"/>
      <c r="CJ12" s="332"/>
      <c r="CK12" s="332"/>
      <c r="CL12" s="332"/>
    </row>
    <row r="13" outlineLevel="1">
      <c r="A13" s="325" t="str">
        <f t="shared" si="1"/>
        <v>TC_01.2</v>
      </c>
      <c r="B13" s="326" t="s">
        <v>75</v>
      </c>
      <c r="C13" s="333" t="s">
        <v>1078</v>
      </c>
      <c r="D13" s="328" t="s">
        <v>1079</v>
      </c>
      <c r="E13" s="329" t="s">
        <v>1080</v>
      </c>
      <c r="F13" s="334" t="s">
        <v>1081</v>
      </c>
      <c r="G13" s="43"/>
      <c r="H13" s="43"/>
      <c r="I13" s="43"/>
      <c r="J13" s="323"/>
      <c r="K13" s="325"/>
      <c r="L13" s="60"/>
      <c r="M13" s="61"/>
      <c r="N13" s="325"/>
      <c r="O13" s="325"/>
      <c r="P13" s="331"/>
      <c r="Q13" s="61"/>
      <c r="R13" s="325"/>
      <c r="S13" s="325"/>
      <c r="T13" s="331"/>
      <c r="U13" s="43"/>
      <c r="V13" s="325"/>
      <c r="W13" s="325"/>
      <c r="X13" s="331"/>
      <c r="Y13" s="332"/>
      <c r="Z13" s="332"/>
      <c r="AA13" s="332"/>
      <c r="AB13" s="332"/>
      <c r="AC13" s="332"/>
      <c r="AD13" s="332"/>
      <c r="AE13" s="332"/>
      <c r="AF13" s="332"/>
      <c r="AG13" s="332"/>
      <c r="AH13" s="332"/>
      <c r="AI13" s="332"/>
      <c r="AJ13" s="332"/>
      <c r="AK13" s="332"/>
      <c r="AL13" s="332"/>
      <c r="AM13" s="332"/>
      <c r="AN13" s="332"/>
      <c r="AO13" s="332"/>
      <c r="AP13" s="332"/>
      <c r="AQ13" s="332"/>
      <c r="AR13" s="332"/>
      <c r="AS13" s="332"/>
      <c r="AT13" s="332"/>
      <c r="AU13" s="332"/>
      <c r="AV13" s="332"/>
      <c r="AW13" s="332"/>
      <c r="AX13" s="332"/>
      <c r="AY13" s="332"/>
      <c r="AZ13" s="332"/>
      <c r="BA13" s="332"/>
      <c r="BB13" s="332"/>
      <c r="BC13" s="332"/>
      <c r="BD13" s="332"/>
      <c r="BE13" s="332"/>
      <c r="BF13" s="332"/>
      <c r="BG13" s="332"/>
      <c r="BH13" s="332"/>
      <c r="BI13" s="332"/>
      <c r="BJ13" s="332"/>
      <c r="BK13" s="332"/>
      <c r="BL13" s="332"/>
      <c r="BM13" s="332"/>
      <c r="BN13" s="332"/>
      <c r="BO13" s="332"/>
      <c r="BP13" s="332"/>
      <c r="BQ13" s="332"/>
      <c r="BR13" s="332"/>
      <c r="BS13" s="332"/>
      <c r="BT13" s="332"/>
      <c r="BU13" s="332"/>
      <c r="BV13" s="332"/>
      <c r="BW13" s="332"/>
      <c r="BX13" s="332"/>
      <c r="BY13" s="332"/>
      <c r="BZ13" s="332"/>
      <c r="CA13" s="332"/>
      <c r="CB13" s="332"/>
      <c r="CC13" s="332"/>
      <c r="CD13" s="332"/>
      <c r="CE13" s="332"/>
      <c r="CF13" s="332"/>
      <c r="CG13" s="332"/>
      <c r="CH13" s="332"/>
      <c r="CI13" s="332"/>
      <c r="CJ13" s="332"/>
      <c r="CK13" s="332"/>
      <c r="CL13" s="332"/>
    </row>
    <row r="14" outlineLevel="1">
      <c r="A14" s="325" t="str">
        <f t="shared" si="1"/>
        <v>TC_01.3</v>
      </c>
      <c r="B14" s="326" t="s">
        <v>75</v>
      </c>
      <c r="C14" s="335" t="s">
        <v>1082</v>
      </c>
      <c r="D14" s="328" t="s">
        <v>1075</v>
      </c>
      <c r="E14" s="329" t="s">
        <v>1083</v>
      </c>
      <c r="F14" s="334" t="s">
        <v>1084</v>
      </c>
      <c r="G14" s="43"/>
      <c r="H14" s="43"/>
      <c r="I14" s="43"/>
      <c r="J14" s="323"/>
      <c r="K14" s="325"/>
      <c r="L14" s="60"/>
      <c r="M14" s="61"/>
      <c r="N14" s="325"/>
      <c r="O14" s="325"/>
      <c r="P14" s="331"/>
      <c r="Q14" s="61"/>
      <c r="R14" s="325"/>
      <c r="S14" s="325"/>
      <c r="T14" s="331"/>
      <c r="U14" s="43"/>
      <c r="V14" s="325"/>
      <c r="W14" s="325"/>
      <c r="X14" s="331"/>
      <c r="Y14" s="332"/>
      <c r="Z14" s="332"/>
      <c r="AA14" s="332"/>
      <c r="AB14" s="332"/>
      <c r="AC14" s="332"/>
      <c r="AD14" s="332"/>
      <c r="AE14" s="332"/>
      <c r="AF14" s="332"/>
      <c r="AG14" s="332"/>
      <c r="AH14" s="332"/>
      <c r="AI14" s="332"/>
      <c r="AJ14" s="332"/>
      <c r="AK14" s="332"/>
      <c r="AL14" s="332"/>
      <c r="AM14" s="332"/>
      <c r="AN14" s="332"/>
      <c r="AO14" s="332"/>
      <c r="AP14" s="332"/>
      <c r="AQ14" s="332"/>
      <c r="AR14" s="332"/>
      <c r="AS14" s="332"/>
      <c r="AT14" s="332"/>
      <c r="AU14" s="332"/>
      <c r="AV14" s="332"/>
      <c r="AW14" s="332"/>
      <c r="AX14" s="332"/>
      <c r="AY14" s="332"/>
      <c r="AZ14" s="332"/>
      <c r="BA14" s="332"/>
      <c r="BB14" s="332"/>
      <c r="BC14" s="332"/>
      <c r="BD14" s="332"/>
      <c r="BE14" s="332"/>
      <c r="BF14" s="332"/>
      <c r="BG14" s="332"/>
      <c r="BH14" s="332"/>
      <c r="BI14" s="332"/>
      <c r="BJ14" s="332"/>
      <c r="BK14" s="332"/>
      <c r="BL14" s="332"/>
      <c r="BM14" s="332"/>
      <c r="BN14" s="332"/>
      <c r="BO14" s="332"/>
      <c r="BP14" s="332"/>
      <c r="BQ14" s="332"/>
      <c r="BR14" s="332"/>
      <c r="BS14" s="332"/>
      <c r="BT14" s="332"/>
      <c r="BU14" s="332"/>
      <c r="BV14" s="332"/>
      <c r="BW14" s="332"/>
      <c r="BX14" s="332"/>
      <c r="BY14" s="332"/>
      <c r="BZ14" s="332"/>
      <c r="CA14" s="332"/>
      <c r="CB14" s="332"/>
      <c r="CC14" s="332"/>
      <c r="CD14" s="332"/>
      <c r="CE14" s="332"/>
      <c r="CF14" s="332"/>
      <c r="CG14" s="332"/>
      <c r="CH14" s="332"/>
      <c r="CI14" s="332"/>
      <c r="CJ14" s="332"/>
      <c r="CK14" s="332"/>
      <c r="CL14" s="332"/>
    </row>
    <row r="15">
      <c r="A15" s="324" t="s">
        <v>1085</v>
      </c>
      <c r="B15" s="148"/>
      <c r="C15" s="148"/>
      <c r="D15" s="148"/>
      <c r="E15" s="148"/>
      <c r="F15" s="171"/>
      <c r="G15" s="43"/>
      <c r="H15" s="43"/>
      <c r="I15" s="43"/>
      <c r="J15" s="325"/>
      <c r="K15" s="325"/>
      <c r="L15" s="60"/>
      <c r="M15" s="61"/>
      <c r="N15" s="325"/>
      <c r="O15" s="325"/>
      <c r="P15" s="331"/>
      <c r="Q15" s="61"/>
      <c r="R15" s="325"/>
      <c r="S15" s="325"/>
      <c r="T15" s="331"/>
      <c r="U15" s="43"/>
      <c r="V15" s="325"/>
      <c r="W15" s="325"/>
      <c r="X15" s="331"/>
      <c r="Y15" s="332"/>
      <c r="Z15" s="332"/>
      <c r="AA15" s="332"/>
      <c r="AB15" s="332"/>
      <c r="AC15" s="332"/>
      <c r="AD15" s="332"/>
      <c r="AE15" s="332"/>
      <c r="AF15" s="332"/>
      <c r="AG15" s="332"/>
      <c r="AH15" s="332"/>
      <c r="AI15" s="332"/>
      <c r="AJ15" s="332"/>
      <c r="AK15" s="332"/>
      <c r="AL15" s="332"/>
      <c r="AM15" s="332"/>
      <c r="AN15" s="332"/>
      <c r="AO15" s="332"/>
      <c r="AP15" s="332"/>
      <c r="AQ15" s="332"/>
      <c r="AR15" s="332"/>
      <c r="AS15" s="332"/>
      <c r="AT15" s="332"/>
      <c r="AU15" s="332"/>
      <c r="AV15" s="332"/>
      <c r="AW15" s="332"/>
      <c r="AX15" s="332"/>
      <c r="AY15" s="332"/>
      <c r="AZ15" s="332"/>
      <c r="BA15" s="332"/>
      <c r="BB15" s="332"/>
      <c r="BC15" s="332"/>
      <c r="BD15" s="332"/>
      <c r="BE15" s="332"/>
      <c r="BF15" s="332"/>
      <c r="BG15" s="332"/>
      <c r="BH15" s="332"/>
      <c r="BI15" s="332"/>
      <c r="BJ15" s="332"/>
      <c r="BK15" s="332"/>
      <c r="BL15" s="332"/>
      <c r="BM15" s="332"/>
      <c r="BN15" s="332"/>
      <c r="BO15" s="332"/>
      <c r="BP15" s="332"/>
      <c r="BQ15" s="332"/>
      <c r="BR15" s="332"/>
      <c r="BS15" s="332"/>
      <c r="BT15" s="332"/>
      <c r="BU15" s="332"/>
      <c r="BV15" s="332"/>
      <c r="BW15" s="332"/>
      <c r="BX15" s="332"/>
      <c r="BY15" s="332"/>
      <c r="BZ15" s="332"/>
      <c r="CA15" s="332"/>
      <c r="CB15" s="332"/>
      <c r="CC15" s="332"/>
      <c r="CD15" s="332"/>
      <c r="CE15" s="332"/>
      <c r="CF15" s="332"/>
      <c r="CG15" s="332"/>
      <c r="CH15" s="332"/>
      <c r="CI15" s="332"/>
      <c r="CJ15" s="332"/>
      <c r="CK15" s="332"/>
      <c r="CL15" s="332"/>
    </row>
    <row r="16" outlineLevel="1">
      <c r="A16" s="325" t="str">
        <f t="shared" ref="A16:A18" si="2">IF(E16="","",$C$3&amp;"."&amp;COUNTA($E$12:E16)&amp;"")</f>
        <v>TC_01.4</v>
      </c>
      <c r="B16" s="326" t="s">
        <v>75</v>
      </c>
      <c r="C16" s="336" t="s">
        <v>1086</v>
      </c>
      <c r="D16" s="328" t="s">
        <v>1075</v>
      </c>
      <c r="E16" s="329" t="s">
        <v>1087</v>
      </c>
      <c r="F16" s="329" t="s">
        <v>1088</v>
      </c>
      <c r="G16" s="43"/>
      <c r="H16" s="43"/>
      <c r="I16" s="43"/>
      <c r="J16" s="323"/>
      <c r="K16" s="325"/>
      <c r="L16" s="46"/>
      <c r="M16" s="61"/>
      <c r="N16" s="325"/>
      <c r="O16" s="325"/>
      <c r="P16" s="331"/>
      <c r="Q16" s="61"/>
      <c r="R16" s="325"/>
      <c r="S16" s="325"/>
      <c r="T16" s="331"/>
      <c r="U16" s="43"/>
      <c r="V16" s="325"/>
      <c r="W16" s="325"/>
      <c r="X16" s="331"/>
      <c r="Y16" s="332"/>
      <c r="Z16" s="332"/>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32"/>
      <c r="BO16" s="332"/>
      <c r="BP16" s="332"/>
      <c r="BQ16" s="332"/>
      <c r="BR16" s="332"/>
      <c r="BS16" s="332"/>
      <c r="BT16" s="332"/>
      <c r="BU16" s="332"/>
      <c r="BV16" s="332"/>
      <c r="BW16" s="332"/>
      <c r="BX16" s="332"/>
      <c r="BY16" s="332"/>
      <c r="BZ16" s="332"/>
      <c r="CA16" s="332"/>
      <c r="CB16" s="332"/>
      <c r="CC16" s="332"/>
      <c r="CD16" s="332"/>
      <c r="CE16" s="332"/>
      <c r="CF16" s="332"/>
      <c r="CG16" s="332"/>
      <c r="CH16" s="332"/>
      <c r="CI16" s="332"/>
      <c r="CJ16" s="332"/>
      <c r="CK16" s="332"/>
      <c r="CL16" s="332"/>
    </row>
    <row r="17" outlineLevel="1">
      <c r="A17" s="325" t="str">
        <f t="shared" si="2"/>
        <v>TC_01.5</v>
      </c>
      <c r="B17" s="326" t="s">
        <v>75</v>
      </c>
      <c r="C17" s="327" t="s">
        <v>1089</v>
      </c>
      <c r="D17" s="328" t="s">
        <v>1090</v>
      </c>
      <c r="E17" s="329" t="s">
        <v>1091</v>
      </c>
      <c r="F17" s="329" t="s">
        <v>1092</v>
      </c>
      <c r="G17" s="43"/>
      <c r="H17" s="43"/>
      <c r="I17" s="43"/>
      <c r="J17" s="323"/>
      <c r="K17" s="325"/>
      <c r="L17" s="60"/>
      <c r="M17" s="61"/>
      <c r="N17" s="325"/>
      <c r="O17" s="325"/>
      <c r="P17" s="331"/>
      <c r="Q17" s="61"/>
      <c r="R17" s="325"/>
      <c r="S17" s="325"/>
      <c r="T17" s="331"/>
      <c r="U17" s="43"/>
      <c r="V17" s="325"/>
      <c r="W17" s="325"/>
      <c r="X17" s="331"/>
      <c r="Y17" s="332"/>
      <c r="Z17" s="332"/>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2"/>
      <c r="BR17" s="332"/>
      <c r="BS17" s="332"/>
      <c r="BT17" s="332"/>
      <c r="BU17" s="332"/>
      <c r="BV17" s="332"/>
      <c r="BW17" s="332"/>
      <c r="BX17" s="332"/>
      <c r="BY17" s="332"/>
      <c r="BZ17" s="332"/>
      <c r="CA17" s="332"/>
      <c r="CB17" s="332"/>
      <c r="CC17" s="332"/>
      <c r="CD17" s="332"/>
      <c r="CE17" s="332"/>
      <c r="CF17" s="332"/>
      <c r="CG17" s="332"/>
      <c r="CH17" s="332"/>
      <c r="CI17" s="332"/>
      <c r="CJ17" s="332"/>
      <c r="CK17" s="332"/>
      <c r="CL17" s="332"/>
    </row>
    <row r="18" outlineLevel="1">
      <c r="A18" s="325" t="str">
        <f t="shared" si="2"/>
        <v>TC_01.6</v>
      </c>
      <c r="B18" s="326" t="s">
        <v>75</v>
      </c>
      <c r="C18" s="327" t="s">
        <v>1093</v>
      </c>
      <c r="D18" s="328" t="s">
        <v>1094</v>
      </c>
      <c r="E18" s="329" t="s">
        <v>1095</v>
      </c>
      <c r="F18" s="329" t="s">
        <v>1096</v>
      </c>
      <c r="G18" s="43"/>
      <c r="H18" s="43"/>
      <c r="I18" s="43"/>
      <c r="J18" s="323"/>
      <c r="K18" s="325"/>
      <c r="L18" s="60"/>
      <c r="M18" s="61"/>
      <c r="N18" s="325"/>
      <c r="O18" s="325"/>
      <c r="P18" s="331"/>
      <c r="Q18" s="61"/>
      <c r="R18" s="325"/>
      <c r="S18" s="325"/>
      <c r="T18" s="331"/>
      <c r="U18" s="43"/>
      <c r="V18" s="325"/>
      <c r="W18" s="325"/>
      <c r="X18" s="331"/>
      <c r="Y18" s="332"/>
      <c r="Z18" s="332"/>
      <c r="AA18" s="332"/>
      <c r="AB18" s="332"/>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32"/>
      <c r="BO18" s="332"/>
      <c r="BP18" s="332"/>
      <c r="BQ18" s="332"/>
      <c r="BR18" s="332"/>
      <c r="BS18" s="332"/>
      <c r="BT18" s="332"/>
      <c r="BU18" s="332"/>
      <c r="BV18" s="332"/>
      <c r="BW18" s="332"/>
      <c r="BX18" s="332"/>
      <c r="BY18" s="332"/>
      <c r="BZ18" s="332"/>
      <c r="CA18" s="332"/>
      <c r="CB18" s="332"/>
      <c r="CC18" s="332"/>
      <c r="CD18" s="332"/>
      <c r="CE18" s="332"/>
      <c r="CF18" s="332"/>
      <c r="CG18" s="332"/>
      <c r="CH18" s="332"/>
      <c r="CI18" s="332"/>
      <c r="CJ18" s="332"/>
      <c r="CK18" s="332"/>
      <c r="CL18" s="332"/>
    </row>
    <row r="19">
      <c r="A19" s="324" t="s">
        <v>1097</v>
      </c>
      <c r="B19" s="148"/>
      <c r="C19" s="148"/>
      <c r="D19" s="148"/>
      <c r="E19" s="148"/>
      <c r="F19" s="171"/>
      <c r="G19" s="43"/>
      <c r="H19" s="43"/>
      <c r="I19" s="43"/>
      <c r="J19" s="325"/>
      <c r="K19" s="325"/>
      <c r="L19" s="60"/>
      <c r="M19" s="61"/>
      <c r="N19" s="325"/>
      <c r="O19" s="325"/>
      <c r="P19" s="331"/>
      <c r="Q19" s="61"/>
      <c r="R19" s="325"/>
      <c r="S19" s="325"/>
      <c r="T19" s="331"/>
      <c r="U19" s="43"/>
      <c r="V19" s="325"/>
      <c r="W19" s="325"/>
      <c r="X19" s="331"/>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2"/>
      <c r="AX19" s="332"/>
      <c r="AY19" s="332"/>
      <c r="AZ19" s="332"/>
      <c r="BA19" s="332"/>
      <c r="BB19" s="332"/>
      <c r="BC19" s="332"/>
      <c r="BD19" s="332"/>
      <c r="BE19" s="332"/>
      <c r="BF19" s="332"/>
      <c r="BG19" s="332"/>
      <c r="BH19" s="332"/>
      <c r="BI19" s="332"/>
      <c r="BJ19" s="332"/>
      <c r="BK19" s="332"/>
      <c r="BL19" s="332"/>
      <c r="BM19" s="332"/>
      <c r="BN19" s="332"/>
      <c r="BO19" s="332"/>
      <c r="BP19" s="332"/>
      <c r="BQ19" s="332"/>
      <c r="BR19" s="332"/>
      <c r="BS19" s="332"/>
      <c r="BT19" s="332"/>
      <c r="BU19" s="332"/>
      <c r="BV19" s="332"/>
      <c r="BW19" s="332"/>
      <c r="BX19" s="332"/>
      <c r="BY19" s="332"/>
      <c r="BZ19" s="332"/>
      <c r="CA19" s="332"/>
      <c r="CB19" s="332"/>
      <c r="CC19" s="332"/>
      <c r="CD19" s="332"/>
      <c r="CE19" s="332"/>
      <c r="CF19" s="332"/>
      <c r="CG19" s="332"/>
      <c r="CH19" s="332"/>
      <c r="CI19" s="332"/>
      <c r="CJ19" s="332"/>
      <c r="CK19" s="332"/>
      <c r="CL19" s="332"/>
    </row>
    <row r="20" outlineLevel="1">
      <c r="A20" s="325" t="str">
        <f t="shared" ref="A20:A24" si="3">IF(E20="","",$C$3&amp;"."&amp;COUNTA($E$9:E20)&amp;"")</f>
        <v>TC_01.7</v>
      </c>
      <c r="B20" s="323" t="s">
        <v>75</v>
      </c>
      <c r="C20" s="337" t="s">
        <v>1098</v>
      </c>
      <c r="D20" s="337" t="s">
        <v>1099</v>
      </c>
      <c r="E20" s="329" t="s">
        <v>1100</v>
      </c>
      <c r="F20" s="337" t="s">
        <v>1101</v>
      </c>
      <c r="G20" s="43"/>
      <c r="H20" s="43"/>
      <c r="I20" s="43"/>
      <c r="J20" s="323"/>
      <c r="K20" s="325"/>
      <c r="L20" s="60"/>
      <c r="M20" s="61"/>
      <c r="N20" s="325"/>
      <c r="O20" s="325"/>
      <c r="P20" s="331"/>
      <c r="Q20" s="61"/>
      <c r="R20" s="325"/>
      <c r="S20" s="325"/>
      <c r="T20" s="331"/>
      <c r="U20" s="43"/>
      <c r="V20" s="325"/>
      <c r="W20" s="325"/>
      <c r="X20" s="331"/>
      <c r="Y20" s="332"/>
      <c r="Z20" s="332"/>
      <c r="AA20" s="332"/>
      <c r="AB20" s="332"/>
      <c r="AC20" s="332"/>
      <c r="AD20" s="332"/>
      <c r="AE20" s="332"/>
      <c r="AF20" s="332"/>
      <c r="AG20" s="332"/>
      <c r="AH20" s="332"/>
      <c r="AI20" s="332"/>
      <c r="AJ20" s="332"/>
      <c r="AK20" s="332"/>
      <c r="AL20" s="332"/>
      <c r="AM20" s="332"/>
      <c r="AN20" s="332"/>
      <c r="AO20" s="332"/>
      <c r="AP20" s="332"/>
      <c r="AQ20" s="332"/>
      <c r="AR20" s="33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32"/>
      <c r="BO20" s="332"/>
      <c r="BP20" s="332"/>
      <c r="BQ20" s="332"/>
      <c r="BR20" s="332"/>
      <c r="BS20" s="332"/>
      <c r="BT20" s="332"/>
      <c r="BU20" s="332"/>
      <c r="BV20" s="332"/>
      <c r="BW20" s="332"/>
      <c r="BX20" s="332"/>
      <c r="BY20" s="332"/>
      <c r="BZ20" s="332"/>
      <c r="CA20" s="332"/>
      <c r="CB20" s="332"/>
      <c r="CC20" s="332"/>
      <c r="CD20" s="332"/>
      <c r="CE20" s="332"/>
      <c r="CF20" s="332"/>
      <c r="CG20" s="332"/>
      <c r="CH20" s="332"/>
      <c r="CI20" s="332"/>
      <c r="CJ20" s="332"/>
      <c r="CK20" s="332"/>
      <c r="CL20" s="332"/>
    </row>
    <row r="21" outlineLevel="1">
      <c r="A21" s="325" t="str">
        <f t="shared" si="3"/>
        <v>TC_01.8</v>
      </c>
      <c r="B21" s="323" t="s">
        <v>75</v>
      </c>
      <c r="C21" s="337" t="s">
        <v>1102</v>
      </c>
      <c r="D21" s="337" t="s">
        <v>1099</v>
      </c>
      <c r="E21" s="329" t="s">
        <v>1103</v>
      </c>
      <c r="F21" s="337" t="s">
        <v>1104</v>
      </c>
      <c r="G21" s="43"/>
      <c r="H21" s="43"/>
      <c r="I21" s="43"/>
      <c r="J21" s="323"/>
      <c r="K21" s="325"/>
      <c r="L21" s="60"/>
      <c r="M21" s="61"/>
      <c r="N21" s="325"/>
      <c r="O21" s="325"/>
      <c r="P21" s="331"/>
      <c r="Q21" s="61"/>
      <c r="R21" s="325"/>
      <c r="S21" s="325"/>
      <c r="T21" s="331"/>
      <c r="U21" s="43"/>
      <c r="V21" s="325"/>
      <c r="W21" s="325"/>
      <c r="X21" s="331"/>
      <c r="Y21" s="332"/>
      <c r="Z21" s="332"/>
      <c r="AA21" s="332"/>
      <c r="AB21" s="332"/>
      <c r="AC21" s="332"/>
      <c r="AD21" s="332"/>
      <c r="AE21" s="332"/>
      <c r="AF21" s="332"/>
      <c r="AG21" s="332"/>
      <c r="AH21" s="332"/>
      <c r="AI21" s="332"/>
      <c r="AJ21" s="332"/>
      <c r="AK21" s="332"/>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32"/>
      <c r="BO21" s="332"/>
      <c r="BP21" s="332"/>
      <c r="BQ21" s="332"/>
      <c r="BR21" s="332"/>
      <c r="BS21" s="332"/>
      <c r="BT21" s="332"/>
      <c r="BU21" s="332"/>
      <c r="BV21" s="332"/>
      <c r="BW21" s="332"/>
      <c r="BX21" s="332"/>
      <c r="BY21" s="332"/>
      <c r="BZ21" s="332"/>
      <c r="CA21" s="332"/>
      <c r="CB21" s="332"/>
      <c r="CC21" s="332"/>
      <c r="CD21" s="332"/>
      <c r="CE21" s="332"/>
      <c r="CF21" s="332"/>
      <c r="CG21" s="332"/>
      <c r="CH21" s="332"/>
      <c r="CI21" s="332"/>
      <c r="CJ21" s="332"/>
      <c r="CK21" s="332"/>
      <c r="CL21" s="332"/>
    </row>
    <row r="22" outlineLevel="1">
      <c r="A22" s="325" t="str">
        <f t="shared" si="3"/>
        <v>TC_01.9</v>
      </c>
      <c r="B22" s="323" t="s">
        <v>75</v>
      </c>
      <c r="C22" s="337" t="s">
        <v>1105</v>
      </c>
      <c r="D22" s="337" t="s">
        <v>1099</v>
      </c>
      <c r="E22" s="329" t="s">
        <v>1106</v>
      </c>
      <c r="F22" s="337" t="s">
        <v>1107</v>
      </c>
      <c r="G22" s="43"/>
      <c r="H22" s="43"/>
      <c r="I22" s="43"/>
      <c r="J22" s="323"/>
      <c r="K22" s="325"/>
      <c r="L22" s="60"/>
      <c r="M22" s="61"/>
      <c r="N22" s="325"/>
      <c r="O22" s="325"/>
      <c r="P22" s="331"/>
      <c r="Q22" s="61"/>
      <c r="R22" s="325"/>
      <c r="S22" s="325"/>
      <c r="T22" s="331"/>
      <c r="U22" s="43"/>
      <c r="V22" s="325"/>
      <c r="W22" s="325"/>
      <c r="X22" s="331"/>
      <c r="Y22" s="332"/>
      <c r="Z22" s="332"/>
      <c r="AA22" s="332"/>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332"/>
      <c r="BU22" s="332"/>
      <c r="BV22" s="332"/>
      <c r="BW22" s="332"/>
      <c r="BX22" s="332"/>
      <c r="BY22" s="332"/>
      <c r="BZ22" s="332"/>
      <c r="CA22" s="332"/>
      <c r="CB22" s="332"/>
      <c r="CC22" s="332"/>
      <c r="CD22" s="332"/>
      <c r="CE22" s="332"/>
      <c r="CF22" s="332"/>
      <c r="CG22" s="332"/>
      <c r="CH22" s="332"/>
      <c r="CI22" s="332"/>
      <c r="CJ22" s="332"/>
      <c r="CK22" s="332"/>
      <c r="CL22" s="332"/>
    </row>
    <row r="23" outlineLevel="1">
      <c r="A23" s="325" t="str">
        <f t="shared" si="3"/>
        <v>TC_01.10</v>
      </c>
      <c r="B23" s="323" t="s">
        <v>75</v>
      </c>
      <c r="C23" s="337" t="s">
        <v>1108</v>
      </c>
      <c r="D23" s="337" t="s">
        <v>1099</v>
      </c>
      <c r="E23" s="329" t="s">
        <v>1109</v>
      </c>
      <c r="F23" s="337" t="s">
        <v>1110</v>
      </c>
      <c r="G23" s="43"/>
      <c r="H23" s="43"/>
      <c r="I23" s="43"/>
      <c r="J23" s="323"/>
      <c r="K23" s="323"/>
      <c r="L23" s="323"/>
      <c r="M23" s="61"/>
      <c r="N23" s="325"/>
      <c r="O23" s="325"/>
      <c r="P23" s="331"/>
      <c r="Q23" s="61"/>
      <c r="R23" s="325"/>
      <c r="S23" s="325"/>
      <c r="T23" s="331"/>
      <c r="U23" s="43"/>
      <c r="V23" s="325"/>
      <c r="W23" s="325"/>
      <c r="X23" s="331"/>
      <c r="Y23" s="332"/>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332"/>
      <c r="BU23" s="332"/>
      <c r="BV23" s="332"/>
      <c r="BW23" s="332"/>
      <c r="BX23" s="332"/>
      <c r="BY23" s="332"/>
      <c r="BZ23" s="332"/>
      <c r="CA23" s="332"/>
      <c r="CB23" s="332"/>
      <c r="CC23" s="332"/>
      <c r="CD23" s="332"/>
      <c r="CE23" s="332"/>
      <c r="CF23" s="332"/>
      <c r="CG23" s="332"/>
      <c r="CH23" s="332"/>
      <c r="CI23" s="332"/>
      <c r="CJ23" s="332"/>
      <c r="CK23" s="332"/>
      <c r="CL23" s="332"/>
    </row>
    <row r="24" outlineLevel="1">
      <c r="A24" s="325" t="str">
        <f t="shared" si="3"/>
        <v>TC_01.11</v>
      </c>
      <c r="B24" s="323" t="s">
        <v>75</v>
      </c>
      <c r="C24" s="337" t="s">
        <v>1111</v>
      </c>
      <c r="D24" s="337" t="s">
        <v>1099</v>
      </c>
      <c r="E24" s="329" t="s">
        <v>1112</v>
      </c>
      <c r="F24" s="337" t="s">
        <v>1113</v>
      </c>
      <c r="G24" s="43"/>
      <c r="H24" s="43"/>
      <c r="I24" s="43"/>
      <c r="J24" s="323"/>
      <c r="K24" s="325"/>
      <c r="L24" s="60"/>
      <c r="M24" s="61"/>
      <c r="N24" s="325"/>
      <c r="O24" s="325"/>
      <c r="P24" s="331"/>
      <c r="Q24" s="61"/>
      <c r="R24" s="325"/>
      <c r="S24" s="325"/>
      <c r="T24" s="331"/>
      <c r="U24" s="43"/>
      <c r="V24" s="325"/>
      <c r="W24" s="325"/>
      <c r="X24" s="331"/>
      <c r="Y24" s="332"/>
      <c r="Z24" s="332"/>
      <c r="AA24" s="332"/>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2"/>
      <c r="BX24" s="332"/>
      <c r="BY24" s="332"/>
      <c r="BZ24" s="332"/>
      <c r="CA24" s="332"/>
      <c r="CB24" s="332"/>
      <c r="CC24" s="332"/>
      <c r="CD24" s="332"/>
      <c r="CE24" s="332"/>
      <c r="CF24" s="332"/>
      <c r="CG24" s="332"/>
      <c r="CH24" s="332"/>
      <c r="CI24" s="332"/>
      <c r="CJ24" s="332"/>
      <c r="CK24" s="332"/>
      <c r="CL24" s="332"/>
    </row>
    <row r="25">
      <c r="A25" s="324" t="s">
        <v>1114</v>
      </c>
      <c r="B25" s="148"/>
      <c r="C25" s="148"/>
      <c r="D25" s="148"/>
      <c r="E25" s="148"/>
      <c r="F25" s="171"/>
      <c r="G25" s="267"/>
      <c r="H25" s="267"/>
      <c r="I25" s="267"/>
      <c r="J25" s="267"/>
      <c r="K25" s="273"/>
      <c r="L25" s="321"/>
      <c r="M25" s="273"/>
      <c r="N25" s="273"/>
      <c r="O25" s="273"/>
      <c r="P25" s="273"/>
      <c r="Q25" s="273"/>
      <c r="R25" s="273"/>
      <c r="S25" s="273"/>
      <c r="T25" s="273"/>
      <c r="U25" s="265"/>
      <c r="V25" s="273"/>
      <c r="W25" s="273"/>
      <c r="X25" s="273"/>
      <c r="Y25" s="249"/>
      <c r="Z25" s="249"/>
      <c r="AA25" s="249"/>
      <c r="AB25" s="249"/>
      <c r="AC25" s="249"/>
      <c r="AD25" s="249"/>
      <c r="AE25" s="249"/>
      <c r="AF25" s="249"/>
      <c r="AG25" s="249"/>
      <c r="AH25" s="249"/>
      <c r="AI25" s="249"/>
      <c r="AJ25" s="249"/>
      <c r="AK25" s="249"/>
      <c r="AL25" s="249"/>
      <c r="AM25" s="249"/>
      <c r="AN25" s="249"/>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row>
    <row r="26" collapsed="1">
      <c r="A26" s="60"/>
      <c r="B26" s="338" t="s">
        <v>1115</v>
      </c>
      <c r="C26" s="148"/>
      <c r="D26" s="148"/>
      <c r="E26" s="148"/>
      <c r="F26" s="171"/>
      <c r="G26" s="339"/>
      <c r="H26" s="339"/>
      <c r="I26" s="339"/>
      <c r="J26" s="323"/>
      <c r="K26" s="46"/>
      <c r="L26" s="46"/>
      <c r="M26" s="60"/>
      <c r="N26" s="60"/>
      <c r="O26" s="60"/>
      <c r="P26" s="60"/>
      <c r="Q26" s="60"/>
      <c r="R26" s="60"/>
      <c r="S26" s="60"/>
      <c r="T26" s="60"/>
      <c r="U26" s="340"/>
      <c r="V26" s="60"/>
      <c r="W26" s="60"/>
      <c r="X26" s="60"/>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1"/>
      <c r="BD26" s="341"/>
      <c r="BE26" s="341"/>
      <c r="BF26" s="341"/>
      <c r="BG26" s="341"/>
      <c r="BH26" s="341"/>
      <c r="BI26" s="341"/>
      <c r="BJ26" s="341"/>
      <c r="BK26" s="341"/>
      <c r="BL26" s="341"/>
      <c r="BM26" s="341"/>
      <c r="BN26" s="341"/>
      <c r="BO26" s="341"/>
      <c r="BP26" s="341"/>
      <c r="BQ26" s="341"/>
      <c r="BR26" s="341"/>
      <c r="BS26" s="341"/>
      <c r="BT26" s="341"/>
      <c r="BU26" s="341"/>
      <c r="BV26" s="341"/>
      <c r="BW26" s="341"/>
      <c r="BX26" s="341"/>
      <c r="BY26" s="341"/>
      <c r="BZ26" s="341"/>
      <c r="CA26" s="341"/>
      <c r="CB26" s="341"/>
      <c r="CC26" s="341"/>
      <c r="CD26" s="341"/>
      <c r="CE26" s="341"/>
      <c r="CF26" s="341"/>
      <c r="CG26" s="341"/>
      <c r="CH26" s="341"/>
      <c r="CI26" s="341"/>
      <c r="CJ26" s="341"/>
      <c r="CK26" s="341"/>
      <c r="CL26" s="341"/>
    </row>
    <row r="27" hidden="1" outlineLevel="1">
      <c r="A27" s="325"/>
      <c r="B27" s="342" t="s">
        <v>75</v>
      </c>
      <c r="C27" s="343" t="s">
        <v>1116</v>
      </c>
      <c r="D27" s="328" t="s">
        <v>1117</v>
      </c>
      <c r="E27" s="344" t="s">
        <v>1118</v>
      </c>
      <c r="F27" s="345" t="s">
        <v>1119</v>
      </c>
      <c r="G27" s="346"/>
      <c r="H27" s="346"/>
      <c r="I27" s="346"/>
      <c r="J27" s="323"/>
      <c r="K27" s="329"/>
      <c r="L27" s="46"/>
      <c r="M27" s="331"/>
      <c r="N27" s="331"/>
      <c r="O27" s="331"/>
      <c r="P27" s="331"/>
      <c r="Q27" s="331"/>
      <c r="R27" s="331"/>
      <c r="S27" s="331"/>
      <c r="T27" s="331"/>
      <c r="U27" s="347"/>
      <c r="V27" s="331"/>
      <c r="W27" s="331"/>
      <c r="X27" s="331"/>
      <c r="Y27" s="332"/>
      <c r="Z27" s="332"/>
      <c r="AA27" s="332"/>
      <c r="AB27" s="332"/>
      <c r="AC27" s="332"/>
      <c r="AD27" s="332"/>
      <c r="AE27" s="332"/>
      <c r="AF27" s="332"/>
      <c r="AG27" s="332"/>
      <c r="AH27" s="332"/>
      <c r="AI27" s="332"/>
      <c r="AJ27" s="332"/>
      <c r="AK27" s="332"/>
      <c r="AL27" s="332"/>
      <c r="AM27" s="332"/>
      <c r="AN27" s="332"/>
      <c r="AO27" s="332"/>
      <c r="AP27" s="332"/>
      <c r="AQ27" s="332"/>
      <c r="AR27" s="332"/>
      <c r="AS27" s="332"/>
      <c r="AT27" s="332"/>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332"/>
      <c r="BU27" s="332"/>
      <c r="BV27" s="332"/>
      <c r="BW27" s="332"/>
      <c r="BX27" s="332"/>
      <c r="BY27" s="332"/>
      <c r="BZ27" s="332"/>
      <c r="CA27" s="332"/>
      <c r="CB27" s="332"/>
      <c r="CC27" s="332"/>
      <c r="CD27" s="332"/>
      <c r="CE27" s="332"/>
      <c r="CF27" s="332"/>
      <c r="CG27" s="332"/>
      <c r="CH27" s="332"/>
      <c r="CI27" s="332"/>
      <c r="CJ27" s="332"/>
      <c r="CK27" s="332"/>
      <c r="CL27" s="332"/>
    </row>
    <row r="28" hidden="1" outlineLevel="1">
      <c r="A28" s="325"/>
      <c r="B28" s="325" t="s">
        <v>75</v>
      </c>
      <c r="C28" s="348" t="s">
        <v>1120</v>
      </c>
      <c r="D28" s="328" t="s">
        <v>1117</v>
      </c>
      <c r="E28" s="329" t="s">
        <v>1121</v>
      </c>
      <c r="F28" s="345" t="s">
        <v>1122</v>
      </c>
      <c r="G28" s="346"/>
      <c r="H28" s="346"/>
      <c r="I28" s="346"/>
      <c r="J28" s="323"/>
      <c r="K28" s="329"/>
      <c r="L28" s="349"/>
      <c r="M28" s="331"/>
      <c r="N28" s="331"/>
      <c r="O28" s="331"/>
      <c r="P28" s="331"/>
      <c r="Q28" s="331"/>
      <c r="R28" s="331"/>
      <c r="S28" s="331"/>
      <c r="T28" s="331"/>
      <c r="U28" s="347"/>
      <c r="V28" s="331"/>
      <c r="W28" s="331"/>
      <c r="X28" s="331"/>
      <c r="Y28" s="332"/>
      <c r="Z28" s="332"/>
      <c r="AA28" s="332"/>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c r="BA28" s="332"/>
      <c r="BB28" s="332"/>
      <c r="BC28" s="332"/>
      <c r="BD28" s="332"/>
      <c r="BE28" s="332"/>
      <c r="BF28" s="332"/>
      <c r="BG28" s="332"/>
      <c r="BH28" s="332"/>
      <c r="BI28" s="332"/>
      <c r="BJ28" s="332"/>
      <c r="BK28" s="332"/>
      <c r="BL28" s="332"/>
      <c r="BM28" s="332"/>
      <c r="BN28" s="332"/>
      <c r="BO28" s="332"/>
      <c r="BP28" s="332"/>
      <c r="BQ28" s="332"/>
      <c r="BR28" s="332"/>
      <c r="BS28" s="332"/>
      <c r="BT28" s="332"/>
      <c r="BU28" s="332"/>
      <c r="BV28" s="332"/>
      <c r="BW28" s="332"/>
      <c r="BX28" s="332"/>
      <c r="BY28" s="332"/>
      <c r="BZ28" s="332"/>
      <c r="CA28" s="332"/>
      <c r="CB28" s="332"/>
      <c r="CC28" s="332"/>
      <c r="CD28" s="332"/>
      <c r="CE28" s="332"/>
      <c r="CF28" s="332"/>
      <c r="CG28" s="332"/>
      <c r="CH28" s="332"/>
      <c r="CI28" s="332"/>
      <c r="CJ28" s="332"/>
      <c r="CK28" s="332"/>
      <c r="CL28" s="332"/>
    </row>
    <row r="29" hidden="1" outlineLevel="1">
      <c r="A29" s="325"/>
      <c r="B29" s="325" t="s">
        <v>75</v>
      </c>
      <c r="C29" s="343" t="s">
        <v>1123</v>
      </c>
      <c r="D29" s="328" t="s">
        <v>1117</v>
      </c>
      <c r="E29" s="329" t="s">
        <v>1124</v>
      </c>
      <c r="F29" s="345" t="s">
        <v>1125</v>
      </c>
      <c r="G29" s="346"/>
      <c r="H29" s="346"/>
      <c r="I29" s="346"/>
      <c r="J29" s="323"/>
      <c r="K29" s="329"/>
      <c r="L29" s="349"/>
      <c r="M29" s="331"/>
      <c r="N29" s="331"/>
      <c r="O29" s="331"/>
      <c r="P29" s="331"/>
      <c r="Q29" s="331"/>
      <c r="R29" s="331"/>
      <c r="S29" s="331"/>
      <c r="T29" s="331"/>
      <c r="U29" s="347"/>
      <c r="V29" s="331"/>
      <c r="W29" s="331"/>
      <c r="X29" s="331"/>
      <c r="Y29" s="332"/>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32"/>
      <c r="BO29" s="332"/>
      <c r="BP29" s="332"/>
      <c r="BQ29" s="332"/>
      <c r="BR29" s="332"/>
      <c r="BS29" s="332"/>
      <c r="BT29" s="332"/>
      <c r="BU29" s="332"/>
      <c r="BV29" s="332"/>
      <c r="BW29" s="332"/>
      <c r="BX29" s="332"/>
      <c r="BY29" s="332"/>
      <c r="BZ29" s="332"/>
      <c r="CA29" s="332"/>
      <c r="CB29" s="332"/>
      <c r="CC29" s="332"/>
      <c r="CD29" s="332"/>
      <c r="CE29" s="332"/>
      <c r="CF29" s="332"/>
      <c r="CG29" s="332"/>
      <c r="CH29" s="332"/>
      <c r="CI29" s="332"/>
      <c r="CJ29" s="332"/>
      <c r="CK29" s="332"/>
      <c r="CL29" s="332"/>
    </row>
    <row r="30" hidden="1" outlineLevel="1">
      <c r="A30" s="325"/>
      <c r="B30" s="325" t="s">
        <v>75</v>
      </c>
      <c r="C30" s="350" t="s">
        <v>1126</v>
      </c>
      <c r="D30" s="328" t="s">
        <v>1117</v>
      </c>
      <c r="E30" s="329" t="s">
        <v>1127</v>
      </c>
      <c r="F30" s="347" t="s">
        <v>1128</v>
      </c>
      <c r="G30" s="346"/>
      <c r="H30" s="346"/>
      <c r="I30" s="346"/>
      <c r="J30" s="323"/>
      <c r="K30" s="329"/>
      <c r="L30" s="349"/>
      <c r="M30" s="331"/>
      <c r="N30" s="331"/>
      <c r="O30" s="331"/>
      <c r="P30" s="331"/>
      <c r="Q30" s="331"/>
      <c r="R30" s="331"/>
      <c r="S30" s="331"/>
      <c r="T30" s="331"/>
      <c r="U30" s="347"/>
      <c r="V30" s="331"/>
      <c r="W30" s="331"/>
      <c r="X30" s="331"/>
      <c r="Y30" s="332"/>
      <c r="Z30" s="332"/>
      <c r="AA30" s="332"/>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c r="BA30" s="332"/>
      <c r="BB30" s="332"/>
      <c r="BC30" s="332"/>
      <c r="BD30" s="332"/>
      <c r="BE30" s="332"/>
      <c r="BF30" s="332"/>
      <c r="BG30" s="332"/>
      <c r="BH30" s="332"/>
      <c r="BI30" s="332"/>
      <c r="BJ30" s="332"/>
      <c r="BK30" s="332"/>
      <c r="BL30" s="332"/>
      <c r="BM30" s="332"/>
      <c r="BN30" s="332"/>
      <c r="BO30" s="332"/>
      <c r="BP30" s="332"/>
      <c r="BQ30" s="332"/>
      <c r="BR30" s="332"/>
      <c r="BS30" s="332"/>
      <c r="BT30" s="332"/>
      <c r="BU30" s="332"/>
      <c r="BV30" s="332"/>
      <c r="BW30" s="332"/>
      <c r="BX30" s="332"/>
      <c r="BY30" s="332"/>
      <c r="BZ30" s="332"/>
      <c r="CA30" s="332"/>
      <c r="CB30" s="332"/>
      <c r="CC30" s="332"/>
      <c r="CD30" s="332"/>
      <c r="CE30" s="332"/>
      <c r="CF30" s="332"/>
      <c r="CG30" s="332"/>
      <c r="CH30" s="332"/>
      <c r="CI30" s="332"/>
      <c r="CJ30" s="332"/>
      <c r="CK30" s="332"/>
      <c r="CL30" s="332"/>
    </row>
    <row r="31" hidden="1" outlineLevel="1">
      <c r="A31" s="325"/>
      <c r="B31" s="342" t="s">
        <v>75</v>
      </c>
      <c r="C31" s="348" t="s">
        <v>1129</v>
      </c>
      <c r="D31" s="328" t="s">
        <v>1117</v>
      </c>
      <c r="E31" s="329" t="s">
        <v>1130</v>
      </c>
      <c r="F31" s="347" t="s">
        <v>1128</v>
      </c>
      <c r="G31" s="346"/>
      <c r="H31" s="346"/>
      <c r="I31" s="346"/>
      <c r="J31" s="323"/>
      <c r="K31" s="329"/>
      <c r="L31" s="60"/>
      <c r="M31" s="331"/>
      <c r="N31" s="331"/>
      <c r="O31" s="331"/>
      <c r="P31" s="331"/>
      <c r="Q31" s="331"/>
      <c r="R31" s="331"/>
      <c r="S31" s="331"/>
      <c r="T31" s="331"/>
      <c r="U31" s="347"/>
      <c r="V31" s="331"/>
      <c r="W31" s="331"/>
      <c r="X31" s="331"/>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2"/>
      <c r="BA31" s="332"/>
      <c r="BB31" s="332"/>
      <c r="BC31" s="332"/>
      <c r="BD31" s="332"/>
      <c r="BE31" s="332"/>
      <c r="BF31" s="332"/>
      <c r="BG31" s="332"/>
      <c r="BH31" s="332"/>
      <c r="BI31" s="332"/>
      <c r="BJ31" s="332"/>
      <c r="BK31" s="332"/>
      <c r="BL31" s="332"/>
      <c r="BM31" s="332"/>
      <c r="BN31" s="332"/>
      <c r="BO31" s="332"/>
      <c r="BP31" s="332"/>
      <c r="BQ31" s="332"/>
      <c r="BR31" s="332"/>
      <c r="BS31" s="332"/>
      <c r="BT31" s="332"/>
      <c r="BU31" s="332"/>
      <c r="BV31" s="332"/>
      <c r="BW31" s="332"/>
      <c r="BX31" s="332"/>
      <c r="BY31" s="332"/>
      <c r="BZ31" s="332"/>
      <c r="CA31" s="332"/>
      <c r="CB31" s="332"/>
      <c r="CC31" s="332"/>
      <c r="CD31" s="332"/>
      <c r="CE31" s="332"/>
      <c r="CF31" s="332"/>
      <c r="CG31" s="332"/>
      <c r="CH31" s="332"/>
      <c r="CI31" s="332"/>
      <c r="CJ31" s="332"/>
      <c r="CK31" s="332"/>
      <c r="CL31" s="332"/>
    </row>
    <row r="32" hidden="1" outlineLevel="1">
      <c r="A32" s="325"/>
      <c r="B32" s="325" t="s">
        <v>75</v>
      </c>
      <c r="C32" s="351" t="s">
        <v>1131</v>
      </c>
      <c r="D32" s="328" t="s">
        <v>1117</v>
      </c>
      <c r="E32" s="329" t="s">
        <v>1132</v>
      </c>
      <c r="F32" s="345" t="s">
        <v>1133</v>
      </c>
      <c r="G32" s="346"/>
      <c r="H32" s="346"/>
      <c r="I32" s="346"/>
      <c r="J32" s="323"/>
      <c r="K32" s="329"/>
      <c r="L32" s="352"/>
      <c r="M32" s="61"/>
      <c r="N32" s="353"/>
      <c r="O32" s="353"/>
      <c r="P32" s="354"/>
      <c r="Q32" s="61"/>
      <c r="R32" s="353"/>
      <c r="S32" s="353"/>
      <c r="T32" s="354"/>
      <c r="U32" s="43"/>
      <c r="V32" s="353"/>
      <c r="W32" s="353"/>
      <c r="X32" s="354"/>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c r="BR32" s="355"/>
      <c r="BS32" s="355"/>
      <c r="BT32" s="355"/>
      <c r="BU32" s="355"/>
      <c r="BV32" s="355"/>
      <c r="BW32" s="355"/>
      <c r="BX32" s="355"/>
      <c r="BY32" s="355"/>
      <c r="BZ32" s="355"/>
      <c r="CA32" s="355"/>
      <c r="CB32" s="355"/>
      <c r="CC32" s="355"/>
      <c r="CD32" s="355"/>
      <c r="CE32" s="355"/>
      <c r="CF32" s="355"/>
      <c r="CG32" s="355"/>
      <c r="CH32" s="355"/>
      <c r="CI32" s="355"/>
      <c r="CJ32" s="355"/>
      <c r="CK32" s="355"/>
      <c r="CL32" s="355"/>
    </row>
    <row r="33" hidden="1" outlineLevel="1">
      <c r="A33" s="325"/>
      <c r="B33" s="325" t="s">
        <v>75</v>
      </c>
      <c r="C33" s="343" t="s">
        <v>1134</v>
      </c>
      <c r="D33" s="328" t="s">
        <v>1117</v>
      </c>
      <c r="E33" s="329" t="s">
        <v>1135</v>
      </c>
      <c r="F33" s="345" t="s">
        <v>1136</v>
      </c>
      <c r="G33" s="346"/>
      <c r="H33" s="346"/>
      <c r="I33" s="346"/>
      <c r="J33" s="323"/>
      <c r="K33" s="329"/>
      <c r="L33" s="337"/>
      <c r="M33" s="43"/>
      <c r="N33" s="356"/>
      <c r="O33" s="357"/>
      <c r="P33" s="358"/>
      <c r="Q33" s="359"/>
      <c r="R33" s="356"/>
      <c r="S33" s="357"/>
      <c r="T33" s="358"/>
      <c r="U33" s="359"/>
      <c r="V33" s="356"/>
      <c r="W33" s="357"/>
      <c r="X33" s="358"/>
      <c r="Y33" s="360"/>
      <c r="Z33" s="360"/>
      <c r="AA33" s="360"/>
      <c r="AB33" s="360"/>
      <c r="AC33" s="360"/>
      <c r="AD33" s="360"/>
      <c r="AE33" s="360"/>
      <c r="AF33" s="360"/>
      <c r="AG33" s="360"/>
      <c r="AH33" s="360"/>
      <c r="AI33" s="360"/>
      <c r="AJ33" s="360"/>
      <c r="AK33" s="360"/>
      <c r="AL33" s="360"/>
      <c r="AM33" s="360"/>
      <c r="AN33" s="360"/>
      <c r="AO33" s="360"/>
      <c r="AP33" s="360"/>
      <c r="AQ33" s="360"/>
      <c r="AR33" s="360"/>
      <c r="AS33" s="360"/>
      <c r="AT33" s="360"/>
      <c r="AU33" s="360"/>
      <c r="AV33" s="360"/>
      <c r="AW33" s="360"/>
      <c r="AX33" s="360"/>
      <c r="AY33" s="360"/>
      <c r="AZ33" s="360"/>
      <c r="BA33" s="360"/>
      <c r="BB33" s="360"/>
      <c r="BC33" s="360"/>
      <c r="BD33" s="360"/>
      <c r="BE33" s="360"/>
      <c r="BF33" s="360"/>
      <c r="BG33" s="360"/>
      <c r="BH33" s="360"/>
      <c r="BI33" s="360"/>
      <c r="BJ33" s="360"/>
      <c r="BK33" s="360"/>
      <c r="BL33" s="360"/>
      <c r="BM33" s="360"/>
      <c r="BN33" s="360"/>
      <c r="BO33" s="360"/>
      <c r="BP33" s="360"/>
      <c r="BQ33" s="360"/>
      <c r="BR33" s="360"/>
      <c r="BS33" s="360"/>
      <c r="BT33" s="360"/>
      <c r="BU33" s="360"/>
      <c r="BV33" s="360"/>
      <c r="BW33" s="360"/>
      <c r="BX33" s="360"/>
      <c r="BY33" s="360"/>
      <c r="BZ33" s="360"/>
      <c r="CA33" s="360"/>
      <c r="CB33" s="360"/>
      <c r="CC33" s="360"/>
      <c r="CD33" s="360"/>
      <c r="CE33" s="360"/>
      <c r="CF33" s="360"/>
      <c r="CG33" s="360"/>
      <c r="CH33" s="360"/>
      <c r="CI33" s="360"/>
      <c r="CJ33" s="360"/>
      <c r="CK33" s="360"/>
      <c r="CL33" s="360"/>
    </row>
    <row r="34" hidden="1" outlineLevel="1">
      <c r="A34" s="325"/>
      <c r="B34" s="325" t="s">
        <v>75</v>
      </c>
      <c r="C34" s="348" t="s">
        <v>1137</v>
      </c>
      <c r="D34" s="328" t="s">
        <v>1117</v>
      </c>
      <c r="E34" s="329" t="s">
        <v>1138</v>
      </c>
      <c r="F34" s="345" t="s">
        <v>1139</v>
      </c>
      <c r="G34" s="346"/>
      <c r="H34" s="346"/>
      <c r="I34" s="346"/>
      <c r="J34" s="323"/>
      <c r="K34" s="329"/>
      <c r="L34" s="361"/>
      <c r="M34" s="43"/>
      <c r="N34" s="356"/>
      <c r="O34" s="357"/>
      <c r="P34" s="358"/>
      <c r="Q34" s="359"/>
      <c r="R34" s="356"/>
      <c r="S34" s="357"/>
      <c r="T34" s="358"/>
      <c r="U34" s="359"/>
      <c r="V34" s="356"/>
      <c r="W34" s="357"/>
      <c r="X34" s="358"/>
      <c r="Y34" s="360"/>
      <c r="Z34" s="360"/>
      <c r="AA34" s="360"/>
      <c r="AB34" s="360"/>
      <c r="AC34" s="360"/>
      <c r="AD34" s="360"/>
      <c r="AE34" s="360"/>
      <c r="AF34" s="360"/>
      <c r="AG34" s="360"/>
      <c r="AH34" s="360"/>
      <c r="AI34" s="360"/>
      <c r="AJ34" s="360"/>
      <c r="AK34" s="360"/>
      <c r="AL34" s="360"/>
      <c r="AM34" s="360"/>
      <c r="AN34" s="360"/>
      <c r="AO34" s="360"/>
      <c r="AP34" s="360"/>
      <c r="AQ34" s="360"/>
      <c r="AR34" s="360"/>
      <c r="AS34" s="360"/>
      <c r="AT34" s="360"/>
      <c r="AU34" s="360"/>
      <c r="AV34" s="360"/>
      <c r="AW34" s="360"/>
      <c r="AX34" s="360"/>
      <c r="AY34" s="360"/>
      <c r="AZ34" s="360"/>
      <c r="BA34" s="360"/>
      <c r="BB34" s="360"/>
      <c r="BC34" s="360"/>
      <c r="BD34" s="360"/>
      <c r="BE34" s="360"/>
      <c r="BF34" s="360"/>
      <c r="BG34" s="360"/>
      <c r="BH34" s="360"/>
      <c r="BI34" s="360"/>
      <c r="BJ34" s="360"/>
      <c r="BK34" s="360"/>
      <c r="BL34" s="360"/>
      <c r="BM34" s="360"/>
      <c r="BN34" s="360"/>
      <c r="BO34" s="360"/>
      <c r="BP34" s="360"/>
      <c r="BQ34" s="360"/>
      <c r="BR34" s="360"/>
      <c r="BS34" s="360"/>
      <c r="BT34" s="360"/>
      <c r="BU34" s="360"/>
      <c r="BV34" s="360"/>
      <c r="BW34" s="360"/>
      <c r="BX34" s="360"/>
      <c r="BY34" s="360"/>
      <c r="BZ34" s="360"/>
      <c r="CA34" s="360"/>
      <c r="CB34" s="360"/>
      <c r="CC34" s="360"/>
      <c r="CD34" s="360"/>
      <c r="CE34" s="360"/>
      <c r="CF34" s="360"/>
      <c r="CG34" s="360"/>
      <c r="CH34" s="360"/>
      <c r="CI34" s="360"/>
      <c r="CJ34" s="360"/>
      <c r="CK34" s="360"/>
      <c r="CL34" s="360"/>
    </row>
    <row r="35">
      <c r="A35" s="60"/>
      <c r="B35" s="338" t="s">
        <v>1140</v>
      </c>
      <c r="C35" s="148"/>
      <c r="D35" s="148"/>
      <c r="E35" s="148"/>
      <c r="F35" s="171"/>
      <c r="G35" s="323"/>
      <c r="H35" s="323"/>
      <c r="I35" s="323"/>
      <c r="J35" s="323"/>
      <c r="K35" s="60"/>
      <c r="L35" s="352"/>
      <c r="M35" s="362"/>
      <c r="N35" s="337"/>
      <c r="O35" s="337"/>
      <c r="P35" s="352"/>
      <c r="Q35" s="362"/>
      <c r="R35" s="337"/>
      <c r="S35" s="337"/>
      <c r="T35" s="352"/>
      <c r="U35" s="362"/>
      <c r="V35" s="337"/>
      <c r="W35" s="337"/>
      <c r="X35" s="337"/>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63"/>
      <c r="BJ35" s="363"/>
      <c r="BK35" s="363"/>
      <c r="BL35" s="363"/>
      <c r="BM35" s="363"/>
      <c r="BN35" s="363"/>
      <c r="BO35" s="363"/>
      <c r="BP35" s="363"/>
      <c r="BQ35" s="363"/>
      <c r="BR35" s="363"/>
      <c r="BS35" s="363"/>
      <c r="BT35" s="363"/>
      <c r="BU35" s="363"/>
      <c r="BV35" s="363"/>
      <c r="BW35" s="363"/>
      <c r="BX35" s="363"/>
      <c r="BY35" s="363"/>
      <c r="BZ35" s="363"/>
      <c r="CA35" s="363"/>
      <c r="CB35" s="363"/>
      <c r="CC35" s="363"/>
      <c r="CD35" s="363"/>
      <c r="CE35" s="363"/>
      <c r="CF35" s="363"/>
      <c r="CG35" s="363"/>
      <c r="CH35" s="363"/>
      <c r="CI35" s="363"/>
      <c r="CJ35" s="363"/>
      <c r="CK35" s="363"/>
      <c r="CL35" s="363"/>
    </row>
    <row r="36" outlineLevel="1">
      <c r="A36" s="325" t="str">
        <f>IF(E36="","",$C$3&amp;"."&amp;COUNTA($E$9:E36)&amp;"")</f>
        <v>TC_01.20</v>
      </c>
      <c r="B36" s="325" t="s">
        <v>75</v>
      </c>
      <c r="C36" s="348" t="s">
        <v>1141</v>
      </c>
      <c r="D36" s="328" t="s">
        <v>1142</v>
      </c>
      <c r="E36" s="329" t="s">
        <v>1143</v>
      </c>
      <c r="F36" s="345" t="s">
        <v>1122</v>
      </c>
      <c r="G36" s="323"/>
      <c r="H36" s="323"/>
      <c r="I36" s="323"/>
      <c r="J36" s="323"/>
      <c r="K36" s="331"/>
      <c r="L36" s="352"/>
      <c r="M36" s="43"/>
      <c r="N36" s="356"/>
      <c r="O36" s="356"/>
      <c r="P36" s="354"/>
      <c r="Q36" s="43"/>
      <c r="R36" s="356"/>
      <c r="S36" s="356"/>
      <c r="T36" s="354"/>
      <c r="U36" s="43"/>
      <c r="V36" s="356"/>
      <c r="W36" s="356"/>
      <c r="X36" s="364"/>
      <c r="Y36" s="365"/>
      <c r="Z36" s="365"/>
      <c r="AA36" s="365"/>
      <c r="AB36" s="365"/>
      <c r="AC36" s="365"/>
      <c r="AD36" s="365"/>
      <c r="AE36" s="365"/>
      <c r="AF36" s="365"/>
      <c r="AG36" s="365"/>
      <c r="AH36" s="365"/>
      <c r="AI36" s="365"/>
      <c r="AJ36" s="365"/>
      <c r="AK36" s="365"/>
      <c r="AL36" s="365"/>
      <c r="AM36" s="365"/>
      <c r="AN36" s="365"/>
      <c r="AO36" s="365"/>
      <c r="AP36" s="365"/>
      <c r="AQ36" s="365"/>
      <c r="AR36" s="365"/>
      <c r="AS36" s="365"/>
      <c r="AT36" s="365"/>
      <c r="AU36" s="365"/>
      <c r="AV36" s="365"/>
      <c r="AW36" s="365"/>
      <c r="AX36" s="365"/>
      <c r="AY36" s="365"/>
      <c r="AZ36" s="365"/>
      <c r="BA36" s="365"/>
      <c r="BB36" s="365"/>
      <c r="BC36" s="365"/>
      <c r="BD36" s="365"/>
      <c r="BE36" s="365"/>
      <c r="BF36" s="365"/>
      <c r="BG36" s="365"/>
      <c r="BH36" s="365"/>
      <c r="BI36" s="365"/>
      <c r="BJ36" s="365"/>
      <c r="BK36" s="365"/>
      <c r="BL36" s="365"/>
      <c r="BM36" s="365"/>
      <c r="BN36" s="365"/>
      <c r="BO36" s="365"/>
      <c r="BP36" s="365"/>
      <c r="BQ36" s="365"/>
      <c r="BR36" s="365"/>
      <c r="BS36" s="365"/>
      <c r="BT36" s="365"/>
      <c r="BU36" s="365"/>
      <c r="BV36" s="365"/>
      <c r="BW36" s="365"/>
      <c r="BX36" s="365"/>
      <c r="BY36" s="365"/>
      <c r="BZ36" s="365"/>
      <c r="CA36" s="365"/>
      <c r="CB36" s="365"/>
      <c r="CC36" s="365"/>
      <c r="CD36" s="365"/>
      <c r="CE36" s="365"/>
      <c r="CF36" s="365"/>
      <c r="CG36" s="365"/>
      <c r="CH36" s="365"/>
      <c r="CI36" s="365"/>
      <c r="CJ36" s="365"/>
      <c r="CK36" s="365"/>
      <c r="CL36" s="365"/>
    </row>
    <row r="37" outlineLevel="1">
      <c r="A37" s="325" t="str">
        <f t="shared" ref="A37:A41" si="4">IF(E37="","",$C$3&amp;"."&amp;COUNTA($E$12:E37)&amp;"")</f>
        <v>TC_01.21</v>
      </c>
      <c r="B37" s="325" t="s">
        <v>75</v>
      </c>
      <c r="C37" s="343" t="s">
        <v>1144</v>
      </c>
      <c r="D37" s="328" t="s">
        <v>1142</v>
      </c>
      <c r="E37" s="329" t="s">
        <v>1145</v>
      </c>
      <c r="F37" s="345" t="s">
        <v>1146</v>
      </c>
      <c r="G37" s="323"/>
      <c r="H37" s="323"/>
      <c r="I37" s="323"/>
      <c r="J37" s="323"/>
      <c r="K37" s="331"/>
      <c r="L37" s="352"/>
      <c r="M37" s="43"/>
      <c r="N37" s="356"/>
      <c r="O37" s="353"/>
      <c r="P37" s="354"/>
      <c r="Q37" s="43"/>
      <c r="R37" s="356"/>
      <c r="S37" s="353"/>
      <c r="T37" s="354"/>
      <c r="U37" s="43"/>
      <c r="V37" s="356"/>
      <c r="W37" s="353"/>
      <c r="X37" s="354"/>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row>
    <row r="38" outlineLevel="1">
      <c r="A38" s="325" t="str">
        <f t="shared" si="4"/>
        <v>TC_01.22</v>
      </c>
      <c r="B38" s="325" t="s">
        <v>75</v>
      </c>
      <c r="C38" s="348" t="s">
        <v>1147</v>
      </c>
      <c r="D38" s="328" t="s">
        <v>1142</v>
      </c>
      <c r="E38" s="329" t="s">
        <v>1148</v>
      </c>
      <c r="F38" s="347" t="s">
        <v>1149</v>
      </c>
      <c r="G38" s="323"/>
      <c r="H38" s="323"/>
      <c r="I38" s="323"/>
      <c r="J38" s="323"/>
      <c r="K38" s="331"/>
      <c r="L38" s="349"/>
      <c r="M38" s="43"/>
      <c r="N38" s="356"/>
      <c r="O38" s="366"/>
      <c r="P38" s="354"/>
      <c r="Q38" s="43"/>
      <c r="R38" s="356"/>
      <c r="S38" s="366"/>
      <c r="T38" s="354"/>
      <c r="U38" s="43"/>
      <c r="V38" s="356"/>
      <c r="W38" s="366"/>
      <c r="X38" s="364"/>
      <c r="Y38" s="365"/>
      <c r="Z38" s="365"/>
      <c r="AA38" s="365"/>
      <c r="AB38" s="365"/>
      <c r="AC38" s="365"/>
      <c r="AD38" s="365"/>
      <c r="AE38" s="365"/>
      <c r="AF38" s="365"/>
      <c r="AG38" s="365"/>
      <c r="AH38" s="365"/>
      <c r="AI38" s="365"/>
      <c r="AJ38" s="365"/>
      <c r="AK38" s="365"/>
      <c r="AL38" s="365"/>
      <c r="AM38" s="365"/>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5"/>
      <c r="BK38" s="365"/>
      <c r="BL38" s="365"/>
      <c r="BM38" s="365"/>
      <c r="BN38" s="365"/>
      <c r="BO38" s="365"/>
      <c r="BP38" s="365"/>
      <c r="BQ38" s="365"/>
      <c r="BR38" s="365"/>
      <c r="BS38" s="365"/>
      <c r="BT38" s="365"/>
      <c r="BU38" s="365"/>
      <c r="BV38" s="365"/>
      <c r="BW38" s="365"/>
      <c r="BX38" s="365"/>
      <c r="BY38" s="365"/>
      <c r="BZ38" s="365"/>
      <c r="CA38" s="365"/>
      <c r="CB38" s="365"/>
      <c r="CC38" s="365"/>
      <c r="CD38" s="365"/>
      <c r="CE38" s="365"/>
      <c r="CF38" s="365"/>
      <c r="CG38" s="365"/>
      <c r="CH38" s="365"/>
      <c r="CI38" s="365"/>
      <c r="CJ38" s="365"/>
      <c r="CK38" s="365"/>
      <c r="CL38" s="365"/>
    </row>
    <row r="39" outlineLevel="1">
      <c r="A39" s="325" t="str">
        <f t="shared" si="4"/>
        <v>TC_01.23</v>
      </c>
      <c r="B39" s="325" t="s">
        <v>75</v>
      </c>
      <c r="C39" s="348" t="s">
        <v>1150</v>
      </c>
      <c r="D39" s="328" t="s">
        <v>1142</v>
      </c>
      <c r="E39" s="329" t="s">
        <v>1151</v>
      </c>
      <c r="F39" s="329" t="s">
        <v>1152</v>
      </c>
      <c r="G39" s="323"/>
      <c r="H39" s="323"/>
      <c r="I39" s="323"/>
      <c r="J39" s="323"/>
      <c r="K39" s="331"/>
      <c r="L39" s="367"/>
      <c r="M39" s="43"/>
      <c r="N39" s="356"/>
      <c r="O39" s="357"/>
      <c r="P39" s="358"/>
      <c r="Q39" s="359"/>
      <c r="R39" s="356"/>
      <c r="S39" s="368"/>
      <c r="T39" s="358"/>
      <c r="U39" s="359"/>
      <c r="V39" s="356"/>
      <c r="W39" s="357"/>
      <c r="X39" s="358"/>
      <c r="Y39" s="360"/>
      <c r="Z39" s="360"/>
      <c r="AA39" s="360"/>
      <c r="AB39" s="360"/>
      <c r="AC39" s="360"/>
      <c r="AD39" s="360"/>
      <c r="AE39" s="360"/>
      <c r="AF39" s="360"/>
      <c r="AG39" s="360"/>
      <c r="AH39" s="360"/>
      <c r="AI39" s="360"/>
      <c r="AJ39" s="360"/>
      <c r="AK39" s="360"/>
      <c r="AL39" s="360"/>
      <c r="AM39" s="360"/>
      <c r="AN39" s="360"/>
      <c r="AO39" s="360"/>
      <c r="AP39" s="360"/>
      <c r="AQ39" s="360"/>
      <c r="AR39" s="360"/>
      <c r="AS39" s="360"/>
      <c r="AT39" s="360"/>
      <c r="AU39" s="360"/>
      <c r="AV39" s="360"/>
      <c r="AW39" s="360"/>
      <c r="AX39" s="360"/>
      <c r="AY39" s="360"/>
      <c r="AZ39" s="360"/>
      <c r="BA39" s="360"/>
      <c r="BB39" s="360"/>
      <c r="BC39" s="360"/>
      <c r="BD39" s="360"/>
      <c r="BE39" s="360"/>
      <c r="BF39" s="360"/>
      <c r="BG39" s="360"/>
      <c r="BH39" s="360"/>
      <c r="BI39" s="360"/>
      <c r="BJ39" s="360"/>
      <c r="BK39" s="360"/>
      <c r="BL39" s="360"/>
      <c r="BM39" s="360"/>
      <c r="BN39" s="360"/>
      <c r="BO39" s="360"/>
      <c r="BP39" s="360"/>
      <c r="BQ39" s="360"/>
      <c r="BR39" s="360"/>
      <c r="BS39" s="360"/>
      <c r="BT39" s="360"/>
      <c r="BU39" s="360"/>
      <c r="BV39" s="360"/>
      <c r="BW39" s="360"/>
      <c r="BX39" s="360"/>
      <c r="BY39" s="360"/>
      <c r="BZ39" s="360"/>
      <c r="CA39" s="360"/>
      <c r="CB39" s="360"/>
      <c r="CC39" s="360"/>
      <c r="CD39" s="360"/>
      <c r="CE39" s="360"/>
      <c r="CF39" s="360"/>
      <c r="CG39" s="360"/>
      <c r="CH39" s="360"/>
      <c r="CI39" s="360"/>
      <c r="CJ39" s="360"/>
      <c r="CK39" s="360"/>
      <c r="CL39" s="360"/>
    </row>
    <row r="40" outlineLevel="1">
      <c r="A40" s="325" t="str">
        <f t="shared" si="4"/>
        <v>TC_01.24</v>
      </c>
      <c r="B40" s="325" t="s">
        <v>75</v>
      </c>
      <c r="C40" s="348" t="s">
        <v>1153</v>
      </c>
      <c r="D40" s="328" t="s">
        <v>1142</v>
      </c>
      <c r="E40" s="329" t="s">
        <v>1154</v>
      </c>
      <c r="F40" s="347" t="s">
        <v>1152</v>
      </c>
      <c r="G40" s="323"/>
      <c r="H40" s="323"/>
      <c r="I40" s="323"/>
      <c r="J40" s="323"/>
      <c r="K40" s="331"/>
      <c r="L40" s="337"/>
      <c r="M40" s="43"/>
      <c r="N40" s="356"/>
      <c r="O40" s="353"/>
      <c r="P40" s="354"/>
      <c r="Q40" s="43"/>
      <c r="R40" s="356"/>
      <c r="S40" s="353"/>
      <c r="T40" s="354"/>
      <c r="U40" s="43"/>
      <c r="V40" s="356"/>
      <c r="W40" s="353"/>
      <c r="X40" s="354"/>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c r="BW40" s="355"/>
      <c r="BX40" s="355"/>
      <c r="BY40" s="355"/>
      <c r="BZ40" s="355"/>
      <c r="CA40" s="355"/>
      <c r="CB40" s="355"/>
      <c r="CC40" s="355"/>
      <c r="CD40" s="355"/>
      <c r="CE40" s="355"/>
      <c r="CF40" s="355"/>
      <c r="CG40" s="355"/>
      <c r="CH40" s="355"/>
      <c r="CI40" s="355"/>
      <c r="CJ40" s="355"/>
      <c r="CK40" s="355"/>
      <c r="CL40" s="355"/>
    </row>
    <row r="41" outlineLevel="1">
      <c r="A41" s="325" t="str">
        <f t="shared" si="4"/>
        <v>TC_01.25</v>
      </c>
      <c r="B41" s="325" t="s">
        <v>75</v>
      </c>
      <c r="C41" s="351" t="s">
        <v>1155</v>
      </c>
      <c r="D41" s="328" t="s">
        <v>1142</v>
      </c>
      <c r="E41" s="329" t="s">
        <v>1156</v>
      </c>
      <c r="F41" s="345" t="s">
        <v>1157</v>
      </c>
      <c r="G41" s="323"/>
      <c r="H41" s="323"/>
      <c r="I41" s="323"/>
      <c r="J41" s="323"/>
      <c r="K41" s="331"/>
      <c r="L41" s="337"/>
      <c r="M41" s="43"/>
      <c r="N41" s="356"/>
      <c r="O41" s="353"/>
      <c r="P41" s="354"/>
      <c r="Q41" s="43"/>
      <c r="R41" s="356"/>
      <c r="S41" s="353"/>
      <c r="T41" s="354"/>
      <c r="U41" s="43"/>
      <c r="V41" s="356"/>
      <c r="W41" s="366"/>
      <c r="X41" s="364"/>
      <c r="Y41" s="365"/>
      <c r="Z41" s="365"/>
      <c r="AA41" s="365"/>
      <c r="AB41" s="365"/>
      <c r="AC41" s="365"/>
      <c r="AD41" s="365"/>
      <c r="AE41" s="365"/>
      <c r="AF41" s="365"/>
      <c r="AG41" s="365"/>
      <c r="AH41" s="365"/>
      <c r="AI41" s="365"/>
      <c r="AJ41" s="365"/>
      <c r="AK41" s="365"/>
      <c r="AL41" s="365"/>
      <c r="AM41" s="365"/>
      <c r="AN41" s="365"/>
      <c r="AO41" s="365"/>
      <c r="AP41" s="365"/>
      <c r="AQ41" s="365"/>
      <c r="AR41" s="365"/>
      <c r="AS41" s="365"/>
      <c r="AT41" s="365"/>
      <c r="AU41" s="365"/>
      <c r="AV41" s="365"/>
      <c r="AW41" s="365"/>
      <c r="AX41" s="365"/>
      <c r="AY41" s="365"/>
      <c r="AZ41" s="365"/>
      <c r="BA41" s="365"/>
      <c r="BB41" s="365"/>
      <c r="BC41" s="365"/>
      <c r="BD41" s="365"/>
      <c r="BE41" s="365"/>
      <c r="BF41" s="365"/>
      <c r="BG41" s="365"/>
      <c r="BH41" s="365"/>
      <c r="BI41" s="365"/>
      <c r="BJ41" s="365"/>
      <c r="BK41" s="365"/>
      <c r="BL41" s="365"/>
      <c r="BM41" s="365"/>
      <c r="BN41" s="365"/>
      <c r="BO41" s="365"/>
      <c r="BP41" s="365"/>
      <c r="BQ41" s="365"/>
      <c r="BR41" s="365"/>
      <c r="BS41" s="365"/>
      <c r="BT41" s="365"/>
      <c r="BU41" s="365"/>
      <c r="BV41" s="365"/>
      <c r="BW41" s="365"/>
      <c r="BX41" s="365"/>
      <c r="BY41" s="365"/>
      <c r="BZ41" s="365"/>
      <c r="CA41" s="365"/>
      <c r="CB41" s="365"/>
      <c r="CC41" s="365"/>
      <c r="CD41" s="365"/>
      <c r="CE41" s="365"/>
      <c r="CF41" s="365"/>
      <c r="CG41" s="365"/>
      <c r="CH41" s="365"/>
      <c r="CI41" s="365"/>
      <c r="CJ41" s="365"/>
      <c r="CK41" s="365"/>
      <c r="CL41" s="365"/>
    </row>
    <row r="42">
      <c r="A42" s="60"/>
      <c r="B42" s="338" t="s">
        <v>1158</v>
      </c>
      <c r="C42" s="148"/>
      <c r="D42" s="148"/>
      <c r="E42" s="148"/>
      <c r="F42" s="171"/>
      <c r="G42" s="323"/>
      <c r="H42" s="323"/>
      <c r="I42" s="323"/>
      <c r="J42" s="323"/>
      <c r="K42" s="60"/>
      <c r="L42" s="352"/>
      <c r="M42" s="362"/>
      <c r="N42" s="337"/>
      <c r="O42" s="352"/>
      <c r="P42" s="352"/>
      <c r="Q42" s="362"/>
      <c r="R42" s="337"/>
      <c r="S42" s="352"/>
      <c r="T42" s="352"/>
      <c r="U42" s="362"/>
      <c r="V42" s="337"/>
      <c r="W42" s="352"/>
      <c r="X42" s="352"/>
      <c r="Y42" s="369"/>
      <c r="Z42" s="369"/>
      <c r="AA42" s="369"/>
      <c r="AB42" s="369"/>
      <c r="AC42" s="369"/>
      <c r="AD42" s="369"/>
      <c r="AE42" s="369"/>
      <c r="AF42" s="369"/>
      <c r="AG42" s="369"/>
      <c r="AH42" s="369"/>
      <c r="AI42" s="369"/>
      <c r="AJ42" s="369"/>
      <c r="AK42" s="369"/>
      <c r="AL42" s="369"/>
      <c r="AM42" s="369"/>
      <c r="AN42" s="369"/>
      <c r="AO42" s="369"/>
      <c r="AP42" s="369"/>
      <c r="AQ42" s="369"/>
      <c r="AR42" s="369"/>
      <c r="AS42" s="369"/>
      <c r="AT42" s="369"/>
      <c r="AU42" s="369"/>
      <c r="AV42" s="369"/>
      <c r="AW42" s="369"/>
      <c r="AX42" s="369"/>
      <c r="AY42" s="369"/>
      <c r="AZ42" s="369"/>
      <c r="BA42" s="369"/>
      <c r="BB42" s="369"/>
      <c r="BC42" s="369"/>
      <c r="BD42" s="369"/>
      <c r="BE42" s="369"/>
      <c r="BF42" s="369"/>
      <c r="BG42" s="369"/>
      <c r="BH42" s="369"/>
      <c r="BI42" s="369"/>
      <c r="BJ42" s="369"/>
      <c r="BK42" s="369"/>
      <c r="BL42" s="369"/>
      <c r="BM42" s="369"/>
      <c r="BN42" s="369"/>
      <c r="BO42" s="369"/>
      <c r="BP42" s="369"/>
      <c r="BQ42" s="369"/>
      <c r="BR42" s="369"/>
      <c r="BS42" s="369"/>
      <c r="BT42" s="369"/>
      <c r="BU42" s="369"/>
      <c r="BV42" s="369"/>
      <c r="BW42" s="369"/>
      <c r="BX42" s="369"/>
      <c r="BY42" s="369"/>
      <c r="BZ42" s="369"/>
      <c r="CA42" s="369"/>
      <c r="CB42" s="369"/>
      <c r="CC42" s="369"/>
      <c r="CD42" s="369"/>
      <c r="CE42" s="369"/>
      <c r="CF42" s="369"/>
      <c r="CG42" s="369"/>
      <c r="CH42" s="369"/>
      <c r="CI42" s="369"/>
      <c r="CJ42" s="369"/>
      <c r="CK42" s="369"/>
      <c r="CL42" s="369"/>
    </row>
    <row r="43" outlineLevel="1">
      <c r="A43" s="325" t="str">
        <f t="shared" ref="A43:A49" si="5">IF(E43="","",$C$3&amp;"."&amp;COUNTA($E$12:E43)&amp;"")</f>
        <v>TC_01.26</v>
      </c>
      <c r="B43" s="370" t="s">
        <v>77</v>
      </c>
      <c r="C43" s="348" t="s">
        <v>1159</v>
      </c>
      <c r="D43" s="328" t="s">
        <v>1160</v>
      </c>
      <c r="E43" s="344" t="s">
        <v>1161</v>
      </c>
      <c r="F43" s="344" t="s">
        <v>1162</v>
      </c>
      <c r="G43" s="346"/>
      <c r="H43" s="323"/>
      <c r="I43" s="323"/>
      <c r="J43" s="323"/>
      <c r="K43" s="331"/>
      <c r="L43" s="337"/>
      <c r="M43" s="43"/>
      <c r="N43" s="356"/>
      <c r="O43" s="353"/>
      <c r="P43" s="354"/>
      <c r="Q43" s="43"/>
      <c r="R43" s="356"/>
      <c r="S43" s="353"/>
      <c r="T43" s="354"/>
      <c r="U43" s="43"/>
      <c r="V43" s="356"/>
      <c r="W43" s="353"/>
      <c r="X43" s="354"/>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5"/>
      <c r="BL43" s="355"/>
      <c r="BM43" s="355"/>
      <c r="BN43" s="355"/>
      <c r="BO43" s="355"/>
      <c r="BP43" s="355"/>
      <c r="BQ43" s="355"/>
      <c r="BR43" s="355"/>
      <c r="BS43" s="355"/>
      <c r="BT43" s="355"/>
      <c r="BU43" s="355"/>
      <c r="BV43" s="355"/>
      <c r="BW43" s="355"/>
      <c r="BX43" s="355"/>
      <c r="BY43" s="355"/>
      <c r="BZ43" s="355"/>
      <c r="CA43" s="355"/>
      <c r="CB43" s="355"/>
      <c r="CC43" s="355"/>
      <c r="CD43" s="355"/>
      <c r="CE43" s="355"/>
      <c r="CF43" s="355"/>
      <c r="CG43" s="355"/>
      <c r="CH43" s="355"/>
      <c r="CI43" s="355"/>
      <c r="CJ43" s="355"/>
      <c r="CK43" s="355"/>
      <c r="CL43" s="355"/>
    </row>
    <row r="44" outlineLevel="1">
      <c r="A44" s="325" t="str">
        <f t="shared" si="5"/>
        <v>TC_01.27</v>
      </c>
      <c r="B44" s="342" t="s">
        <v>75</v>
      </c>
      <c r="C44" s="348" t="s">
        <v>1163</v>
      </c>
      <c r="D44" s="328" t="s">
        <v>1160</v>
      </c>
      <c r="E44" s="344" t="s">
        <v>1164</v>
      </c>
      <c r="F44" s="345" t="s">
        <v>1122</v>
      </c>
      <c r="G44" s="346"/>
      <c r="H44" s="323"/>
      <c r="I44" s="323"/>
      <c r="J44" s="323"/>
      <c r="K44" s="331"/>
      <c r="L44" s="352"/>
      <c r="M44" s="43"/>
      <c r="N44" s="356"/>
      <c r="O44" s="353"/>
      <c r="P44" s="354"/>
      <c r="Q44" s="43"/>
      <c r="R44" s="356"/>
      <c r="S44" s="353"/>
      <c r="T44" s="354"/>
      <c r="U44" s="43"/>
      <c r="V44" s="356"/>
      <c r="W44" s="353"/>
      <c r="X44" s="354"/>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c r="BW44" s="355"/>
      <c r="BX44" s="355"/>
      <c r="BY44" s="355"/>
      <c r="BZ44" s="355"/>
      <c r="CA44" s="355"/>
      <c r="CB44" s="355"/>
      <c r="CC44" s="355"/>
      <c r="CD44" s="355"/>
      <c r="CE44" s="355"/>
      <c r="CF44" s="355"/>
      <c r="CG44" s="355"/>
      <c r="CH44" s="355"/>
      <c r="CI44" s="355"/>
      <c r="CJ44" s="355"/>
      <c r="CK44" s="355"/>
      <c r="CL44" s="355"/>
    </row>
    <row r="45" outlineLevel="1">
      <c r="A45" s="325" t="str">
        <f t="shared" si="5"/>
        <v>TC_01.28</v>
      </c>
      <c r="B45" s="342" t="s">
        <v>75</v>
      </c>
      <c r="C45" s="343" t="s">
        <v>1165</v>
      </c>
      <c r="D45" s="328" t="s">
        <v>1160</v>
      </c>
      <c r="E45" s="344" t="s">
        <v>1166</v>
      </c>
      <c r="F45" s="345" t="s">
        <v>1167</v>
      </c>
      <c r="G45" s="346"/>
      <c r="H45" s="323"/>
      <c r="I45" s="323"/>
      <c r="J45" s="323"/>
      <c r="K45" s="371"/>
      <c r="L45" s="337"/>
      <c r="M45" s="43"/>
      <c r="N45" s="356"/>
      <c r="O45" s="368"/>
      <c r="P45" s="354"/>
      <c r="Q45" s="43"/>
      <c r="R45" s="356"/>
      <c r="S45" s="368"/>
      <c r="T45" s="354"/>
      <c r="U45" s="43"/>
      <c r="V45" s="356"/>
      <c r="W45" s="353"/>
      <c r="X45" s="354"/>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c r="BR45" s="355"/>
      <c r="BS45" s="355"/>
      <c r="BT45" s="355"/>
      <c r="BU45" s="355"/>
      <c r="BV45" s="355"/>
      <c r="BW45" s="355"/>
      <c r="BX45" s="355"/>
      <c r="BY45" s="355"/>
      <c r="BZ45" s="355"/>
      <c r="CA45" s="355"/>
      <c r="CB45" s="355"/>
      <c r="CC45" s="355"/>
      <c r="CD45" s="355"/>
      <c r="CE45" s="355"/>
      <c r="CF45" s="355"/>
      <c r="CG45" s="355"/>
      <c r="CH45" s="355"/>
      <c r="CI45" s="355"/>
      <c r="CJ45" s="355"/>
      <c r="CK45" s="355"/>
      <c r="CL45" s="355"/>
    </row>
    <row r="46" outlineLevel="1">
      <c r="A46" s="325" t="str">
        <f t="shared" si="5"/>
        <v>TC_01.29</v>
      </c>
      <c r="B46" s="342" t="s">
        <v>75</v>
      </c>
      <c r="C46" s="351" t="s">
        <v>1168</v>
      </c>
      <c r="D46" s="328" t="s">
        <v>1160</v>
      </c>
      <c r="E46" s="344" t="s">
        <v>1169</v>
      </c>
      <c r="F46" s="329" t="s">
        <v>1170</v>
      </c>
      <c r="G46" s="346"/>
      <c r="H46" s="323"/>
      <c r="I46" s="323"/>
      <c r="J46" s="323"/>
      <c r="K46" s="331"/>
      <c r="L46" s="337"/>
      <c r="M46" s="43"/>
      <c r="N46" s="356"/>
      <c r="O46" s="353"/>
      <c r="P46" s="354"/>
      <c r="Q46" s="43"/>
      <c r="R46" s="356"/>
      <c r="S46" s="353"/>
      <c r="T46" s="354"/>
      <c r="U46" s="43"/>
      <c r="V46" s="356"/>
      <c r="W46" s="353"/>
      <c r="X46" s="354"/>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5"/>
      <c r="BL46" s="355"/>
      <c r="BM46" s="355"/>
      <c r="BN46" s="355"/>
      <c r="BO46" s="355"/>
      <c r="BP46" s="355"/>
      <c r="BQ46" s="355"/>
      <c r="BR46" s="355"/>
      <c r="BS46" s="355"/>
      <c r="BT46" s="355"/>
      <c r="BU46" s="355"/>
      <c r="BV46" s="355"/>
      <c r="BW46" s="355"/>
      <c r="BX46" s="355"/>
      <c r="BY46" s="355"/>
      <c r="BZ46" s="355"/>
      <c r="CA46" s="355"/>
      <c r="CB46" s="355"/>
      <c r="CC46" s="355"/>
      <c r="CD46" s="355"/>
      <c r="CE46" s="355"/>
      <c r="CF46" s="355"/>
      <c r="CG46" s="355"/>
      <c r="CH46" s="355"/>
      <c r="CI46" s="355"/>
      <c r="CJ46" s="355"/>
      <c r="CK46" s="355"/>
      <c r="CL46" s="355"/>
    </row>
    <row r="47" outlineLevel="1">
      <c r="A47" s="325" t="str">
        <f t="shared" si="5"/>
        <v>TC_01.30</v>
      </c>
      <c r="B47" s="342" t="s">
        <v>75</v>
      </c>
      <c r="C47" s="351" t="s">
        <v>1171</v>
      </c>
      <c r="D47" s="328" t="s">
        <v>1160</v>
      </c>
      <c r="E47" s="344" t="s">
        <v>1172</v>
      </c>
      <c r="F47" s="345" t="s">
        <v>1173</v>
      </c>
      <c r="G47" s="346"/>
      <c r="H47" s="323"/>
      <c r="I47" s="323"/>
      <c r="J47" s="323"/>
      <c r="K47" s="331"/>
      <c r="L47" s="337"/>
      <c r="M47" s="43"/>
      <c r="N47" s="356"/>
      <c r="O47" s="353"/>
      <c r="P47" s="354"/>
      <c r="Q47" s="43"/>
      <c r="R47" s="356"/>
      <c r="S47" s="353"/>
      <c r="T47" s="354"/>
      <c r="U47" s="43"/>
      <c r="V47" s="356"/>
      <c r="W47" s="353"/>
      <c r="X47" s="354"/>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5"/>
      <c r="CD47" s="355"/>
      <c r="CE47" s="355"/>
      <c r="CF47" s="355"/>
      <c r="CG47" s="355"/>
      <c r="CH47" s="355"/>
      <c r="CI47" s="355"/>
      <c r="CJ47" s="355"/>
      <c r="CK47" s="355"/>
      <c r="CL47" s="355"/>
    </row>
    <row r="48" outlineLevel="1">
      <c r="A48" s="325" t="str">
        <f t="shared" si="5"/>
        <v>TC_01.31</v>
      </c>
      <c r="B48" s="342" t="s">
        <v>75</v>
      </c>
      <c r="C48" s="348" t="s">
        <v>1174</v>
      </c>
      <c r="D48" s="328" t="s">
        <v>1160</v>
      </c>
      <c r="E48" s="344" t="s">
        <v>1175</v>
      </c>
      <c r="F48" s="345" t="s">
        <v>1173</v>
      </c>
      <c r="G48" s="346"/>
      <c r="H48" s="323"/>
      <c r="I48" s="323"/>
      <c r="J48" s="323"/>
      <c r="K48" s="331"/>
      <c r="L48" s="352"/>
      <c r="M48" s="43"/>
      <c r="N48" s="356"/>
      <c r="O48" s="353"/>
      <c r="P48" s="354"/>
      <c r="Q48" s="43"/>
      <c r="R48" s="356"/>
      <c r="S48" s="353"/>
      <c r="T48" s="354"/>
      <c r="U48" s="43"/>
      <c r="V48" s="356"/>
      <c r="W48" s="353"/>
      <c r="X48" s="354"/>
      <c r="Y48" s="355"/>
      <c r="Z48" s="355"/>
      <c r="AA48" s="355"/>
      <c r="AB48" s="355"/>
      <c r="AC48" s="355"/>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5"/>
      <c r="BL48" s="355"/>
      <c r="BM48" s="355"/>
      <c r="BN48" s="355"/>
      <c r="BO48" s="355"/>
      <c r="BP48" s="355"/>
      <c r="BQ48" s="355"/>
      <c r="BR48" s="355"/>
      <c r="BS48" s="355"/>
      <c r="BT48" s="355"/>
      <c r="BU48" s="355"/>
      <c r="BV48" s="355"/>
      <c r="BW48" s="355"/>
      <c r="BX48" s="355"/>
      <c r="BY48" s="355"/>
      <c r="BZ48" s="355"/>
      <c r="CA48" s="355"/>
      <c r="CB48" s="355"/>
      <c r="CC48" s="355"/>
      <c r="CD48" s="355"/>
      <c r="CE48" s="355"/>
      <c r="CF48" s="355"/>
      <c r="CG48" s="355"/>
      <c r="CH48" s="355"/>
      <c r="CI48" s="355"/>
      <c r="CJ48" s="355"/>
      <c r="CK48" s="355"/>
      <c r="CL48" s="355"/>
    </row>
    <row r="49" outlineLevel="1">
      <c r="A49" s="325" t="str">
        <f t="shared" si="5"/>
        <v>TC_01.32</v>
      </c>
      <c r="B49" s="372" t="s">
        <v>75</v>
      </c>
      <c r="C49" s="351" t="s">
        <v>1176</v>
      </c>
      <c r="D49" s="328" t="s">
        <v>1160</v>
      </c>
      <c r="E49" s="344" t="s">
        <v>1177</v>
      </c>
      <c r="F49" s="345" t="s">
        <v>1178</v>
      </c>
      <c r="G49" s="346"/>
      <c r="H49" s="43"/>
      <c r="I49" s="43"/>
      <c r="J49" s="356"/>
      <c r="K49" s="353"/>
      <c r="L49" s="352"/>
      <c r="M49" s="61"/>
      <c r="N49" s="353"/>
      <c r="O49" s="353"/>
      <c r="P49" s="354"/>
      <c r="Q49" s="61"/>
      <c r="R49" s="353"/>
      <c r="S49" s="353"/>
      <c r="T49" s="354"/>
      <c r="U49" s="43"/>
      <c r="V49" s="353"/>
      <c r="W49" s="353"/>
      <c r="X49" s="354"/>
      <c r="Y49" s="355"/>
      <c r="Z49" s="355"/>
      <c r="AA49" s="355"/>
      <c r="AB49" s="355"/>
      <c r="AC49" s="355"/>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5"/>
      <c r="BL49" s="355"/>
      <c r="BM49" s="355"/>
      <c r="BN49" s="355"/>
      <c r="BO49" s="355"/>
      <c r="BP49" s="355"/>
      <c r="BQ49" s="355"/>
      <c r="BR49" s="355"/>
      <c r="BS49" s="355"/>
      <c r="BT49" s="355"/>
      <c r="BU49" s="355"/>
      <c r="BV49" s="355"/>
      <c r="BW49" s="355"/>
      <c r="BX49" s="355"/>
      <c r="BY49" s="355"/>
      <c r="BZ49" s="355"/>
      <c r="CA49" s="355"/>
      <c r="CB49" s="355"/>
      <c r="CC49" s="355"/>
      <c r="CD49" s="355"/>
      <c r="CE49" s="355"/>
      <c r="CF49" s="355"/>
      <c r="CG49" s="355"/>
      <c r="CH49" s="355"/>
      <c r="CI49" s="355"/>
      <c r="CJ49" s="355"/>
      <c r="CK49" s="355"/>
      <c r="CL49" s="355"/>
    </row>
    <row r="50">
      <c r="A50" s="324" t="s">
        <v>1179</v>
      </c>
      <c r="B50" s="148"/>
      <c r="C50" s="148"/>
      <c r="D50" s="148"/>
      <c r="E50" s="148"/>
      <c r="F50" s="171"/>
      <c r="G50" s="267"/>
      <c r="H50" s="267"/>
      <c r="I50" s="267"/>
      <c r="J50" s="267"/>
      <c r="K50" s="373"/>
      <c r="L50" s="321"/>
      <c r="M50" s="373"/>
      <c r="N50" s="373"/>
      <c r="O50" s="321"/>
      <c r="P50" s="321"/>
      <c r="Q50" s="373"/>
      <c r="R50" s="373"/>
      <c r="S50" s="373"/>
      <c r="T50" s="321"/>
      <c r="U50" s="373"/>
      <c r="V50" s="373"/>
      <c r="W50" s="321"/>
      <c r="X50" s="321"/>
      <c r="Y50" s="374"/>
      <c r="Z50" s="374"/>
      <c r="AA50" s="374"/>
      <c r="AB50" s="374"/>
      <c r="AC50" s="374"/>
      <c r="AD50" s="374"/>
      <c r="AE50" s="374"/>
      <c r="AF50" s="374"/>
      <c r="AG50" s="374"/>
      <c r="AH50" s="374"/>
      <c r="AI50" s="374"/>
      <c r="AJ50" s="374"/>
      <c r="AK50" s="374"/>
      <c r="AL50" s="374"/>
      <c r="AM50" s="374"/>
      <c r="AN50" s="374"/>
      <c r="AO50" s="374"/>
      <c r="AP50" s="374"/>
      <c r="AQ50" s="374"/>
      <c r="AR50" s="374"/>
      <c r="AS50" s="374"/>
      <c r="AT50" s="374"/>
      <c r="AU50" s="374"/>
      <c r="AV50" s="374"/>
      <c r="AW50" s="374"/>
      <c r="AX50" s="374"/>
      <c r="AY50" s="374"/>
      <c r="AZ50" s="374"/>
      <c r="BA50" s="374"/>
      <c r="BB50" s="374"/>
      <c r="BC50" s="374"/>
      <c r="BD50" s="374"/>
      <c r="BE50" s="374"/>
      <c r="BF50" s="374"/>
      <c r="BG50" s="374"/>
      <c r="BH50" s="374"/>
      <c r="BI50" s="374"/>
      <c r="BJ50" s="374"/>
      <c r="BK50" s="374"/>
      <c r="BL50" s="374"/>
      <c r="BM50" s="374"/>
      <c r="BN50" s="374"/>
      <c r="BO50" s="374"/>
      <c r="BP50" s="374"/>
      <c r="BQ50" s="374"/>
      <c r="BR50" s="374"/>
      <c r="BS50" s="374"/>
      <c r="BT50" s="374"/>
      <c r="BU50" s="374"/>
      <c r="BV50" s="374"/>
      <c r="BW50" s="374"/>
      <c r="BX50" s="374"/>
      <c r="BY50" s="374"/>
      <c r="BZ50" s="374"/>
      <c r="CA50" s="374"/>
      <c r="CB50" s="374"/>
      <c r="CC50" s="374"/>
      <c r="CD50" s="374"/>
      <c r="CE50" s="374"/>
      <c r="CF50" s="374"/>
      <c r="CG50" s="374"/>
      <c r="CH50" s="374"/>
      <c r="CI50" s="374"/>
      <c r="CJ50" s="374"/>
      <c r="CK50" s="374"/>
      <c r="CL50" s="374"/>
    </row>
    <row r="51">
      <c r="A51" s="60"/>
      <c r="B51" s="338" t="s">
        <v>1180</v>
      </c>
      <c r="C51" s="148"/>
      <c r="D51" s="148"/>
      <c r="E51" s="148"/>
      <c r="F51" s="171"/>
      <c r="G51" s="43"/>
      <c r="H51" s="43"/>
      <c r="I51" s="43"/>
      <c r="J51" s="323"/>
      <c r="K51" s="349"/>
      <c r="L51" s="337"/>
      <c r="M51" s="362"/>
      <c r="N51" s="337"/>
      <c r="O51" s="352"/>
      <c r="P51" s="352"/>
      <c r="Q51" s="362"/>
      <c r="R51" s="337"/>
      <c r="S51" s="337"/>
      <c r="T51" s="352"/>
      <c r="U51" s="362"/>
      <c r="V51" s="337"/>
      <c r="W51" s="352"/>
      <c r="X51" s="352"/>
      <c r="Y51" s="369"/>
      <c r="Z51" s="369"/>
      <c r="AA51" s="369"/>
      <c r="AB51" s="369"/>
      <c r="AC51" s="369"/>
      <c r="AD51" s="369"/>
      <c r="AE51" s="369"/>
      <c r="AF51" s="369"/>
      <c r="AG51" s="369"/>
      <c r="AH51" s="369"/>
      <c r="AI51" s="369"/>
      <c r="AJ51" s="369"/>
      <c r="AK51" s="369"/>
      <c r="AL51" s="369"/>
      <c r="AM51" s="369"/>
      <c r="AN51" s="369"/>
      <c r="AO51" s="369"/>
      <c r="AP51" s="369"/>
      <c r="AQ51" s="369"/>
      <c r="AR51" s="369"/>
      <c r="AS51" s="369"/>
      <c r="AT51" s="369"/>
      <c r="AU51" s="369"/>
      <c r="AV51" s="369"/>
      <c r="AW51" s="369"/>
      <c r="AX51" s="369"/>
      <c r="AY51" s="369"/>
      <c r="AZ51" s="369"/>
      <c r="BA51" s="369"/>
      <c r="BB51" s="369"/>
      <c r="BC51" s="369"/>
      <c r="BD51" s="369"/>
      <c r="BE51" s="369"/>
      <c r="BF51" s="369"/>
      <c r="BG51" s="369"/>
      <c r="BH51" s="369"/>
      <c r="BI51" s="369"/>
      <c r="BJ51" s="369"/>
      <c r="BK51" s="369"/>
      <c r="BL51" s="369"/>
      <c r="BM51" s="369"/>
      <c r="BN51" s="369"/>
      <c r="BO51" s="369"/>
      <c r="BP51" s="369"/>
      <c r="BQ51" s="369"/>
      <c r="BR51" s="369"/>
      <c r="BS51" s="369"/>
      <c r="BT51" s="369"/>
      <c r="BU51" s="369"/>
      <c r="BV51" s="369"/>
      <c r="BW51" s="369"/>
      <c r="BX51" s="369"/>
      <c r="BY51" s="369"/>
      <c r="BZ51" s="369"/>
      <c r="CA51" s="369"/>
      <c r="CB51" s="369"/>
      <c r="CC51" s="369"/>
      <c r="CD51" s="369"/>
      <c r="CE51" s="369"/>
      <c r="CF51" s="369"/>
      <c r="CG51" s="369"/>
      <c r="CH51" s="369"/>
      <c r="CI51" s="369"/>
      <c r="CJ51" s="369"/>
      <c r="CK51" s="369"/>
      <c r="CL51" s="369"/>
    </row>
    <row r="52" outlineLevel="1">
      <c r="A52" s="325" t="str">
        <f t="shared" ref="A52:A59" si="6">IF(E52="","",$C$3&amp;"."&amp;COUNTA($E$12:E52)&amp;"")</f>
        <v>TC_01.33</v>
      </c>
      <c r="B52" s="326" t="s">
        <v>73</v>
      </c>
      <c r="C52" s="327" t="s">
        <v>1181</v>
      </c>
      <c r="D52" s="375" t="s">
        <v>1182</v>
      </c>
      <c r="E52" s="329" t="s">
        <v>1183</v>
      </c>
      <c r="F52" s="376" t="s">
        <v>1184</v>
      </c>
      <c r="G52" s="43"/>
      <c r="H52" s="43"/>
      <c r="I52" s="377"/>
      <c r="J52" s="323"/>
      <c r="K52" s="366"/>
      <c r="L52" s="337"/>
      <c r="M52" s="43"/>
      <c r="N52" s="356"/>
      <c r="O52" s="353"/>
      <c r="P52" s="354"/>
      <c r="Q52" s="43"/>
      <c r="R52" s="356"/>
      <c r="S52" s="356"/>
      <c r="T52" s="354"/>
      <c r="U52" s="43"/>
      <c r="V52" s="356"/>
      <c r="W52" s="353"/>
      <c r="X52" s="354"/>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5"/>
      <c r="CD52" s="355"/>
      <c r="CE52" s="355"/>
      <c r="CF52" s="355"/>
      <c r="CG52" s="355"/>
      <c r="CH52" s="355"/>
      <c r="CI52" s="355"/>
      <c r="CJ52" s="355"/>
      <c r="CK52" s="355"/>
      <c r="CL52" s="355"/>
    </row>
    <row r="53" outlineLevel="1">
      <c r="A53" s="325" t="str">
        <f t="shared" si="6"/>
        <v>TC_01.34</v>
      </c>
      <c r="B53" s="323" t="s">
        <v>77</v>
      </c>
      <c r="C53" s="378" t="s">
        <v>1185</v>
      </c>
      <c r="D53" s="375" t="s">
        <v>1186</v>
      </c>
      <c r="E53" s="329" t="s">
        <v>1187</v>
      </c>
      <c r="F53" s="379" t="s">
        <v>1188</v>
      </c>
      <c r="G53" s="43"/>
      <c r="H53" s="43"/>
      <c r="I53" s="377"/>
      <c r="J53" s="323"/>
      <c r="K53" s="356"/>
      <c r="L53" s="337"/>
      <c r="M53" s="43"/>
      <c r="N53" s="356"/>
      <c r="O53" s="353"/>
      <c r="P53" s="354"/>
      <c r="Q53" s="43"/>
      <c r="R53" s="356"/>
      <c r="S53" s="356"/>
      <c r="T53" s="354"/>
      <c r="U53" s="43"/>
      <c r="V53" s="356"/>
      <c r="W53" s="353"/>
      <c r="X53" s="354"/>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c r="BR53" s="355"/>
      <c r="BS53" s="355"/>
      <c r="BT53" s="355"/>
      <c r="BU53" s="355"/>
      <c r="BV53" s="355"/>
      <c r="BW53" s="355"/>
      <c r="BX53" s="355"/>
      <c r="BY53" s="355"/>
      <c r="BZ53" s="355"/>
      <c r="CA53" s="355"/>
      <c r="CB53" s="355"/>
      <c r="CC53" s="355"/>
      <c r="CD53" s="355"/>
      <c r="CE53" s="355"/>
      <c r="CF53" s="355"/>
      <c r="CG53" s="355"/>
      <c r="CH53" s="355"/>
      <c r="CI53" s="355"/>
      <c r="CJ53" s="355"/>
      <c r="CK53" s="355"/>
      <c r="CL53" s="355"/>
    </row>
    <row r="54" outlineLevel="1">
      <c r="A54" s="325" t="str">
        <f t="shared" si="6"/>
        <v>TC_01.35</v>
      </c>
      <c r="B54" s="380" t="s">
        <v>75</v>
      </c>
      <c r="C54" s="381" t="s">
        <v>1189</v>
      </c>
      <c r="D54" s="375" t="s">
        <v>1182</v>
      </c>
      <c r="E54" s="382" t="s">
        <v>1190</v>
      </c>
      <c r="F54" s="383" t="s">
        <v>1191</v>
      </c>
      <c r="G54" s="43"/>
      <c r="H54" s="43"/>
      <c r="I54" s="377"/>
      <c r="J54" s="323"/>
      <c r="K54" s="356"/>
      <c r="L54" s="337"/>
      <c r="M54" s="43"/>
      <c r="N54" s="356"/>
      <c r="O54" s="353"/>
      <c r="P54" s="354"/>
      <c r="Q54" s="43"/>
      <c r="R54" s="356"/>
      <c r="S54" s="356"/>
      <c r="T54" s="354"/>
      <c r="U54" s="43"/>
      <c r="V54" s="356"/>
      <c r="W54" s="353"/>
      <c r="X54" s="354"/>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c r="BR54" s="355"/>
      <c r="BS54" s="355"/>
      <c r="BT54" s="355"/>
      <c r="BU54" s="355"/>
      <c r="BV54" s="355"/>
      <c r="BW54" s="355"/>
      <c r="BX54" s="355"/>
      <c r="BY54" s="355"/>
      <c r="BZ54" s="355"/>
      <c r="CA54" s="355"/>
      <c r="CB54" s="355"/>
      <c r="CC54" s="355"/>
      <c r="CD54" s="355"/>
      <c r="CE54" s="355"/>
      <c r="CF54" s="355"/>
      <c r="CG54" s="355"/>
      <c r="CH54" s="355"/>
      <c r="CI54" s="355"/>
      <c r="CJ54" s="355"/>
      <c r="CK54" s="355"/>
      <c r="CL54" s="355"/>
    </row>
    <row r="55" outlineLevel="1">
      <c r="A55" s="325" t="str">
        <f t="shared" si="6"/>
        <v>TC_01.36</v>
      </c>
      <c r="B55" s="384" t="s">
        <v>75</v>
      </c>
      <c r="C55" s="378" t="s">
        <v>1192</v>
      </c>
      <c r="D55" s="375" t="s">
        <v>1182</v>
      </c>
      <c r="E55" s="382" t="s">
        <v>1193</v>
      </c>
      <c r="F55" s="382" t="s">
        <v>1194</v>
      </c>
      <c r="G55" s="43"/>
      <c r="H55" s="43"/>
      <c r="I55" s="377"/>
      <c r="J55" s="323"/>
      <c r="K55" s="356"/>
      <c r="L55" s="337"/>
      <c r="M55" s="43"/>
      <c r="N55" s="356"/>
      <c r="O55" s="353"/>
      <c r="P55" s="354"/>
      <c r="Q55" s="43"/>
      <c r="R55" s="356"/>
      <c r="S55" s="356"/>
      <c r="T55" s="354"/>
      <c r="U55" s="43"/>
      <c r="V55" s="356"/>
      <c r="W55" s="353"/>
      <c r="X55" s="354"/>
      <c r="Y55" s="355"/>
      <c r="Z55" s="355"/>
      <c r="AA55" s="355"/>
      <c r="AB55" s="355"/>
      <c r="AC55" s="355"/>
      <c r="AD55" s="355"/>
      <c r="AE55" s="355"/>
      <c r="AF55" s="355"/>
      <c r="AG55" s="355"/>
      <c r="AH55" s="355"/>
      <c r="AI55" s="355"/>
      <c r="AJ55" s="355"/>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5"/>
      <c r="BL55" s="355"/>
      <c r="BM55" s="355"/>
      <c r="BN55" s="355"/>
      <c r="BO55" s="355"/>
      <c r="BP55" s="355"/>
      <c r="BQ55" s="355"/>
      <c r="BR55" s="355"/>
      <c r="BS55" s="355"/>
      <c r="BT55" s="355"/>
      <c r="BU55" s="355"/>
      <c r="BV55" s="355"/>
      <c r="BW55" s="355"/>
      <c r="BX55" s="355"/>
      <c r="BY55" s="355"/>
      <c r="BZ55" s="355"/>
      <c r="CA55" s="355"/>
      <c r="CB55" s="355"/>
      <c r="CC55" s="355"/>
      <c r="CD55" s="355"/>
      <c r="CE55" s="355"/>
      <c r="CF55" s="355"/>
      <c r="CG55" s="355"/>
      <c r="CH55" s="355"/>
      <c r="CI55" s="355"/>
      <c r="CJ55" s="355"/>
      <c r="CK55" s="355"/>
      <c r="CL55" s="355"/>
    </row>
    <row r="56" outlineLevel="1">
      <c r="A56" s="325" t="str">
        <f t="shared" si="6"/>
        <v>TC_01.37</v>
      </c>
      <c r="B56" s="380" t="s">
        <v>75</v>
      </c>
      <c r="C56" s="385" t="s">
        <v>1195</v>
      </c>
      <c r="D56" s="375" t="s">
        <v>1182</v>
      </c>
      <c r="E56" s="344" t="s">
        <v>1196</v>
      </c>
      <c r="F56" s="345" t="s">
        <v>1197</v>
      </c>
      <c r="G56" s="43"/>
      <c r="H56" s="43"/>
      <c r="I56" s="377"/>
      <c r="J56" s="323"/>
      <c r="K56" s="356"/>
      <c r="L56" s="337"/>
      <c r="M56" s="43"/>
      <c r="N56" s="356"/>
      <c r="O56" s="353"/>
      <c r="P56" s="354"/>
      <c r="Q56" s="43"/>
      <c r="R56" s="356"/>
      <c r="S56" s="356"/>
      <c r="T56" s="354"/>
      <c r="U56" s="43"/>
      <c r="V56" s="356"/>
      <c r="W56" s="353"/>
      <c r="X56" s="354"/>
      <c r="Y56" s="355"/>
      <c r="Z56" s="355"/>
      <c r="AA56" s="355"/>
      <c r="AB56" s="355"/>
      <c r="AC56" s="355"/>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c r="BN56" s="355"/>
      <c r="BO56" s="355"/>
      <c r="BP56" s="355"/>
      <c r="BQ56" s="355"/>
      <c r="BR56" s="355"/>
      <c r="BS56" s="355"/>
      <c r="BT56" s="355"/>
      <c r="BU56" s="355"/>
      <c r="BV56" s="355"/>
      <c r="BW56" s="355"/>
      <c r="BX56" s="355"/>
      <c r="BY56" s="355"/>
      <c r="BZ56" s="355"/>
      <c r="CA56" s="355"/>
      <c r="CB56" s="355"/>
      <c r="CC56" s="355"/>
      <c r="CD56" s="355"/>
      <c r="CE56" s="355"/>
      <c r="CF56" s="355"/>
      <c r="CG56" s="355"/>
      <c r="CH56" s="355"/>
      <c r="CI56" s="355"/>
      <c r="CJ56" s="355"/>
      <c r="CK56" s="355"/>
      <c r="CL56" s="355"/>
    </row>
    <row r="57" outlineLevel="1">
      <c r="A57" s="325" t="str">
        <f t="shared" si="6"/>
        <v>TC_01.38</v>
      </c>
      <c r="B57" s="380" t="s">
        <v>75</v>
      </c>
      <c r="C57" s="381" t="s">
        <v>1198</v>
      </c>
      <c r="D57" s="375" t="s">
        <v>1182</v>
      </c>
      <c r="E57" s="382" t="s">
        <v>1199</v>
      </c>
      <c r="F57" s="383" t="s">
        <v>1200</v>
      </c>
      <c r="G57" s="323"/>
      <c r="H57" s="323"/>
      <c r="I57" s="377"/>
      <c r="J57" s="323"/>
      <c r="K57" s="331"/>
      <c r="L57" s="337"/>
      <c r="M57" s="386"/>
      <c r="N57" s="387"/>
      <c r="O57" s="388"/>
      <c r="P57" s="389"/>
      <c r="Q57" s="386"/>
      <c r="R57" s="387"/>
      <c r="S57" s="387"/>
      <c r="T57" s="389"/>
      <c r="U57" s="386"/>
      <c r="V57" s="387"/>
      <c r="W57" s="388"/>
      <c r="X57" s="389"/>
      <c r="Y57" s="390"/>
      <c r="Z57" s="390"/>
      <c r="AA57" s="390"/>
      <c r="AB57" s="390"/>
      <c r="AC57" s="390"/>
      <c r="AD57" s="390"/>
      <c r="AE57" s="390"/>
      <c r="AF57" s="390"/>
      <c r="AG57" s="390"/>
      <c r="AH57" s="390"/>
      <c r="AI57" s="390"/>
      <c r="AJ57" s="390"/>
      <c r="AK57" s="390"/>
      <c r="AL57" s="390"/>
      <c r="AM57" s="390"/>
      <c r="AN57" s="390"/>
      <c r="AO57" s="390"/>
      <c r="AP57" s="390"/>
      <c r="AQ57" s="390"/>
      <c r="AR57" s="390"/>
      <c r="AS57" s="390"/>
      <c r="AT57" s="390"/>
      <c r="AU57" s="390"/>
      <c r="AV57" s="390"/>
      <c r="AW57" s="390"/>
      <c r="AX57" s="390"/>
      <c r="AY57" s="390"/>
      <c r="AZ57" s="390"/>
      <c r="BA57" s="390"/>
      <c r="BB57" s="390"/>
      <c r="BC57" s="390"/>
      <c r="BD57" s="390"/>
      <c r="BE57" s="390"/>
      <c r="BF57" s="390"/>
      <c r="BG57" s="390"/>
      <c r="BH57" s="390"/>
      <c r="BI57" s="390"/>
      <c r="BJ57" s="390"/>
      <c r="BK57" s="390"/>
      <c r="BL57" s="390"/>
      <c r="BM57" s="390"/>
      <c r="BN57" s="390"/>
      <c r="BO57" s="390"/>
      <c r="BP57" s="390"/>
      <c r="BQ57" s="390"/>
      <c r="BR57" s="390"/>
      <c r="BS57" s="390"/>
      <c r="BT57" s="390"/>
      <c r="BU57" s="390"/>
      <c r="BV57" s="390"/>
      <c r="BW57" s="390"/>
      <c r="BX57" s="390"/>
      <c r="BY57" s="390"/>
      <c r="BZ57" s="390"/>
      <c r="CA57" s="390"/>
      <c r="CB57" s="390"/>
      <c r="CC57" s="390"/>
      <c r="CD57" s="390"/>
      <c r="CE57" s="390"/>
      <c r="CF57" s="390"/>
      <c r="CG57" s="390"/>
      <c r="CH57" s="390"/>
      <c r="CI57" s="390"/>
      <c r="CJ57" s="390"/>
      <c r="CK57" s="390"/>
      <c r="CL57" s="390"/>
    </row>
    <row r="58" outlineLevel="1">
      <c r="A58" s="325" t="str">
        <f t="shared" si="6"/>
        <v>TC_01.39</v>
      </c>
      <c r="B58" s="380" t="s">
        <v>75</v>
      </c>
      <c r="C58" s="381" t="s">
        <v>1201</v>
      </c>
      <c r="D58" s="375" t="s">
        <v>1182</v>
      </c>
      <c r="E58" s="382" t="s">
        <v>1202</v>
      </c>
      <c r="F58" s="391" t="s">
        <v>1203</v>
      </c>
      <c r="G58" s="43"/>
      <c r="H58" s="43"/>
      <c r="I58" s="377"/>
      <c r="J58" s="323"/>
      <c r="K58" s="356"/>
      <c r="L58" s="337"/>
      <c r="M58" s="386"/>
      <c r="N58" s="387"/>
      <c r="O58" s="388"/>
      <c r="P58" s="389"/>
      <c r="Q58" s="386"/>
      <c r="R58" s="387"/>
      <c r="S58" s="387"/>
      <c r="T58" s="389"/>
      <c r="U58" s="386"/>
      <c r="V58" s="387"/>
      <c r="W58" s="388"/>
      <c r="X58" s="389"/>
      <c r="Y58" s="390"/>
      <c r="Z58" s="390"/>
      <c r="AA58" s="390"/>
      <c r="AB58" s="390"/>
      <c r="AC58" s="390"/>
      <c r="AD58" s="390"/>
      <c r="AE58" s="390"/>
      <c r="AF58" s="390"/>
      <c r="AG58" s="390"/>
      <c r="AH58" s="390"/>
      <c r="AI58" s="390"/>
      <c r="AJ58" s="390"/>
      <c r="AK58" s="390"/>
      <c r="AL58" s="390"/>
      <c r="AM58" s="390"/>
      <c r="AN58" s="390"/>
      <c r="AO58" s="390"/>
      <c r="AP58" s="390"/>
      <c r="AQ58" s="390"/>
      <c r="AR58" s="390"/>
      <c r="AS58" s="390"/>
      <c r="AT58" s="390"/>
      <c r="AU58" s="390"/>
      <c r="AV58" s="390"/>
      <c r="AW58" s="390"/>
      <c r="AX58" s="390"/>
      <c r="AY58" s="390"/>
      <c r="AZ58" s="390"/>
      <c r="BA58" s="390"/>
      <c r="BB58" s="390"/>
      <c r="BC58" s="390"/>
      <c r="BD58" s="390"/>
      <c r="BE58" s="390"/>
      <c r="BF58" s="390"/>
      <c r="BG58" s="390"/>
      <c r="BH58" s="390"/>
      <c r="BI58" s="390"/>
      <c r="BJ58" s="390"/>
      <c r="BK58" s="390"/>
      <c r="BL58" s="390"/>
      <c r="BM58" s="390"/>
      <c r="BN58" s="390"/>
      <c r="BO58" s="390"/>
      <c r="BP58" s="390"/>
      <c r="BQ58" s="390"/>
      <c r="BR58" s="390"/>
      <c r="BS58" s="390"/>
      <c r="BT58" s="390"/>
      <c r="BU58" s="390"/>
      <c r="BV58" s="390"/>
      <c r="BW58" s="390"/>
      <c r="BX58" s="390"/>
      <c r="BY58" s="390"/>
      <c r="BZ58" s="390"/>
      <c r="CA58" s="390"/>
      <c r="CB58" s="390"/>
      <c r="CC58" s="390"/>
      <c r="CD58" s="390"/>
      <c r="CE58" s="390"/>
      <c r="CF58" s="390"/>
      <c r="CG58" s="390"/>
      <c r="CH58" s="390"/>
      <c r="CI58" s="390"/>
      <c r="CJ58" s="390"/>
      <c r="CK58" s="390"/>
      <c r="CL58" s="390"/>
    </row>
    <row r="59" outlineLevel="1">
      <c r="A59" s="325" t="str">
        <f t="shared" si="6"/>
        <v>TC_01.40</v>
      </c>
      <c r="B59" s="392" t="s">
        <v>75</v>
      </c>
      <c r="C59" s="385" t="s">
        <v>1204</v>
      </c>
      <c r="D59" s="375" t="s">
        <v>1182</v>
      </c>
      <c r="E59" s="344" t="s">
        <v>1205</v>
      </c>
      <c r="F59" s="344" t="s">
        <v>1206</v>
      </c>
      <c r="G59" s="359"/>
      <c r="H59" s="359"/>
      <c r="I59" s="377"/>
      <c r="J59" s="356"/>
      <c r="K59" s="393"/>
      <c r="L59" s="337"/>
      <c r="M59" s="386"/>
      <c r="N59" s="387"/>
      <c r="O59" s="394"/>
      <c r="P59" s="395"/>
      <c r="Q59" s="396"/>
      <c r="R59" s="387"/>
      <c r="S59" s="394"/>
      <c r="T59" s="395"/>
      <c r="U59" s="396"/>
      <c r="V59" s="387"/>
      <c r="W59" s="394"/>
      <c r="X59" s="395"/>
      <c r="Y59" s="397"/>
      <c r="Z59" s="397"/>
      <c r="AA59" s="397"/>
      <c r="AB59" s="397"/>
      <c r="AC59" s="397"/>
      <c r="AD59" s="397"/>
      <c r="AE59" s="397"/>
      <c r="AF59" s="397"/>
      <c r="AG59" s="397"/>
      <c r="AH59" s="397"/>
      <c r="AI59" s="397"/>
      <c r="AJ59" s="397"/>
      <c r="AK59" s="397"/>
      <c r="AL59" s="397"/>
      <c r="AM59" s="397"/>
      <c r="AN59" s="397"/>
      <c r="AO59" s="397"/>
      <c r="AP59" s="397"/>
      <c r="AQ59" s="397"/>
      <c r="AR59" s="397"/>
      <c r="AS59" s="397"/>
      <c r="AT59" s="397"/>
      <c r="AU59" s="397"/>
      <c r="AV59" s="397"/>
      <c r="AW59" s="397"/>
      <c r="AX59" s="397"/>
      <c r="AY59" s="397"/>
      <c r="AZ59" s="397"/>
      <c r="BA59" s="397"/>
      <c r="BB59" s="397"/>
      <c r="BC59" s="397"/>
      <c r="BD59" s="397"/>
      <c r="BE59" s="397"/>
      <c r="BF59" s="397"/>
      <c r="BG59" s="397"/>
      <c r="BH59" s="397"/>
      <c r="BI59" s="397"/>
      <c r="BJ59" s="397"/>
      <c r="BK59" s="397"/>
      <c r="BL59" s="397"/>
      <c r="BM59" s="397"/>
      <c r="BN59" s="397"/>
      <c r="BO59" s="397"/>
      <c r="BP59" s="397"/>
      <c r="BQ59" s="397"/>
      <c r="BR59" s="397"/>
      <c r="BS59" s="397"/>
      <c r="BT59" s="397"/>
      <c r="BU59" s="397"/>
      <c r="BV59" s="397"/>
      <c r="BW59" s="397"/>
      <c r="BX59" s="397"/>
      <c r="BY59" s="397"/>
      <c r="BZ59" s="397"/>
      <c r="CA59" s="397"/>
      <c r="CB59" s="397"/>
      <c r="CC59" s="397"/>
      <c r="CD59" s="397"/>
      <c r="CE59" s="397"/>
      <c r="CF59" s="397"/>
      <c r="CG59" s="397"/>
      <c r="CH59" s="397"/>
      <c r="CI59" s="397"/>
      <c r="CJ59" s="397"/>
      <c r="CK59" s="397"/>
      <c r="CL59" s="397"/>
    </row>
    <row r="60">
      <c r="A60" s="60"/>
      <c r="B60" s="338" t="s">
        <v>1207</v>
      </c>
      <c r="C60" s="148"/>
      <c r="D60" s="148"/>
      <c r="E60" s="148"/>
      <c r="F60" s="171"/>
      <c r="G60" s="323"/>
      <c r="H60" s="323"/>
      <c r="I60" s="323"/>
      <c r="J60" s="323"/>
      <c r="K60" s="60"/>
      <c r="L60" s="398"/>
      <c r="M60" s="399"/>
      <c r="N60" s="400"/>
      <c r="O60" s="401"/>
      <c r="P60" s="401"/>
      <c r="Q60" s="402"/>
      <c r="R60" s="400"/>
      <c r="S60" s="401"/>
      <c r="T60" s="401"/>
      <c r="U60" s="402"/>
      <c r="V60" s="400"/>
      <c r="W60" s="401"/>
      <c r="X60" s="401"/>
      <c r="Y60" s="403"/>
      <c r="Z60" s="403"/>
      <c r="AA60" s="403"/>
      <c r="AB60" s="403"/>
      <c r="AC60" s="403"/>
      <c r="AD60" s="403"/>
      <c r="AE60" s="403"/>
      <c r="AF60" s="403"/>
      <c r="AG60" s="403"/>
      <c r="AH60" s="403"/>
      <c r="AI60" s="403"/>
      <c r="AJ60" s="403"/>
      <c r="AK60" s="403"/>
      <c r="AL60" s="403"/>
      <c r="AM60" s="403"/>
      <c r="AN60" s="403"/>
      <c r="AO60" s="403"/>
      <c r="AP60" s="403"/>
      <c r="AQ60" s="403"/>
      <c r="AR60" s="403"/>
      <c r="AS60" s="403"/>
      <c r="AT60" s="403"/>
      <c r="AU60" s="403"/>
      <c r="AV60" s="403"/>
      <c r="AW60" s="403"/>
      <c r="AX60" s="403"/>
      <c r="AY60" s="403"/>
      <c r="AZ60" s="403"/>
      <c r="BA60" s="403"/>
      <c r="BB60" s="403"/>
      <c r="BC60" s="403"/>
      <c r="BD60" s="403"/>
      <c r="BE60" s="403"/>
      <c r="BF60" s="403"/>
      <c r="BG60" s="403"/>
      <c r="BH60" s="403"/>
      <c r="BI60" s="403"/>
      <c r="BJ60" s="403"/>
      <c r="BK60" s="403"/>
      <c r="BL60" s="403"/>
      <c r="BM60" s="403"/>
      <c r="BN60" s="403"/>
      <c r="BO60" s="403"/>
      <c r="BP60" s="403"/>
      <c r="BQ60" s="403"/>
      <c r="BR60" s="403"/>
      <c r="BS60" s="403"/>
      <c r="BT60" s="403"/>
      <c r="BU60" s="403"/>
      <c r="BV60" s="403"/>
      <c r="BW60" s="403"/>
      <c r="BX60" s="403"/>
      <c r="BY60" s="403"/>
      <c r="BZ60" s="403"/>
      <c r="CA60" s="403"/>
      <c r="CB60" s="403"/>
      <c r="CC60" s="403"/>
      <c r="CD60" s="403"/>
      <c r="CE60" s="403"/>
      <c r="CF60" s="403"/>
      <c r="CG60" s="403"/>
      <c r="CH60" s="403"/>
      <c r="CI60" s="403"/>
      <c r="CJ60" s="403"/>
      <c r="CK60" s="403"/>
      <c r="CL60" s="403"/>
    </row>
    <row r="61" outlineLevel="1">
      <c r="A61" s="325" t="str">
        <f t="shared" ref="A61:A65" si="7">IF(E61="","",$C$3&amp;"."&amp;COUNTA($E$12:E61)&amp;"")</f>
        <v>TC_01.41</v>
      </c>
      <c r="B61" s="404" t="s">
        <v>77</v>
      </c>
      <c r="C61" s="378" t="s">
        <v>1208</v>
      </c>
      <c r="D61" s="329" t="s">
        <v>1209</v>
      </c>
      <c r="E61" s="329" t="s">
        <v>1210</v>
      </c>
      <c r="F61" s="379" t="s">
        <v>1211</v>
      </c>
      <c r="G61" s="323"/>
      <c r="H61" s="323"/>
      <c r="I61" s="377"/>
      <c r="J61" s="323"/>
      <c r="K61" s="331"/>
      <c r="L61" s="337"/>
      <c r="M61" s="386"/>
      <c r="N61" s="387"/>
      <c r="O61" s="394"/>
      <c r="P61" s="395"/>
      <c r="Q61" s="396"/>
      <c r="R61" s="387"/>
      <c r="S61" s="394"/>
      <c r="T61" s="395"/>
      <c r="U61" s="396"/>
      <c r="V61" s="387"/>
      <c r="W61" s="394"/>
      <c r="X61" s="395"/>
      <c r="Y61" s="397"/>
      <c r="Z61" s="397"/>
      <c r="AA61" s="397"/>
      <c r="AB61" s="397"/>
      <c r="AC61" s="397"/>
      <c r="AD61" s="397"/>
      <c r="AE61" s="397"/>
      <c r="AF61" s="397"/>
      <c r="AG61" s="397"/>
      <c r="AH61" s="397"/>
      <c r="AI61" s="397"/>
      <c r="AJ61" s="397"/>
      <c r="AK61" s="397"/>
      <c r="AL61" s="397"/>
      <c r="AM61" s="397"/>
      <c r="AN61" s="397"/>
      <c r="AO61" s="397"/>
      <c r="AP61" s="397"/>
      <c r="AQ61" s="397"/>
      <c r="AR61" s="397"/>
      <c r="AS61" s="397"/>
      <c r="AT61" s="397"/>
      <c r="AU61" s="397"/>
      <c r="AV61" s="397"/>
      <c r="AW61" s="397"/>
      <c r="AX61" s="397"/>
      <c r="AY61" s="397"/>
      <c r="AZ61" s="397"/>
      <c r="BA61" s="397"/>
      <c r="BB61" s="397"/>
      <c r="BC61" s="397"/>
      <c r="BD61" s="397"/>
      <c r="BE61" s="397"/>
      <c r="BF61" s="397"/>
      <c r="BG61" s="397"/>
      <c r="BH61" s="397"/>
      <c r="BI61" s="397"/>
      <c r="BJ61" s="397"/>
      <c r="BK61" s="397"/>
      <c r="BL61" s="397"/>
      <c r="BM61" s="397"/>
      <c r="BN61" s="397"/>
      <c r="BO61" s="397"/>
      <c r="BP61" s="397"/>
      <c r="BQ61" s="397"/>
      <c r="BR61" s="397"/>
      <c r="BS61" s="397"/>
      <c r="BT61" s="397"/>
      <c r="BU61" s="397"/>
      <c r="BV61" s="397"/>
      <c r="BW61" s="397"/>
      <c r="BX61" s="397"/>
      <c r="BY61" s="397"/>
      <c r="BZ61" s="397"/>
      <c r="CA61" s="397"/>
      <c r="CB61" s="397"/>
      <c r="CC61" s="397"/>
      <c r="CD61" s="397"/>
      <c r="CE61" s="397"/>
      <c r="CF61" s="397"/>
      <c r="CG61" s="397"/>
      <c r="CH61" s="397"/>
      <c r="CI61" s="397"/>
      <c r="CJ61" s="397"/>
      <c r="CK61" s="397"/>
      <c r="CL61" s="397"/>
    </row>
    <row r="62" outlineLevel="1">
      <c r="A62" s="325" t="str">
        <f t="shared" si="7"/>
        <v>TC_01.42</v>
      </c>
      <c r="B62" s="372" t="s">
        <v>75</v>
      </c>
      <c r="C62" s="336" t="s">
        <v>1212</v>
      </c>
      <c r="D62" s="329" t="s">
        <v>1209</v>
      </c>
      <c r="E62" s="405" t="s">
        <v>1213</v>
      </c>
      <c r="F62" s="406" t="s">
        <v>1214</v>
      </c>
      <c r="G62" s="323"/>
      <c r="H62" s="323"/>
      <c r="I62" s="377"/>
      <c r="J62" s="323"/>
      <c r="K62" s="331"/>
      <c r="L62" s="337"/>
      <c r="M62" s="386"/>
      <c r="N62" s="387"/>
      <c r="O62" s="394"/>
      <c r="P62" s="395"/>
      <c r="Q62" s="396"/>
      <c r="R62" s="387"/>
      <c r="S62" s="394"/>
      <c r="T62" s="395"/>
      <c r="U62" s="396"/>
      <c r="V62" s="387"/>
      <c r="W62" s="394"/>
      <c r="X62" s="395"/>
      <c r="Y62" s="397"/>
      <c r="Z62" s="397"/>
      <c r="AA62" s="397"/>
      <c r="AB62" s="397"/>
      <c r="AC62" s="397"/>
      <c r="AD62" s="397"/>
      <c r="AE62" s="397"/>
      <c r="AF62" s="397"/>
      <c r="AG62" s="397"/>
      <c r="AH62" s="397"/>
      <c r="AI62" s="397"/>
      <c r="AJ62" s="397"/>
      <c r="AK62" s="397"/>
      <c r="AL62" s="397"/>
      <c r="AM62" s="397"/>
      <c r="AN62" s="397"/>
      <c r="AO62" s="397"/>
      <c r="AP62" s="397"/>
      <c r="AQ62" s="397"/>
      <c r="AR62" s="397"/>
      <c r="AS62" s="397"/>
      <c r="AT62" s="397"/>
      <c r="AU62" s="397"/>
      <c r="AV62" s="397"/>
      <c r="AW62" s="397"/>
      <c r="AX62" s="397"/>
      <c r="AY62" s="397"/>
      <c r="AZ62" s="397"/>
      <c r="BA62" s="397"/>
      <c r="BB62" s="397"/>
      <c r="BC62" s="397"/>
      <c r="BD62" s="397"/>
      <c r="BE62" s="397"/>
      <c r="BF62" s="397"/>
      <c r="BG62" s="397"/>
      <c r="BH62" s="397"/>
      <c r="BI62" s="397"/>
      <c r="BJ62" s="397"/>
      <c r="BK62" s="397"/>
      <c r="BL62" s="397"/>
      <c r="BM62" s="397"/>
      <c r="BN62" s="397"/>
      <c r="BO62" s="397"/>
      <c r="BP62" s="397"/>
      <c r="BQ62" s="397"/>
      <c r="BR62" s="397"/>
      <c r="BS62" s="397"/>
      <c r="BT62" s="397"/>
      <c r="BU62" s="397"/>
      <c r="BV62" s="397"/>
      <c r="BW62" s="397"/>
      <c r="BX62" s="397"/>
      <c r="BY62" s="397"/>
      <c r="BZ62" s="397"/>
      <c r="CA62" s="397"/>
      <c r="CB62" s="397"/>
      <c r="CC62" s="397"/>
      <c r="CD62" s="397"/>
      <c r="CE62" s="397"/>
      <c r="CF62" s="397"/>
      <c r="CG62" s="397"/>
      <c r="CH62" s="397"/>
      <c r="CI62" s="397"/>
      <c r="CJ62" s="397"/>
      <c r="CK62" s="397"/>
      <c r="CL62" s="397"/>
    </row>
    <row r="63" outlineLevel="1">
      <c r="A63" s="325" t="str">
        <f t="shared" si="7"/>
        <v>TC_01.43</v>
      </c>
      <c r="B63" s="372" t="s">
        <v>75</v>
      </c>
      <c r="C63" s="351" t="s">
        <v>1215</v>
      </c>
      <c r="D63" s="329" t="s">
        <v>1209</v>
      </c>
      <c r="E63" s="382" t="s">
        <v>1216</v>
      </c>
      <c r="F63" s="344" t="s">
        <v>1217</v>
      </c>
      <c r="G63" s="323"/>
      <c r="H63" s="323"/>
      <c r="I63" s="377"/>
      <c r="J63" s="323"/>
      <c r="K63" s="331"/>
      <c r="L63" s="337"/>
      <c r="M63" s="407"/>
      <c r="N63" s="388"/>
      <c r="O63" s="388"/>
      <c r="P63" s="389"/>
      <c r="Q63" s="407"/>
      <c r="R63" s="388"/>
      <c r="S63" s="388"/>
      <c r="T63" s="389"/>
      <c r="U63" s="407"/>
      <c r="V63" s="388"/>
      <c r="W63" s="388"/>
      <c r="X63" s="389"/>
      <c r="Y63" s="390"/>
      <c r="Z63" s="390"/>
      <c r="AA63" s="390"/>
      <c r="AB63" s="390"/>
      <c r="AC63" s="390"/>
      <c r="AD63" s="390"/>
      <c r="AE63" s="390"/>
      <c r="AF63" s="390"/>
      <c r="AG63" s="390"/>
      <c r="AH63" s="390"/>
      <c r="AI63" s="390"/>
      <c r="AJ63" s="390"/>
      <c r="AK63" s="390"/>
      <c r="AL63" s="390"/>
      <c r="AM63" s="390"/>
      <c r="AN63" s="390"/>
      <c r="AO63" s="390"/>
      <c r="AP63" s="390"/>
      <c r="AQ63" s="390"/>
      <c r="AR63" s="390"/>
      <c r="AS63" s="390"/>
      <c r="AT63" s="390"/>
      <c r="AU63" s="390"/>
      <c r="AV63" s="390"/>
      <c r="AW63" s="390"/>
      <c r="AX63" s="390"/>
      <c r="AY63" s="390"/>
      <c r="AZ63" s="390"/>
      <c r="BA63" s="390"/>
      <c r="BB63" s="390"/>
      <c r="BC63" s="390"/>
      <c r="BD63" s="390"/>
      <c r="BE63" s="390"/>
      <c r="BF63" s="390"/>
      <c r="BG63" s="390"/>
      <c r="BH63" s="390"/>
      <c r="BI63" s="390"/>
      <c r="BJ63" s="390"/>
      <c r="BK63" s="390"/>
      <c r="BL63" s="390"/>
      <c r="BM63" s="390"/>
      <c r="BN63" s="390"/>
      <c r="BO63" s="390"/>
      <c r="BP63" s="390"/>
      <c r="BQ63" s="390"/>
      <c r="BR63" s="390"/>
      <c r="BS63" s="390"/>
      <c r="BT63" s="390"/>
      <c r="BU63" s="390"/>
      <c r="BV63" s="390"/>
      <c r="BW63" s="390"/>
      <c r="BX63" s="390"/>
      <c r="BY63" s="390"/>
      <c r="BZ63" s="390"/>
      <c r="CA63" s="390"/>
      <c r="CB63" s="390"/>
      <c r="CC63" s="390"/>
      <c r="CD63" s="390"/>
      <c r="CE63" s="390"/>
      <c r="CF63" s="390"/>
      <c r="CG63" s="390"/>
      <c r="CH63" s="390"/>
      <c r="CI63" s="390"/>
      <c r="CJ63" s="390"/>
      <c r="CK63" s="390"/>
      <c r="CL63" s="390"/>
    </row>
    <row r="64" outlineLevel="1">
      <c r="A64" s="325" t="str">
        <f t="shared" si="7"/>
        <v>TC_01.44</v>
      </c>
      <c r="B64" s="408" t="s">
        <v>75</v>
      </c>
      <c r="C64" s="381" t="s">
        <v>1218</v>
      </c>
      <c r="D64" s="329" t="s">
        <v>1209</v>
      </c>
      <c r="E64" s="382" t="s">
        <v>1219</v>
      </c>
      <c r="F64" s="383" t="s">
        <v>1200</v>
      </c>
      <c r="G64" s="323"/>
      <c r="H64" s="323"/>
      <c r="I64" s="377"/>
      <c r="J64" s="323"/>
      <c r="K64" s="331"/>
      <c r="L64" s="337"/>
      <c r="M64" s="407"/>
      <c r="N64" s="388"/>
      <c r="O64" s="388"/>
      <c r="P64" s="389"/>
      <c r="Q64" s="407"/>
      <c r="R64" s="388"/>
      <c r="S64" s="388"/>
      <c r="T64" s="389"/>
      <c r="U64" s="407"/>
      <c r="V64" s="388"/>
      <c r="W64" s="388"/>
      <c r="X64" s="389"/>
      <c r="Y64" s="390"/>
      <c r="Z64" s="390"/>
      <c r="AA64" s="390"/>
      <c r="AB64" s="390"/>
      <c r="AC64" s="390"/>
      <c r="AD64" s="390"/>
      <c r="AE64" s="390"/>
      <c r="AF64" s="390"/>
      <c r="AG64" s="390"/>
      <c r="AH64" s="390"/>
      <c r="AI64" s="390"/>
      <c r="AJ64" s="390"/>
      <c r="AK64" s="390"/>
      <c r="AL64" s="390"/>
      <c r="AM64" s="390"/>
      <c r="AN64" s="390"/>
      <c r="AO64" s="390"/>
      <c r="AP64" s="390"/>
      <c r="AQ64" s="390"/>
      <c r="AR64" s="390"/>
      <c r="AS64" s="390"/>
      <c r="AT64" s="390"/>
      <c r="AU64" s="390"/>
      <c r="AV64" s="390"/>
      <c r="AW64" s="390"/>
      <c r="AX64" s="390"/>
      <c r="AY64" s="390"/>
      <c r="AZ64" s="390"/>
      <c r="BA64" s="390"/>
      <c r="BB64" s="390"/>
      <c r="BC64" s="390"/>
      <c r="BD64" s="390"/>
      <c r="BE64" s="390"/>
      <c r="BF64" s="390"/>
      <c r="BG64" s="390"/>
      <c r="BH64" s="390"/>
      <c r="BI64" s="390"/>
      <c r="BJ64" s="390"/>
      <c r="BK64" s="390"/>
      <c r="BL64" s="390"/>
      <c r="BM64" s="390"/>
      <c r="BN64" s="390"/>
      <c r="BO64" s="390"/>
      <c r="BP64" s="390"/>
      <c r="BQ64" s="390"/>
      <c r="BR64" s="390"/>
      <c r="BS64" s="390"/>
      <c r="BT64" s="390"/>
      <c r="BU64" s="390"/>
      <c r="BV64" s="390"/>
      <c r="BW64" s="390"/>
      <c r="BX64" s="390"/>
      <c r="BY64" s="390"/>
      <c r="BZ64" s="390"/>
      <c r="CA64" s="390"/>
      <c r="CB64" s="390"/>
      <c r="CC64" s="390"/>
      <c r="CD64" s="390"/>
      <c r="CE64" s="390"/>
      <c r="CF64" s="390"/>
      <c r="CG64" s="390"/>
      <c r="CH64" s="390"/>
      <c r="CI64" s="390"/>
      <c r="CJ64" s="390"/>
      <c r="CK64" s="390"/>
      <c r="CL64" s="390"/>
    </row>
    <row r="65" outlineLevel="1">
      <c r="A65" s="325" t="str">
        <f t="shared" si="7"/>
        <v>TC_01.45</v>
      </c>
      <c r="B65" s="392" t="s">
        <v>75</v>
      </c>
      <c r="C65" s="385" t="s">
        <v>1220</v>
      </c>
      <c r="D65" s="329" t="s">
        <v>1221</v>
      </c>
      <c r="E65" s="344" t="s">
        <v>1222</v>
      </c>
      <c r="F65" s="345" t="s">
        <v>1223</v>
      </c>
      <c r="G65" s="323"/>
      <c r="H65" s="323"/>
      <c r="I65" s="377"/>
      <c r="J65" s="323"/>
      <c r="K65" s="331"/>
      <c r="L65" s="337"/>
      <c r="M65" s="407"/>
      <c r="N65" s="388"/>
      <c r="O65" s="388"/>
      <c r="P65" s="389"/>
      <c r="Q65" s="407"/>
      <c r="R65" s="388"/>
      <c r="S65" s="388"/>
      <c r="T65" s="389"/>
      <c r="U65" s="407"/>
      <c r="V65" s="388"/>
      <c r="W65" s="388"/>
      <c r="X65" s="389"/>
      <c r="Y65" s="390"/>
      <c r="Z65" s="390"/>
      <c r="AA65" s="390"/>
      <c r="AB65" s="390"/>
      <c r="AC65" s="390"/>
      <c r="AD65" s="390"/>
      <c r="AE65" s="390"/>
      <c r="AF65" s="390"/>
      <c r="AG65" s="390"/>
      <c r="AH65" s="390"/>
      <c r="AI65" s="390"/>
      <c r="AJ65" s="390"/>
      <c r="AK65" s="390"/>
      <c r="AL65" s="390"/>
      <c r="AM65" s="390"/>
      <c r="AN65" s="390"/>
      <c r="AO65" s="390"/>
      <c r="AP65" s="390"/>
      <c r="AQ65" s="390"/>
      <c r="AR65" s="390"/>
      <c r="AS65" s="390"/>
      <c r="AT65" s="390"/>
      <c r="AU65" s="390"/>
      <c r="AV65" s="390"/>
      <c r="AW65" s="390"/>
      <c r="AX65" s="390"/>
      <c r="AY65" s="390"/>
      <c r="AZ65" s="390"/>
      <c r="BA65" s="390"/>
      <c r="BB65" s="390"/>
      <c r="BC65" s="390"/>
      <c r="BD65" s="390"/>
      <c r="BE65" s="390"/>
      <c r="BF65" s="390"/>
      <c r="BG65" s="390"/>
      <c r="BH65" s="390"/>
      <c r="BI65" s="390"/>
      <c r="BJ65" s="390"/>
      <c r="BK65" s="390"/>
      <c r="BL65" s="390"/>
      <c r="BM65" s="390"/>
      <c r="BN65" s="390"/>
      <c r="BO65" s="390"/>
      <c r="BP65" s="390"/>
      <c r="BQ65" s="390"/>
      <c r="BR65" s="390"/>
      <c r="BS65" s="390"/>
      <c r="BT65" s="390"/>
      <c r="BU65" s="390"/>
      <c r="BV65" s="390"/>
      <c r="BW65" s="390"/>
      <c r="BX65" s="390"/>
      <c r="BY65" s="390"/>
      <c r="BZ65" s="390"/>
      <c r="CA65" s="390"/>
      <c r="CB65" s="390"/>
      <c r="CC65" s="390"/>
      <c r="CD65" s="390"/>
      <c r="CE65" s="390"/>
      <c r="CF65" s="390"/>
      <c r="CG65" s="390"/>
      <c r="CH65" s="390"/>
      <c r="CI65" s="390"/>
      <c r="CJ65" s="390"/>
      <c r="CK65" s="390"/>
      <c r="CL65" s="390"/>
    </row>
    <row r="66">
      <c r="A66" s="60"/>
      <c r="B66" s="338" t="s">
        <v>1224</v>
      </c>
      <c r="C66" s="148"/>
      <c r="D66" s="148"/>
      <c r="E66" s="148"/>
      <c r="F66" s="171"/>
      <c r="G66" s="323"/>
      <c r="H66" s="323"/>
      <c r="I66" s="323"/>
      <c r="J66" s="323"/>
      <c r="K66" s="60"/>
      <c r="L66" s="337"/>
      <c r="M66" s="409"/>
      <c r="N66" s="398"/>
      <c r="O66" s="398"/>
      <c r="P66" s="398"/>
      <c r="Q66" s="409"/>
      <c r="R66" s="398"/>
      <c r="S66" s="398"/>
      <c r="T66" s="398"/>
      <c r="U66" s="409"/>
      <c r="V66" s="398"/>
      <c r="W66" s="398"/>
      <c r="X66" s="398"/>
      <c r="Y66" s="410"/>
      <c r="Z66" s="410"/>
      <c r="AA66" s="410"/>
      <c r="AB66" s="410"/>
      <c r="AC66" s="410"/>
      <c r="AD66" s="410"/>
      <c r="AE66" s="410"/>
      <c r="AF66" s="410"/>
      <c r="AG66" s="410"/>
      <c r="AH66" s="410"/>
      <c r="AI66" s="410"/>
      <c r="AJ66" s="410"/>
      <c r="AK66" s="410"/>
      <c r="AL66" s="410"/>
      <c r="AM66" s="410"/>
      <c r="AN66" s="410"/>
      <c r="AO66" s="410"/>
      <c r="AP66" s="410"/>
      <c r="AQ66" s="410"/>
      <c r="AR66" s="410"/>
      <c r="AS66" s="410"/>
      <c r="AT66" s="410"/>
      <c r="AU66" s="410"/>
      <c r="AV66" s="410"/>
      <c r="AW66" s="410"/>
      <c r="AX66" s="410"/>
      <c r="AY66" s="410"/>
      <c r="AZ66" s="410"/>
      <c r="BA66" s="410"/>
      <c r="BB66" s="410"/>
      <c r="BC66" s="410"/>
      <c r="BD66" s="410"/>
      <c r="BE66" s="410"/>
      <c r="BF66" s="410"/>
      <c r="BG66" s="410"/>
      <c r="BH66" s="410"/>
      <c r="BI66" s="410"/>
      <c r="BJ66" s="410"/>
      <c r="BK66" s="410"/>
      <c r="BL66" s="410"/>
      <c r="BM66" s="410"/>
      <c r="BN66" s="410"/>
      <c r="BO66" s="410"/>
      <c r="BP66" s="410"/>
      <c r="BQ66" s="410"/>
      <c r="BR66" s="410"/>
      <c r="BS66" s="410"/>
      <c r="BT66" s="410"/>
      <c r="BU66" s="410"/>
      <c r="BV66" s="410"/>
      <c r="BW66" s="410"/>
      <c r="BX66" s="410"/>
      <c r="BY66" s="410"/>
      <c r="BZ66" s="410"/>
      <c r="CA66" s="410"/>
      <c r="CB66" s="410"/>
      <c r="CC66" s="410"/>
      <c r="CD66" s="410"/>
      <c r="CE66" s="410"/>
      <c r="CF66" s="410"/>
      <c r="CG66" s="410"/>
      <c r="CH66" s="410"/>
      <c r="CI66" s="410"/>
      <c r="CJ66" s="410"/>
      <c r="CK66" s="410"/>
      <c r="CL66" s="410"/>
    </row>
    <row r="67" outlineLevel="1">
      <c r="A67" s="325" t="str">
        <f t="shared" ref="A67:A70" si="8">IF(E67="","",$C$3&amp;"."&amp;COUNTA($E$12:E67)&amp;"")</f>
        <v>TC_01.46</v>
      </c>
      <c r="B67" s="404" t="s">
        <v>77</v>
      </c>
      <c r="C67" s="378" t="s">
        <v>1225</v>
      </c>
      <c r="D67" s="329" t="s">
        <v>1226</v>
      </c>
      <c r="E67" s="329" t="s">
        <v>1227</v>
      </c>
      <c r="F67" s="379" t="s">
        <v>1228</v>
      </c>
      <c r="G67" s="323"/>
      <c r="H67" s="323"/>
      <c r="I67" s="377"/>
      <c r="J67" s="323"/>
      <c r="K67" s="331"/>
      <c r="L67" s="337"/>
      <c r="M67" s="407"/>
      <c r="N67" s="388"/>
      <c r="O67" s="388"/>
      <c r="P67" s="389"/>
      <c r="Q67" s="407"/>
      <c r="R67" s="388"/>
      <c r="S67" s="388"/>
      <c r="T67" s="389"/>
      <c r="U67" s="407"/>
      <c r="V67" s="388"/>
      <c r="W67" s="388"/>
      <c r="X67" s="389"/>
      <c r="Y67" s="390"/>
      <c r="Z67" s="390"/>
      <c r="AA67" s="390"/>
      <c r="AB67" s="390"/>
      <c r="AC67" s="390"/>
      <c r="AD67" s="390"/>
      <c r="AE67" s="390"/>
      <c r="AF67" s="390"/>
      <c r="AG67" s="390"/>
      <c r="AH67" s="390"/>
      <c r="AI67" s="390"/>
      <c r="AJ67" s="390"/>
      <c r="AK67" s="390"/>
      <c r="AL67" s="390"/>
      <c r="AM67" s="390"/>
      <c r="AN67" s="390"/>
      <c r="AO67" s="390"/>
      <c r="AP67" s="390"/>
      <c r="AQ67" s="390"/>
      <c r="AR67" s="390"/>
      <c r="AS67" s="390"/>
      <c r="AT67" s="390"/>
      <c r="AU67" s="390"/>
      <c r="AV67" s="390"/>
      <c r="AW67" s="390"/>
      <c r="AX67" s="390"/>
      <c r="AY67" s="390"/>
      <c r="AZ67" s="390"/>
      <c r="BA67" s="390"/>
      <c r="BB67" s="390"/>
      <c r="BC67" s="390"/>
      <c r="BD67" s="390"/>
      <c r="BE67" s="390"/>
      <c r="BF67" s="390"/>
      <c r="BG67" s="390"/>
      <c r="BH67" s="390"/>
      <c r="BI67" s="390"/>
      <c r="BJ67" s="390"/>
      <c r="BK67" s="390"/>
      <c r="BL67" s="390"/>
      <c r="BM67" s="390"/>
      <c r="BN67" s="390"/>
      <c r="BO67" s="390"/>
      <c r="BP67" s="390"/>
      <c r="BQ67" s="390"/>
      <c r="BR67" s="390"/>
      <c r="BS67" s="390"/>
      <c r="BT67" s="390"/>
      <c r="BU67" s="390"/>
      <c r="BV67" s="390"/>
      <c r="BW67" s="390"/>
      <c r="BX67" s="390"/>
      <c r="BY67" s="390"/>
      <c r="BZ67" s="390"/>
      <c r="CA67" s="390"/>
      <c r="CB67" s="390"/>
      <c r="CC67" s="390"/>
      <c r="CD67" s="390"/>
      <c r="CE67" s="390"/>
      <c r="CF67" s="390"/>
      <c r="CG67" s="390"/>
      <c r="CH67" s="390"/>
      <c r="CI67" s="390"/>
      <c r="CJ67" s="390"/>
      <c r="CK67" s="390"/>
      <c r="CL67" s="390"/>
    </row>
    <row r="68" outlineLevel="1">
      <c r="A68" s="325" t="str">
        <f t="shared" si="8"/>
        <v>TC_01.47</v>
      </c>
      <c r="B68" s="372" t="s">
        <v>75</v>
      </c>
      <c r="C68" s="336" t="s">
        <v>1229</v>
      </c>
      <c r="D68" s="329" t="s">
        <v>1226</v>
      </c>
      <c r="E68" s="329" t="s">
        <v>1230</v>
      </c>
      <c r="F68" s="347" t="s">
        <v>1231</v>
      </c>
      <c r="G68" s="323"/>
      <c r="H68" s="323"/>
      <c r="I68" s="377"/>
      <c r="J68" s="323"/>
      <c r="K68" s="331"/>
      <c r="L68" s="337"/>
      <c r="M68" s="407"/>
      <c r="N68" s="388"/>
      <c r="O68" s="388"/>
      <c r="P68" s="389"/>
      <c r="Q68" s="407"/>
      <c r="R68" s="388"/>
      <c r="S68" s="388"/>
      <c r="T68" s="389"/>
      <c r="U68" s="407"/>
      <c r="V68" s="388"/>
      <c r="W68" s="388"/>
      <c r="X68" s="389"/>
      <c r="Y68" s="390"/>
      <c r="Z68" s="390"/>
      <c r="AA68" s="390"/>
      <c r="AB68" s="390"/>
      <c r="AC68" s="390"/>
      <c r="AD68" s="390"/>
      <c r="AE68" s="390"/>
      <c r="AF68" s="390"/>
      <c r="AG68" s="390"/>
      <c r="AH68" s="390"/>
      <c r="AI68" s="390"/>
      <c r="AJ68" s="390"/>
      <c r="AK68" s="390"/>
      <c r="AL68" s="390"/>
      <c r="AM68" s="390"/>
      <c r="AN68" s="390"/>
      <c r="AO68" s="390"/>
      <c r="AP68" s="390"/>
      <c r="AQ68" s="390"/>
      <c r="AR68" s="390"/>
      <c r="AS68" s="390"/>
      <c r="AT68" s="390"/>
      <c r="AU68" s="390"/>
      <c r="AV68" s="390"/>
      <c r="AW68" s="390"/>
      <c r="AX68" s="390"/>
      <c r="AY68" s="390"/>
      <c r="AZ68" s="390"/>
      <c r="BA68" s="390"/>
      <c r="BB68" s="390"/>
      <c r="BC68" s="390"/>
      <c r="BD68" s="390"/>
      <c r="BE68" s="390"/>
      <c r="BF68" s="390"/>
      <c r="BG68" s="390"/>
      <c r="BH68" s="390"/>
      <c r="BI68" s="390"/>
      <c r="BJ68" s="390"/>
      <c r="BK68" s="390"/>
      <c r="BL68" s="390"/>
      <c r="BM68" s="390"/>
      <c r="BN68" s="390"/>
      <c r="BO68" s="390"/>
      <c r="BP68" s="390"/>
      <c r="BQ68" s="390"/>
      <c r="BR68" s="390"/>
      <c r="BS68" s="390"/>
      <c r="BT68" s="390"/>
      <c r="BU68" s="390"/>
      <c r="BV68" s="390"/>
      <c r="BW68" s="390"/>
      <c r="BX68" s="390"/>
      <c r="BY68" s="390"/>
      <c r="BZ68" s="390"/>
      <c r="CA68" s="390"/>
      <c r="CB68" s="390"/>
      <c r="CC68" s="390"/>
      <c r="CD68" s="390"/>
      <c r="CE68" s="390"/>
      <c r="CF68" s="390"/>
      <c r="CG68" s="390"/>
      <c r="CH68" s="390"/>
      <c r="CI68" s="390"/>
      <c r="CJ68" s="390"/>
      <c r="CK68" s="390"/>
      <c r="CL68" s="390"/>
    </row>
    <row r="69" outlineLevel="1">
      <c r="A69" s="325" t="str">
        <f t="shared" si="8"/>
        <v>TC_01.48</v>
      </c>
      <c r="B69" s="372" t="s">
        <v>75</v>
      </c>
      <c r="C69" s="351" t="s">
        <v>1232</v>
      </c>
      <c r="D69" s="329" t="s">
        <v>1233</v>
      </c>
      <c r="E69" s="329" t="s">
        <v>1234</v>
      </c>
      <c r="F69" s="345" t="s">
        <v>1235</v>
      </c>
      <c r="G69" s="323"/>
      <c r="H69" s="323"/>
      <c r="I69" s="377"/>
      <c r="J69" s="323"/>
      <c r="K69" s="331"/>
      <c r="L69" s="337"/>
      <c r="M69" s="331"/>
      <c r="N69" s="331"/>
      <c r="O69" s="331"/>
      <c r="P69" s="331"/>
      <c r="Q69" s="331"/>
      <c r="R69" s="331"/>
      <c r="S69" s="331"/>
      <c r="T69" s="331"/>
      <c r="U69" s="347"/>
      <c r="V69" s="331"/>
      <c r="W69" s="331"/>
      <c r="X69" s="331"/>
      <c r="Y69" s="332"/>
      <c r="Z69" s="332"/>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2"/>
      <c r="BN69" s="332"/>
      <c r="BO69" s="332"/>
      <c r="BP69" s="332"/>
      <c r="BQ69" s="332"/>
      <c r="BR69" s="332"/>
      <c r="BS69" s="332"/>
      <c r="BT69" s="332"/>
      <c r="BU69" s="332"/>
      <c r="BV69" s="332"/>
      <c r="BW69" s="332"/>
      <c r="BX69" s="332"/>
      <c r="BY69" s="332"/>
      <c r="BZ69" s="332"/>
      <c r="CA69" s="332"/>
      <c r="CB69" s="332"/>
      <c r="CC69" s="332"/>
      <c r="CD69" s="332"/>
      <c r="CE69" s="332"/>
      <c r="CF69" s="332"/>
      <c r="CG69" s="332"/>
      <c r="CH69" s="332"/>
      <c r="CI69" s="332"/>
      <c r="CJ69" s="332"/>
      <c r="CK69" s="332"/>
      <c r="CL69" s="332"/>
    </row>
    <row r="70" outlineLevel="1">
      <c r="A70" s="325" t="str">
        <f t="shared" si="8"/>
        <v>TC_01.49</v>
      </c>
      <c r="B70" s="408" t="s">
        <v>75</v>
      </c>
      <c r="C70" s="381" t="s">
        <v>1236</v>
      </c>
      <c r="D70" s="329" t="s">
        <v>1233</v>
      </c>
      <c r="E70" s="382" t="s">
        <v>1237</v>
      </c>
      <c r="F70" s="383" t="s">
        <v>1200</v>
      </c>
      <c r="G70" s="411"/>
      <c r="H70" s="411"/>
      <c r="I70" s="377"/>
      <c r="J70" s="323"/>
      <c r="K70" s="329"/>
      <c r="L70" s="337"/>
      <c r="M70" s="331"/>
      <c r="N70" s="331"/>
      <c r="O70" s="331"/>
      <c r="P70" s="331"/>
      <c r="Q70" s="331"/>
      <c r="R70" s="331"/>
      <c r="S70" s="331"/>
      <c r="T70" s="331"/>
      <c r="U70" s="347"/>
      <c r="V70" s="331"/>
      <c r="W70" s="331"/>
      <c r="X70" s="331"/>
      <c r="Y70" s="332"/>
      <c r="Z70" s="332"/>
      <c r="AA70" s="332"/>
      <c r="AB70" s="332"/>
      <c r="AC70" s="332"/>
      <c r="AD70" s="332"/>
      <c r="AE70" s="332"/>
      <c r="AF70" s="332"/>
      <c r="AG70" s="332"/>
      <c r="AH70" s="332"/>
      <c r="AI70" s="332"/>
      <c r="AJ70" s="332"/>
      <c r="AK70" s="332"/>
      <c r="AL70" s="332"/>
      <c r="AM70" s="332"/>
      <c r="AN70" s="332"/>
      <c r="AO70" s="332"/>
      <c r="AP70" s="332"/>
      <c r="AQ70" s="332"/>
      <c r="AR70" s="332"/>
      <c r="AS70" s="332"/>
      <c r="AT70" s="332"/>
      <c r="AU70" s="332"/>
      <c r="AV70" s="332"/>
      <c r="AW70" s="332"/>
      <c r="AX70" s="332"/>
      <c r="AY70" s="332"/>
      <c r="AZ70" s="332"/>
      <c r="BA70" s="332"/>
      <c r="BB70" s="332"/>
      <c r="BC70" s="332"/>
      <c r="BD70" s="332"/>
      <c r="BE70" s="332"/>
      <c r="BF70" s="332"/>
      <c r="BG70" s="332"/>
      <c r="BH70" s="332"/>
      <c r="BI70" s="332"/>
      <c r="BJ70" s="332"/>
      <c r="BK70" s="332"/>
      <c r="BL70" s="332"/>
      <c r="BM70" s="332"/>
      <c r="BN70" s="332"/>
      <c r="BO70" s="332"/>
      <c r="BP70" s="332"/>
      <c r="BQ70" s="332"/>
      <c r="BR70" s="332"/>
      <c r="BS70" s="332"/>
      <c r="BT70" s="332"/>
      <c r="BU70" s="332"/>
      <c r="BV70" s="332"/>
      <c r="BW70" s="332"/>
      <c r="BX70" s="332"/>
      <c r="BY70" s="332"/>
      <c r="BZ70" s="332"/>
      <c r="CA70" s="332"/>
      <c r="CB70" s="332"/>
      <c r="CC70" s="332"/>
      <c r="CD70" s="332"/>
      <c r="CE70" s="332"/>
      <c r="CF70" s="332"/>
      <c r="CG70" s="332"/>
      <c r="CH70" s="332"/>
      <c r="CI70" s="332"/>
      <c r="CJ70" s="332"/>
      <c r="CK70" s="332"/>
      <c r="CL70" s="332"/>
    </row>
    <row r="71">
      <c r="A71" s="60"/>
      <c r="B71" s="338" t="s">
        <v>1238</v>
      </c>
      <c r="C71" s="148"/>
      <c r="D71" s="148"/>
      <c r="E71" s="148"/>
      <c r="F71" s="171"/>
      <c r="G71" s="411"/>
      <c r="H71" s="411"/>
      <c r="I71" s="411"/>
      <c r="J71" s="323"/>
      <c r="K71" s="60"/>
      <c r="L71" s="60"/>
      <c r="M71" s="60"/>
      <c r="N71" s="60"/>
      <c r="O71" s="60"/>
      <c r="P71" s="60"/>
      <c r="Q71" s="60"/>
      <c r="R71" s="60"/>
      <c r="S71" s="60"/>
      <c r="T71" s="60"/>
      <c r="U71" s="340"/>
      <c r="V71" s="60"/>
      <c r="W71" s="60"/>
      <c r="X71" s="60"/>
      <c r="Y71" s="341"/>
      <c r="Z71" s="341"/>
      <c r="AA71" s="341"/>
      <c r="AB71" s="341"/>
      <c r="AC71" s="341"/>
      <c r="AD71" s="341"/>
      <c r="AE71" s="341"/>
      <c r="AF71" s="341"/>
      <c r="AG71" s="341"/>
      <c r="AH71" s="341"/>
      <c r="AI71" s="341"/>
      <c r="AJ71" s="341"/>
      <c r="AK71" s="341"/>
      <c r="AL71" s="341"/>
      <c r="AM71" s="341"/>
      <c r="AN71" s="341"/>
      <c r="AO71" s="341"/>
      <c r="AP71" s="341"/>
      <c r="AQ71" s="341"/>
      <c r="AR71" s="341"/>
      <c r="AS71" s="341"/>
      <c r="AT71" s="341"/>
      <c r="AU71" s="341"/>
      <c r="AV71" s="341"/>
      <c r="AW71" s="341"/>
      <c r="AX71" s="341"/>
      <c r="AY71" s="341"/>
      <c r="AZ71" s="341"/>
      <c r="BA71" s="341"/>
      <c r="BB71" s="341"/>
      <c r="BC71" s="341"/>
      <c r="BD71" s="341"/>
      <c r="BE71" s="341"/>
      <c r="BF71" s="341"/>
      <c r="BG71" s="341"/>
      <c r="BH71" s="341"/>
      <c r="BI71" s="341"/>
      <c r="BJ71" s="341"/>
      <c r="BK71" s="341"/>
      <c r="BL71" s="341"/>
      <c r="BM71" s="341"/>
      <c r="BN71" s="341"/>
      <c r="BO71" s="341"/>
      <c r="BP71" s="341"/>
      <c r="BQ71" s="341"/>
      <c r="BR71" s="341"/>
      <c r="BS71" s="341"/>
      <c r="BT71" s="341"/>
      <c r="BU71" s="341"/>
      <c r="BV71" s="341"/>
      <c r="BW71" s="341"/>
      <c r="BX71" s="341"/>
      <c r="BY71" s="341"/>
      <c r="BZ71" s="341"/>
      <c r="CA71" s="341"/>
      <c r="CB71" s="341"/>
      <c r="CC71" s="341"/>
      <c r="CD71" s="341"/>
      <c r="CE71" s="341"/>
      <c r="CF71" s="341"/>
      <c r="CG71" s="341"/>
      <c r="CH71" s="341"/>
      <c r="CI71" s="341"/>
      <c r="CJ71" s="341"/>
      <c r="CK71" s="341"/>
      <c r="CL71" s="341"/>
    </row>
    <row r="72" outlineLevel="1">
      <c r="A72" s="325" t="str">
        <f t="shared" ref="A72:A75" si="9">IF(E72="","",$C$3&amp;"."&amp;COUNTA($E$12:E72)&amp;"")</f>
        <v>TC_01.50</v>
      </c>
      <c r="B72" s="326" t="s">
        <v>75</v>
      </c>
      <c r="C72" s="327" t="s">
        <v>1239</v>
      </c>
      <c r="D72" s="375" t="s">
        <v>1240</v>
      </c>
      <c r="E72" s="382" t="s">
        <v>1241</v>
      </c>
      <c r="F72" s="329" t="s">
        <v>1242</v>
      </c>
      <c r="G72" s="377"/>
      <c r="H72" s="411"/>
      <c r="I72" s="377"/>
      <c r="J72" s="323"/>
      <c r="K72" s="331"/>
      <c r="L72" s="46"/>
      <c r="M72" s="331"/>
      <c r="N72" s="331"/>
      <c r="O72" s="331"/>
      <c r="P72" s="331"/>
      <c r="Q72" s="331"/>
      <c r="R72" s="331"/>
      <c r="S72" s="331"/>
      <c r="T72" s="331"/>
      <c r="U72" s="347"/>
      <c r="V72" s="331"/>
      <c r="W72" s="331"/>
      <c r="X72" s="331"/>
      <c r="Y72" s="332"/>
      <c r="Z72" s="332"/>
      <c r="AA72" s="332"/>
      <c r="AB72" s="332"/>
      <c r="AC72" s="332"/>
      <c r="AD72" s="332"/>
      <c r="AE72" s="332"/>
      <c r="AF72" s="332"/>
      <c r="AG72" s="332"/>
      <c r="AH72" s="332"/>
      <c r="AI72" s="332"/>
      <c r="AJ72" s="332"/>
      <c r="AK72" s="332"/>
      <c r="AL72" s="332"/>
      <c r="AM72" s="332"/>
      <c r="AN72" s="332"/>
      <c r="AO72" s="332"/>
      <c r="AP72" s="332"/>
      <c r="AQ72" s="332"/>
      <c r="AR72" s="332"/>
      <c r="AS72" s="332"/>
      <c r="AT72" s="332"/>
      <c r="AU72" s="332"/>
      <c r="AV72" s="332"/>
      <c r="AW72" s="332"/>
      <c r="AX72" s="332"/>
      <c r="AY72" s="332"/>
      <c r="AZ72" s="332"/>
      <c r="BA72" s="332"/>
      <c r="BB72" s="332"/>
      <c r="BC72" s="332"/>
      <c r="BD72" s="332"/>
      <c r="BE72" s="332"/>
      <c r="BF72" s="332"/>
      <c r="BG72" s="332"/>
      <c r="BH72" s="332"/>
      <c r="BI72" s="332"/>
      <c r="BJ72" s="332"/>
      <c r="BK72" s="332"/>
      <c r="BL72" s="332"/>
      <c r="BM72" s="332"/>
      <c r="BN72" s="332"/>
      <c r="BO72" s="332"/>
      <c r="BP72" s="332"/>
      <c r="BQ72" s="332"/>
      <c r="BR72" s="332"/>
      <c r="BS72" s="332"/>
      <c r="BT72" s="332"/>
      <c r="BU72" s="332"/>
      <c r="BV72" s="332"/>
      <c r="BW72" s="332"/>
      <c r="BX72" s="332"/>
      <c r="BY72" s="332"/>
      <c r="BZ72" s="332"/>
      <c r="CA72" s="332"/>
      <c r="CB72" s="332"/>
      <c r="CC72" s="332"/>
      <c r="CD72" s="332"/>
      <c r="CE72" s="332"/>
      <c r="CF72" s="332"/>
      <c r="CG72" s="332"/>
      <c r="CH72" s="332"/>
      <c r="CI72" s="332"/>
      <c r="CJ72" s="332"/>
      <c r="CK72" s="332"/>
      <c r="CL72" s="332"/>
    </row>
    <row r="73" outlineLevel="1">
      <c r="A73" s="325" t="str">
        <f t="shared" si="9"/>
        <v>TC_01.51</v>
      </c>
      <c r="B73" s="404" t="s">
        <v>77</v>
      </c>
      <c r="C73" s="378" t="s">
        <v>1243</v>
      </c>
      <c r="D73" s="375" t="s">
        <v>1240</v>
      </c>
      <c r="E73" s="329" t="s">
        <v>1244</v>
      </c>
      <c r="F73" s="382" t="s">
        <v>1245</v>
      </c>
      <c r="G73" s="411"/>
      <c r="H73" s="411"/>
      <c r="I73" s="377"/>
      <c r="J73" s="323"/>
      <c r="K73" s="331"/>
      <c r="L73" s="337"/>
      <c r="M73" s="331"/>
      <c r="N73" s="331"/>
      <c r="O73" s="331"/>
      <c r="P73" s="331"/>
      <c r="Q73" s="331"/>
      <c r="R73" s="331"/>
      <c r="S73" s="331"/>
      <c r="T73" s="331"/>
      <c r="U73" s="347"/>
      <c r="V73" s="331"/>
      <c r="W73" s="331"/>
      <c r="X73" s="331"/>
      <c r="Y73" s="332"/>
      <c r="Z73" s="332"/>
      <c r="AA73" s="332"/>
      <c r="AB73" s="332"/>
      <c r="AC73" s="332"/>
      <c r="AD73" s="332"/>
      <c r="AE73" s="332"/>
      <c r="AF73" s="332"/>
      <c r="AG73" s="332"/>
      <c r="AH73" s="332"/>
      <c r="AI73" s="332"/>
      <c r="AJ73" s="332"/>
      <c r="AK73" s="332"/>
      <c r="AL73" s="332"/>
      <c r="AM73" s="332"/>
      <c r="AN73" s="332"/>
      <c r="AO73" s="332"/>
      <c r="AP73" s="332"/>
      <c r="AQ73" s="332"/>
      <c r="AR73" s="332"/>
      <c r="AS73" s="332"/>
      <c r="AT73" s="332"/>
      <c r="AU73" s="332"/>
      <c r="AV73" s="332"/>
      <c r="AW73" s="332"/>
      <c r="AX73" s="332"/>
      <c r="AY73" s="332"/>
      <c r="AZ73" s="332"/>
      <c r="BA73" s="332"/>
      <c r="BB73" s="332"/>
      <c r="BC73" s="332"/>
      <c r="BD73" s="332"/>
      <c r="BE73" s="332"/>
      <c r="BF73" s="332"/>
      <c r="BG73" s="332"/>
      <c r="BH73" s="332"/>
      <c r="BI73" s="332"/>
      <c r="BJ73" s="332"/>
      <c r="BK73" s="332"/>
      <c r="BL73" s="332"/>
      <c r="BM73" s="332"/>
      <c r="BN73" s="332"/>
      <c r="BO73" s="332"/>
      <c r="BP73" s="332"/>
      <c r="BQ73" s="332"/>
      <c r="BR73" s="332"/>
      <c r="BS73" s="332"/>
      <c r="BT73" s="332"/>
      <c r="BU73" s="332"/>
      <c r="BV73" s="332"/>
      <c r="BW73" s="332"/>
      <c r="BX73" s="332"/>
      <c r="BY73" s="332"/>
      <c r="BZ73" s="332"/>
      <c r="CA73" s="332"/>
      <c r="CB73" s="332"/>
      <c r="CC73" s="332"/>
      <c r="CD73" s="332"/>
      <c r="CE73" s="332"/>
      <c r="CF73" s="332"/>
      <c r="CG73" s="332"/>
      <c r="CH73" s="332"/>
      <c r="CI73" s="332"/>
      <c r="CJ73" s="332"/>
      <c r="CK73" s="332"/>
      <c r="CL73" s="332"/>
    </row>
    <row r="74" outlineLevel="1">
      <c r="A74" s="325" t="str">
        <f t="shared" si="9"/>
        <v>TC_01.52</v>
      </c>
      <c r="B74" s="326" t="s">
        <v>75</v>
      </c>
      <c r="C74" s="343" t="s">
        <v>1246</v>
      </c>
      <c r="D74" s="375" t="s">
        <v>1240</v>
      </c>
      <c r="E74" s="344" t="s">
        <v>1247</v>
      </c>
      <c r="F74" s="347" t="s">
        <v>1248</v>
      </c>
      <c r="G74" s="411"/>
      <c r="H74" s="411"/>
      <c r="I74" s="377"/>
      <c r="J74" s="323"/>
      <c r="K74" s="331"/>
      <c r="L74" s="337"/>
      <c r="M74" s="331"/>
      <c r="N74" s="331"/>
      <c r="O74" s="331"/>
      <c r="P74" s="331"/>
      <c r="Q74" s="331"/>
      <c r="R74" s="331"/>
      <c r="S74" s="331"/>
      <c r="T74" s="331"/>
      <c r="U74" s="347"/>
      <c r="V74" s="331"/>
      <c r="W74" s="331"/>
      <c r="X74" s="331"/>
      <c r="Y74" s="332"/>
      <c r="Z74" s="332"/>
      <c r="AA74" s="332"/>
      <c r="AB74" s="332"/>
      <c r="AC74" s="332"/>
      <c r="AD74" s="332"/>
      <c r="AE74" s="332"/>
      <c r="AF74" s="332"/>
      <c r="AG74" s="332"/>
      <c r="AH74" s="332"/>
      <c r="AI74" s="332"/>
      <c r="AJ74" s="332"/>
      <c r="AK74" s="332"/>
      <c r="AL74" s="332"/>
      <c r="AM74" s="332"/>
      <c r="AN74" s="332"/>
      <c r="AO74" s="332"/>
      <c r="AP74" s="332"/>
      <c r="AQ74" s="332"/>
      <c r="AR74" s="332"/>
      <c r="AS74" s="332"/>
      <c r="AT74" s="332"/>
      <c r="AU74" s="332"/>
      <c r="AV74" s="332"/>
      <c r="AW74" s="332"/>
      <c r="AX74" s="332"/>
      <c r="AY74" s="332"/>
      <c r="AZ74" s="332"/>
      <c r="BA74" s="332"/>
      <c r="BB74" s="332"/>
      <c r="BC74" s="332"/>
      <c r="BD74" s="332"/>
      <c r="BE74" s="332"/>
      <c r="BF74" s="332"/>
      <c r="BG74" s="332"/>
      <c r="BH74" s="332"/>
      <c r="BI74" s="332"/>
      <c r="BJ74" s="332"/>
      <c r="BK74" s="332"/>
      <c r="BL74" s="332"/>
      <c r="BM74" s="332"/>
      <c r="BN74" s="332"/>
      <c r="BO74" s="332"/>
      <c r="BP74" s="332"/>
      <c r="BQ74" s="332"/>
      <c r="BR74" s="332"/>
      <c r="BS74" s="332"/>
      <c r="BT74" s="332"/>
      <c r="BU74" s="332"/>
      <c r="BV74" s="332"/>
      <c r="BW74" s="332"/>
      <c r="BX74" s="332"/>
      <c r="BY74" s="332"/>
      <c r="BZ74" s="332"/>
      <c r="CA74" s="332"/>
      <c r="CB74" s="332"/>
      <c r="CC74" s="332"/>
      <c r="CD74" s="332"/>
      <c r="CE74" s="332"/>
      <c r="CF74" s="332"/>
      <c r="CG74" s="332"/>
      <c r="CH74" s="332"/>
      <c r="CI74" s="332"/>
      <c r="CJ74" s="332"/>
      <c r="CK74" s="332"/>
      <c r="CL74" s="332"/>
    </row>
    <row r="75" outlineLevel="1">
      <c r="A75" s="325" t="str">
        <f t="shared" si="9"/>
        <v>TC_01.53</v>
      </c>
      <c r="B75" s="326" t="s">
        <v>75</v>
      </c>
      <c r="C75" s="343" t="s">
        <v>1249</v>
      </c>
      <c r="D75" s="375" t="s">
        <v>1240</v>
      </c>
      <c r="E75" s="344" t="s">
        <v>1250</v>
      </c>
      <c r="F75" s="344" t="s">
        <v>1251</v>
      </c>
      <c r="G75" s="411"/>
      <c r="H75" s="411"/>
      <c r="I75" s="377"/>
      <c r="J75" s="323"/>
      <c r="K75" s="331"/>
      <c r="L75" s="337"/>
      <c r="M75" s="331"/>
      <c r="N75" s="331"/>
      <c r="O75" s="331"/>
      <c r="P75" s="331"/>
      <c r="Q75" s="331"/>
      <c r="R75" s="331"/>
      <c r="S75" s="331"/>
      <c r="T75" s="331"/>
      <c r="U75" s="347"/>
      <c r="V75" s="331"/>
      <c r="W75" s="331"/>
      <c r="X75" s="331"/>
      <c r="Y75" s="332"/>
      <c r="Z75" s="332"/>
      <c r="AA75" s="332"/>
      <c r="AB75" s="332"/>
      <c r="AC75" s="332"/>
      <c r="AD75" s="332"/>
      <c r="AE75" s="332"/>
      <c r="AF75" s="332"/>
      <c r="AG75" s="332"/>
      <c r="AH75" s="332"/>
      <c r="AI75" s="332"/>
      <c r="AJ75" s="332"/>
      <c r="AK75" s="332"/>
      <c r="AL75" s="332"/>
      <c r="AM75" s="332"/>
      <c r="AN75" s="332"/>
      <c r="AO75" s="332"/>
      <c r="AP75" s="332"/>
      <c r="AQ75" s="332"/>
      <c r="AR75" s="332"/>
      <c r="AS75" s="332"/>
      <c r="AT75" s="332"/>
      <c r="AU75" s="332"/>
      <c r="AV75" s="332"/>
      <c r="AW75" s="332"/>
      <c r="AX75" s="332"/>
      <c r="AY75" s="332"/>
      <c r="AZ75" s="332"/>
      <c r="BA75" s="332"/>
      <c r="BB75" s="332"/>
      <c r="BC75" s="332"/>
      <c r="BD75" s="332"/>
      <c r="BE75" s="332"/>
      <c r="BF75" s="332"/>
      <c r="BG75" s="332"/>
      <c r="BH75" s="332"/>
      <c r="BI75" s="332"/>
      <c r="BJ75" s="332"/>
      <c r="BK75" s="332"/>
      <c r="BL75" s="332"/>
      <c r="BM75" s="332"/>
      <c r="BN75" s="332"/>
      <c r="BO75" s="332"/>
      <c r="BP75" s="332"/>
      <c r="BQ75" s="332"/>
      <c r="BR75" s="332"/>
      <c r="BS75" s="332"/>
      <c r="BT75" s="332"/>
      <c r="BU75" s="332"/>
      <c r="BV75" s="332"/>
      <c r="BW75" s="332"/>
      <c r="BX75" s="332"/>
      <c r="BY75" s="332"/>
      <c r="BZ75" s="332"/>
      <c r="CA75" s="332"/>
      <c r="CB75" s="332"/>
      <c r="CC75" s="332"/>
      <c r="CD75" s="332"/>
      <c r="CE75" s="332"/>
      <c r="CF75" s="332"/>
      <c r="CG75" s="332"/>
      <c r="CH75" s="332"/>
      <c r="CI75" s="332"/>
      <c r="CJ75" s="332"/>
      <c r="CK75" s="332"/>
      <c r="CL75" s="332"/>
    </row>
    <row r="76">
      <c r="A76" s="60"/>
      <c r="B76" s="338" t="s">
        <v>1252</v>
      </c>
      <c r="C76" s="148"/>
      <c r="D76" s="148"/>
      <c r="E76" s="148"/>
      <c r="F76" s="171"/>
      <c r="G76" s="411"/>
      <c r="H76" s="411"/>
      <c r="I76" s="411"/>
      <c r="J76" s="323"/>
      <c r="K76" s="60"/>
      <c r="L76" s="60"/>
      <c r="M76" s="60"/>
      <c r="N76" s="60"/>
      <c r="O76" s="60"/>
      <c r="P76" s="60"/>
      <c r="Q76" s="60"/>
      <c r="R76" s="60"/>
      <c r="S76" s="60"/>
      <c r="T76" s="60"/>
      <c r="U76" s="340"/>
      <c r="V76" s="60"/>
      <c r="W76" s="60"/>
      <c r="X76" s="60"/>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1"/>
      <c r="AX76" s="341"/>
      <c r="AY76" s="341"/>
      <c r="AZ76" s="341"/>
      <c r="BA76" s="341"/>
      <c r="BB76" s="341"/>
      <c r="BC76" s="341"/>
      <c r="BD76" s="341"/>
      <c r="BE76" s="341"/>
      <c r="BF76" s="341"/>
      <c r="BG76" s="341"/>
      <c r="BH76" s="341"/>
      <c r="BI76" s="341"/>
      <c r="BJ76" s="341"/>
      <c r="BK76" s="341"/>
      <c r="BL76" s="341"/>
      <c r="BM76" s="341"/>
      <c r="BN76" s="341"/>
      <c r="BO76" s="341"/>
      <c r="BP76" s="341"/>
      <c r="BQ76" s="341"/>
      <c r="BR76" s="341"/>
      <c r="BS76" s="341"/>
      <c r="BT76" s="341"/>
      <c r="BU76" s="341"/>
      <c r="BV76" s="341"/>
      <c r="BW76" s="341"/>
      <c r="BX76" s="341"/>
      <c r="BY76" s="341"/>
      <c r="BZ76" s="341"/>
      <c r="CA76" s="341"/>
      <c r="CB76" s="341"/>
      <c r="CC76" s="341"/>
      <c r="CD76" s="341"/>
      <c r="CE76" s="341"/>
      <c r="CF76" s="341"/>
      <c r="CG76" s="341"/>
      <c r="CH76" s="341"/>
      <c r="CI76" s="341"/>
      <c r="CJ76" s="341"/>
      <c r="CK76" s="341"/>
      <c r="CL76" s="341"/>
    </row>
    <row r="77" outlineLevel="1">
      <c r="A77" s="325" t="str">
        <f t="shared" ref="A77:A88" si="10">IF(E77="","",$C$3&amp;"."&amp;COUNTA($E$12:E77)&amp;"")</f>
        <v>TC_01.54</v>
      </c>
      <c r="B77" s="372" t="s">
        <v>75</v>
      </c>
      <c r="C77" s="327" t="s">
        <v>1253</v>
      </c>
      <c r="D77" s="375" t="s">
        <v>1240</v>
      </c>
      <c r="E77" s="382" t="s">
        <v>1254</v>
      </c>
      <c r="F77" s="329" t="s">
        <v>1255</v>
      </c>
      <c r="G77" s="377"/>
      <c r="H77" s="411"/>
      <c r="I77" s="377"/>
      <c r="J77" s="323"/>
      <c r="K77" s="331"/>
      <c r="L77" s="46"/>
      <c r="M77" s="331"/>
      <c r="N77" s="331"/>
      <c r="O77" s="331"/>
      <c r="P77" s="331"/>
      <c r="Q77" s="331"/>
      <c r="R77" s="331"/>
      <c r="S77" s="331"/>
      <c r="T77" s="331"/>
      <c r="U77" s="347"/>
      <c r="V77" s="331"/>
      <c r="W77" s="331"/>
      <c r="X77" s="331"/>
      <c r="Y77" s="332"/>
      <c r="Z77" s="332"/>
      <c r="AA77" s="332"/>
      <c r="AB77" s="332"/>
      <c r="AC77" s="332"/>
      <c r="AD77" s="332"/>
      <c r="AE77" s="332"/>
      <c r="AF77" s="332"/>
      <c r="AG77" s="332"/>
      <c r="AH77" s="332"/>
      <c r="AI77" s="332"/>
      <c r="AJ77" s="332"/>
      <c r="AK77" s="332"/>
      <c r="AL77" s="332"/>
      <c r="AM77" s="332"/>
      <c r="AN77" s="332"/>
      <c r="AO77" s="332"/>
      <c r="AP77" s="332"/>
      <c r="AQ77" s="332"/>
      <c r="AR77" s="332"/>
      <c r="AS77" s="332"/>
      <c r="AT77" s="332"/>
      <c r="AU77" s="332"/>
      <c r="AV77" s="332"/>
      <c r="AW77" s="332"/>
      <c r="AX77" s="332"/>
      <c r="AY77" s="332"/>
      <c r="AZ77" s="332"/>
      <c r="BA77" s="332"/>
      <c r="BB77" s="332"/>
      <c r="BC77" s="332"/>
      <c r="BD77" s="332"/>
      <c r="BE77" s="332"/>
      <c r="BF77" s="332"/>
      <c r="BG77" s="332"/>
      <c r="BH77" s="332"/>
      <c r="BI77" s="332"/>
      <c r="BJ77" s="332"/>
      <c r="BK77" s="332"/>
      <c r="BL77" s="332"/>
      <c r="BM77" s="332"/>
      <c r="BN77" s="332"/>
      <c r="BO77" s="332"/>
      <c r="BP77" s="332"/>
      <c r="BQ77" s="332"/>
      <c r="BR77" s="332"/>
      <c r="BS77" s="332"/>
      <c r="BT77" s="332"/>
      <c r="BU77" s="332"/>
      <c r="BV77" s="332"/>
      <c r="BW77" s="332"/>
      <c r="BX77" s="332"/>
      <c r="BY77" s="332"/>
      <c r="BZ77" s="332"/>
      <c r="CA77" s="332"/>
      <c r="CB77" s="332"/>
      <c r="CC77" s="332"/>
      <c r="CD77" s="332"/>
      <c r="CE77" s="332"/>
      <c r="CF77" s="332"/>
      <c r="CG77" s="332"/>
      <c r="CH77" s="332"/>
      <c r="CI77" s="332"/>
      <c r="CJ77" s="332"/>
      <c r="CK77" s="332"/>
      <c r="CL77" s="332"/>
    </row>
    <row r="78" outlineLevel="1">
      <c r="A78" s="325" t="str">
        <f t="shared" si="10"/>
        <v>TC_01.55</v>
      </c>
      <c r="B78" s="372" t="s">
        <v>75</v>
      </c>
      <c r="C78" s="351" t="s">
        <v>1256</v>
      </c>
      <c r="D78" s="375" t="s">
        <v>1257</v>
      </c>
      <c r="E78" s="344" t="s">
        <v>1258</v>
      </c>
      <c r="F78" s="344" t="s">
        <v>1259</v>
      </c>
      <c r="G78" s="377"/>
      <c r="H78" s="411"/>
      <c r="I78" s="377"/>
      <c r="J78" s="323"/>
      <c r="K78" s="331"/>
      <c r="L78" s="337"/>
      <c r="M78" s="331"/>
      <c r="N78" s="331"/>
      <c r="O78" s="331"/>
      <c r="P78" s="331"/>
      <c r="Q78" s="331"/>
      <c r="R78" s="331"/>
      <c r="S78" s="331"/>
      <c r="T78" s="331"/>
      <c r="U78" s="347"/>
      <c r="V78" s="331"/>
      <c r="W78" s="331"/>
      <c r="X78" s="331"/>
      <c r="Y78" s="332"/>
      <c r="Z78" s="332"/>
      <c r="AA78" s="332"/>
      <c r="AB78" s="332"/>
      <c r="AC78" s="332"/>
      <c r="AD78" s="332"/>
      <c r="AE78" s="332"/>
      <c r="AF78" s="332"/>
      <c r="AG78" s="332"/>
      <c r="AH78" s="332"/>
      <c r="AI78" s="332"/>
      <c r="AJ78" s="332"/>
      <c r="AK78" s="332"/>
      <c r="AL78" s="332"/>
      <c r="AM78" s="332"/>
      <c r="AN78" s="332"/>
      <c r="AO78" s="332"/>
      <c r="AP78" s="332"/>
      <c r="AQ78" s="332"/>
      <c r="AR78" s="332"/>
      <c r="AS78" s="332"/>
      <c r="AT78" s="332"/>
      <c r="AU78" s="332"/>
      <c r="AV78" s="332"/>
      <c r="AW78" s="332"/>
      <c r="AX78" s="332"/>
      <c r="AY78" s="332"/>
      <c r="AZ78" s="332"/>
      <c r="BA78" s="332"/>
      <c r="BB78" s="332"/>
      <c r="BC78" s="332"/>
      <c r="BD78" s="332"/>
      <c r="BE78" s="332"/>
      <c r="BF78" s="332"/>
      <c r="BG78" s="332"/>
      <c r="BH78" s="332"/>
      <c r="BI78" s="332"/>
      <c r="BJ78" s="332"/>
      <c r="BK78" s="332"/>
      <c r="BL78" s="332"/>
      <c r="BM78" s="332"/>
      <c r="BN78" s="332"/>
      <c r="BO78" s="332"/>
      <c r="BP78" s="332"/>
      <c r="BQ78" s="332"/>
      <c r="BR78" s="332"/>
      <c r="BS78" s="332"/>
      <c r="BT78" s="332"/>
      <c r="BU78" s="332"/>
      <c r="BV78" s="332"/>
      <c r="BW78" s="332"/>
      <c r="BX78" s="332"/>
      <c r="BY78" s="332"/>
      <c r="BZ78" s="332"/>
      <c r="CA78" s="332"/>
      <c r="CB78" s="332"/>
      <c r="CC78" s="332"/>
      <c r="CD78" s="332"/>
      <c r="CE78" s="332"/>
      <c r="CF78" s="332"/>
      <c r="CG78" s="332"/>
      <c r="CH78" s="332"/>
      <c r="CI78" s="332"/>
      <c r="CJ78" s="332"/>
      <c r="CK78" s="332"/>
      <c r="CL78" s="332"/>
    </row>
    <row r="79" outlineLevel="1">
      <c r="A79" s="325" t="str">
        <f t="shared" si="10"/>
        <v>TC_01.56</v>
      </c>
      <c r="B79" s="372" t="s">
        <v>75</v>
      </c>
      <c r="C79" s="351" t="s">
        <v>1260</v>
      </c>
      <c r="D79" s="375" t="s">
        <v>1240</v>
      </c>
      <c r="E79" s="344" t="s">
        <v>1261</v>
      </c>
      <c r="F79" s="347" t="s">
        <v>1262</v>
      </c>
      <c r="G79" s="377"/>
      <c r="H79" s="411"/>
      <c r="I79" s="377"/>
      <c r="J79" s="323"/>
      <c r="K79" s="331"/>
      <c r="L79" s="337"/>
      <c r="M79" s="331"/>
      <c r="N79" s="331"/>
      <c r="O79" s="331"/>
      <c r="P79" s="331"/>
      <c r="Q79" s="331"/>
      <c r="R79" s="331"/>
      <c r="S79" s="331"/>
      <c r="T79" s="331"/>
      <c r="U79" s="347"/>
      <c r="V79" s="331"/>
      <c r="W79" s="331"/>
      <c r="X79" s="331"/>
      <c r="Y79" s="332"/>
      <c r="Z79" s="332"/>
      <c r="AA79" s="332"/>
      <c r="AB79" s="332"/>
      <c r="AC79" s="332"/>
      <c r="AD79" s="332"/>
      <c r="AE79" s="332"/>
      <c r="AF79" s="332"/>
      <c r="AG79" s="332"/>
      <c r="AH79" s="332"/>
      <c r="AI79" s="332"/>
      <c r="AJ79" s="332"/>
      <c r="AK79" s="332"/>
      <c r="AL79" s="332"/>
      <c r="AM79" s="332"/>
      <c r="AN79" s="332"/>
      <c r="AO79" s="332"/>
      <c r="AP79" s="332"/>
      <c r="AQ79" s="332"/>
      <c r="AR79" s="332"/>
      <c r="AS79" s="332"/>
      <c r="AT79" s="332"/>
      <c r="AU79" s="332"/>
      <c r="AV79" s="332"/>
      <c r="AW79" s="332"/>
      <c r="AX79" s="332"/>
      <c r="AY79" s="332"/>
      <c r="AZ79" s="332"/>
      <c r="BA79" s="332"/>
      <c r="BB79" s="332"/>
      <c r="BC79" s="332"/>
      <c r="BD79" s="332"/>
      <c r="BE79" s="332"/>
      <c r="BF79" s="332"/>
      <c r="BG79" s="332"/>
      <c r="BH79" s="332"/>
      <c r="BI79" s="332"/>
      <c r="BJ79" s="332"/>
      <c r="BK79" s="332"/>
      <c r="BL79" s="332"/>
      <c r="BM79" s="332"/>
      <c r="BN79" s="332"/>
      <c r="BO79" s="332"/>
      <c r="BP79" s="332"/>
      <c r="BQ79" s="332"/>
      <c r="BR79" s="332"/>
      <c r="BS79" s="332"/>
      <c r="BT79" s="332"/>
      <c r="BU79" s="332"/>
      <c r="BV79" s="332"/>
      <c r="BW79" s="332"/>
      <c r="BX79" s="332"/>
      <c r="BY79" s="332"/>
      <c r="BZ79" s="332"/>
      <c r="CA79" s="332"/>
      <c r="CB79" s="332"/>
      <c r="CC79" s="332"/>
      <c r="CD79" s="332"/>
      <c r="CE79" s="332"/>
      <c r="CF79" s="332"/>
      <c r="CG79" s="332"/>
      <c r="CH79" s="332"/>
      <c r="CI79" s="332"/>
      <c r="CJ79" s="332"/>
      <c r="CK79" s="332"/>
      <c r="CL79" s="332"/>
    </row>
    <row r="80" outlineLevel="1">
      <c r="A80" s="325" t="str">
        <f t="shared" si="10"/>
        <v>TC_01.57</v>
      </c>
      <c r="B80" s="370" t="s">
        <v>77</v>
      </c>
      <c r="C80" s="351" t="s">
        <v>1263</v>
      </c>
      <c r="D80" s="375" t="s">
        <v>1240</v>
      </c>
      <c r="E80" s="344" t="s">
        <v>1264</v>
      </c>
      <c r="F80" s="345" t="s">
        <v>1265</v>
      </c>
      <c r="G80" s="377"/>
      <c r="H80" s="411"/>
      <c r="I80" s="377"/>
      <c r="J80" s="323"/>
      <c r="K80" s="331"/>
      <c r="L80" s="337"/>
      <c r="M80" s="61"/>
      <c r="N80" s="353"/>
      <c r="O80" s="353"/>
      <c r="P80" s="354"/>
      <c r="Q80" s="61"/>
      <c r="R80" s="353"/>
      <c r="S80" s="353"/>
      <c r="T80" s="354"/>
      <c r="U80" s="43"/>
      <c r="V80" s="353"/>
      <c r="W80" s="353"/>
      <c r="X80" s="354"/>
      <c r="Y80" s="355"/>
      <c r="Z80" s="355"/>
      <c r="AA80" s="355"/>
      <c r="AB80" s="355"/>
      <c r="AC80" s="355"/>
      <c r="AD80" s="355"/>
      <c r="AE80" s="355"/>
      <c r="AF80" s="355"/>
      <c r="AG80" s="355"/>
      <c r="AH80" s="355"/>
      <c r="AI80" s="355"/>
      <c r="AJ80" s="355"/>
      <c r="AK80" s="355"/>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5"/>
      <c r="BL80" s="355"/>
      <c r="BM80" s="355"/>
      <c r="BN80" s="355"/>
      <c r="BO80" s="355"/>
      <c r="BP80" s="355"/>
      <c r="BQ80" s="355"/>
      <c r="BR80" s="355"/>
      <c r="BS80" s="355"/>
      <c r="BT80" s="355"/>
      <c r="BU80" s="355"/>
      <c r="BV80" s="355"/>
      <c r="BW80" s="355"/>
      <c r="BX80" s="355"/>
      <c r="BY80" s="355"/>
      <c r="BZ80" s="355"/>
      <c r="CA80" s="355"/>
      <c r="CB80" s="355"/>
      <c r="CC80" s="355"/>
      <c r="CD80" s="355"/>
      <c r="CE80" s="355"/>
      <c r="CF80" s="355"/>
      <c r="CG80" s="355"/>
      <c r="CH80" s="355"/>
      <c r="CI80" s="355"/>
      <c r="CJ80" s="355"/>
      <c r="CK80" s="355"/>
      <c r="CL80" s="355"/>
    </row>
    <row r="81" outlineLevel="1">
      <c r="A81" s="325" t="str">
        <f t="shared" si="10"/>
        <v>TC_01.58</v>
      </c>
      <c r="B81" s="342" t="s">
        <v>75</v>
      </c>
      <c r="C81" s="351" t="s">
        <v>1266</v>
      </c>
      <c r="D81" s="375" t="s">
        <v>1240</v>
      </c>
      <c r="E81" s="344" t="s">
        <v>1267</v>
      </c>
      <c r="F81" s="345" t="s">
        <v>1268</v>
      </c>
      <c r="G81" s="377"/>
      <c r="H81" s="411"/>
      <c r="I81" s="377"/>
      <c r="J81" s="323"/>
      <c r="K81" s="331"/>
      <c r="L81" s="337"/>
      <c r="M81" s="61"/>
      <c r="N81" s="353"/>
      <c r="O81" s="353"/>
      <c r="P81" s="354"/>
      <c r="Q81" s="61"/>
      <c r="R81" s="353"/>
      <c r="S81" s="353"/>
      <c r="T81" s="354"/>
      <c r="U81" s="43"/>
      <c r="V81" s="353"/>
      <c r="W81" s="353"/>
      <c r="X81" s="354"/>
      <c r="Y81" s="355"/>
      <c r="Z81" s="355"/>
      <c r="AA81" s="355"/>
      <c r="AB81" s="355"/>
      <c r="AC81" s="355"/>
      <c r="AD81" s="355"/>
      <c r="AE81" s="355"/>
      <c r="AF81" s="355"/>
      <c r="AG81" s="355"/>
      <c r="AH81" s="355"/>
      <c r="AI81" s="355"/>
      <c r="AJ81" s="355"/>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5"/>
      <c r="BL81" s="355"/>
      <c r="BM81" s="355"/>
      <c r="BN81" s="355"/>
      <c r="BO81" s="355"/>
      <c r="BP81" s="355"/>
      <c r="BQ81" s="355"/>
      <c r="BR81" s="355"/>
      <c r="BS81" s="355"/>
      <c r="BT81" s="355"/>
      <c r="BU81" s="355"/>
      <c r="BV81" s="355"/>
      <c r="BW81" s="355"/>
      <c r="BX81" s="355"/>
      <c r="BY81" s="355"/>
      <c r="BZ81" s="355"/>
      <c r="CA81" s="355"/>
      <c r="CB81" s="355"/>
      <c r="CC81" s="355"/>
      <c r="CD81" s="355"/>
      <c r="CE81" s="355"/>
      <c r="CF81" s="355"/>
      <c r="CG81" s="355"/>
      <c r="CH81" s="355"/>
      <c r="CI81" s="355"/>
      <c r="CJ81" s="355"/>
      <c r="CK81" s="355"/>
      <c r="CL81" s="355"/>
    </row>
    <row r="82" outlineLevel="1">
      <c r="A82" s="325" t="str">
        <f t="shared" si="10"/>
        <v>TC_01.59</v>
      </c>
      <c r="B82" s="342" t="s">
        <v>75</v>
      </c>
      <c r="C82" s="343" t="s">
        <v>1269</v>
      </c>
      <c r="D82" s="375" t="s">
        <v>1240</v>
      </c>
      <c r="E82" s="344" t="s">
        <v>1270</v>
      </c>
      <c r="F82" s="344" t="s">
        <v>1271</v>
      </c>
      <c r="G82" s="377"/>
      <c r="H82" s="411"/>
      <c r="I82" s="377"/>
      <c r="J82" s="323"/>
      <c r="K82" s="331"/>
      <c r="L82" s="337"/>
      <c r="M82" s="61"/>
      <c r="N82" s="353"/>
      <c r="O82" s="353"/>
      <c r="P82" s="354"/>
      <c r="Q82" s="61"/>
      <c r="R82" s="353"/>
      <c r="S82" s="353"/>
      <c r="T82" s="354"/>
      <c r="U82" s="43"/>
      <c r="V82" s="353"/>
      <c r="W82" s="353"/>
      <c r="X82" s="354"/>
      <c r="Y82" s="355"/>
      <c r="Z82" s="355"/>
      <c r="AA82" s="355"/>
      <c r="AB82" s="355"/>
      <c r="AC82" s="355"/>
      <c r="AD82" s="355"/>
      <c r="AE82" s="355"/>
      <c r="AF82" s="355"/>
      <c r="AG82" s="355"/>
      <c r="AH82" s="355"/>
      <c r="AI82" s="355"/>
      <c r="AJ82" s="355"/>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5"/>
      <c r="BL82" s="355"/>
      <c r="BM82" s="355"/>
      <c r="BN82" s="355"/>
      <c r="BO82" s="355"/>
      <c r="BP82" s="355"/>
      <c r="BQ82" s="355"/>
      <c r="BR82" s="355"/>
      <c r="BS82" s="355"/>
      <c r="BT82" s="355"/>
      <c r="BU82" s="355"/>
      <c r="BV82" s="355"/>
      <c r="BW82" s="355"/>
      <c r="BX82" s="355"/>
      <c r="BY82" s="355"/>
      <c r="BZ82" s="355"/>
      <c r="CA82" s="355"/>
      <c r="CB82" s="355"/>
      <c r="CC82" s="355"/>
      <c r="CD82" s="355"/>
      <c r="CE82" s="355"/>
      <c r="CF82" s="355"/>
      <c r="CG82" s="355"/>
      <c r="CH82" s="355"/>
      <c r="CI82" s="355"/>
      <c r="CJ82" s="355"/>
      <c r="CK82" s="355"/>
      <c r="CL82" s="355"/>
    </row>
    <row r="83" outlineLevel="1">
      <c r="A83" s="325" t="str">
        <f t="shared" si="10"/>
        <v>TC_01.60</v>
      </c>
      <c r="B83" s="370" t="s">
        <v>77</v>
      </c>
      <c r="C83" s="351" t="s">
        <v>1272</v>
      </c>
      <c r="D83" s="375" t="s">
        <v>1240</v>
      </c>
      <c r="E83" s="344" t="s">
        <v>1273</v>
      </c>
      <c r="F83" s="345" t="s">
        <v>1274</v>
      </c>
      <c r="G83" s="377"/>
      <c r="H83" s="411"/>
      <c r="I83" s="377"/>
      <c r="J83" s="323"/>
      <c r="K83" s="331"/>
      <c r="L83" s="337"/>
      <c r="M83" s="61"/>
      <c r="N83" s="353"/>
      <c r="O83" s="353"/>
      <c r="P83" s="354"/>
      <c r="Q83" s="61"/>
      <c r="R83" s="353"/>
      <c r="S83" s="353"/>
      <c r="T83" s="354"/>
      <c r="U83" s="43"/>
      <c r="V83" s="353"/>
      <c r="W83" s="353"/>
      <c r="X83" s="354"/>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5"/>
      <c r="BN83" s="355"/>
      <c r="BO83" s="355"/>
      <c r="BP83" s="355"/>
      <c r="BQ83" s="355"/>
      <c r="BR83" s="355"/>
      <c r="BS83" s="355"/>
      <c r="BT83" s="355"/>
      <c r="BU83" s="355"/>
      <c r="BV83" s="355"/>
      <c r="BW83" s="355"/>
      <c r="BX83" s="355"/>
      <c r="BY83" s="355"/>
      <c r="BZ83" s="355"/>
      <c r="CA83" s="355"/>
      <c r="CB83" s="355"/>
      <c r="CC83" s="355"/>
      <c r="CD83" s="355"/>
      <c r="CE83" s="355"/>
      <c r="CF83" s="355"/>
      <c r="CG83" s="355"/>
      <c r="CH83" s="355"/>
      <c r="CI83" s="355"/>
      <c r="CJ83" s="355"/>
      <c r="CK83" s="355"/>
      <c r="CL83" s="355"/>
    </row>
    <row r="84" outlineLevel="1">
      <c r="A84" s="325" t="str">
        <f t="shared" si="10"/>
        <v>TC_01.61</v>
      </c>
      <c r="B84" s="342" t="s">
        <v>75</v>
      </c>
      <c r="C84" s="351" t="s">
        <v>1275</v>
      </c>
      <c r="D84" s="375" t="s">
        <v>1240</v>
      </c>
      <c r="E84" s="344" t="s">
        <v>1276</v>
      </c>
      <c r="F84" s="345" t="s">
        <v>1277</v>
      </c>
      <c r="G84" s="377"/>
      <c r="H84" s="411"/>
      <c r="I84" s="377"/>
      <c r="J84" s="323"/>
      <c r="K84" s="331"/>
      <c r="L84" s="337"/>
      <c r="M84" s="61"/>
      <c r="N84" s="353"/>
      <c r="O84" s="353"/>
      <c r="P84" s="354"/>
      <c r="Q84" s="61"/>
      <c r="R84" s="353"/>
      <c r="S84" s="353"/>
      <c r="T84" s="354"/>
      <c r="U84" s="43"/>
      <c r="V84" s="353"/>
      <c r="W84" s="353"/>
      <c r="X84" s="354"/>
      <c r="Y84" s="355"/>
      <c r="Z84" s="355"/>
      <c r="AA84" s="355"/>
      <c r="AB84" s="355"/>
      <c r="AC84" s="355"/>
      <c r="AD84" s="355"/>
      <c r="AE84" s="355"/>
      <c r="AF84" s="355"/>
      <c r="AG84" s="355"/>
      <c r="AH84" s="355"/>
      <c r="AI84" s="355"/>
      <c r="AJ84" s="355"/>
      <c r="AK84" s="355"/>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c r="BI84" s="355"/>
      <c r="BJ84" s="355"/>
      <c r="BK84" s="355"/>
      <c r="BL84" s="355"/>
      <c r="BM84" s="355"/>
      <c r="BN84" s="355"/>
      <c r="BO84" s="355"/>
      <c r="BP84" s="355"/>
      <c r="BQ84" s="355"/>
      <c r="BR84" s="355"/>
      <c r="BS84" s="355"/>
      <c r="BT84" s="355"/>
      <c r="BU84" s="355"/>
      <c r="BV84" s="355"/>
      <c r="BW84" s="355"/>
      <c r="BX84" s="355"/>
      <c r="BY84" s="355"/>
      <c r="BZ84" s="355"/>
      <c r="CA84" s="355"/>
      <c r="CB84" s="355"/>
      <c r="CC84" s="355"/>
      <c r="CD84" s="355"/>
      <c r="CE84" s="355"/>
      <c r="CF84" s="355"/>
      <c r="CG84" s="355"/>
      <c r="CH84" s="355"/>
      <c r="CI84" s="355"/>
      <c r="CJ84" s="355"/>
      <c r="CK84" s="355"/>
      <c r="CL84" s="355"/>
    </row>
    <row r="85" outlineLevel="1">
      <c r="A85" s="325" t="str">
        <f t="shared" si="10"/>
        <v>TC_01.62</v>
      </c>
      <c r="B85" s="342" t="s">
        <v>75</v>
      </c>
      <c r="C85" s="343" t="s">
        <v>1278</v>
      </c>
      <c r="D85" s="375" t="s">
        <v>1240</v>
      </c>
      <c r="E85" s="344" t="s">
        <v>1279</v>
      </c>
      <c r="F85" s="344" t="s">
        <v>1271</v>
      </c>
      <c r="G85" s="377"/>
      <c r="H85" s="411"/>
      <c r="I85" s="377"/>
      <c r="J85" s="323"/>
      <c r="K85" s="331"/>
      <c r="L85" s="337"/>
      <c r="M85" s="61"/>
      <c r="N85" s="353"/>
      <c r="O85" s="353"/>
      <c r="P85" s="354"/>
      <c r="Q85" s="61"/>
      <c r="R85" s="353"/>
      <c r="S85" s="353"/>
      <c r="T85" s="354"/>
      <c r="U85" s="43"/>
      <c r="V85" s="353"/>
      <c r="W85" s="353"/>
      <c r="X85" s="354"/>
      <c r="Y85" s="355"/>
      <c r="Z85" s="355"/>
      <c r="AA85" s="355"/>
      <c r="AB85" s="355"/>
      <c r="AC85" s="355"/>
      <c r="AD85" s="355"/>
      <c r="AE85" s="355"/>
      <c r="AF85" s="355"/>
      <c r="AG85" s="355"/>
      <c r="AH85" s="355"/>
      <c r="AI85" s="355"/>
      <c r="AJ85" s="355"/>
      <c r="AK85" s="355"/>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c r="BI85" s="355"/>
      <c r="BJ85" s="355"/>
      <c r="BK85" s="355"/>
      <c r="BL85" s="355"/>
      <c r="BM85" s="355"/>
      <c r="BN85" s="355"/>
      <c r="BO85" s="355"/>
      <c r="BP85" s="355"/>
      <c r="BQ85" s="355"/>
      <c r="BR85" s="355"/>
      <c r="BS85" s="355"/>
      <c r="BT85" s="355"/>
      <c r="BU85" s="355"/>
      <c r="BV85" s="355"/>
      <c r="BW85" s="355"/>
      <c r="BX85" s="355"/>
      <c r="BY85" s="355"/>
      <c r="BZ85" s="355"/>
      <c r="CA85" s="355"/>
      <c r="CB85" s="355"/>
      <c r="CC85" s="355"/>
      <c r="CD85" s="355"/>
      <c r="CE85" s="355"/>
      <c r="CF85" s="355"/>
      <c r="CG85" s="355"/>
      <c r="CH85" s="355"/>
      <c r="CI85" s="355"/>
      <c r="CJ85" s="355"/>
      <c r="CK85" s="355"/>
      <c r="CL85" s="355"/>
    </row>
    <row r="86" outlineLevel="1">
      <c r="A86" s="325" t="str">
        <f t="shared" si="10"/>
        <v>TC_01.63</v>
      </c>
      <c r="B86" s="370" t="s">
        <v>77</v>
      </c>
      <c r="C86" s="351" t="s">
        <v>1280</v>
      </c>
      <c r="D86" s="375" t="s">
        <v>1240</v>
      </c>
      <c r="E86" s="344" t="s">
        <v>1281</v>
      </c>
      <c r="F86" s="345" t="s">
        <v>1282</v>
      </c>
      <c r="G86" s="377"/>
      <c r="H86" s="411"/>
      <c r="I86" s="377"/>
      <c r="J86" s="323"/>
      <c r="K86" s="331"/>
      <c r="L86" s="337"/>
      <c r="M86" s="61"/>
      <c r="N86" s="353"/>
      <c r="O86" s="353"/>
      <c r="P86" s="354"/>
      <c r="Q86" s="61"/>
      <c r="R86" s="353"/>
      <c r="S86" s="353"/>
      <c r="T86" s="354"/>
      <c r="U86" s="43"/>
      <c r="V86" s="353"/>
      <c r="W86" s="353"/>
      <c r="X86" s="354"/>
      <c r="Y86" s="355"/>
      <c r="Z86" s="355"/>
      <c r="AA86" s="355"/>
      <c r="AB86" s="355"/>
      <c r="AC86" s="355"/>
      <c r="AD86" s="355"/>
      <c r="AE86" s="355"/>
      <c r="AF86" s="355"/>
      <c r="AG86" s="355"/>
      <c r="AH86" s="355"/>
      <c r="AI86" s="355"/>
      <c r="AJ86" s="355"/>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5"/>
      <c r="BL86" s="355"/>
      <c r="BM86" s="355"/>
      <c r="BN86" s="355"/>
      <c r="BO86" s="355"/>
      <c r="BP86" s="355"/>
      <c r="BQ86" s="355"/>
      <c r="BR86" s="355"/>
      <c r="BS86" s="355"/>
      <c r="BT86" s="355"/>
      <c r="BU86" s="355"/>
      <c r="BV86" s="355"/>
      <c r="BW86" s="355"/>
      <c r="BX86" s="355"/>
      <c r="BY86" s="355"/>
      <c r="BZ86" s="355"/>
      <c r="CA86" s="355"/>
      <c r="CB86" s="355"/>
      <c r="CC86" s="355"/>
      <c r="CD86" s="355"/>
      <c r="CE86" s="355"/>
      <c r="CF86" s="355"/>
      <c r="CG86" s="355"/>
      <c r="CH86" s="355"/>
      <c r="CI86" s="355"/>
      <c r="CJ86" s="355"/>
      <c r="CK86" s="355"/>
      <c r="CL86" s="355"/>
    </row>
    <row r="87" outlineLevel="1">
      <c r="A87" s="325" t="str">
        <f t="shared" si="10"/>
        <v>TC_01.64</v>
      </c>
      <c r="B87" s="342" t="s">
        <v>75</v>
      </c>
      <c r="C87" s="351" t="s">
        <v>1283</v>
      </c>
      <c r="D87" s="375" t="s">
        <v>1240</v>
      </c>
      <c r="E87" s="344" t="s">
        <v>1284</v>
      </c>
      <c r="F87" s="344" t="s">
        <v>1285</v>
      </c>
      <c r="G87" s="377"/>
      <c r="H87" s="411"/>
      <c r="I87" s="377"/>
      <c r="J87" s="323"/>
      <c r="K87" s="331"/>
      <c r="L87" s="337"/>
      <c r="M87" s="61"/>
      <c r="N87" s="353"/>
      <c r="O87" s="353"/>
      <c r="P87" s="354"/>
      <c r="Q87" s="61"/>
      <c r="R87" s="353"/>
      <c r="S87" s="353"/>
      <c r="T87" s="354"/>
      <c r="U87" s="43"/>
      <c r="V87" s="353"/>
      <c r="W87" s="353"/>
      <c r="X87" s="354"/>
      <c r="Y87" s="355"/>
      <c r="Z87" s="355"/>
      <c r="AA87" s="355"/>
      <c r="AB87" s="355"/>
      <c r="AC87" s="355"/>
      <c r="AD87" s="355"/>
      <c r="AE87" s="355"/>
      <c r="AF87" s="355"/>
      <c r="AG87" s="355"/>
      <c r="AH87" s="355"/>
      <c r="AI87" s="355"/>
      <c r="AJ87" s="355"/>
      <c r="AK87" s="355"/>
      <c r="AL87" s="355"/>
      <c r="AM87" s="355"/>
      <c r="AN87" s="355"/>
      <c r="AO87" s="355"/>
      <c r="AP87" s="355"/>
      <c r="AQ87" s="355"/>
      <c r="AR87" s="355"/>
      <c r="AS87" s="355"/>
      <c r="AT87" s="355"/>
      <c r="AU87" s="355"/>
      <c r="AV87" s="355"/>
      <c r="AW87" s="355"/>
      <c r="AX87" s="355"/>
      <c r="AY87" s="355"/>
      <c r="AZ87" s="355"/>
      <c r="BA87" s="355"/>
      <c r="BB87" s="355"/>
      <c r="BC87" s="355"/>
      <c r="BD87" s="355"/>
      <c r="BE87" s="355"/>
      <c r="BF87" s="355"/>
      <c r="BG87" s="355"/>
      <c r="BH87" s="355"/>
      <c r="BI87" s="355"/>
      <c r="BJ87" s="355"/>
      <c r="BK87" s="355"/>
      <c r="BL87" s="355"/>
      <c r="BM87" s="355"/>
      <c r="BN87" s="355"/>
      <c r="BO87" s="355"/>
      <c r="BP87" s="355"/>
      <c r="BQ87" s="355"/>
      <c r="BR87" s="355"/>
      <c r="BS87" s="355"/>
      <c r="BT87" s="355"/>
      <c r="BU87" s="355"/>
      <c r="BV87" s="355"/>
      <c r="BW87" s="355"/>
      <c r="BX87" s="355"/>
      <c r="BY87" s="355"/>
      <c r="BZ87" s="355"/>
      <c r="CA87" s="355"/>
      <c r="CB87" s="355"/>
      <c r="CC87" s="355"/>
      <c r="CD87" s="355"/>
      <c r="CE87" s="355"/>
      <c r="CF87" s="355"/>
      <c r="CG87" s="355"/>
      <c r="CH87" s="355"/>
      <c r="CI87" s="355"/>
      <c r="CJ87" s="355"/>
      <c r="CK87" s="355"/>
      <c r="CL87" s="355"/>
    </row>
    <row r="88" outlineLevel="1">
      <c r="A88" s="325" t="str">
        <f t="shared" si="10"/>
        <v>TC_01.65</v>
      </c>
      <c r="B88" s="342" t="s">
        <v>75</v>
      </c>
      <c r="C88" s="343" t="s">
        <v>1286</v>
      </c>
      <c r="D88" s="375" t="s">
        <v>1240</v>
      </c>
      <c r="E88" s="344" t="s">
        <v>1287</v>
      </c>
      <c r="F88" s="344" t="s">
        <v>1271</v>
      </c>
      <c r="G88" s="377"/>
      <c r="H88" s="411"/>
      <c r="I88" s="377"/>
      <c r="J88" s="323"/>
      <c r="K88" s="331"/>
      <c r="L88" s="337"/>
      <c r="M88" s="61"/>
      <c r="N88" s="353"/>
      <c r="O88" s="353"/>
      <c r="P88" s="354"/>
      <c r="Q88" s="61"/>
      <c r="R88" s="353"/>
      <c r="S88" s="353"/>
      <c r="T88" s="354"/>
      <c r="U88" s="43"/>
      <c r="V88" s="353"/>
      <c r="W88" s="353"/>
      <c r="X88" s="354"/>
      <c r="Y88" s="355"/>
      <c r="Z88" s="355"/>
      <c r="AA88" s="355"/>
      <c r="AB88" s="355"/>
      <c r="AC88" s="355"/>
      <c r="AD88" s="355"/>
      <c r="AE88" s="355"/>
      <c r="AF88" s="355"/>
      <c r="AG88" s="355"/>
      <c r="AH88" s="355"/>
      <c r="AI88" s="355"/>
      <c r="AJ88" s="355"/>
      <c r="AK88" s="355"/>
      <c r="AL88" s="355"/>
      <c r="AM88" s="355"/>
      <c r="AN88" s="355"/>
      <c r="AO88" s="355"/>
      <c r="AP88" s="355"/>
      <c r="AQ88" s="355"/>
      <c r="AR88" s="355"/>
      <c r="AS88" s="355"/>
      <c r="AT88" s="355"/>
      <c r="AU88" s="355"/>
      <c r="AV88" s="355"/>
      <c r="AW88" s="355"/>
      <c r="AX88" s="355"/>
      <c r="AY88" s="355"/>
      <c r="AZ88" s="355"/>
      <c r="BA88" s="355"/>
      <c r="BB88" s="355"/>
      <c r="BC88" s="355"/>
      <c r="BD88" s="355"/>
      <c r="BE88" s="355"/>
      <c r="BF88" s="355"/>
      <c r="BG88" s="355"/>
      <c r="BH88" s="355"/>
      <c r="BI88" s="355"/>
      <c r="BJ88" s="355"/>
      <c r="BK88" s="355"/>
      <c r="BL88" s="355"/>
      <c r="BM88" s="355"/>
      <c r="BN88" s="355"/>
      <c r="BO88" s="355"/>
      <c r="BP88" s="355"/>
      <c r="BQ88" s="355"/>
      <c r="BR88" s="355"/>
      <c r="BS88" s="355"/>
      <c r="BT88" s="355"/>
      <c r="BU88" s="355"/>
      <c r="BV88" s="355"/>
      <c r="BW88" s="355"/>
      <c r="BX88" s="355"/>
      <c r="BY88" s="355"/>
      <c r="BZ88" s="355"/>
      <c r="CA88" s="355"/>
      <c r="CB88" s="355"/>
      <c r="CC88" s="355"/>
      <c r="CD88" s="355"/>
      <c r="CE88" s="355"/>
      <c r="CF88" s="355"/>
      <c r="CG88" s="355"/>
      <c r="CH88" s="355"/>
      <c r="CI88" s="355"/>
      <c r="CJ88" s="355"/>
      <c r="CK88" s="355"/>
      <c r="CL88" s="355"/>
    </row>
    <row r="89">
      <c r="A89" s="60"/>
      <c r="B89" s="338" t="s">
        <v>1288</v>
      </c>
      <c r="C89" s="148"/>
      <c r="D89" s="148"/>
      <c r="E89" s="148"/>
      <c r="F89" s="171"/>
      <c r="G89" s="411"/>
      <c r="H89" s="411"/>
      <c r="I89" s="411"/>
      <c r="J89" s="323"/>
      <c r="K89" s="60"/>
      <c r="L89" s="60"/>
      <c r="M89" s="60"/>
      <c r="N89" s="60"/>
      <c r="O89" s="60"/>
      <c r="P89" s="60"/>
      <c r="Q89" s="60"/>
      <c r="R89" s="60"/>
      <c r="S89" s="60"/>
      <c r="T89" s="60"/>
      <c r="U89" s="340"/>
      <c r="V89" s="60"/>
      <c r="W89" s="60"/>
      <c r="X89" s="60"/>
      <c r="Y89" s="341"/>
      <c r="Z89" s="341"/>
      <c r="AA89" s="341"/>
      <c r="AB89" s="341"/>
      <c r="AC89" s="341"/>
      <c r="AD89" s="341"/>
      <c r="AE89" s="341"/>
      <c r="AF89" s="341"/>
      <c r="AG89" s="341"/>
      <c r="AH89" s="341"/>
      <c r="AI89" s="341"/>
      <c r="AJ89" s="341"/>
      <c r="AK89" s="341"/>
      <c r="AL89" s="341"/>
      <c r="AM89" s="341"/>
      <c r="AN89" s="341"/>
      <c r="AO89" s="341"/>
      <c r="AP89" s="341"/>
      <c r="AQ89" s="341"/>
      <c r="AR89" s="341"/>
      <c r="AS89" s="341"/>
      <c r="AT89" s="341"/>
      <c r="AU89" s="341"/>
      <c r="AV89" s="341"/>
      <c r="AW89" s="341"/>
      <c r="AX89" s="341"/>
      <c r="AY89" s="341"/>
      <c r="AZ89" s="341"/>
      <c r="BA89" s="341"/>
      <c r="BB89" s="341"/>
      <c r="BC89" s="341"/>
      <c r="BD89" s="341"/>
      <c r="BE89" s="341"/>
      <c r="BF89" s="341"/>
      <c r="BG89" s="341"/>
      <c r="BH89" s="341"/>
      <c r="BI89" s="341"/>
      <c r="BJ89" s="341"/>
      <c r="BK89" s="341"/>
      <c r="BL89" s="341"/>
      <c r="BM89" s="341"/>
      <c r="BN89" s="341"/>
      <c r="BO89" s="341"/>
      <c r="BP89" s="341"/>
      <c r="BQ89" s="341"/>
      <c r="BR89" s="341"/>
      <c r="BS89" s="341"/>
      <c r="BT89" s="341"/>
      <c r="BU89" s="341"/>
      <c r="BV89" s="341"/>
      <c r="BW89" s="341"/>
      <c r="BX89" s="341"/>
      <c r="BY89" s="341"/>
      <c r="BZ89" s="341"/>
      <c r="CA89" s="341"/>
      <c r="CB89" s="341"/>
      <c r="CC89" s="341"/>
      <c r="CD89" s="341"/>
      <c r="CE89" s="341"/>
      <c r="CF89" s="341"/>
      <c r="CG89" s="341"/>
      <c r="CH89" s="341"/>
      <c r="CI89" s="341"/>
      <c r="CJ89" s="341"/>
      <c r="CK89" s="341"/>
      <c r="CL89" s="341"/>
    </row>
    <row r="90" outlineLevel="1">
      <c r="A90" s="325" t="str">
        <f t="shared" ref="A90:A118" si="11">IF(E90="","",$C$3&amp;"."&amp;COUNTA($E$12:E90)&amp;"")</f>
        <v>TC_01.66</v>
      </c>
      <c r="B90" s="404" t="s">
        <v>77</v>
      </c>
      <c r="C90" s="378" t="s">
        <v>1289</v>
      </c>
      <c r="D90" s="375" t="s">
        <v>1240</v>
      </c>
      <c r="E90" s="329" t="s">
        <v>1290</v>
      </c>
      <c r="F90" s="379" t="s">
        <v>1291</v>
      </c>
      <c r="G90" s="411"/>
      <c r="H90" s="411"/>
      <c r="I90" s="377"/>
      <c r="J90" s="323"/>
      <c r="K90" s="331"/>
      <c r="L90" s="337"/>
      <c r="M90" s="331"/>
      <c r="N90" s="331"/>
      <c r="O90" s="331"/>
      <c r="P90" s="331"/>
      <c r="Q90" s="331"/>
      <c r="R90" s="331"/>
      <c r="S90" s="331"/>
      <c r="T90" s="331"/>
      <c r="U90" s="347"/>
      <c r="V90" s="331"/>
      <c r="W90" s="331"/>
      <c r="X90" s="331"/>
      <c r="Y90" s="332"/>
      <c r="Z90" s="332"/>
      <c r="AA90" s="332"/>
      <c r="AB90" s="332"/>
      <c r="AC90" s="332"/>
      <c r="AD90" s="332"/>
      <c r="AE90" s="332"/>
      <c r="AF90" s="332"/>
      <c r="AG90" s="332"/>
      <c r="AH90" s="332"/>
      <c r="AI90" s="332"/>
      <c r="AJ90" s="332"/>
      <c r="AK90" s="332"/>
      <c r="AL90" s="332"/>
      <c r="AM90" s="332"/>
      <c r="AN90" s="332"/>
      <c r="AO90" s="332"/>
      <c r="AP90" s="332"/>
      <c r="AQ90" s="332"/>
      <c r="AR90" s="332"/>
      <c r="AS90" s="332"/>
      <c r="AT90" s="332"/>
      <c r="AU90" s="332"/>
      <c r="AV90" s="332"/>
      <c r="AW90" s="332"/>
      <c r="AX90" s="332"/>
      <c r="AY90" s="332"/>
      <c r="AZ90" s="332"/>
      <c r="BA90" s="332"/>
      <c r="BB90" s="332"/>
      <c r="BC90" s="332"/>
      <c r="BD90" s="332"/>
      <c r="BE90" s="332"/>
      <c r="BF90" s="332"/>
      <c r="BG90" s="332"/>
      <c r="BH90" s="332"/>
      <c r="BI90" s="332"/>
      <c r="BJ90" s="332"/>
      <c r="BK90" s="332"/>
      <c r="BL90" s="332"/>
      <c r="BM90" s="332"/>
      <c r="BN90" s="332"/>
      <c r="BO90" s="332"/>
      <c r="BP90" s="332"/>
      <c r="BQ90" s="332"/>
      <c r="BR90" s="332"/>
      <c r="BS90" s="332"/>
      <c r="BT90" s="332"/>
      <c r="BU90" s="332"/>
      <c r="BV90" s="332"/>
      <c r="BW90" s="332"/>
      <c r="BX90" s="332"/>
      <c r="BY90" s="332"/>
      <c r="BZ90" s="332"/>
      <c r="CA90" s="332"/>
      <c r="CB90" s="332"/>
      <c r="CC90" s="332"/>
      <c r="CD90" s="332"/>
      <c r="CE90" s="332"/>
      <c r="CF90" s="332"/>
      <c r="CG90" s="332"/>
      <c r="CH90" s="332"/>
      <c r="CI90" s="332"/>
      <c r="CJ90" s="332"/>
      <c r="CK90" s="332"/>
      <c r="CL90" s="332"/>
    </row>
    <row r="91" outlineLevel="1">
      <c r="A91" s="325" t="str">
        <f t="shared" si="11"/>
        <v>TC_01.67</v>
      </c>
      <c r="B91" s="404" t="s">
        <v>75</v>
      </c>
      <c r="C91" s="381" t="s">
        <v>1292</v>
      </c>
      <c r="D91" s="375" t="s">
        <v>1240</v>
      </c>
      <c r="E91" s="382" t="s">
        <v>1293</v>
      </c>
      <c r="F91" s="383" t="s">
        <v>1294</v>
      </c>
      <c r="G91" s="411"/>
      <c r="H91" s="411"/>
      <c r="I91" s="377"/>
      <c r="J91" s="323"/>
      <c r="K91" s="331"/>
      <c r="L91" s="337"/>
      <c r="M91" s="331"/>
      <c r="N91" s="331"/>
      <c r="O91" s="331"/>
      <c r="P91" s="331"/>
      <c r="Q91" s="331"/>
      <c r="R91" s="331"/>
      <c r="S91" s="331"/>
      <c r="T91" s="331"/>
      <c r="U91" s="347"/>
      <c r="V91" s="331"/>
      <c r="W91" s="331"/>
      <c r="X91" s="331"/>
      <c r="Y91" s="332"/>
      <c r="Z91" s="332"/>
      <c r="AA91" s="332"/>
      <c r="AB91" s="332"/>
      <c r="AC91" s="332"/>
      <c r="AD91" s="332"/>
      <c r="AE91" s="332"/>
      <c r="AF91" s="332"/>
      <c r="AG91" s="332"/>
      <c r="AH91" s="332"/>
      <c r="AI91" s="332"/>
      <c r="AJ91" s="332"/>
      <c r="AK91" s="332"/>
      <c r="AL91" s="332"/>
      <c r="AM91" s="332"/>
      <c r="AN91" s="332"/>
      <c r="AO91" s="332"/>
      <c r="AP91" s="332"/>
      <c r="AQ91" s="332"/>
      <c r="AR91" s="332"/>
      <c r="AS91" s="332"/>
      <c r="AT91" s="332"/>
      <c r="AU91" s="332"/>
      <c r="AV91" s="332"/>
      <c r="AW91" s="332"/>
      <c r="AX91" s="332"/>
      <c r="AY91" s="332"/>
      <c r="AZ91" s="332"/>
      <c r="BA91" s="332"/>
      <c r="BB91" s="332"/>
      <c r="BC91" s="332"/>
      <c r="BD91" s="332"/>
      <c r="BE91" s="332"/>
      <c r="BF91" s="332"/>
      <c r="BG91" s="332"/>
      <c r="BH91" s="332"/>
      <c r="BI91" s="332"/>
      <c r="BJ91" s="332"/>
      <c r="BK91" s="332"/>
      <c r="BL91" s="332"/>
      <c r="BM91" s="332"/>
      <c r="BN91" s="332"/>
      <c r="BO91" s="332"/>
      <c r="BP91" s="332"/>
      <c r="BQ91" s="332"/>
      <c r="BR91" s="332"/>
      <c r="BS91" s="332"/>
      <c r="BT91" s="332"/>
      <c r="BU91" s="332"/>
      <c r="BV91" s="332"/>
      <c r="BW91" s="332"/>
      <c r="BX91" s="332"/>
      <c r="BY91" s="332"/>
      <c r="BZ91" s="332"/>
      <c r="CA91" s="332"/>
      <c r="CB91" s="332"/>
      <c r="CC91" s="332"/>
      <c r="CD91" s="332"/>
      <c r="CE91" s="332"/>
      <c r="CF91" s="332"/>
      <c r="CG91" s="332"/>
      <c r="CH91" s="332"/>
      <c r="CI91" s="332"/>
      <c r="CJ91" s="332"/>
      <c r="CK91" s="332"/>
      <c r="CL91" s="332"/>
    </row>
    <row r="92" outlineLevel="1">
      <c r="A92" s="325" t="str">
        <f t="shared" si="11"/>
        <v>TC_01.68</v>
      </c>
      <c r="B92" s="404" t="s">
        <v>75</v>
      </c>
      <c r="C92" s="343" t="s">
        <v>1295</v>
      </c>
      <c r="D92" s="375" t="s">
        <v>1240</v>
      </c>
      <c r="E92" s="344" t="s">
        <v>1296</v>
      </c>
      <c r="F92" s="344" t="s">
        <v>1297</v>
      </c>
      <c r="G92" s="411"/>
      <c r="H92" s="411"/>
      <c r="I92" s="377"/>
      <c r="J92" s="323"/>
      <c r="K92" s="329"/>
      <c r="L92" s="337"/>
      <c r="M92" s="331"/>
      <c r="N92" s="331"/>
      <c r="O92" s="331"/>
      <c r="P92" s="331"/>
      <c r="Q92" s="331"/>
      <c r="R92" s="331"/>
      <c r="S92" s="331"/>
      <c r="T92" s="331"/>
      <c r="U92" s="347"/>
      <c r="V92" s="331"/>
      <c r="W92" s="331"/>
      <c r="X92" s="331"/>
      <c r="Y92" s="332"/>
      <c r="Z92" s="332"/>
      <c r="AA92" s="332"/>
      <c r="AB92" s="332"/>
      <c r="AC92" s="332"/>
      <c r="AD92" s="332"/>
      <c r="AE92" s="332"/>
      <c r="AF92" s="332"/>
      <c r="AG92" s="332"/>
      <c r="AH92" s="332"/>
      <c r="AI92" s="332"/>
      <c r="AJ92" s="332"/>
      <c r="AK92" s="332"/>
      <c r="AL92" s="332"/>
      <c r="AM92" s="332"/>
      <c r="AN92" s="332"/>
      <c r="AO92" s="332"/>
      <c r="AP92" s="332"/>
      <c r="AQ92" s="332"/>
      <c r="AR92" s="332"/>
      <c r="AS92" s="332"/>
      <c r="AT92" s="332"/>
      <c r="AU92" s="332"/>
      <c r="AV92" s="332"/>
      <c r="AW92" s="332"/>
      <c r="AX92" s="332"/>
      <c r="AY92" s="332"/>
      <c r="AZ92" s="332"/>
      <c r="BA92" s="332"/>
      <c r="BB92" s="332"/>
      <c r="BC92" s="332"/>
      <c r="BD92" s="332"/>
      <c r="BE92" s="332"/>
      <c r="BF92" s="332"/>
      <c r="BG92" s="332"/>
      <c r="BH92" s="332"/>
      <c r="BI92" s="332"/>
      <c r="BJ92" s="332"/>
      <c r="BK92" s="332"/>
      <c r="BL92" s="332"/>
      <c r="BM92" s="332"/>
      <c r="BN92" s="332"/>
      <c r="BO92" s="332"/>
      <c r="BP92" s="332"/>
      <c r="BQ92" s="332"/>
      <c r="BR92" s="332"/>
      <c r="BS92" s="332"/>
      <c r="BT92" s="332"/>
      <c r="BU92" s="332"/>
      <c r="BV92" s="332"/>
      <c r="BW92" s="332"/>
      <c r="BX92" s="332"/>
      <c r="BY92" s="332"/>
      <c r="BZ92" s="332"/>
      <c r="CA92" s="332"/>
      <c r="CB92" s="332"/>
      <c r="CC92" s="332"/>
      <c r="CD92" s="332"/>
      <c r="CE92" s="332"/>
      <c r="CF92" s="332"/>
      <c r="CG92" s="332"/>
      <c r="CH92" s="332"/>
      <c r="CI92" s="332"/>
      <c r="CJ92" s="332"/>
      <c r="CK92" s="332"/>
      <c r="CL92" s="332"/>
    </row>
    <row r="93" outlineLevel="1">
      <c r="A93" s="325" t="str">
        <f t="shared" si="11"/>
        <v>TC_01.69</v>
      </c>
      <c r="B93" s="404" t="s">
        <v>73</v>
      </c>
      <c r="C93" s="385" t="s">
        <v>1298</v>
      </c>
      <c r="D93" s="375" t="s">
        <v>1240</v>
      </c>
      <c r="E93" s="344" t="s">
        <v>1299</v>
      </c>
      <c r="F93" s="412" t="s">
        <v>1300</v>
      </c>
      <c r="G93" s="323"/>
      <c r="H93" s="323"/>
      <c r="I93" s="377"/>
      <c r="J93" s="323"/>
      <c r="K93" s="331"/>
      <c r="L93" s="337"/>
      <c r="M93" s="331"/>
      <c r="N93" s="331"/>
      <c r="O93" s="331"/>
      <c r="P93" s="331"/>
      <c r="Q93" s="331"/>
      <c r="R93" s="331"/>
      <c r="S93" s="331"/>
      <c r="T93" s="331"/>
      <c r="U93" s="347"/>
      <c r="V93" s="331"/>
      <c r="W93" s="331"/>
      <c r="X93" s="331"/>
      <c r="Y93" s="332"/>
      <c r="Z93" s="332"/>
      <c r="AA93" s="332"/>
      <c r="AB93" s="332"/>
      <c r="AC93" s="332"/>
      <c r="AD93" s="332"/>
      <c r="AE93" s="332"/>
      <c r="AF93" s="332"/>
      <c r="AG93" s="332"/>
      <c r="AH93" s="332"/>
      <c r="AI93" s="332"/>
      <c r="AJ93" s="332"/>
      <c r="AK93" s="332"/>
      <c r="AL93" s="332"/>
      <c r="AM93" s="332"/>
      <c r="AN93" s="332"/>
      <c r="AO93" s="332"/>
      <c r="AP93" s="332"/>
      <c r="AQ93" s="332"/>
      <c r="AR93" s="332"/>
      <c r="AS93" s="332"/>
      <c r="AT93" s="332"/>
      <c r="AU93" s="332"/>
      <c r="AV93" s="332"/>
      <c r="AW93" s="332"/>
      <c r="AX93" s="332"/>
      <c r="AY93" s="332"/>
      <c r="AZ93" s="332"/>
      <c r="BA93" s="332"/>
      <c r="BB93" s="332"/>
      <c r="BC93" s="332"/>
      <c r="BD93" s="332"/>
      <c r="BE93" s="332"/>
      <c r="BF93" s="332"/>
      <c r="BG93" s="332"/>
      <c r="BH93" s="332"/>
      <c r="BI93" s="332"/>
      <c r="BJ93" s="332"/>
      <c r="BK93" s="332"/>
      <c r="BL93" s="332"/>
      <c r="BM93" s="332"/>
      <c r="BN93" s="332"/>
      <c r="BO93" s="332"/>
      <c r="BP93" s="332"/>
      <c r="BQ93" s="332"/>
      <c r="BR93" s="332"/>
      <c r="BS93" s="332"/>
      <c r="BT93" s="332"/>
      <c r="BU93" s="332"/>
      <c r="BV93" s="332"/>
      <c r="BW93" s="332"/>
      <c r="BX93" s="332"/>
      <c r="BY93" s="332"/>
      <c r="BZ93" s="332"/>
      <c r="CA93" s="332"/>
      <c r="CB93" s="332"/>
      <c r="CC93" s="332"/>
      <c r="CD93" s="332"/>
      <c r="CE93" s="332"/>
      <c r="CF93" s="332"/>
      <c r="CG93" s="332"/>
      <c r="CH93" s="332"/>
      <c r="CI93" s="332"/>
      <c r="CJ93" s="332"/>
      <c r="CK93" s="332"/>
      <c r="CL93" s="332"/>
    </row>
    <row r="94" outlineLevel="1">
      <c r="A94" s="325" t="str">
        <f t="shared" si="11"/>
        <v>TC_01.70</v>
      </c>
      <c r="B94" s="404" t="s">
        <v>75</v>
      </c>
      <c r="C94" s="413" t="s">
        <v>1301</v>
      </c>
      <c r="D94" s="375" t="s">
        <v>1240</v>
      </c>
      <c r="E94" s="344" t="s">
        <v>1302</v>
      </c>
      <c r="F94" s="414" t="s">
        <v>1303</v>
      </c>
      <c r="G94" s="323"/>
      <c r="H94" s="323"/>
      <c r="I94" s="377"/>
      <c r="J94" s="323"/>
      <c r="K94" s="331"/>
      <c r="L94" s="337"/>
      <c r="M94" s="331"/>
      <c r="N94" s="331"/>
      <c r="O94" s="331"/>
      <c r="P94" s="331"/>
      <c r="Q94" s="331"/>
      <c r="R94" s="331"/>
      <c r="S94" s="331"/>
      <c r="T94" s="331"/>
      <c r="U94" s="347"/>
      <c r="V94" s="331"/>
      <c r="W94" s="331"/>
      <c r="X94" s="331"/>
      <c r="Y94" s="332"/>
      <c r="Z94" s="332"/>
      <c r="AA94" s="332"/>
      <c r="AB94" s="332"/>
      <c r="AC94" s="332"/>
      <c r="AD94" s="332"/>
      <c r="AE94" s="332"/>
      <c r="AF94" s="332"/>
      <c r="AG94" s="332"/>
      <c r="AH94" s="332"/>
      <c r="AI94" s="332"/>
      <c r="AJ94" s="332"/>
      <c r="AK94" s="332"/>
      <c r="AL94" s="332"/>
      <c r="AM94" s="332"/>
      <c r="AN94" s="332"/>
      <c r="AO94" s="332"/>
      <c r="AP94" s="332"/>
      <c r="AQ94" s="332"/>
      <c r="AR94" s="332"/>
      <c r="AS94" s="332"/>
      <c r="AT94" s="332"/>
      <c r="AU94" s="332"/>
      <c r="AV94" s="332"/>
      <c r="AW94" s="332"/>
      <c r="AX94" s="332"/>
      <c r="AY94" s="332"/>
      <c r="AZ94" s="332"/>
      <c r="BA94" s="332"/>
      <c r="BB94" s="332"/>
      <c r="BC94" s="332"/>
      <c r="BD94" s="332"/>
      <c r="BE94" s="332"/>
      <c r="BF94" s="332"/>
      <c r="BG94" s="332"/>
      <c r="BH94" s="332"/>
      <c r="BI94" s="332"/>
      <c r="BJ94" s="332"/>
      <c r="BK94" s="332"/>
      <c r="BL94" s="332"/>
      <c r="BM94" s="332"/>
      <c r="BN94" s="332"/>
      <c r="BO94" s="332"/>
      <c r="BP94" s="332"/>
      <c r="BQ94" s="332"/>
      <c r="BR94" s="332"/>
      <c r="BS94" s="332"/>
      <c r="BT94" s="332"/>
      <c r="BU94" s="332"/>
      <c r="BV94" s="332"/>
      <c r="BW94" s="332"/>
      <c r="BX94" s="332"/>
      <c r="BY94" s="332"/>
      <c r="BZ94" s="332"/>
      <c r="CA94" s="332"/>
      <c r="CB94" s="332"/>
      <c r="CC94" s="332"/>
      <c r="CD94" s="332"/>
      <c r="CE94" s="332"/>
      <c r="CF94" s="332"/>
      <c r="CG94" s="332"/>
      <c r="CH94" s="332"/>
      <c r="CI94" s="332"/>
      <c r="CJ94" s="332"/>
      <c r="CK94" s="332"/>
      <c r="CL94" s="332"/>
    </row>
    <row r="95" outlineLevel="1">
      <c r="A95" s="325" t="str">
        <f t="shared" si="11"/>
        <v>TC_01.71</v>
      </c>
      <c r="B95" s="404" t="s">
        <v>75</v>
      </c>
      <c r="C95" s="385" t="s">
        <v>1304</v>
      </c>
      <c r="D95" s="415" t="s">
        <v>1305</v>
      </c>
      <c r="E95" s="344" t="s">
        <v>1306</v>
      </c>
      <c r="F95" s="412" t="s">
        <v>1307</v>
      </c>
      <c r="G95" s="411"/>
      <c r="H95" s="411"/>
      <c r="I95" s="377"/>
      <c r="J95" s="323"/>
      <c r="K95" s="331"/>
      <c r="L95" s="337"/>
      <c r="M95" s="331"/>
      <c r="N95" s="331"/>
      <c r="O95" s="331"/>
      <c r="P95" s="331"/>
      <c r="Q95" s="331"/>
      <c r="R95" s="331"/>
      <c r="S95" s="331"/>
      <c r="T95" s="331"/>
      <c r="U95" s="347"/>
      <c r="V95" s="331"/>
      <c r="W95" s="331"/>
      <c r="X95" s="331"/>
      <c r="Y95" s="332"/>
      <c r="Z95" s="332"/>
      <c r="AA95" s="332"/>
      <c r="AB95" s="332"/>
      <c r="AC95" s="332"/>
      <c r="AD95" s="332"/>
      <c r="AE95" s="332"/>
      <c r="AF95" s="332"/>
      <c r="AG95" s="332"/>
      <c r="AH95" s="332"/>
      <c r="AI95" s="332"/>
      <c r="AJ95" s="332"/>
      <c r="AK95" s="332"/>
      <c r="AL95" s="332"/>
      <c r="AM95" s="332"/>
      <c r="AN95" s="332"/>
      <c r="AO95" s="332"/>
      <c r="AP95" s="332"/>
      <c r="AQ95" s="332"/>
      <c r="AR95" s="332"/>
      <c r="AS95" s="332"/>
      <c r="AT95" s="332"/>
      <c r="AU95" s="332"/>
      <c r="AV95" s="332"/>
      <c r="AW95" s="332"/>
      <c r="AX95" s="332"/>
      <c r="AY95" s="332"/>
      <c r="AZ95" s="332"/>
      <c r="BA95" s="332"/>
      <c r="BB95" s="332"/>
      <c r="BC95" s="332"/>
      <c r="BD95" s="332"/>
      <c r="BE95" s="332"/>
      <c r="BF95" s="332"/>
      <c r="BG95" s="332"/>
      <c r="BH95" s="332"/>
      <c r="BI95" s="332"/>
      <c r="BJ95" s="332"/>
      <c r="BK95" s="332"/>
      <c r="BL95" s="332"/>
      <c r="BM95" s="332"/>
      <c r="BN95" s="332"/>
      <c r="BO95" s="332"/>
      <c r="BP95" s="332"/>
      <c r="BQ95" s="332"/>
      <c r="BR95" s="332"/>
      <c r="BS95" s="332"/>
      <c r="BT95" s="332"/>
      <c r="BU95" s="332"/>
      <c r="BV95" s="332"/>
      <c r="BW95" s="332"/>
      <c r="BX95" s="332"/>
      <c r="BY95" s="332"/>
      <c r="BZ95" s="332"/>
      <c r="CA95" s="332"/>
      <c r="CB95" s="332"/>
      <c r="CC95" s="332"/>
      <c r="CD95" s="332"/>
      <c r="CE95" s="332"/>
      <c r="CF95" s="332"/>
      <c r="CG95" s="332"/>
      <c r="CH95" s="332"/>
      <c r="CI95" s="332"/>
      <c r="CJ95" s="332"/>
      <c r="CK95" s="332"/>
      <c r="CL95" s="332"/>
    </row>
    <row r="96">
      <c r="A96" s="60" t="str">
        <f t="shared" si="11"/>
        <v/>
      </c>
      <c r="B96" s="416" t="s">
        <v>1308</v>
      </c>
      <c r="C96" s="148"/>
      <c r="D96" s="148"/>
      <c r="E96" s="148"/>
      <c r="F96" s="148"/>
      <c r="G96" s="267"/>
      <c r="H96" s="267"/>
      <c r="I96" s="267"/>
      <c r="J96" s="267"/>
      <c r="K96" s="321"/>
      <c r="L96" s="321"/>
      <c r="M96" s="321"/>
      <c r="N96" s="321"/>
      <c r="O96" s="321"/>
      <c r="P96" s="321"/>
      <c r="Q96" s="321"/>
      <c r="R96" s="321"/>
      <c r="S96" s="321"/>
      <c r="T96" s="321"/>
      <c r="U96" s="373"/>
      <c r="V96" s="321"/>
      <c r="W96" s="321"/>
      <c r="X96" s="321"/>
      <c r="Y96" s="374"/>
      <c r="Z96" s="374"/>
      <c r="AA96" s="374"/>
      <c r="AB96" s="374"/>
      <c r="AC96" s="374"/>
      <c r="AD96" s="374"/>
      <c r="AE96" s="374"/>
      <c r="AF96" s="374"/>
      <c r="AG96" s="374"/>
      <c r="AH96" s="374"/>
      <c r="AI96" s="374"/>
      <c r="AJ96" s="374"/>
      <c r="AK96" s="374"/>
      <c r="AL96" s="374"/>
      <c r="AM96" s="374"/>
      <c r="AN96" s="374"/>
      <c r="AO96" s="374"/>
      <c r="AP96" s="374"/>
      <c r="AQ96" s="374"/>
      <c r="AR96" s="374"/>
      <c r="AS96" s="374"/>
      <c r="AT96" s="374"/>
      <c r="AU96" s="374"/>
      <c r="AV96" s="374"/>
      <c r="AW96" s="374"/>
      <c r="AX96" s="374"/>
      <c r="AY96" s="374"/>
      <c r="AZ96" s="374"/>
      <c r="BA96" s="374"/>
      <c r="BB96" s="374"/>
      <c r="BC96" s="374"/>
      <c r="BD96" s="374"/>
      <c r="BE96" s="374"/>
      <c r="BF96" s="374"/>
      <c r="BG96" s="374"/>
      <c r="BH96" s="374"/>
      <c r="BI96" s="374"/>
      <c r="BJ96" s="374"/>
      <c r="BK96" s="374"/>
      <c r="BL96" s="374"/>
      <c r="BM96" s="374"/>
      <c r="BN96" s="374"/>
      <c r="BO96" s="374"/>
      <c r="BP96" s="374"/>
      <c r="BQ96" s="374"/>
      <c r="BR96" s="374"/>
      <c r="BS96" s="374"/>
      <c r="BT96" s="374"/>
      <c r="BU96" s="374"/>
      <c r="BV96" s="374"/>
      <c r="BW96" s="374"/>
      <c r="BX96" s="374"/>
      <c r="BY96" s="374"/>
      <c r="BZ96" s="374"/>
      <c r="CA96" s="374"/>
      <c r="CB96" s="374"/>
      <c r="CC96" s="374"/>
      <c r="CD96" s="374"/>
      <c r="CE96" s="374"/>
      <c r="CF96" s="374"/>
      <c r="CG96" s="374"/>
      <c r="CH96" s="374"/>
      <c r="CI96" s="374"/>
      <c r="CJ96" s="374"/>
      <c r="CK96" s="374"/>
      <c r="CL96" s="374"/>
    </row>
    <row r="97" outlineLevel="1">
      <c r="A97" s="325" t="str">
        <f t="shared" si="11"/>
        <v>TC_01.72</v>
      </c>
      <c r="B97" s="417" t="s">
        <v>75</v>
      </c>
      <c r="C97" s="418" t="s">
        <v>1309</v>
      </c>
      <c r="D97" s="375" t="s">
        <v>1182</v>
      </c>
      <c r="E97" s="419" t="s">
        <v>1310</v>
      </c>
      <c r="F97" s="420" t="s">
        <v>1311</v>
      </c>
      <c r="G97" s="323"/>
      <c r="H97" s="323"/>
      <c r="I97" s="377"/>
      <c r="J97" s="323"/>
      <c r="K97" s="331"/>
      <c r="L97" s="337"/>
      <c r="M97" s="61"/>
      <c r="N97" s="353"/>
      <c r="O97" s="353"/>
      <c r="P97" s="354"/>
      <c r="Q97" s="61"/>
      <c r="R97" s="353"/>
      <c r="S97" s="353"/>
      <c r="T97" s="354"/>
      <c r="U97" s="43"/>
      <c r="V97" s="353"/>
      <c r="W97" s="353"/>
      <c r="X97" s="354"/>
      <c r="Y97" s="355"/>
      <c r="Z97" s="355"/>
      <c r="AA97" s="355"/>
      <c r="AB97" s="355"/>
      <c r="AC97" s="355"/>
      <c r="AD97" s="355"/>
      <c r="AE97" s="355"/>
      <c r="AF97" s="355"/>
      <c r="AG97" s="355"/>
      <c r="AH97" s="355"/>
      <c r="AI97" s="355"/>
      <c r="AJ97" s="355"/>
      <c r="AK97" s="355"/>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c r="BI97" s="355"/>
      <c r="BJ97" s="355"/>
      <c r="BK97" s="355"/>
      <c r="BL97" s="355"/>
      <c r="BM97" s="355"/>
      <c r="BN97" s="355"/>
      <c r="BO97" s="355"/>
      <c r="BP97" s="355"/>
      <c r="BQ97" s="355"/>
      <c r="BR97" s="355"/>
      <c r="BS97" s="355"/>
      <c r="BT97" s="355"/>
      <c r="BU97" s="355"/>
      <c r="BV97" s="355"/>
      <c r="BW97" s="355"/>
      <c r="BX97" s="355"/>
      <c r="BY97" s="355"/>
      <c r="BZ97" s="355"/>
      <c r="CA97" s="355"/>
      <c r="CB97" s="355"/>
      <c r="CC97" s="355"/>
      <c r="CD97" s="355"/>
      <c r="CE97" s="355"/>
      <c r="CF97" s="355"/>
      <c r="CG97" s="355"/>
      <c r="CH97" s="355"/>
      <c r="CI97" s="355"/>
      <c r="CJ97" s="355"/>
      <c r="CK97" s="355"/>
      <c r="CL97" s="355"/>
    </row>
    <row r="98" outlineLevel="1">
      <c r="A98" s="325" t="str">
        <f t="shared" si="11"/>
        <v>TC_01.73</v>
      </c>
      <c r="B98" s="417" t="s">
        <v>75</v>
      </c>
      <c r="C98" s="421" t="s">
        <v>1312</v>
      </c>
      <c r="D98" s="375" t="s">
        <v>1182</v>
      </c>
      <c r="E98" s="419" t="s">
        <v>1313</v>
      </c>
      <c r="F98" s="420" t="s">
        <v>1314</v>
      </c>
      <c r="G98" s="323"/>
      <c r="H98" s="323"/>
      <c r="I98" s="377"/>
      <c r="J98" s="323"/>
      <c r="K98" s="331"/>
      <c r="L98" s="337"/>
      <c r="M98" s="61"/>
      <c r="N98" s="353"/>
      <c r="O98" s="353"/>
      <c r="P98" s="354"/>
      <c r="Q98" s="61"/>
      <c r="R98" s="353"/>
      <c r="S98" s="353"/>
      <c r="T98" s="354"/>
      <c r="U98" s="43"/>
      <c r="V98" s="353"/>
      <c r="W98" s="353"/>
      <c r="X98" s="354"/>
      <c r="Y98" s="355"/>
      <c r="Z98" s="355"/>
      <c r="AA98" s="355"/>
      <c r="AB98" s="355"/>
      <c r="AC98" s="355"/>
      <c r="AD98" s="355"/>
      <c r="AE98" s="355"/>
      <c r="AF98" s="355"/>
      <c r="AG98" s="355"/>
      <c r="AH98" s="355"/>
      <c r="AI98" s="355"/>
      <c r="AJ98" s="355"/>
      <c r="AK98" s="355"/>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c r="BI98" s="355"/>
      <c r="BJ98" s="355"/>
      <c r="BK98" s="355"/>
      <c r="BL98" s="355"/>
      <c r="BM98" s="355"/>
      <c r="BN98" s="355"/>
      <c r="BO98" s="355"/>
      <c r="BP98" s="355"/>
      <c r="BQ98" s="355"/>
      <c r="BR98" s="355"/>
      <c r="BS98" s="355"/>
      <c r="BT98" s="355"/>
      <c r="BU98" s="355"/>
      <c r="BV98" s="355"/>
      <c r="BW98" s="355"/>
      <c r="BX98" s="355"/>
      <c r="BY98" s="355"/>
      <c r="BZ98" s="355"/>
      <c r="CA98" s="355"/>
      <c r="CB98" s="355"/>
      <c r="CC98" s="355"/>
      <c r="CD98" s="355"/>
      <c r="CE98" s="355"/>
      <c r="CF98" s="355"/>
      <c r="CG98" s="355"/>
      <c r="CH98" s="355"/>
      <c r="CI98" s="355"/>
      <c r="CJ98" s="355"/>
      <c r="CK98" s="355"/>
      <c r="CL98" s="355"/>
    </row>
    <row r="99" outlineLevel="1">
      <c r="A99" s="325" t="str">
        <f t="shared" si="11"/>
        <v>TC_01.74</v>
      </c>
      <c r="B99" s="417" t="s">
        <v>75</v>
      </c>
      <c r="C99" s="421" t="s">
        <v>1315</v>
      </c>
      <c r="D99" s="375" t="s">
        <v>1182</v>
      </c>
      <c r="E99" s="419" t="s">
        <v>1316</v>
      </c>
      <c r="F99" s="420" t="s">
        <v>1317</v>
      </c>
      <c r="G99" s="323"/>
      <c r="H99" s="323"/>
      <c r="I99" s="377"/>
      <c r="J99" s="323"/>
      <c r="K99" s="331"/>
      <c r="L99" s="337"/>
      <c r="M99" s="61"/>
      <c r="N99" s="353"/>
      <c r="O99" s="353"/>
      <c r="P99" s="354"/>
      <c r="Q99" s="61"/>
      <c r="R99" s="353"/>
      <c r="S99" s="353"/>
      <c r="T99" s="354"/>
      <c r="U99" s="43"/>
      <c r="V99" s="353"/>
      <c r="W99" s="353"/>
      <c r="X99" s="354"/>
      <c r="Y99" s="355"/>
      <c r="Z99" s="355"/>
      <c r="AA99" s="355"/>
      <c r="AB99" s="355"/>
      <c r="AC99" s="355"/>
      <c r="AD99" s="355"/>
      <c r="AE99" s="355"/>
      <c r="AF99" s="355"/>
      <c r="AG99" s="355"/>
      <c r="AH99" s="355"/>
      <c r="AI99" s="355"/>
      <c r="AJ99" s="355"/>
      <c r="AK99" s="355"/>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c r="BI99" s="355"/>
      <c r="BJ99" s="355"/>
      <c r="BK99" s="355"/>
      <c r="BL99" s="355"/>
      <c r="BM99" s="355"/>
      <c r="BN99" s="355"/>
      <c r="BO99" s="355"/>
      <c r="BP99" s="355"/>
      <c r="BQ99" s="355"/>
      <c r="BR99" s="355"/>
      <c r="BS99" s="355"/>
      <c r="BT99" s="355"/>
      <c r="BU99" s="355"/>
      <c r="BV99" s="355"/>
      <c r="BW99" s="355"/>
      <c r="BX99" s="355"/>
      <c r="BY99" s="355"/>
      <c r="BZ99" s="355"/>
      <c r="CA99" s="355"/>
      <c r="CB99" s="355"/>
      <c r="CC99" s="355"/>
      <c r="CD99" s="355"/>
      <c r="CE99" s="355"/>
      <c r="CF99" s="355"/>
      <c r="CG99" s="355"/>
      <c r="CH99" s="355"/>
      <c r="CI99" s="355"/>
      <c r="CJ99" s="355"/>
      <c r="CK99" s="355"/>
      <c r="CL99" s="355"/>
    </row>
    <row r="100" outlineLevel="1">
      <c r="A100" s="325" t="str">
        <f t="shared" si="11"/>
        <v>TC_01.75</v>
      </c>
      <c r="B100" s="417" t="s">
        <v>75</v>
      </c>
      <c r="C100" s="421" t="s">
        <v>1318</v>
      </c>
      <c r="D100" s="375" t="s">
        <v>1182</v>
      </c>
      <c r="E100" s="419" t="s">
        <v>1319</v>
      </c>
      <c r="F100" s="420" t="s">
        <v>1320</v>
      </c>
      <c r="G100" s="323"/>
      <c r="H100" s="323"/>
      <c r="I100" s="377"/>
      <c r="J100" s="323"/>
      <c r="K100" s="331"/>
      <c r="L100" s="337"/>
      <c r="M100" s="61"/>
      <c r="N100" s="353"/>
      <c r="O100" s="353"/>
      <c r="P100" s="354"/>
      <c r="Q100" s="61"/>
      <c r="R100" s="353"/>
      <c r="S100" s="353"/>
      <c r="T100" s="354"/>
      <c r="U100" s="43"/>
      <c r="V100" s="353"/>
      <c r="W100" s="353"/>
      <c r="X100" s="354"/>
      <c r="Y100" s="355"/>
      <c r="Z100" s="355"/>
      <c r="AA100" s="355"/>
      <c r="AB100" s="355"/>
      <c r="AC100" s="355"/>
      <c r="AD100" s="355"/>
      <c r="AE100" s="355"/>
      <c r="AF100" s="355"/>
      <c r="AG100" s="355"/>
      <c r="AH100" s="355"/>
      <c r="AI100" s="355"/>
      <c r="AJ100" s="355"/>
      <c r="AK100" s="355"/>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c r="BI100" s="355"/>
      <c r="BJ100" s="355"/>
      <c r="BK100" s="355"/>
      <c r="BL100" s="355"/>
      <c r="BM100" s="355"/>
      <c r="BN100" s="355"/>
      <c r="BO100" s="355"/>
      <c r="BP100" s="355"/>
      <c r="BQ100" s="355"/>
      <c r="BR100" s="355"/>
      <c r="BS100" s="355"/>
      <c r="BT100" s="355"/>
      <c r="BU100" s="355"/>
      <c r="BV100" s="355"/>
      <c r="BW100" s="355"/>
      <c r="BX100" s="355"/>
      <c r="BY100" s="355"/>
      <c r="BZ100" s="355"/>
      <c r="CA100" s="355"/>
      <c r="CB100" s="355"/>
      <c r="CC100" s="355"/>
      <c r="CD100" s="355"/>
      <c r="CE100" s="355"/>
      <c r="CF100" s="355"/>
      <c r="CG100" s="355"/>
      <c r="CH100" s="355"/>
      <c r="CI100" s="355"/>
      <c r="CJ100" s="355"/>
      <c r="CK100" s="355"/>
      <c r="CL100" s="355"/>
    </row>
    <row r="101" outlineLevel="1">
      <c r="A101" s="325" t="str">
        <f t="shared" si="11"/>
        <v>TC_01.76</v>
      </c>
      <c r="B101" s="417" t="s">
        <v>75</v>
      </c>
      <c r="C101" s="421" t="s">
        <v>1321</v>
      </c>
      <c r="D101" s="375" t="s">
        <v>1182</v>
      </c>
      <c r="E101" s="419" t="s">
        <v>1322</v>
      </c>
      <c r="F101" s="420" t="s">
        <v>1323</v>
      </c>
      <c r="G101" s="323"/>
      <c r="H101" s="323"/>
      <c r="I101" s="377"/>
      <c r="J101" s="323"/>
      <c r="K101" s="331"/>
      <c r="L101" s="337"/>
      <c r="M101" s="61"/>
      <c r="N101" s="353"/>
      <c r="O101" s="353"/>
      <c r="P101" s="354"/>
      <c r="Q101" s="61"/>
      <c r="R101" s="353"/>
      <c r="S101" s="353"/>
      <c r="T101" s="354"/>
      <c r="U101" s="43"/>
      <c r="V101" s="353"/>
      <c r="W101" s="353"/>
      <c r="X101" s="354"/>
      <c r="Y101" s="355"/>
      <c r="Z101" s="355"/>
      <c r="AA101" s="355"/>
      <c r="AB101" s="355"/>
      <c r="AC101" s="355"/>
      <c r="AD101" s="355"/>
      <c r="AE101" s="355"/>
      <c r="AF101" s="355"/>
      <c r="AG101" s="355"/>
      <c r="AH101" s="355"/>
      <c r="AI101" s="355"/>
      <c r="AJ101" s="355"/>
      <c r="AK101" s="355"/>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c r="BI101" s="355"/>
      <c r="BJ101" s="355"/>
      <c r="BK101" s="355"/>
      <c r="BL101" s="355"/>
      <c r="BM101" s="355"/>
      <c r="BN101" s="355"/>
      <c r="BO101" s="355"/>
      <c r="BP101" s="355"/>
      <c r="BQ101" s="355"/>
      <c r="BR101" s="355"/>
      <c r="BS101" s="355"/>
      <c r="BT101" s="355"/>
      <c r="BU101" s="355"/>
      <c r="BV101" s="355"/>
      <c r="BW101" s="355"/>
      <c r="BX101" s="355"/>
      <c r="BY101" s="355"/>
      <c r="BZ101" s="355"/>
      <c r="CA101" s="355"/>
      <c r="CB101" s="355"/>
      <c r="CC101" s="355"/>
      <c r="CD101" s="355"/>
      <c r="CE101" s="355"/>
      <c r="CF101" s="355"/>
      <c r="CG101" s="355"/>
      <c r="CH101" s="355"/>
      <c r="CI101" s="355"/>
      <c r="CJ101" s="355"/>
      <c r="CK101" s="355"/>
      <c r="CL101" s="355"/>
    </row>
    <row r="102" outlineLevel="1">
      <c r="A102" s="325" t="str">
        <f t="shared" si="11"/>
        <v>TC_01.77</v>
      </c>
      <c r="B102" s="417" t="s">
        <v>75</v>
      </c>
      <c r="C102" s="421" t="s">
        <v>1324</v>
      </c>
      <c r="D102" s="375" t="s">
        <v>1182</v>
      </c>
      <c r="E102" s="419" t="s">
        <v>1325</v>
      </c>
      <c r="F102" s="420" t="s">
        <v>1326</v>
      </c>
      <c r="G102" s="323"/>
      <c r="H102" s="323"/>
      <c r="I102" s="377"/>
      <c r="J102" s="323"/>
      <c r="K102" s="331"/>
      <c r="L102" s="337"/>
      <c r="M102" s="61"/>
      <c r="N102" s="353"/>
      <c r="O102" s="353"/>
      <c r="P102" s="354"/>
      <c r="Q102" s="61"/>
      <c r="R102" s="353"/>
      <c r="S102" s="353"/>
      <c r="T102" s="354"/>
      <c r="U102" s="43"/>
      <c r="V102" s="353"/>
      <c r="W102" s="353"/>
      <c r="X102" s="354"/>
      <c r="Y102" s="355"/>
      <c r="Z102" s="355"/>
      <c r="AA102" s="355"/>
      <c r="AB102" s="355"/>
      <c r="AC102" s="355"/>
      <c r="AD102" s="355"/>
      <c r="AE102" s="355"/>
      <c r="AF102" s="355"/>
      <c r="AG102" s="355"/>
      <c r="AH102" s="355"/>
      <c r="AI102" s="355"/>
      <c r="AJ102" s="355"/>
      <c r="AK102" s="355"/>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c r="BI102" s="355"/>
      <c r="BJ102" s="355"/>
      <c r="BK102" s="355"/>
      <c r="BL102" s="355"/>
      <c r="BM102" s="355"/>
      <c r="BN102" s="355"/>
      <c r="BO102" s="355"/>
      <c r="BP102" s="355"/>
      <c r="BQ102" s="355"/>
      <c r="BR102" s="355"/>
      <c r="BS102" s="355"/>
      <c r="BT102" s="355"/>
      <c r="BU102" s="355"/>
      <c r="BV102" s="355"/>
      <c r="BW102" s="355"/>
      <c r="BX102" s="355"/>
      <c r="BY102" s="355"/>
      <c r="BZ102" s="355"/>
      <c r="CA102" s="355"/>
      <c r="CB102" s="355"/>
      <c r="CC102" s="355"/>
      <c r="CD102" s="355"/>
      <c r="CE102" s="355"/>
      <c r="CF102" s="355"/>
      <c r="CG102" s="355"/>
      <c r="CH102" s="355"/>
      <c r="CI102" s="355"/>
      <c r="CJ102" s="355"/>
      <c r="CK102" s="355"/>
      <c r="CL102" s="355"/>
    </row>
    <row r="103" outlineLevel="1">
      <c r="A103" s="325" t="str">
        <f t="shared" si="11"/>
        <v>TC_01.78</v>
      </c>
      <c r="B103" s="417" t="s">
        <v>75</v>
      </c>
      <c r="C103" s="421" t="s">
        <v>1327</v>
      </c>
      <c r="D103" s="375" t="s">
        <v>1182</v>
      </c>
      <c r="E103" s="419" t="s">
        <v>1328</v>
      </c>
      <c r="F103" s="420" t="s">
        <v>1329</v>
      </c>
      <c r="G103" s="323"/>
      <c r="H103" s="323"/>
      <c r="I103" s="377"/>
      <c r="J103" s="323"/>
      <c r="K103" s="331"/>
      <c r="L103" s="337"/>
      <c r="M103" s="61"/>
      <c r="N103" s="353"/>
      <c r="O103" s="353"/>
      <c r="P103" s="354"/>
      <c r="Q103" s="61"/>
      <c r="R103" s="353"/>
      <c r="S103" s="353"/>
      <c r="T103" s="354"/>
      <c r="U103" s="43"/>
      <c r="V103" s="353"/>
      <c r="W103" s="353"/>
      <c r="X103" s="354"/>
      <c r="Y103" s="355"/>
      <c r="Z103" s="355"/>
      <c r="AA103" s="355"/>
      <c r="AB103" s="355"/>
      <c r="AC103" s="355"/>
      <c r="AD103" s="355"/>
      <c r="AE103" s="355"/>
      <c r="AF103" s="355"/>
      <c r="AG103" s="355"/>
      <c r="AH103" s="355"/>
      <c r="AI103" s="355"/>
      <c r="AJ103" s="355"/>
      <c r="AK103" s="355"/>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c r="BI103" s="355"/>
      <c r="BJ103" s="355"/>
      <c r="BK103" s="355"/>
      <c r="BL103" s="355"/>
      <c r="BM103" s="355"/>
      <c r="BN103" s="355"/>
      <c r="BO103" s="355"/>
      <c r="BP103" s="355"/>
      <c r="BQ103" s="355"/>
      <c r="BR103" s="355"/>
      <c r="BS103" s="355"/>
      <c r="BT103" s="355"/>
      <c r="BU103" s="355"/>
      <c r="BV103" s="355"/>
      <c r="BW103" s="355"/>
      <c r="BX103" s="355"/>
      <c r="BY103" s="355"/>
      <c r="BZ103" s="355"/>
      <c r="CA103" s="355"/>
      <c r="CB103" s="355"/>
      <c r="CC103" s="355"/>
      <c r="CD103" s="355"/>
      <c r="CE103" s="355"/>
      <c r="CF103" s="355"/>
      <c r="CG103" s="355"/>
      <c r="CH103" s="355"/>
      <c r="CI103" s="355"/>
      <c r="CJ103" s="355"/>
      <c r="CK103" s="355"/>
      <c r="CL103" s="355"/>
    </row>
    <row r="104" outlineLevel="1">
      <c r="A104" s="325" t="str">
        <f t="shared" si="11"/>
        <v>TC_01.79</v>
      </c>
      <c r="B104" s="417" t="s">
        <v>75</v>
      </c>
      <c r="C104" s="421" t="s">
        <v>1330</v>
      </c>
      <c r="D104" s="375" t="s">
        <v>1182</v>
      </c>
      <c r="E104" s="419" t="s">
        <v>1331</v>
      </c>
      <c r="F104" s="420" t="s">
        <v>1317</v>
      </c>
      <c r="G104" s="323"/>
      <c r="H104" s="323"/>
      <c r="I104" s="377"/>
      <c r="J104" s="323"/>
      <c r="K104" s="331"/>
      <c r="L104" s="337"/>
      <c r="M104" s="61"/>
      <c r="N104" s="353"/>
      <c r="O104" s="353"/>
      <c r="P104" s="354"/>
      <c r="Q104" s="61"/>
      <c r="R104" s="353"/>
      <c r="S104" s="353"/>
      <c r="T104" s="354"/>
      <c r="U104" s="43"/>
      <c r="V104" s="353"/>
      <c r="W104" s="353"/>
      <c r="X104" s="354"/>
      <c r="Y104" s="355"/>
      <c r="Z104" s="355"/>
      <c r="AA104" s="355"/>
      <c r="AB104" s="355"/>
      <c r="AC104" s="355"/>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c r="BI104" s="355"/>
      <c r="BJ104" s="355"/>
      <c r="BK104" s="355"/>
      <c r="BL104" s="355"/>
      <c r="BM104" s="355"/>
      <c r="BN104" s="355"/>
      <c r="BO104" s="355"/>
      <c r="BP104" s="355"/>
      <c r="BQ104" s="355"/>
      <c r="BR104" s="355"/>
      <c r="BS104" s="355"/>
      <c r="BT104" s="355"/>
      <c r="BU104" s="355"/>
      <c r="BV104" s="355"/>
      <c r="BW104" s="355"/>
      <c r="BX104" s="355"/>
      <c r="BY104" s="355"/>
      <c r="BZ104" s="355"/>
      <c r="CA104" s="355"/>
      <c r="CB104" s="355"/>
      <c r="CC104" s="355"/>
      <c r="CD104" s="355"/>
      <c r="CE104" s="355"/>
      <c r="CF104" s="355"/>
      <c r="CG104" s="355"/>
      <c r="CH104" s="355"/>
      <c r="CI104" s="355"/>
      <c r="CJ104" s="355"/>
      <c r="CK104" s="355"/>
      <c r="CL104" s="355"/>
    </row>
    <row r="105" outlineLevel="1">
      <c r="A105" s="325" t="str">
        <f t="shared" si="11"/>
        <v>TC_01.80</v>
      </c>
      <c r="B105" s="417" t="s">
        <v>75</v>
      </c>
      <c r="C105" s="421" t="s">
        <v>1332</v>
      </c>
      <c r="D105" s="375" t="s">
        <v>1182</v>
      </c>
      <c r="E105" s="419" t="s">
        <v>1333</v>
      </c>
      <c r="F105" s="420" t="s">
        <v>1320</v>
      </c>
      <c r="G105" s="323"/>
      <c r="H105" s="323"/>
      <c r="I105" s="377"/>
      <c r="J105" s="323"/>
      <c r="K105" s="331"/>
      <c r="L105" s="337"/>
      <c r="M105" s="61"/>
      <c r="N105" s="353"/>
      <c r="O105" s="353"/>
      <c r="P105" s="354"/>
      <c r="Q105" s="61"/>
      <c r="R105" s="353"/>
      <c r="S105" s="353"/>
      <c r="T105" s="354"/>
      <c r="U105" s="43"/>
      <c r="V105" s="353"/>
      <c r="W105" s="353"/>
      <c r="X105" s="354"/>
      <c r="Y105" s="355"/>
      <c r="Z105" s="355"/>
      <c r="AA105" s="355"/>
      <c r="AB105" s="355"/>
      <c r="AC105" s="355"/>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c r="BI105" s="355"/>
      <c r="BJ105" s="355"/>
      <c r="BK105" s="355"/>
      <c r="BL105" s="355"/>
      <c r="BM105" s="355"/>
      <c r="BN105" s="355"/>
      <c r="BO105" s="355"/>
      <c r="BP105" s="355"/>
      <c r="BQ105" s="355"/>
      <c r="BR105" s="355"/>
      <c r="BS105" s="355"/>
      <c r="BT105" s="355"/>
      <c r="BU105" s="355"/>
      <c r="BV105" s="355"/>
      <c r="BW105" s="355"/>
      <c r="BX105" s="355"/>
      <c r="BY105" s="355"/>
      <c r="BZ105" s="355"/>
      <c r="CA105" s="355"/>
      <c r="CB105" s="355"/>
      <c r="CC105" s="355"/>
      <c r="CD105" s="355"/>
      <c r="CE105" s="355"/>
      <c r="CF105" s="355"/>
      <c r="CG105" s="355"/>
      <c r="CH105" s="355"/>
      <c r="CI105" s="355"/>
      <c r="CJ105" s="355"/>
      <c r="CK105" s="355"/>
      <c r="CL105" s="355"/>
    </row>
    <row r="106" outlineLevel="1">
      <c r="A106" s="325" t="str">
        <f t="shared" si="11"/>
        <v>TC_01.81</v>
      </c>
      <c r="B106" s="417" t="s">
        <v>75</v>
      </c>
      <c r="C106" s="421" t="s">
        <v>1334</v>
      </c>
      <c r="D106" s="375" t="s">
        <v>1182</v>
      </c>
      <c r="E106" s="419" t="s">
        <v>1335</v>
      </c>
      <c r="F106" s="420" t="s">
        <v>1336</v>
      </c>
      <c r="G106" s="323"/>
      <c r="H106" s="323"/>
      <c r="I106" s="377"/>
      <c r="J106" s="323"/>
      <c r="K106" s="331"/>
      <c r="L106" s="337"/>
      <c r="M106" s="61"/>
      <c r="N106" s="353"/>
      <c r="O106" s="353"/>
      <c r="P106" s="354"/>
      <c r="Q106" s="61"/>
      <c r="R106" s="353"/>
      <c r="S106" s="353"/>
      <c r="T106" s="354"/>
      <c r="U106" s="43"/>
      <c r="V106" s="353"/>
      <c r="W106" s="353"/>
      <c r="X106" s="354"/>
      <c r="Y106" s="355"/>
      <c r="Z106" s="355"/>
      <c r="AA106" s="355"/>
      <c r="AB106" s="355"/>
      <c r="AC106" s="355"/>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c r="BI106" s="355"/>
      <c r="BJ106" s="355"/>
      <c r="BK106" s="355"/>
      <c r="BL106" s="355"/>
      <c r="BM106" s="355"/>
      <c r="BN106" s="355"/>
      <c r="BO106" s="355"/>
      <c r="BP106" s="355"/>
      <c r="BQ106" s="355"/>
      <c r="BR106" s="355"/>
      <c r="BS106" s="355"/>
      <c r="BT106" s="355"/>
      <c r="BU106" s="355"/>
      <c r="BV106" s="355"/>
      <c r="BW106" s="355"/>
      <c r="BX106" s="355"/>
      <c r="BY106" s="355"/>
      <c r="BZ106" s="355"/>
      <c r="CA106" s="355"/>
      <c r="CB106" s="355"/>
      <c r="CC106" s="355"/>
      <c r="CD106" s="355"/>
      <c r="CE106" s="355"/>
      <c r="CF106" s="355"/>
      <c r="CG106" s="355"/>
      <c r="CH106" s="355"/>
      <c r="CI106" s="355"/>
      <c r="CJ106" s="355"/>
      <c r="CK106" s="355"/>
      <c r="CL106" s="355"/>
    </row>
    <row r="107" outlineLevel="1">
      <c r="A107" s="325" t="str">
        <f t="shared" si="11"/>
        <v>TC_01.82</v>
      </c>
      <c r="B107" s="417" t="s">
        <v>75</v>
      </c>
      <c r="C107" s="421" t="s">
        <v>1337</v>
      </c>
      <c r="D107" s="375" t="s">
        <v>1182</v>
      </c>
      <c r="E107" s="419" t="s">
        <v>1338</v>
      </c>
      <c r="F107" s="420" t="s">
        <v>1339</v>
      </c>
      <c r="G107" s="323"/>
      <c r="H107" s="323"/>
      <c r="I107" s="377"/>
      <c r="J107" s="323"/>
      <c r="K107" s="331"/>
      <c r="L107" s="337"/>
      <c r="M107" s="61"/>
      <c r="N107" s="353"/>
      <c r="O107" s="353"/>
      <c r="P107" s="354"/>
      <c r="Q107" s="61"/>
      <c r="R107" s="353"/>
      <c r="S107" s="353"/>
      <c r="T107" s="354"/>
      <c r="U107" s="43"/>
      <c r="V107" s="353"/>
      <c r="W107" s="353"/>
      <c r="X107" s="354"/>
      <c r="Y107" s="355"/>
      <c r="Z107" s="355"/>
      <c r="AA107" s="355"/>
      <c r="AB107" s="355"/>
      <c r="AC107" s="355"/>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c r="BI107" s="355"/>
      <c r="BJ107" s="355"/>
      <c r="BK107" s="355"/>
      <c r="BL107" s="355"/>
      <c r="BM107" s="355"/>
      <c r="BN107" s="355"/>
      <c r="BO107" s="355"/>
      <c r="BP107" s="355"/>
      <c r="BQ107" s="355"/>
      <c r="BR107" s="355"/>
      <c r="BS107" s="355"/>
      <c r="BT107" s="355"/>
      <c r="BU107" s="355"/>
      <c r="BV107" s="355"/>
      <c r="BW107" s="355"/>
      <c r="BX107" s="355"/>
      <c r="BY107" s="355"/>
      <c r="BZ107" s="355"/>
      <c r="CA107" s="355"/>
      <c r="CB107" s="355"/>
      <c r="CC107" s="355"/>
      <c r="CD107" s="355"/>
      <c r="CE107" s="355"/>
      <c r="CF107" s="355"/>
      <c r="CG107" s="355"/>
      <c r="CH107" s="355"/>
      <c r="CI107" s="355"/>
      <c r="CJ107" s="355"/>
      <c r="CK107" s="355"/>
      <c r="CL107" s="355"/>
    </row>
    <row r="108" outlineLevel="1">
      <c r="A108" s="325" t="str">
        <f t="shared" si="11"/>
        <v>TC_01.83</v>
      </c>
      <c r="B108" s="422" t="s">
        <v>75</v>
      </c>
      <c r="C108" s="421" t="s">
        <v>1340</v>
      </c>
      <c r="D108" s="375" t="s">
        <v>1182</v>
      </c>
      <c r="E108" s="419" t="s">
        <v>1341</v>
      </c>
      <c r="F108" s="420" t="s">
        <v>1317</v>
      </c>
      <c r="G108" s="323"/>
      <c r="H108" s="323"/>
      <c r="I108" s="377"/>
      <c r="J108" s="323"/>
      <c r="K108" s="331"/>
      <c r="L108" s="337"/>
      <c r="M108" s="61"/>
      <c r="N108" s="353"/>
      <c r="O108" s="353"/>
      <c r="P108" s="354"/>
      <c r="Q108" s="61"/>
      <c r="R108" s="353"/>
      <c r="S108" s="353"/>
      <c r="T108" s="354"/>
      <c r="U108" s="43"/>
      <c r="V108" s="353"/>
      <c r="W108" s="353"/>
      <c r="X108" s="354"/>
      <c r="Y108" s="355"/>
      <c r="Z108" s="355"/>
      <c r="AA108" s="355"/>
      <c r="AB108" s="355"/>
      <c r="AC108" s="355"/>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c r="BI108" s="355"/>
      <c r="BJ108" s="355"/>
      <c r="BK108" s="355"/>
      <c r="BL108" s="355"/>
      <c r="BM108" s="355"/>
      <c r="BN108" s="355"/>
      <c r="BO108" s="355"/>
      <c r="BP108" s="355"/>
      <c r="BQ108" s="355"/>
      <c r="BR108" s="355"/>
      <c r="BS108" s="355"/>
      <c r="BT108" s="355"/>
      <c r="BU108" s="355"/>
      <c r="BV108" s="355"/>
      <c r="BW108" s="355"/>
      <c r="BX108" s="355"/>
      <c r="BY108" s="355"/>
      <c r="BZ108" s="355"/>
      <c r="CA108" s="355"/>
      <c r="CB108" s="355"/>
      <c r="CC108" s="355"/>
      <c r="CD108" s="355"/>
      <c r="CE108" s="355"/>
      <c r="CF108" s="355"/>
      <c r="CG108" s="355"/>
      <c r="CH108" s="355"/>
      <c r="CI108" s="355"/>
      <c r="CJ108" s="355"/>
      <c r="CK108" s="355"/>
      <c r="CL108" s="355"/>
    </row>
    <row r="109" outlineLevel="1">
      <c r="A109" s="325" t="str">
        <f t="shared" si="11"/>
        <v>TC_01.84</v>
      </c>
      <c r="B109" s="422" t="s">
        <v>75</v>
      </c>
      <c r="C109" s="421" t="s">
        <v>1342</v>
      </c>
      <c r="D109" s="375" t="s">
        <v>1182</v>
      </c>
      <c r="E109" s="419" t="s">
        <v>1343</v>
      </c>
      <c r="F109" s="420" t="s">
        <v>1344</v>
      </c>
      <c r="G109" s="323"/>
      <c r="H109" s="323"/>
      <c r="I109" s="377"/>
      <c r="J109" s="323"/>
      <c r="K109" s="331"/>
      <c r="L109" s="337"/>
      <c r="M109" s="61"/>
      <c r="N109" s="353"/>
      <c r="O109" s="353"/>
      <c r="P109" s="354"/>
      <c r="Q109" s="61"/>
      <c r="R109" s="353"/>
      <c r="S109" s="353"/>
      <c r="T109" s="354"/>
      <c r="U109" s="43"/>
      <c r="V109" s="353"/>
      <c r="W109" s="353"/>
      <c r="X109" s="354"/>
      <c r="Y109" s="355"/>
      <c r="Z109" s="355"/>
      <c r="AA109" s="355"/>
      <c r="AB109" s="355"/>
      <c r="AC109" s="355"/>
      <c r="AD109" s="355"/>
      <c r="AE109" s="355"/>
      <c r="AF109" s="355"/>
      <c r="AG109" s="355"/>
      <c r="AH109" s="355"/>
      <c r="AI109" s="355"/>
      <c r="AJ109" s="355"/>
      <c r="AK109" s="355"/>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c r="BI109" s="355"/>
      <c r="BJ109" s="355"/>
      <c r="BK109" s="355"/>
      <c r="BL109" s="355"/>
      <c r="BM109" s="355"/>
      <c r="BN109" s="355"/>
      <c r="BO109" s="355"/>
      <c r="BP109" s="355"/>
      <c r="BQ109" s="355"/>
      <c r="BR109" s="355"/>
      <c r="BS109" s="355"/>
      <c r="BT109" s="355"/>
      <c r="BU109" s="355"/>
      <c r="BV109" s="355"/>
      <c r="BW109" s="355"/>
      <c r="BX109" s="355"/>
      <c r="BY109" s="355"/>
      <c r="BZ109" s="355"/>
      <c r="CA109" s="355"/>
      <c r="CB109" s="355"/>
      <c r="CC109" s="355"/>
      <c r="CD109" s="355"/>
      <c r="CE109" s="355"/>
      <c r="CF109" s="355"/>
      <c r="CG109" s="355"/>
      <c r="CH109" s="355"/>
      <c r="CI109" s="355"/>
      <c r="CJ109" s="355"/>
      <c r="CK109" s="355"/>
      <c r="CL109" s="355"/>
    </row>
    <row r="110" outlineLevel="1">
      <c r="A110" s="325" t="str">
        <f t="shared" si="11"/>
        <v>TC_01.85</v>
      </c>
      <c r="B110" s="422" t="s">
        <v>75</v>
      </c>
      <c r="C110" s="421" t="s">
        <v>1345</v>
      </c>
      <c r="D110" s="375" t="s">
        <v>1182</v>
      </c>
      <c r="E110" s="419" t="s">
        <v>1346</v>
      </c>
      <c r="F110" s="423" t="s">
        <v>1347</v>
      </c>
      <c r="G110" s="323"/>
      <c r="H110" s="323"/>
      <c r="I110" s="377"/>
      <c r="J110" s="323"/>
      <c r="K110" s="331"/>
      <c r="L110" s="337"/>
      <c r="M110" s="61"/>
      <c r="N110" s="353"/>
      <c r="O110" s="353"/>
      <c r="P110" s="354"/>
      <c r="Q110" s="61"/>
      <c r="R110" s="353"/>
      <c r="S110" s="353"/>
      <c r="T110" s="354"/>
      <c r="U110" s="43"/>
      <c r="V110" s="353"/>
      <c r="W110" s="353"/>
      <c r="X110" s="354"/>
      <c r="Y110" s="355"/>
      <c r="Z110" s="355"/>
      <c r="AA110" s="355"/>
      <c r="AB110" s="355"/>
      <c r="AC110" s="355"/>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5"/>
      <c r="BL110" s="355"/>
      <c r="BM110" s="355"/>
      <c r="BN110" s="355"/>
      <c r="BO110" s="355"/>
      <c r="BP110" s="355"/>
      <c r="BQ110" s="355"/>
      <c r="BR110" s="355"/>
      <c r="BS110" s="355"/>
      <c r="BT110" s="355"/>
      <c r="BU110" s="355"/>
      <c r="BV110" s="355"/>
      <c r="BW110" s="355"/>
      <c r="BX110" s="355"/>
      <c r="BY110" s="355"/>
      <c r="BZ110" s="355"/>
      <c r="CA110" s="355"/>
      <c r="CB110" s="355"/>
      <c r="CC110" s="355"/>
      <c r="CD110" s="355"/>
      <c r="CE110" s="355"/>
      <c r="CF110" s="355"/>
      <c r="CG110" s="355"/>
      <c r="CH110" s="355"/>
      <c r="CI110" s="355"/>
      <c r="CJ110" s="355"/>
      <c r="CK110" s="355"/>
      <c r="CL110" s="355"/>
    </row>
    <row r="111" outlineLevel="1">
      <c r="A111" s="325" t="str">
        <f t="shared" si="11"/>
        <v>TC_01.86</v>
      </c>
      <c r="B111" s="422" t="s">
        <v>75</v>
      </c>
      <c r="C111" s="421" t="s">
        <v>1348</v>
      </c>
      <c r="D111" s="375" t="s">
        <v>1182</v>
      </c>
      <c r="E111" s="419" t="s">
        <v>1349</v>
      </c>
      <c r="F111" s="420" t="s">
        <v>1317</v>
      </c>
      <c r="G111" s="323"/>
      <c r="H111" s="323"/>
      <c r="I111" s="377"/>
      <c r="J111" s="323"/>
      <c r="K111" s="329"/>
      <c r="L111" s="337"/>
      <c r="M111" s="61"/>
      <c r="N111" s="353"/>
      <c r="O111" s="353"/>
      <c r="P111" s="354"/>
      <c r="Q111" s="61"/>
      <c r="R111" s="353"/>
      <c r="S111" s="353"/>
      <c r="T111" s="354"/>
      <c r="U111" s="43"/>
      <c r="V111" s="353"/>
      <c r="W111" s="353"/>
      <c r="X111" s="354"/>
      <c r="Y111" s="355"/>
      <c r="Z111" s="355"/>
      <c r="AA111" s="355"/>
      <c r="AB111" s="355"/>
      <c r="AC111" s="355"/>
      <c r="AD111" s="355"/>
      <c r="AE111" s="355"/>
      <c r="AF111" s="355"/>
      <c r="AG111" s="355"/>
      <c r="AH111" s="355"/>
      <c r="AI111" s="355"/>
      <c r="AJ111" s="355"/>
      <c r="AK111" s="355"/>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c r="BI111" s="355"/>
      <c r="BJ111" s="355"/>
      <c r="BK111" s="355"/>
      <c r="BL111" s="355"/>
      <c r="BM111" s="355"/>
      <c r="BN111" s="355"/>
      <c r="BO111" s="355"/>
      <c r="BP111" s="355"/>
      <c r="BQ111" s="355"/>
      <c r="BR111" s="355"/>
      <c r="BS111" s="355"/>
      <c r="BT111" s="355"/>
      <c r="BU111" s="355"/>
      <c r="BV111" s="355"/>
      <c r="BW111" s="355"/>
      <c r="BX111" s="355"/>
      <c r="BY111" s="355"/>
      <c r="BZ111" s="355"/>
      <c r="CA111" s="355"/>
      <c r="CB111" s="355"/>
      <c r="CC111" s="355"/>
      <c r="CD111" s="355"/>
      <c r="CE111" s="355"/>
      <c r="CF111" s="355"/>
      <c r="CG111" s="355"/>
      <c r="CH111" s="355"/>
      <c r="CI111" s="355"/>
      <c r="CJ111" s="355"/>
      <c r="CK111" s="355"/>
      <c r="CL111" s="355"/>
    </row>
    <row r="112" outlineLevel="1">
      <c r="A112" s="325" t="str">
        <f t="shared" si="11"/>
        <v>TC_01.87</v>
      </c>
      <c r="B112" s="422" t="s">
        <v>75</v>
      </c>
      <c r="C112" s="421" t="s">
        <v>1350</v>
      </c>
      <c r="D112" s="375" t="s">
        <v>1182</v>
      </c>
      <c r="E112" s="419" t="s">
        <v>1351</v>
      </c>
      <c r="F112" s="420" t="s">
        <v>1344</v>
      </c>
      <c r="G112" s="323"/>
      <c r="H112" s="323"/>
      <c r="I112" s="377"/>
      <c r="J112" s="323"/>
      <c r="K112" s="331"/>
      <c r="L112" s="337"/>
      <c r="M112" s="61"/>
      <c r="N112" s="353"/>
      <c r="O112" s="353"/>
      <c r="P112" s="354"/>
      <c r="Q112" s="61"/>
      <c r="R112" s="353"/>
      <c r="S112" s="353"/>
      <c r="T112" s="354"/>
      <c r="U112" s="43"/>
      <c r="V112" s="353"/>
      <c r="W112" s="353"/>
      <c r="X112" s="354"/>
      <c r="Y112" s="355"/>
      <c r="Z112" s="355"/>
      <c r="AA112" s="355"/>
      <c r="AB112" s="355"/>
      <c r="AC112" s="355"/>
      <c r="AD112" s="355"/>
      <c r="AE112" s="355"/>
      <c r="AF112" s="355"/>
      <c r="AG112" s="355"/>
      <c r="AH112" s="355"/>
      <c r="AI112" s="355"/>
      <c r="AJ112" s="355"/>
      <c r="AK112" s="355"/>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c r="BI112" s="355"/>
      <c r="BJ112" s="355"/>
      <c r="BK112" s="355"/>
      <c r="BL112" s="355"/>
      <c r="BM112" s="355"/>
      <c r="BN112" s="355"/>
      <c r="BO112" s="355"/>
      <c r="BP112" s="355"/>
      <c r="BQ112" s="355"/>
      <c r="BR112" s="355"/>
      <c r="BS112" s="355"/>
      <c r="BT112" s="355"/>
      <c r="BU112" s="355"/>
      <c r="BV112" s="355"/>
      <c r="BW112" s="355"/>
      <c r="BX112" s="355"/>
      <c r="BY112" s="355"/>
      <c r="BZ112" s="355"/>
      <c r="CA112" s="355"/>
      <c r="CB112" s="355"/>
      <c r="CC112" s="355"/>
      <c r="CD112" s="355"/>
      <c r="CE112" s="355"/>
      <c r="CF112" s="355"/>
      <c r="CG112" s="355"/>
      <c r="CH112" s="355"/>
      <c r="CI112" s="355"/>
      <c r="CJ112" s="355"/>
      <c r="CK112" s="355"/>
      <c r="CL112" s="355"/>
    </row>
    <row r="113" outlineLevel="1">
      <c r="A113" s="325" t="str">
        <f t="shared" si="11"/>
        <v>TC_01.88</v>
      </c>
      <c r="B113" s="422" t="s">
        <v>75</v>
      </c>
      <c r="C113" s="421" t="s">
        <v>1352</v>
      </c>
      <c r="D113" s="375" t="s">
        <v>1182</v>
      </c>
      <c r="E113" s="419" t="s">
        <v>1353</v>
      </c>
      <c r="F113" s="420" t="s">
        <v>1354</v>
      </c>
      <c r="G113" s="323"/>
      <c r="H113" s="323"/>
      <c r="I113" s="377"/>
      <c r="J113" s="323"/>
      <c r="K113" s="331"/>
      <c r="L113" s="337"/>
      <c r="M113" s="61"/>
      <c r="N113" s="353"/>
      <c r="O113" s="353"/>
      <c r="P113" s="354"/>
      <c r="Q113" s="61"/>
      <c r="R113" s="353"/>
      <c r="S113" s="353"/>
      <c r="T113" s="354"/>
      <c r="U113" s="43"/>
      <c r="V113" s="353"/>
      <c r="W113" s="353"/>
      <c r="X113" s="354"/>
      <c r="Y113" s="355"/>
      <c r="Z113" s="355"/>
      <c r="AA113" s="355"/>
      <c r="AB113" s="355"/>
      <c r="AC113" s="355"/>
      <c r="AD113" s="355"/>
      <c r="AE113" s="355"/>
      <c r="AF113" s="355"/>
      <c r="AG113" s="355"/>
      <c r="AH113" s="355"/>
      <c r="AI113" s="355"/>
      <c r="AJ113" s="355"/>
      <c r="AK113" s="355"/>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c r="BI113" s="355"/>
      <c r="BJ113" s="355"/>
      <c r="BK113" s="355"/>
      <c r="BL113" s="355"/>
      <c r="BM113" s="355"/>
      <c r="BN113" s="355"/>
      <c r="BO113" s="355"/>
      <c r="BP113" s="355"/>
      <c r="BQ113" s="355"/>
      <c r="BR113" s="355"/>
      <c r="BS113" s="355"/>
      <c r="BT113" s="355"/>
      <c r="BU113" s="355"/>
      <c r="BV113" s="355"/>
      <c r="BW113" s="355"/>
      <c r="BX113" s="355"/>
      <c r="BY113" s="355"/>
      <c r="BZ113" s="355"/>
      <c r="CA113" s="355"/>
      <c r="CB113" s="355"/>
      <c r="CC113" s="355"/>
      <c r="CD113" s="355"/>
      <c r="CE113" s="355"/>
      <c r="CF113" s="355"/>
      <c r="CG113" s="355"/>
      <c r="CH113" s="355"/>
      <c r="CI113" s="355"/>
      <c r="CJ113" s="355"/>
      <c r="CK113" s="355"/>
      <c r="CL113" s="355"/>
    </row>
    <row r="114" outlineLevel="1">
      <c r="A114" s="325" t="str">
        <f t="shared" si="11"/>
        <v>TC_01.89</v>
      </c>
      <c r="B114" s="422" t="s">
        <v>75</v>
      </c>
      <c r="C114" s="421" t="s">
        <v>1355</v>
      </c>
      <c r="D114" s="375" t="s">
        <v>1182</v>
      </c>
      <c r="E114" s="419" t="s">
        <v>1356</v>
      </c>
      <c r="F114" s="420" t="s">
        <v>1326</v>
      </c>
      <c r="G114" s="323"/>
      <c r="H114" s="323"/>
      <c r="I114" s="377"/>
      <c r="J114" s="323"/>
      <c r="K114" s="331"/>
      <c r="L114" s="337"/>
      <c r="M114" s="61"/>
      <c r="N114" s="353"/>
      <c r="O114" s="353"/>
      <c r="P114" s="354"/>
      <c r="Q114" s="61"/>
      <c r="R114" s="353"/>
      <c r="S114" s="353"/>
      <c r="T114" s="354"/>
      <c r="U114" s="43"/>
      <c r="V114" s="353"/>
      <c r="W114" s="353"/>
      <c r="X114" s="354"/>
      <c r="Y114" s="355"/>
      <c r="Z114" s="355"/>
      <c r="AA114" s="355"/>
      <c r="AB114" s="355"/>
      <c r="AC114" s="355"/>
      <c r="AD114" s="355"/>
      <c r="AE114" s="355"/>
      <c r="AF114" s="355"/>
      <c r="AG114" s="355"/>
      <c r="AH114" s="355"/>
      <c r="AI114" s="355"/>
      <c r="AJ114" s="355"/>
      <c r="AK114" s="355"/>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c r="BI114" s="355"/>
      <c r="BJ114" s="355"/>
      <c r="BK114" s="355"/>
      <c r="BL114" s="355"/>
      <c r="BM114" s="355"/>
      <c r="BN114" s="355"/>
      <c r="BO114" s="355"/>
      <c r="BP114" s="355"/>
      <c r="BQ114" s="355"/>
      <c r="BR114" s="355"/>
      <c r="BS114" s="355"/>
      <c r="BT114" s="355"/>
      <c r="BU114" s="355"/>
      <c r="BV114" s="355"/>
      <c r="BW114" s="355"/>
      <c r="BX114" s="355"/>
      <c r="BY114" s="355"/>
      <c r="BZ114" s="355"/>
      <c r="CA114" s="355"/>
      <c r="CB114" s="355"/>
      <c r="CC114" s="355"/>
      <c r="CD114" s="355"/>
      <c r="CE114" s="355"/>
      <c r="CF114" s="355"/>
      <c r="CG114" s="355"/>
      <c r="CH114" s="355"/>
      <c r="CI114" s="355"/>
      <c r="CJ114" s="355"/>
      <c r="CK114" s="355"/>
      <c r="CL114" s="355"/>
    </row>
    <row r="115" outlineLevel="1">
      <c r="A115" s="325" t="str">
        <f t="shared" si="11"/>
        <v>TC_01.90</v>
      </c>
      <c r="B115" s="422" t="s">
        <v>73</v>
      </c>
      <c r="C115" s="421" t="s">
        <v>1357</v>
      </c>
      <c r="D115" s="375" t="s">
        <v>1182</v>
      </c>
      <c r="E115" s="419" t="s">
        <v>1358</v>
      </c>
      <c r="F115" s="424" t="s">
        <v>1359</v>
      </c>
      <c r="G115" s="323"/>
      <c r="H115" s="323"/>
      <c r="I115" s="377"/>
      <c r="J115" s="323"/>
      <c r="K115" s="331"/>
      <c r="L115" s="337"/>
      <c r="M115" s="61"/>
      <c r="N115" s="353"/>
      <c r="O115" s="353"/>
      <c r="P115" s="354"/>
      <c r="Q115" s="61"/>
      <c r="R115" s="353"/>
      <c r="S115" s="353"/>
      <c r="T115" s="354"/>
      <c r="U115" s="43"/>
      <c r="V115" s="353"/>
      <c r="W115" s="353"/>
      <c r="X115" s="354"/>
      <c r="Y115" s="355"/>
      <c r="Z115" s="355"/>
      <c r="AA115" s="355"/>
      <c r="AB115" s="355"/>
      <c r="AC115" s="355"/>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c r="BJ115" s="355"/>
      <c r="BK115" s="355"/>
      <c r="BL115" s="355"/>
      <c r="BM115" s="355"/>
      <c r="BN115" s="355"/>
      <c r="BO115" s="355"/>
      <c r="BP115" s="355"/>
      <c r="BQ115" s="355"/>
      <c r="BR115" s="355"/>
      <c r="BS115" s="355"/>
      <c r="BT115" s="355"/>
      <c r="BU115" s="355"/>
      <c r="BV115" s="355"/>
      <c r="BW115" s="355"/>
      <c r="BX115" s="355"/>
      <c r="BY115" s="355"/>
      <c r="BZ115" s="355"/>
      <c r="CA115" s="355"/>
      <c r="CB115" s="355"/>
      <c r="CC115" s="355"/>
      <c r="CD115" s="355"/>
      <c r="CE115" s="355"/>
      <c r="CF115" s="355"/>
      <c r="CG115" s="355"/>
      <c r="CH115" s="355"/>
      <c r="CI115" s="355"/>
      <c r="CJ115" s="355"/>
      <c r="CK115" s="355"/>
      <c r="CL115" s="355"/>
    </row>
    <row r="116" outlineLevel="1">
      <c r="A116" s="325" t="str">
        <f t="shared" si="11"/>
        <v>TC_01.91</v>
      </c>
      <c r="B116" s="422" t="s">
        <v>73</v>
      </c>
      <c r="C116" s="421" t="s">
        <v>1360</v>
      </c>
      <c r="D116" s="375" t="s">
        <v>1182</v>
      </c>
      <c r="E116" s="419" t="s">
        <v>1361</v>
      </c>
      <c r="F116" s="424" t="s">
        <v>1362</v>
      </c>
      <c r="G116" s="323"/>
      <c r="H116" s="323"/>
      <c r="I116" s="377"/>
      <c r="J116" s="323"/>
      <c r="K116" s="331"/>
      <c r="L116" s="337"/>
      <c r="M116" s="61"/>
      <c r="N116" s="353"/>
      <c r="O116" s="353"/>
      <c r="P116" s="354"/>
      <c r="Q116" s="61"/>
      <c r="R116" s="353"/>
      <c r="S116" s="353"/>
      <c r="T116" s="354"/>
      <c r="U116" s="43"/>
      <c r="V116" s="353"/>
      <c r="W116" s="353"/>
      <c r="X116" s="354"/>
      <c r="Y116" s="355"/>
      <c r="Z116" s="355"/>
      <c r="AA116" s="355"/>
      <c r="AB116" s="355"/>
      <c r="AC116" s="355"/>
      <c r="AD116" s="355"/>
      <c r="AE116" s="355"/>
      <c r="AF116" s="355"/>
      <c r="AG116" s="355"/>
      <c r="AH116" s="355"/>
      <c r="AI116" s="355"/>
      <c r="AJ116" s="355"/>
      <c r="AK116" s="355"/>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c r="BI116" s="355"/>
      <c r="BJ116" s="355"/>
      <c r="BK116" s="355"/>
      <c r="BL116" s="355"/>
      <c r="BM116" s="355"/>
      <c r="BN116" s="355"/>
      <c r="BO116" s="355"/>
      <c r="BP116" s="355"/>
      <c r="BQ116" s="355"/>
      <c r="BR116" s="355"/>
      <c r="BS116" s="355"/>
      <c r="BT116" s="355"/>
      <c r="BU116" s="355"/>
      <c r="BV116" s="355"/>
      <c r="BW116" s="355"/>
      <c r="BX116" s="355"/>
      <c r="BY116" s="355"/>
      <c r="BZ116" s="355"/>
      <c r="CA116" s="355"/>
      <c r="CB116" s="355"/>
      <c r="CC116" s="355"/>
      <c r="CD116" s="355"/>
      <c r="CE116" s="355"/>
      <c r="CF116" s="355"/>
      <c r="CG116" s="355"/>
      <c r="CH116" s="355"/>
      <c r="CI116" s="355"/>
      <c r="CJ116" s="355"/>
      <c r="CK116" s="355"/>
      <c r="CL116" s="355"/>
    </row>
    <row r="117" outlineLevel="1">
      <c r="A117" s="325" t="str">
        <f t="shared" si="11"/>
        <v>TC_01.92</v>
      </c>
      <c r="B117" s="422" t="s">
        <v>73</v>
      </c>
      <c r="C117" s="421" t="s">
        <v>1363</v>
      </c>
      <c r="D117" s="375" t="s">
        <v>1182</v>
      </c>
      <c r="E117" s="419" t="s">
        <v>1364</v>
      </c>
      <c r="F117" s="424" t="s">
        <v>1365</v>
      </c>
      <c r="G117" s="323"/>
      <c r="H117" s="323"/>
      <c r="I117" s="377"/>
      <c r="J117" s="323"/>
      <c r="K117" s="331"/>
      <c r="L117" s="337"/>
      <c r="M117" s="61"/>
      <c r="N117" s="353"/>
      <c r="O117" s="353"/>
      <c r="P117" s="354"/>
      <c r="Q117" s="61"/>
      <c r="R117" s="353"/>
      <c r="S117" s="353"/>
      <c r="T117" s="354"/>
      <c r="U117" s="43"/>
      <c r="V117" s="353"/>
      <c r="W117" s="353"/>
      <c r="X117" s="354"/>
      <c r="Y117" s="355"/>
      <c r="Z117" s="355"/>
      <c r="AA117" s="355"/>
      <c r="AB117" s="355"/>
      <c r="AC117" s="355"/>
      <c r="AD117" s="355"/>
      <c r="AE117" s="355"/>
      <c r="AF117" s="355"/>
      <c r="AG117" s="355"/>
      <c r="AH117" s="355"/>
      <c r="AI117" s="355"/>
      <c r="AJ117" s="355"/>
      <c r="AK117" s="355"/>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c r="BI117" s="355"/>
      <c r="BJ117" s="355"/>
      <c r="BK117" s="355"/>
      <c r="BL117" s="355"/>
      <c r="BM117" s="355"/>
      <c r="BN117" s="355"/>
      <c r="BO117" s="355"/>
      <c r="BP117" s="355"/>
      <c r="BQ117" s="355"/>
      <c r="BR117" s="355"/>
      <c r="BS117" s="355"/>
      <c r="BT117" s="355"/>
      <c r="BU117" s="355"/>
      <c r="BV117" s="355"/>
      <c r="BW117" s="355"/>
      <c r="BX117" s="355"/>
      <c r="BY117" s="355"/>
      <c r="BZ117" s="355"/>
      <c r="CA117" s="355"/>
      <c r="CB117" s="355"/>
      <c r="CC117" s="355"/>
      <c r="CD117" s="355"/>
      <c r="CE117" s="355"/>
      <c r="CF117" s="355"/>
      <c r="CG117" s="355"/>
      <c r="CH117" s="355"/>
      <c r="CI117" s="355"/>
      <c r="CJ117" s="355"/>
      <c r="CK117" s="355"/>
      <c r="CL117" s="355"/>
    </row>
    <row r="118" outlineLevel="1">
      <c r="A118" s="325" t="str">
        <f t="shared" si="11"/>
        <v>TC_01.93</v>
      </c>
      <c r="B118" s="422" t="s">
        <v>73</v>
      </c>
      <c r="C118" s="421" t="s">
        <v>1366</v>
      </c>
      <c r="D118" s="375" t="s">
        <v>1182</v>
      </c>
      <c r="E118" s="419" t="s">
        <v>1367</v>
      </c>
      <c r="F118" s="425" t="s">
        <v>1368</v>
      </c>
      <c r="G118" s="323"/>
      <c r="H118" s="323"/>
      <c r="I118" s="377"/>
      <c r="J118" s="323"/>
      <c r="K118" s="331"/>
      <c r="L118" s="337"/>
      <c r="M118" s="61"/>
      <c r="N118" s="353"/>
      <c r="O118" s="353"/>
      <c r="P118" s="354"/>
      <c r="Q118" s="61"/>
      <c r="R118" s="353"/>
      <c r="S118" s="353"/>
      <c r="T118" s="354"/>
      <c r="U118" s="43"/>
      <c r="V118" s="353"/>
      <c r="W118" s="353"/>
      <c r="X118" s="354"/>
      <c r="Y118" s="355"/>
      <c r="Z118" s="355"/>
      <c r="AA118" s="355"/>
      <c r="AB118" s="355"/>
      <c r="AC118" s="355"/>
      <c r="AD118" s="355"/>
      <c r="AE118" s="355"/>
      <c r="AF118" s="355"/>
      <c r="AG118" s="355"/>
      <c r="AH118" s="355"/>
      <c r="AI118" s="355"/>
      <c r="AJ118" s="355"/>
      <c r="AK118" s="355"/>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c r="BI118" s="355"/>
      <c r="BJ118" s="355"/>
      <c r="BK118" s="355"/>
      <c r="BL118" s="355"/>
      <c r="BM118" s="355"/>
      <c r="BN118" s="355"/>
      <c r="BO118" s="355"/>
      <c r="BP118" s="355"/>
      <c r="BQ118" s="355"/>
      <c r="BR118" s="355"/>
      <c r="BS118" s="355"/>
      <c r="BT118" s="355"/>
      <c r="BU118" s="355"/>
      <c r="BV118" s="355"/>
      <c r="BW118" s="355"/>
      <c r="BX118" s="355"/>
      <c r="BY118" s="355"/>
      <c r="BZ118" s="355"/>
      <c r="CA118" s="355"/>
      <c r="CB118" s="355"/>
      <c r="CC118" s="355"/>
      <c r="CD118" s="355"/>
      <c r="CE118" s="355"/>
      <c r="CF118" s="355"/>
      <c r="CG118" s="355"/>
      <c r="CH118" s="355"/>
      <c r="CI118" s="355"/>
      <c r="CJ118" s="355"/>
      <c r="CK118" s="355"/>
      <c r="CL118" s="355"/>
    </row>
    <row r="119">
      <c r="A119" s="324" t="s">
        <v>1369</v>
      </c>
      <c r="B119" s="148"/>
      <c r="C119" s="148"/>
      <c r="D119" s="148"/>
      <c r="E119" s="148"/>
      <c r="F119" s="171"/>
      <c r="G119" s="267"/>
      <c r="H119" s="267"/>
      <c r="I119" s="267"/>
      <c r="J119" s="267"/>
      <c r="K119" s="331"/>
      <c r="L119" s="321"/>
      <c r="M119" s="373"/>
      <c r="N119" s="373"/>
      <c r="O119" s="321"/>
      <c r="P119" s="321"/>
      <c r="Q119" s="373"/>
      <c r="R119" s="373"/>
      <c r="S119" s="373"/>
      <c r="T119" s="321"/>
      <c r="U119" s="373"/>
      <c r="V119" s="373"/>
      <c r="W119" s="321"/>
      <c r="X119" s="321"/>
      <c r="Y119" s="374"/>
      <c r="Z119" s="374"/>
      <c r="AA119" s="374"/>
      <c r="AB119" s="374"/>
      <c r="AC119" s="374"/>
      <c r="AD119" s="374"/>
      <c r="AE119" s="374"/>
      <c r="AF119" s="374"/>
      <c r="AG119" s="374"/>
      <c r="AH119" s="374"/>
      <c r="AI119" s="374"/>
      <c r="AJ119" s="374"/>
      <c r="AK119" s="374"/>
      <c r="AL119" s="374"/>
      <c r="AM119" s="374"/>
      <c r="AN119" s="374"/>
      <c r="AO119" s="374"/>
      <c r="AP119" s="374"/>
      <c r="AQ119" s="374"/>
      <c r="AR119" s="374"/>
      <c r="AS119" s="374"/>
      <c r="AT119" s="374"/>
      <c r="AU119" s="374"/>
      <c r="AV119" s="374"/>
      <c r="AW119" s="374"/>
      <c r="AX119" s="374"/>
      <c r="AY119" s="374"/>
      <c r="AZ119" s="374"/>
      <c r="BA119" s="374"/>
      <c r="BB119" s="374"/>
      <c r="BC119" s="374"/>
      <c r="BD119" s="374"/>
      <c r="BE119" s="374"/>
      <c r="BF119" s="374"/>
      <c r="BG119" s="374"/>
      <c r="BH119" s="374"/>
      <c r="BI119" s="374"/>
      <c r="BJ119" s="374"/>
      <c r="BK119" s="374"/>
      <c r="BL119" s="374"/>
      <c r="BM119" s="374"/>
      <c r="BN119" s="374"/>
      <c r="BO119" s="374"/>
      <c r="BP119" s="374"/>
      <c r="BQ119" s="374"/>
      <c r="BR119" s="374"/>
      <c r="BS119" s="374"/>
      <c r="BT119" s="374"/>
      <c r="BU119" s="374"/>
      <c r="BV119" s="374"/>
      <c r="BW119" s="374"/>
      <c r="BX119" s="374"/>
      <c r="BY119" s="374"/>
      <c r="BZ119" s="374"/>
      <c r="CA119" s="374"/>
      <c r="CB119" s="374"/>
      <c r="CC119" s="374"/>
      <c r="CD119" s="374"/>
      <c r="CE119" s="374"/>
      <c r="CF119" s="374"/>
      <c r="CG119" s="374"/>
      <c r="CH119" s="374"/>
      <c r="CI119" s="374"/>
      <c r="CJ119" s="374"/>
      <c r="CK119" s="374"/>
      <c r="CL119" s="374"/>
    </row>
    <row r="120" outlineLevel="1">
      <c r="A120" s="353" t="str">
        <f t="shared" ref="A120:A124" si="12">IF(E120="","",$C$3&amp;"."&amp;COUNTA($E$9:E120)&amp;"")</f>
        <v>TC_01.94</v>
      </c>
      <c r="B120" s="422" t="s">
        <v>75</v>
      </c>
      <c r="C120" s="426" t="s">
        <v>1370</v>
      </c>
      <c r="D120" s="375" t="s">
        <v>1371</v>
      </c>
      <c r="E120" s="427" t="s">
        <v>1372</v>
      </c>
      <c r="F120" s="425" t="s">
        <v>1373</v>
      </c>
      <c r="G120" s="323"/>
      <c r="H120" s="323"/>
      <c r="I120" s="323"/>
      <c r="J120" s="323"/>
      <c r="K120" s="331"/>
      <c r="L120" s="352"/>
      <c r="M120" s="353"/>
      <c r="N120" s="354"/>
      <c r="O120" s="61"/>
      <c r="P120" s="353"/>
      <c r="Q120" s="353"/>
      <c r="R120" s="354"/>
      <c r="S120" s="43"/>
      <c r="T120" s="353"/>
      <c r="U120" s="353"/>
      <c r="V120" s="354"/>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5"/>
      <c r="BN120" s="355"/>
      <c r="BO120" s="355"/>
      <c r="BP120" s="355"/>
      <c r="BQ120" s="355"/>
      <c r="BR120" s="355"/>
      <c r="BS120" s="355"/>
      <c r="BT120" s="355"/>
      <c r="BU120" s="355"/>
      <c r="BV120" s="355"/>
      <c r="BW120" s="355"/>
      <c r="BX120" s="355"/>
      <c r="BY120" s="355"/>
      <c r="BZ120" s="355"/>
      <c r="CA120" s="355"/>
      <c r="CB120" s="355"/>
      <c r="CC120" s="355"/>
      <c r="CD120" s="355"/>
      <c r="CE120" s="355"/>
      <c r="CF120" s="355"/>
      <c r="CG120" s="355"/>
      <c r="CH120" s="355"/>
      <c r="CI120" s="355"/>
      <c r="CJ120" s="355"/>
      <c r="CK120" s="355"/>
      <c r="CL120" s="355"/>
    </row>
    <row r="121" outlineLevel="1">
      <c r="A121" s="353" t="str">
        <f t="shared" si="12"/>
        <v>TC_01.95</v>
      </c>
      <c r="B121" s="422" t="s">
        <v>75</v>
      </c>
      <c r="C121" s="426" t="s">
        <v>1374</v>
      </c>
      <c r="D121" s="375" t="s">
        <v>1371</v>
      </c>
      <c r="E121" s="427" t="s">
        <v>1375</v>
      </c>
      <c r="F121" s="425" t="s">
        <v>1376</v>
      </c>
      <c r="G121" s="323"/>
      <c r="H121" s="323"/>
      <c r="I121" s="323"/>
      <c r="J121" s="356"/>
      <c r="K121" s="331"/>
      <c r="L121" s="352"/>
      <c r="M121" s="353"/>
      <c r="N121" s="354"/>
      <c r="O121" s="61"/>
      <c r="P121" s="353"/>
      <c r="Q121" s="353"/>
      <c r="R121" s="354"/>
      <c r="S121" s="43"/>
      <c r="T121" s="353"/>
      <c r="U121" s="353"/>
      <c r="V121" s="354"/>
      <c r="W121" s="355"/>
      <c r="X121" s="355"/>
      <c r="Y121" s="355"/>
      <c r="Z121" s="355"/>
      <c r="AA121" s="355"/>
      <c r="AB121" s="355"/>
      <c r="AC121" s="355"/>
      <c r="AD121" s="355"/>
      <c r="AE121" s="355"/>
      <c r="AF121" s="355"/>
      <c r="AG121" s="355"/>
      <c r="AH121" s="355"/>
      <c r="AI121" s="355"/>
      <c r="AJ121" s="355"/>
      <c r="AK121" s="355"/>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c r="BI121" s="355"/>
      <c r="BJ121" s="355"/>
      <c r="BK121" s="355"/>
      <c r="BL121" s="355"/>
      <c r="BM121" s="355"/>
      <c r="BN121" s="355"/>
      <c r="BO121" s="355"/>
      <c r="BP121" s="355"/>
      <c r="BQ121" s="355"/>
      <c r="BR121" s="355"/>
      <c r="BS121" s="355"/>
      <c r="BT121" s="355"/>
      <c r="BU121" s="355"/>
      <c r="BV121" s="355"/>
      <c r="BW121" s="355"/>
      <c r="BX121" s="355"/>
      <c r="BY121" s="355"/>
      <c r="BZ121" s="355"/>
      <c r="CA121" s="355"/>
      <c r="CB121" s="355"/>
      <c r="CC121" s="355"/>
      <c r="CD121" s="355"/>
      <c r="CE121" s="355"/>
      <c r="CF121" s="355"/>
      <c r="CG121" s="355"/>
      <c r="CH121" s="355"/>
      <c r="CI121" s="355"/>
      <c r="CJ121" s="355"/>
      <c r="CK121" s="355"/>
      <c r="CL121" s="355"/>
    </row>
    <row r="122" outlineLevel="1">
      <c r="A122" s="353" t="str">
        <f t="shared" si="12"/>
        <v>TC_01.96</v>
      </c>
      <c r="B122" s="422" t="s">
        <v>75</v>
      </c>
      <c r="C122" s="426" t="s">
        <v>1377</v>
      </c>
      <c r="D122" s="375" t="s">
        <v>1371</v>
      </c>
      <c r="E122" s="427" t="s">
        <v>1378</v>
      </c>
      <c r="F122" s="425" t="s">
        <v>1379</v>
      </c>
      <c r="G122" s="323"/>
      <c r="H122" s="323"/>
      <c r="I122" s="323"/>
      <c r="J122" s="356"/>
      <c r="K122" s="428"/>
      <c r="L122" s="364"/>
      <c r="M122" s="353"/>
      <c r="N122" s="354"/>
      <c r="O122" s="61"/>
      <c r="P122" s="353"/>
      <c r="Q122" s="353"/>
      <c r="R122" s="354"/>
      <c r="S122" s="43"/>
      <c r="T122" s="353"/>
      <c r="U122" s="353"/>
      <c r="V122" s="354"/>
      <c r="W122" s="355"/>
      <c r="X122" s="355"/>
      <c r="Y122" s="355"/>
      <c r="Z122" s="355"/>
      <c r="AA122" s="355"/>
      <c r="AB122" s="355"/>
      <c r="AC122" s="355"/>
      <c r="AD122" s="355"/>
      <c r="AE122" s="355"/>
      <c r="AF122" s="355"/>
      <c r="AG122" s="355"/>
      <c r="AH122" s="355"/>
      <c r="AI122" s="355"/>
      <c r="AJ122" s="355"/>
      <c r="AK122" s="355"/>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c r="BI122" s="355"/>
      <c r="BJ122" s="355"/>
      <c r="BK122" s="355"/>
      <c r="BL122" s="355"/>
      <c r="BM122" s="355"/>
      <c r="BN122" s="355"/>
      <c r="BO122" s="355"/>
      <c r="BP122" s="355"/>
      <c r="BQ122" s="355"/>
      <c r="BR122" s="355"/>
      <c r="BS122" s="355"/>
      <c r="BT122" s="355"/>
      <c r="BU122" s="355"/>
      <c r="BV122" s="355"/>
      <c r="BW122" s="355"/>
      <c r="BX122" s="355"/>
      <c r="BY122" s="355"/>
      <c r="BZ122" s="355"/>
      <c r="CA122" s="355"/>
      <c r="CB122" s="355"/>
      <c r="CC122" s="355"/>
      <c r="CD122" s="355"/>
      <c r="CE122" s="355"/>
      <c r="CF122" s="355"/>
      <c r="CG122" s="355"/>
      <c r="CH122" s="355"/>
      <c r="CI122" s="355"/>
      <c r="CJ122" s="355"/>
      <c r="CK122" s="355"/>
      <c r="CL122" s="355"/>
    </row>
    <row r="123" outlineLevel="1">
      <c r="A123" s="353" t="str">
        <f t="shared" si="12"/>
        <v>TC_01.97</v>
      </c>
      <c r="B123" s="422" t="s">
        <v>75</v>
      </c>
      <c r="C123" s="426" t="s">
        <v>1380</v>
      </c>
      <c r="D123" s="375" t="s">
        <v>1371</v>
      </c>
      <c r="E123" s="427" t="s">
        <v>1381</v>
      </c>
      <c r="F123" s="425" t="s">
        <v>1382</v>
      </c>
      <c r="G123" s="323"/>
      <c r="H123" s="323"/>
      <c r="I123" s="323"/>
      <c r="J123" s="356"/>
      <c r="K123" s="428"/>
      <c r="L123" s="364"/>
      <c r="M123" s="353"/>
      <c r="N123" s="354"/>
      <c r="O123" s="61"/>
      <c r="P123" s="353"/>
      <c r="Q123" s="353"/>
      <c r="R123" s="354"/>
      <c r="S123" s="43"/>
      <c r="T123" s="353"/>
      <c r="U123" s="353"/>
      <c r="V123" s="354"/>
      <c r="W123" s="355"/>
      <c r="X123" s="355"/>
      <c r="Y123" s="355"/>
      <c r="Z123" s="355"/>
      <c r="AA123" s="355"/>
      <c r="AB123" s="355"/>
      <c r="AC123" s="355"/>
      <c r="AD123" s="355"/>
      <c r="AE123" s="355"/>
      <c r="AF123" s="355"/>
      <c r="AG123" s="355"/>
      <c r="AH123" s="355"/>
      <c r="AI123" s="355"/>
      <c r="AJ123" s="355"/>
      <c r="AK123" s="355"/>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c r="BI123" s="355"/>
      <c r="BJ123" s="355"/>
      <c r="BK123" s="355"/>
      <c r="BL123" s="355"/>
      <c r="BM123" s="355"/>
      <c r="BN123" s="355"/>
      <c r="BO123" s="355"/>
      <c r="BP123" s="355"/>
      <c r="BQ123" s="355"/>
      <c r="BR123" s="355"/>
      <c r="BS123" s="355"/>
      <c r="BT123" s="355"/>
      <c r="BU123" s="355"/>
      <c r="BV123" s="355"/>
      <c r="BW123" s="355"/>
      <c r="BX123" s="355"/>
      <c r="BY123" s="355"/>
      <c r="BZ123" s="355"/>
      <c r="CA123" s="355"/>
      <c r="CB123" s="355"/>
      <c r="CC123" s="355"/>
      <c r="CD123" s="355"/>
      <c r="CE123" s="355"/>
      <c r="CF123" s="355"/>
      <c r="CG123" s="355"/>
      <c r="CH123" s="355"/>
      <c r="CI123" s="355"/>
      <c r="CJ123" s="355"/>
      <c r="CK123" s="355"/>
      <c r="CL123" s="355"/>
    </row>
    <row r="124" outlineLevel="1">
      <c r="A124" s="353" t="str">
        <f t="shared" si="12"/>
        <v>TC_01.98</v>
      </c>
      <c r="B124" s="422" t="s">
        <v>75</v>
      </c>
      <c r="C124" s="350" t="s">
        <v>1383</v>
      </c>
      <c r="D124" s="375" t="s">
        <v>1371</v>
      </c>
      <c r="E124" s="429" t="s">
        <v>1384</v>
      </c>
      <c r="F124" s="329" t="s">
        <v>1385</v>
      </c>
      <c r="G124" s="323"/>
      <c r="H124" s="323"/>
      <c r="I124" s="323"/>
      <c r="J124" s="356"/>
      <c r="K124" s="331"/>
      <c r="L124" s="352"/>
      <c r="M124" s="353"/>
      <c r="N124" s="354"/>
      <c r="O124" s="61"/>
      <c r="P124" s="353"/>
      <c r="Q124" s="353"/>
      <c r="R124" s="354"/>
      <c r="S124" s="43"/>
      <c r="T124" s="353"/>
      <c r="U124" s="353"/>
      <c r="V124" s="354"/>
      <c r="W124" s="355"/>
      <c r="X124" s="355"/>
      <c r="Y124" s="355"/>
      <c r="Z124" s="355"/>
      <c r="AA124" s="355"/>
      <c r="AB124" s="355"/>
      <c r="AC124" s="355"/>
      <c r="AD124" s="355"/>
      <c r="AE124" s="355"/>
      <c r="AF124" s="355"/>
      <c r="AG124" s="355"/>
      <c r="AH124" s="355"/>
      <c r="AI124" s="355"/>
      <c r="AJ124" s="355"/>
      <c r="AK124" s="355"/>
      <c r="AL124" s="355"/>
      <c r="AM124" s="355"/>
      <c r="AN124" s="355"/>
      <c r="AO124" s="355"/>
      <c r="AP124" s="355"/>
      <c r="AQ124" s="355"/>
      <c r="AR124" s="355"/>
      <c r="AS124" s="355"/>
      <c r="AT124" s="355"/>
      <c r="AU124" s="355"/>
      <c r="AV124" s="355"/>
      <c r="AW124" s="355"/>
      <c r="AX124" s="355"/>
      <c r="AY124" s="355"/>
      <c r="AZ124" s="355"/>
      <c r="BA124" s="355"/>
      <c r="BB124" s="355"/>
      <c r="BC124" s="355"/>
      <c r="BD124" s="355"/>
      <c r="BE124" s="355"/>
      <c r="BF124" s="355"/>
      <c r="BG124" s="355"/>
      <c r="BH124" s="355"/>
      <c r="BI124" s="355"/>
      <c r="BJ124" s="355"/>
      <c r="BK124" s="355"/>
      <c r="BL124" s="355"/>
      <c r="BM124" s="355"/>
      <c r="BN124" s="355"/>
      <c r="BO124" s="355"/>
      <c r="BP124" s="355"/>
      <c r="BQ124" s="355"/>
      <c r="BR124" s="355"/>
      <c r="BS124" s="355"/>
      <c r="BT124" s="355"/>
      <c r="BU124" s="355"/>
      <c r="BV124" s="355"/>
      <c r="BW124" s="355"/>
      <c r="BX124" s="355"/>
      <c r="BY124" s="355"/>
      <c r="BZ124" s="355"/>
      <c r="CA124" s="355"/>
      <c r="CB124" s="355"/>
      <c r="CC124" s="355"/>
      <c r="CD124" s="355"/>
      <c r="CE124" s="355"/>
      <c r="CF124" s="355"/>
      <c r="CG124" s="355"/>
      <c r="CH124" s="355"/>
      <c r="CI124" s="355"/>
      <c r="CJ124" s="355"/>
      <c r="CK124" s="355"/>
      <c r="CL124" s="355"/>
    </row>
    <row r="125">
      <c r="A125" s="324" t="s">
        <v>1386</v>
      </c>
      <c r="B125" s="148"/>
      <c r="C125" s="148"/>
      <c r="D125" s="148"/>
      <c r="E125" s="148"/>
      <c r="F125" s="171"/>
      <c r="G125" s="430"/>
      <c r="H125" s="430"/>
      <c r="I125" s="430"/>
      <c r="J125" s="267"/>
      <c r="K125" s="331"/>
      <c r="L125" s="321"/>
      <c r="M125" s="321"/>
      <c r="N125" s="321"/>
      <c r="O125" s="321"/>
      <c r="P125" s="321"/>
      <c r="Q125" s="321"/>
      <c r="R125" s="321"/>
      <c r="S125" s="321"/>
      <c r="T125" s="321"/>
      <c r="U125" s="373"/>
      <c r="V125" s="321"/>
      <c r="W125" s="321"/>
      <c r="X125" s="321"/>
      <c r="Y125" s="374"/>
      <c r="Z125" s="374"/>
      <c r="AA125" s="374"/>
      <c r="AB125" s="374"/>
      <c r="AC125" s="374"/>
      <c r="AD125" s="374"/>
      <c r="AE125" s="374"/>
      <c r="AF125" s="374"/>
      <c r="AG125" s="374"/>
      <c r="AH125" s="374"/>
      <c r="AI125" s="374"/>
      <c r="AJ125" s="374"/>
      <c r="AK125" s="374"/>
      <c r="AL125" s="374"/>
      <c r="AM125" s="374"/>
      <c r="AN125" s="374"/>
      <c r="AO125" s="374"/>
      <c r="AP125" s="374"/>
      <c r="AQ125" s="374"/>
      <c r="AR125" s="374"/>
      <c r="AS125" s="374"/>
      <c r="AT125" s="374"/>
      <c r="AU125" s="374"/>
      <c r="AV125" s="374"/>
      <c r="AW125" s="374"/>
      <c r="AX125" s="374"/>
      <c r="AY125" s="374"/>
      <c r="AZ125" s="374"/>
      <c r="BA125" s="374"/>
      <c r="BB125" s="374"/>
      <c r="BC125" s="374"/>
      <c r="BD125" s="374"/>
      <c r="BE125" s="374"/>
      <c r="BF125" s="374"/>
      <c r="BG125" s="374"/>
      <c r="BH125" s="374"/>
      <c r="BI125" s="374"/>
      <c r="BJ125" s="374"/>
      <c r="BK125" s="374"/>
      <c r="BL125" s="374"/>
      <c r="BM125" s="374"/>
      <c r="BN125" s="374"/>
      <c r="BO125" s="374"/>
      <c r="BP125" s="374"/>
      <c r="BQ125" s="374"/>
      <c r="BR125" s="374"/>
      <c r="BS125" s="374"/>
      <c r="BT125" s="374"/>
      <c r="BU125" s="374"/>
      <c r="BV125" s="374"/>
      <c r="BW125" s="374"/>
      <c r="BX125" s="374"/>
      <c r="BY125" s="374"/>
      <c r="BZ125" s="374"/>
      <c r="CA125" s="374"/>
      <c r="CB125" s="374"/>
      <c r="CC125" s="374"/>
      <c r="CD125" s="374"/>
      <c r="CE125" s="374"/>
      <c r="CF125" s="374"/>
      <c r="CG125" s="374"/>
      <c r="CH125" s="374"/>
      <c r="CI125" s="374"/>
      <c r="CJ125" s="374"/>
      <c r="CK125" s="374"/>
      <c r="CL125" s="374"/>
    </row>
    <row r="126" outlineLevel="1">
      <c r="A126" s="325" t="str">
        <f t="shared" ref="A126:A135" si="13">IF(E126="","",$C$3&amp;"."&amp;COUNTA($E$12:E126)&amp;"")</f>
        <v>TC_01.99</v>
      </c>
      <c r="B126" s="326" t="s">
        <v>73</v>
      </c>
      <c r="C126" s="336" t="s">
        <v>1387</v>
      </c>
      <c r="D126" s="375" t="s">
        <v>1388</v>
      </c>
      <c r="E126" s="329" t="s">
        <v>1389</v>
      </c>
      <c r="F126" s="347" t="s">
        <v>1390</v>
      </c>
      <c r="G126" s="323"/>
      <c r="H126" s="323"/>
      <c r="I126" s="323"/>
      <c r="J126" s="323"/>
      <c r="K126" s="329"/>
      <c r="L126" s="352"/>
      <c r="M126" s="61"/>
      <c r="N126" s="353"/>
      <c r="O126" s="353"/>
      <c r="P126" s="354"/>
      <c r="Q126" s="61"/>
      <c r="R126" s="353"/>
      <c r="S126" s="353"/>
      <c r="T126" s="354"/>
      <c r="U126" s="43"/>
      <c r="V126" s="353"/>
      <c r="W126" s="353"/>
      <c r="X126" s="354"/>
      <c r="Y126" s="355"/>
      <c r="Z126" s="355"/>
      <c r="AA126" s="355"/>
      <c r="AB126" s="355"/>
      <c r="AC126" s="355"/>
      <c r="AD126" s="355"/>
      <c r="AE126" s="355"/>
      <c r="AF126" s="355"/>
      <c r="AG126" s="355"/>
      <c r="AH126" s="355"/>
      <c r="AI126" s="355"/>
      <c r="AJ126" s="355"/>
      <c r="AK126" s="355"/>
      <c r="AL126" s="355"/>
      <c r="AM126" s="355"/>
      <c r="AN126" s="355"/>
      <c r="AO126" s="355"/>
      <c r="AP126" s="355"/>
      <c r="AQ126" s="355"/>
      <c r="AR126" s="355"/>
      <c r="AS126" s="355"/>
      <c r="AT126" s="355"/>
      <c r="AU126" s="355"/>
      <c r="AV126" s="355"/>
      <c r="AW126" s="355"/>
      <c r="AX126" s="355"/>
      <c r="AY126" s="355"/>
      <c r="AZ126" s="355"/>
      <c r="BA126" s="355"/>
      <c r="BB126" s="355"/>
      <c r="BC126" s="355"/>
      <c r="BD126" s="355"/>
      <c r="BE126" s="355"/>
      <c r="BF126" s="355"/>
      <c r="BG126" s="355"/>
      <c r="BH126" s="355"/>
      <c r="BI126" s="355"/>
      <c r="BJ126" s="355"/>
      <c r="BK126" s="355"/>
      <c r="BL126" s="355"/>
      <c r="BM126" s="355"/>
      <c r="BN126" s="355"/>
      <c r="BO126" s="355"/>
      <c r="BP126" s="355"/>
      <c r="BQ126" s="355"/>
      <c r="BR126" s="355"/>
      <c r="BS126" s="355"/>
      <c r="BT126" s="355"/>
      <c r="BU126" s="355"/>
      <c r="BV126" s="355"/>
      <c r="BW126" s="355"/>
      <c r="BX126" s="355"/>
      <c r="BY126" s="355"/>
      <c r="BZ126" s="355"/>
      <c r="CA126" s="355"/>
      <c r="CB126" s="355"/>
      <c r="CC126" s="355"/>
      <c r="CD126" s="355"/>
      <c r="CE126" s="355"/>
      <c r="CF126" s="355"/>
      <c r="CG126" s="355"/>
      <c r="CH126" s="355"/>
      <c r="CI126" s="355"/>
      <c r="CJ126" s="355"/>
      <c r="CK126" s="355"/>
      <c r="CL126" s="355"/>
    </row>
    <row r="127" outlineLevel="1">
      <c r="A127" s="325" t="str">
        <f t="shared" si="13"/>
        <v>TC_01.100</v>
      </c>
      <c r="B127" s="326" t="s">
        <v>73</v>
      </c>
      <c r="C127" s="327" t="s">
        <v>1391</v>
      </c>
      <c r="D127" s="375" t="s">
        <v>1371</v>
      </c>
      <c r="E127" s="329" t="s">
        <v>1392</v>
      </c>
      <c r="F127" s="329" t="s">
        <v>1393</v>
      </c>
      <c r="G127" s="323"/>
      <c r="H127" s="323"/>
      <c r="I127" s="323"/>
      <c r="J127" s="323"/>
      <c r="K127" s="329"/>
      <c r="L127" s="352"/>
      <c r="M127" s="61"/>
      <c r="N127" s="353"/>
      <c r="O127" s="353"/>
      <c r="P127" s="354"/>
      <c r="Q127" s="61"/>
      <c r="R127" s="353"/>
      <c r="S127" s="353"/>
      <c r="T127" s="354"/>
      <c r="U127" s="43"/>
      <c r="V127" s="353"/>
      <c r="W127" s="353"/>
      <c r="X127" s="354"/>
      <c r="Y127" s="355"/>
      <c r="Z127" s="355"/>
      <c r="AA127" s="355"/>
      <c r="AB127" s="355"/>
      <c r="AC127" s="355"/>
      <c r="AD127" s="355"/>
      <c r="AE127" s="355"/>
      <c r="AF127" s="355"/>
      <c r="AG127" s="355"/>
      <c r="AH127" s="355"/>
      <c r="AI127" s="355"/>
      <c r="AJ127" s="355"/>
      <c r="AK127" s="355"/>
      <c r="AL127" s="355"/>
      <c r="AM127" s="355"/>
      <c r="AN127" s="355"/>
      <c r="AO127" s="355"/>
      <c r="AP127" s="355"/>
      <c r="AQ127" s="355"/>
      <c r="AR127" s="355"/>
      <c r="AS127" s="355"/>
      <c r="AT127" s="355"/>
      <c r="AU127" s="355"/>
      <c r="AV127" s="355"/>
      <c r="AW127" s="355"/>
      <c r="AX127" s="355"/>
      <c r="AY127" s="355"/>
      <c r="AZ127" s="355"/>
      <c r="BA127" s="355"/>
      <c r="BB127" s="355"/>
      <c r="BC127" s="355"/>
      <c r="BD127" s="355"/>
      <c r="BE127" s="355"/>
      <c r="BF127" s="355"/>
      <c r="BG127" s="355"/>
      <c r="BH127" s="355"/>
      <c r="BI127" s="355"/>
      <c r="BJ127" s="355"/>
      <c r="BK127" s="355"/>
      <c r="BL127" s="355"/>
      <c r="BM127" s="355"/>
      <c r="BN127" s="355"/>
      <c r="BO127" s="355"/>
      <c r="BP127" s="355"/>
      <c r="BQ127" s="355"/>
      <c r="BR127" s="355"/>
      <c r="BS127" s="355"/>
      <c r="BT127" s="355"/>
      <c r="BU127" s="355"/>
      <c r="BV127" s="355"/>
      <c r="BW127" s="355"/>
      <c r="BX127" s="355"/>
      <c r="BY127" s="355"/>
      <c r="BZ127" s="355"/>
      <c r="CA127" s="355"/>
      <c r="CB127" s="355"/>
      <c r="CC127" s="355"/>
      <c r="CD127" s="355"/>
      <c r="CE127" s="355"/>
      <c r="CF127" s="355"/>
      <c r="CG127" s="355"/>
      <c r="CH127" s="355"/>
      <c r="CI127" s="355"/>
      <c r="CJ127" s="355"/>
      <c r="CK127" s="355"/>
      <c r="CL127" s="355"/>
    </row>
    <row r="128" outlineLevel="1">
      <c r="A128" s="325" t="str">
        <f t="shared" si="13"/>
        <v>TC_01.101</v>
      </c>
      <c r="B128" s="326" t="s">
        <v>73</v>
      </c>
      <c r="C128" s="327" t="s">
        <v>1394</v>
      </c>
      <c r="D128" s="375" t="s">
        <v>1371</v>
      </c>
      <c r="E128" s="329" t="s">
        <v>1395</v>
      </c>
      <c r="F128" s="329" t="s">
        <v>1396</v>
      </c>
      <c r="G128" s="323"/>
      <c r="H128" s="323"/>
      <c r="I128" s="323"/>
      <c r="J128" s="323"/>
      <c r="K128" s="329"/>
      <c r="L128" s="352"/>
      <c r="M128" s="61"/>
      <c r="N128" s="353"/>
      <c r="O128" s="353"/>
      <c r="P128" s="354"/>
      <c r="Q128" s="61"/>
      <c r="R128" s="353"/>
      <c r="S128" s="353"/>
      <c r="T128" s="354"/>
      <c r="U128" s="43"/>
      <c r="V128" s="353"/>
      <c r="W128" s="353"/>
      <c r="X128" s="354"/>
      <c r="Y128" s="355"/>
      <c r="Z128" s="355"/>
      <c r="AA128" s="355"/>
      <c r="AB128" s="355"/>
      <c r="AC128" s="355"/>
      <c r="AD128" s="355"/>
      <c r="AE128" s="355"/>
      <c r="AF128" s="355"/>
      <c r="AG128" s="355"/>
      <c r="AH128" s="355"/>
      <c r="AI128" s="355"/>
      <c r="AJ128" s="355"/>
      <c r="AK128" s="355"/>
      <c r="AL128" s="355"/>
      <c r="AM128" s="355"/>
      <c r="AN128" s="355"/>
      <c r="AO128" s="355"/>
      <c r="AP128" s="355"/>
      <c r="AQ128" s="355"/>
      <c r="AR128" s="355"/>
      <c r="AS128" s="355"/>
      <c r="AT128" s="355"/>
      <c r="AU128" s="355"/>
      <c r="AV128" s="355"/>
      <c r="AW128" s="355"/>
      <c r="AX128" s="355"/>
      <c r="AY128" s="355"/>
      <c r="AZ128" s="355"/>
      <c r="BA128" s="355"/>
      <c r="BB128" s="355"/>
      <c r="BC128" s="355"/>
      <c r="BD128" s="355"/>
      <c r="BE128" s="355"/>
      <c r="BF128" s="355"/>
      <c r="BG128" s="355"/>
      <c r="BH128" s="355"/>
      <c r="BI128" s="355"/>
      <c r="BJ128" s="355"/>
      <c r="BK128" s="355"/>
      <c r="BL128" s="355"/>
      <c r="BM128" s="355"/>
      <c r="BN128" s="355"/>
      <c r="BO128" s="355"/>
      <c r="BP128" s="355"/>
      <c r="BQ128" s="355"/>
      <c r="BR128" s="355"/>
      <c r="BS128" s="355"/>
      <c r="BT128" s="355"/>
      <c r="BU128" s="355"/>
      <c r="BV128" s="355"/>
      <c r="BW128" s="355"/>
      <c r="BX128" s="355"/>
      <c r="BY128" s="355"/>
      <c r="BZ128" s="355"/>
      <c r="CA128" s="355"/>
      <c r="CB128" s="355"/>
      <c r="CC128" s="355"/>
      <c r="CD128" s="355"/>
      <c r="CE128" s="355"/>
      <c r="CF128" s="355"/>
      <c r="CG128" s="355"/>
      <c r="CH128" s="355"/>
      <c r="CI128" s="355"/>
      <c r="CJ128" s="355"/>
      <c r="CK128" s="355"/>
      <c r="CL128" s="355"/>
    </row>
    <row r="129" outlineLevel="1">
      <c r="A129" s="325" t="str">
        <f t="shared" si="13"/>
        <v>TC_01.102</v>
      </c>
      <c r="B129" s="326" t="s">
        <v>73</v>
      </c>
      <c r="C129" s="336" t="s">
        <v>1397</v>
      </c>
      <c r="D129" s="375" t="s">
        <v>1371</v>
      </c>
      <c r="E129" s="329" t="s">
        <v>1398</v>
      </c>
      <c r="F129" s="329" t="s">
        <v>1399</v>
      </c>
      <c r="G129" s="323"/>
      <c r="H129" s="323"/>
      <c r="I129" s="323"/>
      <c r="J129" s="323"/>
      <c r="K129" s="329"/>
      <c r="L129" s="352"/>
      <c r="M129" s="61"/>
      <c r="N129" s="353"/>
      <c r="O129" s="353"/>
      <c r="P129" s="354"/>
      <c r="Q129" s="61"/>
      <c r="R129" s="353"/>
      <c r="S129" s="353"/>
      <c r="T129" s="354"/>
      <c r="U129" s="43"/>
      <c r="V129" s="353"/>
      <c r="W129" s="353"/>
      <c r="X129" s="354"/>
      <c r="Y129" s="355"/>
      <c r="Z129" s="355"/>
      <c r="AA129" s="355"/>
      <c r="AB129" s="355"/>
      <c r="AC129" s="355"/>
      <c r="AD129" s="355"/>
      <c r="AE129" s="355"/>
      <c r="AF129" s="355"/>
      <c r="AG129" s="355"/>
      <c r="AH129" s="355"/>
      <c r="AI129" s="355"/>
      <c r="AJ129" s="355"/>
      <c r="AK129" s="355"/>
      <c r="AL129" s="355"/>
      <c r="AM129" s="355"/>
      <c r="AN129" s="355"/>
      <c r="AO129" s="355"/>
      <c r="AP129" s="355"/>
      <c r="AQ129" s="355"/>
      <c r="AR129" s="355"/>
      <c r="AS129" s="355"/>
      <c r="AT129" s="355"/>
      <c r="AU129" s="355"/>
      <c r="AV129" s="355"/>
      <c r="AW129" s="355"/>
      <c r="AX129" s="355"/>
      <c r="AY129" s="355"/>
      <c r="AZ129" s="355"/>
      <c r="BA129" s="355"/>
      <c r="BB129" s="355"/>
      <c r="BC129" s="355"/>
      <c r="BD129" s="355"/>
      <c r="BE129" s="355"/>
      <c r="BF129" s="355"/>
      <c r="BG129" s="355"/>
      <c r="BH129" s="355"/>
      <c r="BI129" s="355"/>
      <c r="BJ129" s="355"/>
      <c r="BK129" s="355"/>
      <c r="BL129" s="355"/>
      <c r="BM129" s="355"/>
      <c r="BN129" s="355"/>
      <c r="BO129" s="355"/>
      <c r="BP129" s="355"/>
      <c r="BQ129" s="355"/>
      <c r="BR129" s="355"/>
      <c r="BS129" s="355"/>
      <c r="BT129" s="355"/>
      <c r="BU129" s="355"/>
      <c r="BV129" s="355"/>
      <c r="BW129" s="355"/>
      <c r="BX129" s="355"/>
      <c r="BY129" s="355"/>
      <c r="BZ129" s="355"/>
      <c r="CA129" s="355"/>
      <c r="CB129" s="355"/>
      <c r="CC129" s="355"/>
      <c r="CD129" s="355"/>
      <c r="CE129" s="355"/>
      <c r="CF129" s="355"/>
      <c r="CG129" s="355"/>
      <c r="CH129" s="355"/>
      <c r="CI129" s="355"/>
      <c r="CJ129" s="355"/>
      <c r="CK129" s="355"/>
      <c r="CL129" s="355"/>
    </row>
    <row r="130" outlineLevel="1">
      <c r="A130" s="325" t="str">
        <f t="shared" si="13"/>
        <v>TC_01.103</v>
      </c>
      <c r="B130" s="326" t="s">
        <v>73</v>
      </c>
      <c r="C130" s="336" t="s">
        <v>1400</v>
      </c>
      <c r="D130" s="375" t="s">
        <v>1371</v>
      </c>
      <c r="E130" s="329" t="s">
        <v>1401</v>
      </c>
      <c r="F130" s="329" t="s">
        <v>1402</v>
      </c>
      <c r="G130" s="323"/>
      <c r="H130" s="323"/>
      <c r="I130" s="323"/>
      <c r="J130" s="323"/>
      <c r="K130" s="329"/>
      <c r="L130" s="352"/>
      <c r="M130" s="61"/>
      <c r="N130" s="353"/>
      <c r="O130" s="353"/>
      <c r="P130" s="354"/>
      <c r="Q130" s="61"/>
      <c r="R130" s="353"/>
      <c r="S130" s="353"/>
      <c r="T130" s="354"/>
      <c r="U130" s="43"/>
      <c r="V130" s="353"/>
      <c r="W130" s="353"/>
      <c r="X130" s="354"/>
      <c r="Y130" s="355"/>
      <c r="Z130" s="355"/>
      <c r="AA130" s="355"/>
      <c r="AB130" s="355"/>
      <c r="AC130" s="355"/>
      <c r="AD130" s="355"/>
      <c r="AE130" s="355"/>
      <c r="AF130" s="355"/>
      <c r="AG130" s="355"/>
      <c r="AH130" s="355"/>
      <c r="AI130" s="355"/>
      <c r="AJ130" s="355"/>
      <c r="AK130" s="355"/>
      <c r="AL130" s="355"/>
      <c r="AM130" s="355"/>
      <c r="AN130" s="355"/>
      <c r="AO130" s="355"/>
      <c r="AP130" s="355"/>
      <c r="AQ130" s="355"/>
      <c r="AR130" s="355"/>
      <c r="AS130" s="355"/>
      <c r="AT130" s="355"/>
      <c r="AU130" s="355"/>
      <c r="AV130" s="355"/>
      <c r="AW130" s="355"/>
      <c r="AX130" s="355"/>
      <c r="AY130" s="355"/>
      <c r="AZ130" s="355"/>
      <c r="BA130" s="355"/>
      <c r="BB130" s="355"/>
      <c r="BC130" s="355"/>
      <c r="BD130" s="355"/>
      <c r="BE130" s="355"/>
      <c r="BF130" s="355"/>
      <c r="BG130" s="355"/>
      <c r="BH130" s="355"/>
      <c r="BI130" s="355"/>
      <c r="BJ130" s="355"/>
      <c r="BK130" s="355"/>
      <c r="BL130" s="355"/>
      <c r="BM130" s="355"/>
      <c r="BN130" s="355"/>
      <c r="BO130" s="355"/>
      <c r="BP130" s="355"/>
      <c r="BQ130" s="355"/>
      <c r="BR130" s="355"/>
      <c r="BS130" s="355"/>
      <c r="BT130" s="355"/>
      <c r="BU130" s="355"/>
      <c r="BV130" s="355"/>
      <c r="BW130" s="355"/>
      <c r="BX130" s="355"/>
      <c r="BY130" s="355"/>
      <c r="BZ130" s="355"/>
      <c r="CA130" s="355"/>
      <c r="CB130" s="355"/>
      <c r="CC130" s="355"/>
      <c r="CD130" s="355"/>
      <c r="CE130" s="355"/>
      <c r="CF130" s="355"/>
      <c r="CG130" s="355"/>
      <c r="CH130" s="355"/>
      <c r="CI130" s="355"/>
      <c r="CJ130" s="355"/>
      <c r="CK130" s="355"/>
      <c r="CL130" s="355"/>
    </row>
    <row r="131" outlineLevel="1">
      <c r="A131" s="325" t="str">
        <f t="shared" si="13"/>
        <v>TC_01.104</v>
      </c>
      <c r="B131" s="326" t="s">
        <v>73</v>
      </c>
      <c r="C131" s="336" t="s">
        <v>1403</v>
      </c>
      <c r="D131" s="375" t="s">
        <v>1371</v>
      </c>
      <c r="E131" s="329" t="s">
        <v>1404</v>
      </c>
      <c r="F131" s="329" t="s">
        <v>1405</v>
      </c>
      <c r="G131" s="323"/>
      <c r="H131" s="323"/>
      <c r="I131" s="323"/>
      <c r="J131" s="323"/>
      <c r="K131" s="329"/>
      <c r="L131" s="352"/>
      <c r="M131" s="61"/>
      <c r="N131" s="353"/>
      <c r="O131" s="353"/>
      <c r="P131" s="354"/>
      <c r="Q131" s="61"/>
      <c r="R131" s="353"/>
      <c r="S131" s="353"/>
      <c r="T131" s="354"/>
      <c r="U131" s="43"/>
      <c r="V131" s="353"/>
      <c r="W131" s="353"/>
      <c r="X131" s="354"/>
      <c r="Y131" s="355"/>
      <c r="Z131" s="355"/>
      <c r="AA131" s="355"/>
      <c r="AB131" s="355"/>
      <c r="AC131" s="355"/>
      <c r="AD131" s="355"/>
      <c r="AE131" s="355"/>
      <c r="AF131" s="355"/>
      <c r="AG131" s="355"/>
      <c r="AH131" s="355"/>
      <c r="AI131" s="355"/>
      <c r="AJ131" s="355"/>
      <c r="AK131" s="355"/>
      <c r="AL131" s="355"/>
      <c r="AM131" s="355"/>
      <c r="AN131" s="355"/>
      <c r="AO131" s="355"/>
      <c r="AP131" s="355"/>
      <c r="AQ131" s="355"/>
      <c r="AR131" s="355"/>
      <c r="AS131" s="355"/>
      <c r="AT131" s="355"/>
      <c r="AU131" s="355"/>
      <c r="AV131" s="355"/>
      <c r="AW131" s="355"/>
      <c r="AX131" s="355"/>
      <c r="AY131" s="355"/>
      <c r="AZ131" s="355"/>
      <c r="BA131" s="355"/>
      <c r="BB131" s="355"/>
      <c r="BC131" s="355"/>
      <c r="BD131" s="355"/>
      <c r="BE131" s="355"/>
      <c r="BF131" s="355"/>
      <c r="BG131" s="355"/>
      <c r="BH131" s="355"/>
      <c r="BI131" s="355"/>
      <c r="BJ131" s="355"/>
      <c r="BK131" s="355"/>
      <c r="BL131" s="355"/>
      <c r="BM131" s="355"/>
      <c r="BN131" s="355"/>
      <c r="BO131" s="355"/>
      <c r="BP131" s="355"/>
      <c r="BQ131" s="355"/>
      <c r="BR131" s="355"/>
      <c r="BS131" s="355"/>
      <c r="BT131" s="355"/>
      <c r="BU131" s="355"/>
      <c r="BV131" s="355"/>
      <c r="BW131" s="355"/>
      <c r="BX131" s="355"/>
      <c r="BY131" s="355"/>
      <c r="BZ131" s="355"/>
      <c r="CA131" s="355"/>
      <c r="CB131" s="355"/>
      <c r="CC131" s="355"/>
      <c r="CD131" s="355"/>
      <c r="CE131" s="355"/>
      <c r="CF131" s="355"/>
      <c r="CG131" s="355"/>
      <c r="CH131" s="355"/>
      <c r="CI131" s="355"/>
      <c r="CJ131" s="355"/>
      <c r="CK131" s="355"/>
      <c r="CL131" s="355"/>
    </row>
    <row r="132" outlineLevel="1">
      <c r="A132" s="325" t="str">
        <f t="shared" si="13"/>
        <v>TC_01.105</v>
      </c>
      <c r="B132" s="326" t="s">
        <v>73</v>
      </c>
      <c r="C132" s="336" t="s">
        <v>1406</v>
      </c>
      <c r="D132" s="375" t="s">
        <v>1371</v>
      </c>
      <c r="E132" s="329" t="s">
        <v>1407</v>
      </c>
      <c r="F132" s="329" t="s">
        <v>1408</v>
      </c>
      <c r="G132" s="323"/>
      <c r="H132" s="323"/>
      <c r="I132" s="323"/>
      <c r="J132" s="323"/>
      <c r="K132" s="331"/>
      <c r="L132" s="352"/>
      <c r="M132" s="61"/>
      <c r="N132" s="353"/>
      <c r="O132" s="353"/>
      <c r="P132" s="354"/>
      <c r="Q132" s="61"/>
      <c r="R132" s="353"/>
      <c r="S132" s="353"/>
      <c r="T132" s="354"/>
      <c r="U132" s="43"/>
      <c r="V132" s="353"/>
      <c r="W132" s="353"/>
      <c r="X132" s="354"/>
      <c r="Y132" s="355"/>
      <c r="Z132" s="355"/>
      <c r="AA132" s="355"/>
      <c r="AB132" s="355"/>
      <c r="AC132" s="355"/>
      <c r="AD132" s="355"/>
      <c r="AE132" s="355"/>
      <c r="AF132" s="355"/>
      <c r="AG132" s="355"/>
      <c r="AH132" s="355"/>
      <c r="AI132" s="355"/>
      <c r="AJ132" s="355"/>
      <c r="AK132" s="355"/>
      <c r="AL132" s="355"/>
      <c r="AM132" s="355"/>
      <c r="AN132" s="355"/>
      <c r="AO132" s="355"/>
      <c r="AP132" s="355"/>
      <c r="AQ132" s="355"/>
      <c r="AR132" s="355"/>
      <c r="AS132" s="355"/>
      <c r="AT132" s="355"/>
      <c r="AU132" s="355"/>
      <c r="AV132" s="355"/>
      <c r="AW132" s="355"/>
      <c r="AX132" s="355"/>
      <c r="AY132" s="355"/>
      <c r="AZ132" s="355"/>
      <c r="BA132" s="355"/>
      <c r="BB132" s="355"/>
      <c r="BC132" s="355"/>
      <c r="BD132" s="355"/>
      <c r="BE132" s="355"/>
      <c r="BF132" s="355"/>
      <c r="BG132" s="355"/>
      <c r="BH132" s="355"/>
      <c r="BI132" s="355"/>
      <c r="BJ132" s="355"/>
      <c r="BK132" s="355"/>
      <c r="BL132" s="355"/>
      <c r="BM132" s="355"/>
      <c r="BN132" s="355"/>
      <c r="BO132" s="355"/>
      <c r="BP132" s="355"/>
      <c r="BQ132" s="355"/>
      <c r="BR132" s="355"/>
      <c r="BS132" s="355"/>
      <c r="BT132" s="355"/>
      <c r="BU132" s="355"/>
      <c r="BV132" s="355"/>
      <c r="BW132" s="355"/>
      <c r="BX132" s="355"/>
      <c r="BY132" s="355"/>
      <c r="BZ132" s="355"/>
      <c r="CA132" s="355"/>
      <c r="CB132" s="355"/>
      <c r="CC132" s="355"/>
      <c r="CD132" s="355"/>
      <c r="CE132" s="355"/>
      <c r="CF132" s="355"/>
      <c r="CG132" s="355"/>
      <c r="CH132" s="355"/>
      <c r="CI132" s="355"/>
      <c r="CJ132" s="355"/>
      <c r="CK132" s="355"/>
      <c r="CL132" s="355"/>
    </row>
    <row r="133" outlineLevel="1">
      <c r="A133" s="325" t="str">
        <f t="shared" si="13"/>
        <v>TC_01.106</v>
      </c>
      <c r="B133" s="326" t="s">
        <v>73</v>
      </c>
      <c r="C133" s="336" t="s">
        <v>1409</v>
      </c>
      <c r="D133" s="329" t="s">
        <v>1410</v>
      </c>
      <c r="E133" s="329" t="s">
        <v>1411</v>
      </c>
      <c r="F133" s="329" t="s">
        <v>1412</v>
      </c>
      <c r="G133" s="323"/>
      <c r="H133" s="323"/>
      <c r="I133" s="323"/>
      <c r="J133" s="323"/>
      <c r="K133" s="331"/>
      <c r="L133" s="352"/>
      <c r="M133" s="61"/>
      <c r="N133" s="353"/>
      <c r="O133" s="353"/>
      <c r="P133" s="354"/>
      <c r="Q133" s="61"/>
      <c r="R133" s="353"/>
      <c r="S133" s="353"/>
      <c r="T133" s="354"/>
      <c r="U133" s="43"/>
      <c r="V133" s="353"/>
      <c r="W133" s="353"/>
      <c r="X133" s="354"/>
      <c r="Y133" s="355"/>
      <c r="Z133" s="355"/>
      <c r="AA133" s="355"/>
      <c r="AB133" s="355"/>
      <c r="AC133" s="355"/>
      <c r="AD133" s="355"/>
      <c r="AE133" s="355"/>
      <c r="AF133" s="355"/>
      <c r="AG133" s="355"/>
      <c r="AH133" s="355"/>
      <c r="AI133" s="355"/>
      <c r="AJ133" s="355"/>
      <c r="AK133" s="355"/>
      <c r="AL133" s="355"/>
      <c r="AM133" s="355"/>
      <c r="AN133" s="355"/>
      <c r="AO133" s="355"/>
      <c r="AP133" s="355"/>
      <c r="AQ133" s="355"/>
      <c r="AR133" s="355"/>
      <c r="AS133" s="355"/>
      <c r="AT133" s="355"/>
      <c r="AU133" s="355"/>
      <c r="AV133" s="355"/>
      <c r="AW133" s="355"/>
      <c r="AX133" s="355"/>
      <c r="AY133" s="355"/>
      <c r="AZ133" s="355"/>
      <c r="BA133" s="355"/>
      <c r="BB133" s="355"/>
      <c r="BC133" s="355"/>
      <c r="BD133" s="355"/>
      <c r="BE133" s="355"/>
      <c r="BF133" s="355"/>
      <c r="BG133" s="355"/>
      <c r="BH133" s="355"/>
      <c r="BI133" s="355"/>
      <c r="BJ133" s="355"/>
      <c r="BK133" s="355"/>
      <c r="BL133" s="355"/>
      <c r="BM133" s="355"/>
      <c r="BN133" s="355"/>
      <c r="BO133" s="355"/>
      <c r="BP133" s="355"/>
      <c r="BQ133" s="355"/>
      <c r="BR133" s="355"/>
      <c r="BS133" s="355"/>
      <c r="BT133" s="355"/>
      <c r="BU133" s="355"/>
      <c r="BV133" s="355"/>
      <c r="BW133" s="355"/>
      <c r="BX133" s="355"/>
      <c r="BY133" s="355"/>
      <c r="BZ133" s="355"/>
      <c r="CA133" s="355"/>
      <c r="CB133" s="355"/>
      <c r="CC133" s="355"/>
      <c r="CD133" s="355"/>
      <c r="CE133" s="355"/>
      <c r="CF133" s="355"/>
      <c r="CG133" s="355"/>
      <c r="CH133" s="355"/>
      <c r="CI133" s="355"/>
      <c r="CJ133" s="355"/>
      <c r="CK133" s="355"/>
      <c r="CL133" s="355"/>
    </row>
    <row r="134" outlineLevel="1">
      <c r="A134" s="325" t="str">
        <f t="shared" si="13"/>
        <v>TC_01.107</v>
      </c>
      <c r="B134" s="326" t="s">
        <v>73</v>
      </c>
      <c r="C134" s="336" t="s">
        <v>1413</v>
      </c>
      <c r="D134" s="375" t="s">
        <v>1371</v>
      </c>
      <c r="E134" s="329" t="s">
        <v>1414</v>
      </c>
      <c r="F134" s="329" t="s">
        <v>1415</v>
      </c>
      <c r="G134" s="323"/>
      <c r="H134" s="323"/>
      <c r="I134" s="323"/>
      <c r="J134" s="323"/>
      <c r="K134" s="329"/>
      <c r="L134" s="352"/>
      <c r="M134" s="61"/>
      <c r="N134" s="353"/>
      <c r="O134" s="353"/>
      <c r="P134" s="354"/>
      <c r="Q134" s="61"/>
      <c r="R134" s="353"/>
      <c r="S134" s="353"/>
      <c r="T134" s="354"/>
      <c r="U134" s="43"/>
      <c r="V134" s="353"/>
      <c r="W134" s="353"/>
      <c r="X134" s="354"/>
      <c r="Y134" s="355"/>
      <c r="Z134" s="355"/>
      <c r="AA134" s="355"/>
      <c r="AB134" s="355"/>
      <c r="AC134" s="355"/>
      <c r="AD134" s="355"/>
      <c r="AE134" s="355"/>
      <c r="AF134" s="355"/>
      <c r="AG134" s="355"/>
      <c r="AH134" s="355"/>
      <c r="AI134" s="355"/>
      <c r="AJ134" s="355"/>
      <c r="AK134" s="355"/>
      <c r="AL134" s="355"/>
      <c r="AM134" s="355"/>
      <c r="AN134" s="355"/>
      <c r="AO134" s="355"/>
      <c r="AP134" s="355"/>
      <c r="AQ134" s="355"/>
      <c r="AR134" s="355"/>
      <c r="AS134" s="355"/>
      <c r="AT134" s="355"/>
      <c r="AU134" s="355"/>
      <c r="AV134" s="355"/>
      <c r="AW134" s="355"/>
      <c r="AX134" s="355"/>
      <c r="AY134" s="355"/>
      <c r="AZ134" s="355"/>
      <c r="BA134" s="355"/>
      <c r="BB134" s="355"/>
      <c r="BC134" s="355"/>
      <c r="BD134" s="355"/>
      <c r="BE134" s="355"/>
      <c r="BF134" s="355"/>
      <c r="BG134" s="355"/>
      <c r="BH134" s="355"/>
      <c r="BI134" s="355"/>
      <c r="BJ134" s="355"/>
      <c r="BK134" s="355"/>
      <c r="BL134" s="355"/>
      <c r="BM134" s="355"/>
      <c r="BN134" s="355"/>
      <c r="BO134" s="355"/>
      <c r="BP134" s="355"/>
      <c r="BQ134" s="355"/>
      <c r="BR134" s="355"/>
      <c r="BS134" s="355"/>
      <c r="BT134" s="355"/>
      <c r="BU134" s="355"/>
      <c r="BV134" s="355"/>
      <c r="BW134" s="355"/>
      <c r="BX134" s="355"/>
      <c r="BY134" s="355"/>
      <c r="BZ134" s="355"/>
      <c r="CA134" s="355"/>
      <c r="CB134" s="355"/>
      <c r="CC134" s="355"/>
      <c r="CD134" s="355"/>
      <c r="CE134" s="355"/>
      <c r="CF134" s="355"/>
      <c r="CG134" s="355"/>
      <c r="CH134" s="355"/>
      <c r="CI134" s="355"/>
      <c r="CJ134" s="355"/>
      <c r="CK134" s="355"/>
      <c r="CL134" s="355"/>
    </row>
    <row r="135" outlineLevel="1">
      <c r="A135" s="325" t="str">
        <f t="shared" si="13"/>
        <v>TC_01.108</v>
      </c>
      <c r="B135" s="326" t="s">
        <v>73</v>
      </c>
      <c r="C135" s="336" t="s">
        <v>1416</v>
      </c>
      <c r="D135" s="375" t="s">
        <v>1371</v>
      </c>
      <c r="E135" s="329" t="s">
        <v>1417</v>
      </c>
      <c r="F135" s="329" t="s">
        <v>1418</v>
      </c>
      <c r="G135" s="323"/>
      <c r="H135" s="323"/>
      <c r="I135" s="323"/>
      <c r="J135" s="323"/>
      <c r="K135" s="331"/>
      <c r="L135" s="352"/>
      <c r="M135" s="61"/>
      <c r="N135" s="353"/>
      <c r="O135" s="353"/>
      <c r="P135" s="354"/>
      <c r="Q135" s="61"/>
      <c r="R135" s="353"/>
      <c r="S135" s="353"/>
      <c r="T135" s="354"/>
      <c r="U135" s="43"/>
      <c r="V135" s="353"/>
      <c r="W135" s="353"/>
      <c r="X135" s="354"/>
      <c r="Y135" s="355"/>
      <c r="Z135" s="355"/>
      <c r="AA135" s="355"/>
      <c r="AB135" s="355"/>
      <c r="AC135" s="355"/>
      <c r="AD135" s="355"/>
      <c r="AE135" s="355"/>
      <c r="AF135" s="355"/>
      <c r="AG135" s="355"/>
      <c r="AH135" s="355"/>
      <c r="AI135" s="355"/>
      <c r="AJ135" s="355"/>
      <c r="AK135" s="355"/>
      <c r="AL135" s="355"/>
      <c r="AM135" s="355"/>
      <c r="AN135" s="355"/>
      <c r="AO135" s="355"/>
      <c r="AP135" s="355"/>
      <c r="AQ135" s="355"/>
      <c r="AR135" s="355"/>
      <c r="AS135" s="355"/>
      <c r="AT135" s="355"/>
      <c r="AU135" s="355"/>
      <c r="AV135" s="355"/>
      <c r="AW135" s="355"/>
      <c r="AX135" s="355"/>
      <c r="AY135" s="355"/>
      <c r="AZ135" s="355"/>
      <c r="BA135" s="355"/>
      <c r="BB135" s="355"/>
      <c r="BC135" s="355"/>
      <c r="BD135" s="355"/>
      <c r="BE135" s="355"/>
      <c r="BF135" s="355"/>
      <c r="BG135" s="355"/>
      <c r="BH135" s="355"/>
      <c r="BI135" s="355"/>
      <c r="BJ135" s="355"/>
      <c r="BK135" s="355"/>
      <c r="BL135" s="355"/>
      <c r="BM135" s="355"/>
      <c r="BN135" s="355"/>
      <c r="BO135" s="355"/>
      <c r="BP135" s="355"/>
      <c r="BQ135" s="355"/>
      <c r="BR135" s="355"/>
      <c r="BS135" s="355"/>
      <c r="BT135" s="355"/>
      <c r="BU135" s="355"/>
      <c r="BV135" s="355"/>
      <c r="BW135" s="355"/>
      <c r="BX135" s="355"/>
      <c r="BY135" s="355"/>
      <c r="BZ135" s="355"/>
      <c r="CA135" s="355"/>
      <c r="CB135" s="355"/>
      <c r="CC135" s="355"/>
      <c r="CD135" s="355"/>
      <c r="CE135" s="355"/>
      <c r="CF135" s="355"/>
      <c r="CG135" s="355"/>
      <c r="CH135" s="355"/>
      <c r="CI135" s="355"/>
      <c r="CJ135" s="355"/>
      <c r="CK135" s="355"/>
      <c r="CL135" s="355"/>
    </row>
    <row r="136">
      <c r="A136" s="324" t="s">
        <v>1419</v>
      </c>
      <c r="B136" s="148"/>
      <c r="C136" s="148"/>
      <c r="D136" s="148"/>
      <c r="E136" s="148"/>
      <c r="F136" s="171"/>
      <c r="G136" s="430"/>
      <c r="H136" s="430"/>
      <c r="I136" s="430"/>
      <c r="J136" s="267"/>
      <c r="K136" s="321"/>
      <c r="L136" s="321"/>
      <c r="M136" s="321"/>
      <c r="N136" s="321"/>
      <c r="O136" s="321"/>
      <c r="P136" s="321"/>
      <c r="Q136" s="321"/>
      <c r="R136" s="321"/>
      <c r="S136" s="321"/>
      <c r="T136" s="321"/>
      <c r="U136" s="373"/>
      <c r="V136" s="321"/>
      <c r="W136" s="321"/>
      <c r="X136" s="321"/>
      <c r="Y136" s="374"/>
      <c r="Z136" s="374"/>
      <c r="AA136" s="374"/>
      <c r="AB136" s="374"/>
      <c r="AC136" s="374"/>
      <c r="AD136" s="374"/>
      <c r="AE136" s="374"/>
      <c r="AF136" s="374"/>
      <c r="AG136" s="374"/>
      <c r="AH136" s="374"/>
      <c r="AI136" s="374"/>
      <c r="AJ136" s="374"/>
      <c r="AK136" s="374"/>
      <c r="AL136" s="374"/>
      <c r="AM136" s="374"/>
      <c r="AN136" s="374"/>
      <c r="AO136" s="374"/>
      <c r="AP136" s="374"/>
      <c r="AQ136" s="374"/>
      <c r="AR136" s="374"/>
      <c r="AS136" s="374"/>
      <c r="AT136" s="374"/>
      <c r="AU136" s="374"/>
      <c r="AV136" s="374"/>
      <c r="AW136" s="374"/>
      <c r="AX136" s="374"/>
      <c r="AY136" s="374"/>
      <c r="AZ136" s="374"/>
      <c r="BA136" s="374"/>
      <c r="BB136" s="374"/>
      <c r="BC136" s="374"/>
      <c r="BD136" s="374"/>
      <c r="BE136" s="374"/>
      <c r="BF136" s="374"/>
      <c r="BG136" s="374"/>
      <c r="BH136" s="374"/>
      <c r="BI136" s="374"/>
      <c r="BJ136" s="374"/>
      <c r="BK136" s="374"/>
      <c r="BL136" s="374"/>
      <c r="BM136" s="374"/>
      <c r="BN136" s="374"/>
      <c r="BO136" s="374"/>
      <c r="BP136" s="374"/>
      <c r="BQ136" s="374"/>
      <c r="BR136" s="374"/>
      <c r="BS136" s="374"/>
      <c r="BT136" s="374"/>
      <c r="BU136" s="374"/>
      <c r="BV136" s="374"/>
      <c r="BW136" s="374"/>
      <c r="BX136" s="374"/>
      <c r="BY136" s="374"/>
      <c r="BZ136" s="374"/>
      <c r="CA136" s="374"/>
      <c r="CB136" s="374"/>
      <c r="CC136" s="374"/>
      <c r="CD136" s="374"/>
      <c r="CE136" s="374"/>
      <c r="CF136" s="374"/>
      <c r="CG136" s="374"/>
      <c r="CH136" s="374"/>
      <c r="CI136" s="374"/>
      <c r="CJ136" s="374"/>
      <c r="CK136" s="374"/>
      <c r="CL136" s="374"/>
    </row>
    <row r="137" outlineLevel="1">
      <c r="A137" s="353" t="str">
        <f t="shared" ref="A137:A147" si="14">IF(E137="","",$C$3&amp;"."&amp;COUNTA($E$9:E137)&amp;"")</f>
        <v>TC_01.109</v>
      </c>
      <c r="B137" s="422" t="s">
        <v>75</v>
      </c>
      <c r="C137" s="426" t="s">
        <v>1420</v>
      </c>
      <c r="D137" s="375" t="s">
        <v>1371</v>
      </c>
      <c r="E137" s="431" t="s">
        <v>1421</v>
      </c>
      <c r="F137" s="432" t="s">
        <v>1422</v>
      </c>
      <c r="G137" s="323"/>
      <c r="H137" s="433"/>
      <c r="I137" s="433"/>
      <c r="J137" s="44"/>
      <c r="K137" s="331"/>
      <c r="L137" s="352"/>
      <c r="M137" s="61"/>
      <c r="N137" s="354"/>
      <c r="O137" s="61"/>
      <c r="P137" s="353"/>
      <c r="Q137" s="353"/>
      <c r="R137" s="354"/>
      <c r="S137" s="43"/>
      <c r="T137" s="353"/>
      <c r="U137" s="353"/>
      <c r="V137" s="354"/>
      <c r="W137" s="355"/>
      <c r="X137" s="355"/>
      <c r="Y137" s="355"/>
      <c r="Z137" s="355"/>
      <c r="AA137" s="355"/>
      <c r="AB137" s="355"/>
      <c r="AC137" s="355"/>
      <c r="AD137" s="355"/>
      <c r="AE137" s="355"/>
      <c r="AF137" s="355"/>
      <c r="AG137" s="355"/>
      <c r="AH137" s="355"/>
      <c r="AI137" s="355"/>
      <c r="AJ137" s="355"/>
      <c r="AK137" s="355"/>
      <c r="AL137" s="355"/>
      <c r="AM137" s="355"/>
      <c r="AN137" s="355"/>
      <c r="AO137" s="355"/>
      <c r="AP137" s="355"/>
      <c r="AQ137" s="355"/>
      <c r="AR137" s="355"/>
      <c r="AS137" s="355"/>
      <c r="AT137" s="355"/>
      <c r="AU137" s="355"/>
      <c r="AV137" s="355"/>
      <c r="AW137" s="355"/>
      <c r="AX137" s="355"/>
      <c r="AY137" s="355"/>
      <c r="AZ137" s="355"/>
      <c r="BA137" s="355"/>
      <c r="BB137" s="355"/>
      <c r="BC137" s="355"/>
      <c r="BD137" s="355"/>
      <c r="BE137" s="355"/>
      <c r="BF137" s="355"/>
      <c r="BG137" s="355"/>
      <c r="BH137" s="355"/>
      <c r="BI137" s="355"/>
      <c r="BJ137" s="355"/>
      <c r="BK137" s="355"/>
      <c r="BL137" s="355"/>
      <c r="BM137" s="355"/>
      <c r="BN137" s="355"/>
      <c r="BO137" s="355"/>
      <c r="BP137" s="355"/>
      <c r="BQ137" s="355"/>
      <c r="BR137" s="355"/>
      <c r="BS137" s="355"/>
      <c r="BT137" s="355"/>
      <c r="BU137" s="355"/>
      <c r="BV137" s="355"/>
      <c r="BW137" s="355"/>
      <c r="BX137" s="355"/>
      <c r="BY137" s="355"/>
      <c r="BZ137" s="355"/>
      <c r="CA137" s="355"/>
      <c r="CB137" s="355"/>
      <c r="CC137" s="355"/>
      <c r="CD137" s="355"/>
      <c r="CE137" s="355"/>
      <c r="CF137" s="355"/>
      <c r="CG137" s="355"/>
      <c r="CH137" s="355"/>
      <c r="CI137" s="355"/>
      <c r="CJ137" s="355"/>
      <c r="CK137" s="355"/>
      <c r="CL137" s="355"/>
    </row>
    <row r="138" outlineLevel="1">
      <c r="A138" s="353" t="str">
        <f t="shared" si="14"/>
        <v>TC_01.110</v>
      </c>
      <c r="B138" s="422" t="s">
        <v>75</v>
      </c>
      <c r="C138" s="426" t="s">
        <v>1423</v>
      </c>
      <c r="D138" s="375" t="s">
        <v>1371</v>
      </c>
      <c r="E138" s="431" t="s">
        <v>1424</v>
      </c>
      <c r="F138" s="425" t="s">
        <v>1425</v>
      </c>
      <c r="G138" s="323"/>
      <c r="H138" s="433"/>
      <c r="I138" s="433"/>
      <c r="J138" s="44"/>
      <c r="K138" s="331"/>
      <c r="L138" s="352"/>
      <c r="M138" s="61"/>
      <c r="N138" s="354"/>
      <c r="O138" s="61"/>
      <c r="P138" s="353"/>
      <c r="Q138" s="353"/>
      <c r="R138" s="354"/>
      <c r="S138" s="43"/>
      <c r="T138" s="353"/>
      <c r="U138" s="353"/>
      <c r="V138" s="354"/>
      <c r="W138" s="355"/>
      <c r="X138" s="355"/>
      <c r="Y138" s="355"/>
      <c r="Z138" s="355"/>
      <c r="AA138" s="355"/>
      <c r="AB138" s="355"/>
      <c r="AC138" s="355"/>
      <c r="AD138" s="355"/>
      <c r="AE138" s="355"/>
      <c r="AF138" s="355"/>
      <c r="AG138" s="355"/>
      <c r="AH138" s="355"/>
      <c r="AI138" s="355"/>
      <c r="AJ138" s="355"/>
      <c r="AK138" s="355"/>
      <c r="AL138" s="355"/>
      <c r="AM138" s="355"/>
      <c r="AN138" s="355"/>
      <c r="AO138" s="355"/>
      <c r="AP138" s="355"/>
      <c r="AQ138" s="355"/>
      <c r="AR138" s="355"/>
      <c r="AS138" s="355"/>
      <c r="AT138" s="355"/>
      <c r="AU138" s="355"/>
      <c r="AV138" s="355"/>
      <c r="AW138" s="355"/>
      <c r="AX138" s="355"/>
      <c r="AY138" s="355"/>
      <c r="AZ138" s="355"/>
      <c r="BA138" s="355"/>
      <c r="BB138" s="355"/>
      <c r="BC138" s="355"/>
      <c r="BD138" s="355"/>
      <c r="BE138" s="355"/>
      <c r="BF138" s="355"/>
      <c r="BG138" s="355"/>
      <c r="BH138" s="355"/>
      <c r="BI138" s="355"/>
      <c r="BJ138" s="355"/>
      <c r="BK138" s="355"/>
      <c r="BL138" s="355"/>
      <c r="BM138" s="355"/>
      <c r="BN138" s="355"/>
      <c r="BO138" s="355"/>
      <c r="BP138" s="355"/>
      <c r="BQ138" s="355"/>
      <c r="BR138" s="355"/>
      <c r="BS138" s="355"/>
      <c r="BT138" s="355"/>
      <c r="BU138" s="355"/>
      <c r="BV138" s="355"/>
      <c r="BW138" s="355"/>
      <c r="BX138" s="355"/>
      <c r="BY138" s="355"/>
      <c r="BZ138" s="355"/>
      <c r="CA138" s="355"/>
      <c r="CB138" s="355"/>
      <c r="CC138" s="355"/>
      <c r="CD138" s="355"/>
      <c r="CE138" s="355"/>
      <c r="CF138" s="355"/>
      <c r="CG138" s="355"/>
      <c r="CH138" s="355"/>
      <c r="CI138" s="355"/>
      <c r="CJ138" s="355"/>
      <c r="CK138" s="355"/>
      <c r="CL138" s="355"/>
    </row>
    <row r="139" outlineLevel="1">
      <c r="A139" s="353" t="str">
        <f t="shared" si="14"/>
        <v>TC_01.111</v>
      </c>
      <c r="B139" s="422" t="s">
        <v>75</v>
      </c>
      <c r="C139" s="421" t="s">
        <v>1426</v>
      </c>
      <c r="D139" s="375" t="s">
        <v>1371</v>
      </c>
      <c r="E139" s="431" t="s">
        <v>1427</v>
      </c>
      <c r="F139" s="419" t="s">
        <v>1428</v>
      </c>
      <c r="G139" s="323"/>
      <c r="H139" s="433"/>
      <c r="I139" s="433"/>
      <c r="J139" s="44"/>
      <c r="K139" s="331"/>
      <c r="L139" s="352"/>
      <c r="M139" s="61"/>
      <c r="N139" s="354"/>
      <c r="O139" s="61"/>
      <c r="P139" s="353"/>
      <c r="Q139" s="353"/>
      <c r="R139" s="354"/>
      <c r="S139" s="43"/>
      <c r="T139" s="353"/>
      <c r="U139" s="353"/>
      <c r="V139" s="354"/>
      <c r="W139" s="355"/>
      <c r="X139" s="355"/>
      <c r="Y139" s="355"/>
      <c r="Z139" s="355"/>
      <c r="AA139" s="355"/>
      <c r="AB139" s="355"/>
      <c r="AC139" s="355"/>
      <c r="AD139" s="355"/>
      <c r="AE139" s="355"/>
      <c r="AF139" s="355"/>
      <c r="AG139" s="355"/>
      <c r="AH139" s="355"/>
      <c r="AI139" s="355"/>
      <c r="AJ139" s="355"/>
      <c r="AK139" s="355"/>
      <c r="AL139" s="355"/>
      <c r="AM139" s="355"/>
      <c r="AN139" s="355"/>
      <c r="AO139" s="355"/>
      <c r="AP139" s="355"/>
      <c r="AQ139" s="355"/>
      <c r="AR139" s="355"/>
      <c r="AS139" s="355"/>
      <c r="AT139" s="355"/>
      <c r="AU139" s="355"/>
      <c r="AV139" s="355"/>
      <c r="AW139" s="355"/>
      <c r="AX139" s="355"/>
      <c r="AY139" s="355"/>
      <c r="AZ139" s="355"/>
      <c r="BA139" s="355"/>
      <c r="BB139" s="355"/>
      <c r="BC139" s="355"/>
      <c r="BD139" s="355"/>
      <c r="BE139" s="355"/>
      <c r="BF139" s="355"/>
      <c r="BG139" s="355"/>
      <c r="BH139" s="355"/>
      <c r="BI139" s="355"/>
      <c r="BJ139" s="355"/>
      <c r="BK139" s="355"/>
      <c r="BL139" s="355"/>
      <c r="BM139" s="355"/>
      <c r="BN139" s="355"/>
      <c r="BO139" s="355"/>
      <c r="BP139" s="355"/>
      <c r="BQ139" s="355"/>
      <c r="BR139" s="355"/>
      <c r="BS139" s="355"/>
      <c r="BT139" s="355"/>
      <c r="BU139" s="355"/>
      <c r="BV139" s="355"/>
      <c r="BW139" s="355"/>
      <c r="BX139" s="355"/>
      <c r="BY139" s="355"/>
      <c r="BZ139" s="355"/>
      <c r="CA139" s="355"/>
      <c r="CB139" s="355"/>
      <c r="CC139" s="355"/>
      <c r="CD139" s="355"/>
      <c r="CE139" s="355"/>
      <c r="CF139" s="355"/>
      <c r="CG139" s="355"/>
      <c r="CH139" s="355"/>
      <c r="CI139" s="355"/>
      <c r="CJ139" s="355"/>
      <c r="CK139" s="355"/>
      <c r="CL139" s="355"/>
    </row>
    <row r="140" outlineLevel="1">
      <c r="A140" s="353" t="str">
        <f t="shared" si="14"/>
        <v>TC_01.112</v>
      </c>
      <c r="B140" s="422" t="s">
        <v>75</v>
      </c>
      <c r="C140" s="434" t="s">
        <v>1429</v>
      </c>
      <c r="D140" s="375" t="s">
        <v>1371</v>
      </c>
      <c r="E140" s="427" t="s">
        <v>1430</v>
      </c>
      <c r="F140" s="432" t="s">
        <v>1431</v>
      </c>
      <c r="G140" s="323"/>
      <c r="H140" s="433"/>
      <c r="I140" s="433"/>
      <c r="J140" s="44"/>
      <c r="K140" s="364"/>
      <c r="L140" s="352"/>
      <c r="M140" s="61"/>
      <c r="N140" s="354"/>
      <c r="O140" s="61"/>
      <c r="P140" s="353"/>
      <c r="Q140" s="353"/>
      <c r="R140" s="354"/>
      <c r="S140" s="43"/>
      <c r="T140" s="353"/>
      <c r="U140" s="353"/>
      <c r="V140" s="354"/>
      <c r="W140" s="355"/>
      <c r="X140" s="355"/>
      <c r="Y140" s="355"/>
      <c r="Z140" s="355"/>
      <c r="AA140" s="355"/>
      <c r="AB140" s="355"/>
      <c r="AC140" s="355"/>
      <c r="AD140" s="355"/>
      <c r="AE140" s="355"/>
      <c r="AF140" s="355"/>
      <c r="AG140" s="355"/>
      <c r="AH140" s="355"/>
      <c r="AI140" s="355"/>
      <c r="AJ140" s="355"/>
      <c r="AK140" s="355"/>
      <c r="AL140" s="355"/>
      <c r="AM140" s="355"/>
      <c r="AN140" s="355"/>
      <c r="AO140" s="355"/>
      <c r="AP140" s="355"/>
      <c r="AQ140" s="355"/>
      <c r="AR140" s="355"/>
      <c r="AS140" s="355"/>
      <c r="AT140" s="355"/>
      <c r="AU140" s="355"/>
      <c r="AV140" s="355"/>
      <c r="AW140" s="355"/>
      <c r="AX140" s="355"/>
      <c r="AY140" s="355"/>
      <c r="AZ140" s="355"/>
      <c r="BA140" s="355"/>
      <c r="BB140" s="355"/>
      <c r="BC140" s="355"/>
      <c r="BD140" s="355"/>
      <c r="BE140" s="355"/>
      <c r="BF140" s="355"/>
      <c r="BG140" s="355"/>
      <c r="BH140" s="355"/>
      <c r="BI140" s="355"/>
      <c r="BJ140" s="355"/>
      <c r="BK140" s="355"/>
      <c r="BL140" s="355"/>
      <c r="BM140" s="355"/>
      <c r="BN140" s="355"/>
      <c r="BO140" s="355"/>
      <c r="BP140" s="355"/>
      <c r="BQ140" s="355"/>
      <c r="BR140" s="355"/>
      <c r="BS140" s="355"/>
      <c r="BT140" s="355"/>
      <c r="BU140" s="355"/>
      <c r="BV140" s="355"/>
      <c r="BW140" s="355"/>
      <c r="BX140" s="355"/>
      <c r="BY140" s="355"/>
      <c r="BZ140" s="355"/>
      <c r="CA140" s="355"/>
      <c r="CB140" s="355"/>
      <c r="CC140" s="355"/>
      <c r="CD140" s="355"/>
      <c r="CE140" s="355"/>
      <c r="CF140" s="355"/>
      <c r="CG140" s="355"/>
      <c r="CH140" s="355"/>
      <c r="CI140" s="355"/>
      <c r="CJ140" s="355"/>
      <c r="CK140" s="355"/>
      <c r="CL140" s="355"/>
    </row>
    <row r="141" outlineLevel="1">
      <c r="A141" s="353" t="str">
        <f t="shared" si="14"/>
        <v>TC_01.113</v>
      </c>
      <c r="B141" s="422" t="s">
        <v>75</v>
      </c>
      <c r="C141" s="418" t="s">
        <v>1432</v>
      </c>
      <c r="D141" s="435" t="s">
        <v>1433</v>
      </c>
      <c r="E141" s="431" t="s">
        <v>1434</v>
      </c>
      <c r="F141" s="436" t="s">
        <v>1435</v>
      </c>
      <c r="G141" s="433"/>
      <c r="H141" s="433"/>
      <c r="I141" s="433"/>
      <c r="J141" s="44"/>
      <c r="K141" s="331"/>
      <c r="L141" s="337"/>
      <c r="M141" s="61"/>
      <c r="N141" s="354"/>
      <c r="O141" s="61"/>
      <c r="P141" s="353"/>
      <c r="Q141" s="353"/>
      <c r="R141" s="354"/>
      <c r="S141" s="43"/>
      <c r="T141" s="353"/>
      <c r="U141" s="353"/>
      <c r="V141" s="354"/>
      <c r="W141" s="355"/>
      <c r="X141" s="355"/>
      <c r="Y141" s="355"/>
      <c r="Z141" s="355"/>
      <c r="AA141" s="355"/>
      <c r="AB141" s="355"/>
      <c r="AC141" s="355"/>
      <c r="AD141" s="355"/>
      <c r="AE141" s="355"/>
      <c r="AF141" s="355"/>
      <c r="AG141" s="355"/>
      <c r="AH141" s="355"/>
      <c r="AI141" s="355"/>
      <c r="AJ141" s="355"/>
      <c r="AK141" s="355"/>
      <c r="AL141" s="355"/>
      <c r="AM141" s="355"/>
      <c r="AN141" s="355"/>
      <c r="AO141" s="355"/>
      <c r="AP141" s="355"/>
      <c r="AQ141" s="355"/>
      <c r="AR141" s="355"/>
      <c r="AS141" s="355"/>
      <c r="AT141" s="355"/>
      <c r="AU141" s="355"/>
      <c r="AV141" s="355"/>
      <c r="AW141" s="355"/>
      <c r="AX141" s="355"/>
      <c r="AY141" s="355"/>
      <c r="AZ141" s="355"/>
      <c r="BA141" s="355"/>
      <c r="BB141" s="355"/>
      <c r="BC141" s="355"/>
      <c r="BD141" s="355"/>
      <c r="BE141" s="355"/>
      <c r="BF141" s="355"/>
      <c r="BG141" s="355"/>
      <c r="BH141" s="355"/>
      <c r="BI141" s="355"/>
      <c r="BJ141" s="355"/>
      <c r="BK141" s="355"/>
      <c r="BL141" s="355"/>
      <c r="BM141" s="355"/>
      <c r="BN141" s="355"/>
      <c r="BO141" s="355"/>
      <c r="BP141" s="355"/>
      <c r="BQ141" s="355"/>
      <c r="BR141" s="355"/>
      <c r="BS141" s="355"/>
      <c r="BT141" s="355"/>
      <c r="BU141" s="355"/>
      <c r="BV141" s="355"/>
      <c r="BW141" s="355"/>
      <c r="BX141" s="355"/>
      <c r="BY141" s="355"/>
      <c r="BZ141" s="355"/>
      <c r="CA141" s="355"/>
      <c r="CB141" s="355"/>
      <c r="CC141" s="355"/>
      <c r="CD141" s="355"/>
      <c r="CE141" s="355"/>
      <c r="CF141" s="355"/>
      <c r="CG141" s="355"/>
      <c r="CH141" s="355"/>
      <c r="CI141" s="355"/>
      <c r="CJ141" s="355"/>
      <c r="CK141" s="355"/>
      <c r="CL141" s="355"/>
    </row>
    <row r="142" outlineLevel="1">
      <c r="A142" s="353" t="str">
        <f t="shared" si="14"/>
        <v>TC_01.114</v>
      </c>
      <c r="B142" s="422" t="s">
        <v>75</v>
      </c>
      <c r="C142" s="418" t="s">
        <v>1436</v>
      </c>
      <c r="D142" s="435" t="s">
        <v>1437</v>
      </c>
      <c r="E142" s="431" t="s">
        <v>1434</v>
      </c>
      <c r="F142" s="436" t="s">
        <v>1438</v>
      </c>
      <c r="G142" s="323"/>
      <c r="H142" s="433"/>
      <c r="I142" s="433"/>
      <c r="J142" s="44"/>
      <c r="K142" s="331"/>
      <c r="L142" s="337"/>
      <c r="M142" s="61"/>
      <c r="N142" s="354"/>
      <c r="O142" s="61"/>
      <c r="P142" s="353"/>
      <c r="Q142" s="353"/>
      <c r="R142" s="354"/>
      <c r="S142" s="43"/>
      <c r="T142" s="353"/>
      <c r="U142" s="353"/>
      <c r="V142" s="354"/>
      <c r="W142" s="355"/>
      <c r="X142" s="355"/>
      <c r="Y142" s="355"/>
      <c r="Z142" s="355"/>
      <c r="AA142" s="355"/>
      <c r="AB142" s="355"/>
      <c r="AC142" s="355"/>
      <c r="AD142" s="355"/>
      <c r="AE142" s="355"/>
      <c r="AF142" s="355"/>
      <c r="AG142" s="355"/>
      <c r="AH142" s="355"/>
      <c r="AI142" s="355"/>
      <c r="AJ142" s="355"/>
      <c r="AK142" s="355"/>
      <c r="AL142" s="355"/>
      <c r="AM142" s="355"/>
      <c r="AN142" s="355"/>
      <c r="AO142" s="355"/>
      <c r="AP142" s="355"/>
      <c r="AQ142" s="355"/>
      <c r="AR142" s="355"/>
      <c r="AS142" s="355"/>
      <c r="AT142" s="355"/>
      <c r="AU142" s="355"/>
      <c r="AV142" s="355"/>
      <c r="AW142" s="355"/>
      <c r="AX142" s="355"/>
      <c r="AY142" s="355"/>
      <c r="AZ142" s="355"/>
      <c r="BA142" s="355"/>
      <c r="BB142" s="355"/>
      <c r="BC142" s="355"/>
      <c r="BD142" s="355"/>
      <c r="BE142" s="355"/>
      <c r="BF142" s="355"/>
      <c r="BG142" s="355"/>
      <c r="BH142" s="355"/>
      <c r="BI142" s="355"/>
      <c r="BJ142" s="355"/>
      <c r="BK142" s="355"/>
      <c r="BL142" s="355"/>
      <c r="BM142" s="355"/>
      <c r="BN142" s="355"/>
      <c r="BO142" s="355"/>
      <c r="BP142" s="355"/>
      <c r="BQ142" s="355"/>
      <c r="BR142" s="355"/>
      <c r="BS142" s="355"/>
      <c r="BT142" s="355"/>
      <c r="BU142" s="355"/>
      <c r="BV142" s="355"/>
      <c r="BW142" s="355"/>
      <c r="BX142" s="355"/>
      <c r="BY142" s="355"/>
      <c r="BZ142" s="355"/>
      <c r="CA142" s="355"/>
      <c r="CB142" s="355"/>
      <c r="CC142" s="355"/>
      <c r="CD142" s="355"/>
      <c r="CE142" s="355"/>
      <c r="CF142" s="355"/>
      <c r="CG142" s="355"/>
      <c r="CH142" s="355"/>
      <c r="CI142" s="355"/>
      <c r="CJ142" s="355"/>
      <c r="CK142" s="355"/>
      <c r="CL142" s="355"/>
    </row>
    <row r="143" outlineLevel="1">
      <c r="A143" s="353" t="str">
        <f t="shared" si="14"/>
        <v>TC_01.115</v>
      </c>
      <c r="B143" s="422" t="s">
        <v>75</v>
      </c>
      <c r="C143" s="437" t="s">
        <v>1439</v>
      </c>
      <c r="D143" s="375" t="s">
        <v>1371</v>
      </c>
      <c r="E143" s="419" t="s">
        <v>1440</v>
      </c>
      <c r="F143" s="436" t="s">
        <v>1441</v>
      </c>
      <c r="G143" s="433"/>
      <c r="H143" s="433"/>
      <c r="I143" s="433"/>
      <c r="J143" s="44"/>
      <c r="K143" s="329"/>
      <c r="L143" s="352"/>
      <c r="M143" s="61"/>
      <c r="N143" s="354"/>
      <c r="O143" s="61"/>
      <c r="P143" s="353"/>
      <c r="Q143" s="353"/>
      <c r="R143" s="354"/>
      <c r="S143" s="43"/>
      <c r="T143" s="353"/>
      <c r="U143" s="353"/>
      <c r="V143" s="354"/>
      <c r="W143" s="355"/>
      <c r="X143" s="355"/>
      <c r="Y143" s="355"/>
      <c r="Z143" s="355"/>
      <c r="AA143" s="355"/>
      <c r="AB143" s="355"/>
      <c r="AC143" s="355"/>
      <c r="AD143" s="355"/>
      <c r="AE143" s="355"/>
      <c r="AF143" s="355"/>
      <c r="AG143" s="355"/>
      <c r="AH143" s="355"/>
      <c r="AI143" s="355"/>
      <c r="AJ143" s="355"/>
      <c r="AK143" s="355"/>
      <c r="AL143" s="355"/>
      <c r="AM143" s="355"/>
      <c r="AN143" s="355"/>
      <c r="AO143" s="355"/>
      <c r="AP143" s="355"/>
      <c r="AQ143" s="355"/>
      <c r="AR143" s="355"/>
      <c r="AS143" s="355"/>
      <c r="AT143" s="355"/>
      <c r="AU143" s="355"/>
      <c r="AV143" s="355"/>
      <c r="AW143" s="355"/>
      <c r="AX143" s="355"/>
      <c r="AY143" s="355"/>
      <c r="AZ143" s="355"/>
      <c r="BA143" s="355"/>
      <c r="BB143" s="355"/>
      <c r="BC143" s="355"/>
      <c r="BD143" s="355"/>
      <c r="BE143" s="355"/>
      <c r="BF143" s="355"/>
      <c r="BG143" s="355"/>
      <c r="BH143" s="355"/>
      <c r="BI143" s="355"/>
      <c r="BJ143" s="355"/>
      <c r="BK143" s="355"/>
      <c r="BL143" s="355"/>
      <c r="BM143" s="355"/>
      <c r="BN143" s="355"/>
      <c r="BO143" s="355"/>
      <c r="BP143" s="355"/>
      <c r="BQ143" s="355"/>
      <c r="BR143" s="355"/>
      <c r="BS143" s="355"/>
      <c r="BT143" s="355"/>
      <c r="BU143" s="355"/>
      <c r="BV143" s="355"/>
      <c r="BW143" s="355"/>
      <c r="BX143" s="355"/>
      <c r="BY143" s="355"/>
      <c r="BZ143" s="355"/>
      <c r="CA143" s="355"/>
      <c r="CB143" s="355"/>
      <c r="CC143" s="355"/>
      <c r="CD143" s="355"/>
      <c r="CE143" s="355"/>
      <c r="CF143" s="355"/>
      <c r="CG143" s="355"/>
      <c r="CH143" s="355"/>
      <c r="CI143" s="355"/>
      <c r="CJ143" s="355"/>
      <c r="CK143" s="355"/>
      <c r="CL143" s="355"/>
    </row>
    <row r="144" outlineLevel="1">
      <c r="A144" s="353" t="str">
        <f t="shared" si="14"/>
        <v>TC_01.116</v>
      </c>
      <c r="B144" s="422" t="s">
        <v>75</v>
      </c>
      <c r="C144" s="437" t="s">
        <v>1442</v>
      </c>
      <c r="D144" s="375" t="s">
        <v>1371</v>
      </c>
      <c r="E144" s="419" t="s">
        <v>1443</v>
      </c>
      <c r="F144" s="436" t="s">
        <v>1444</v>
      </c>
      <c r="G144" s="433"/>
      <c r="H144" s="433"/>
      <c r="I144" s="433"/>
      <c r="J144" s="44"/>
      <c r="K144" s="329"/>
      <c r="L144" s="352"/>
      <c r="M144" s="61"/>
      <c r="N144" s="354"/>
      <c r="O144" s="61"/>
      <c r="P144" s="353"/>
      <c r="Q144" s="353"/>
      <c r="R144" s="354"/>
      <c r="S144" s="43"/>
      <c r="T144" s="353"/>
      <c r="U144" s="353"/>
      <c r="V144" s="354"/>
      <c r="W144" s="355"/>
      <c r="X144" s="355"/>
      <c r="Y144" s="355"/>
      <c r="Z144" s="355"/>
      <c r="AA144" s="355"/>
      <c r="AB144" s="355"/>
      <c r="AC144" s="355"/>
      <c r="AD144" s="355"/>
      <c r="AE144" s="355"/>
      <c r="AF144" s="355"/>
      <c r="AG144" s="355"/>
      <c r="AH144" s="355"/>
      <c r="AI144" s="355"/>
      <c r="AJ144" s="355"/>
      <c r="AK144" s="355"/>
      <c r="AL144" s="355"/>
      <c r="AM144" s="355"/>
      <c r="AN144" s="355"/>
      <c r="AO144" s="355"/>
      <c r="AP144" s="355"/>
      <c r="AQ144" s="355"/>
      <c r="AR144" s="355"/>
      <c r="AS144" s="355"/>
      <c r="AT144" s="355"/>
      <c r="AU144" s="355"/>
      <c r="AV144" s="355"/>
      <c r="AW144" s="355"/>
      <c r="AX144" s="355"/>
      <c r="AY144" s="355"/>
      <c r="AZ144" s="355"/>
      <c r="BA144" s="355"/>
      <c r="BB144" s="355"/>
      <c r="BC144" s="355"/>
      <c r="BD144" s="355"/>
      <c r="BE144" s="355"/>
      <c r="BF144" s="355"/>
      <c r="BG144" s="355"/>
      <c r="BH144" s="355"/>
      <c r="BI144" s="355"/>
      <c r="BJ144" s="355"/>
      <c r="BK144" s="355"/>
      <c r="BL144" s="355"/>
      <c r="BM144" s="355"/>
      <c r="BN144" s="355"/>
      <c r="BO144" s="355"/>
      <c r="BP144" s="355"/>
      <c r="BQ144" s="355"/>
      <c r="BR144" s="355"/>
      <c r="BS144" s="355"/>
      <c r="BT144" s="355"/>
      <c r="BU144" s="355"/>
      <c r="BV144" s="355"/>
      <c r="BW144" s="355"/>
      <c r="BX144" s="355"/>
      <c r="BY144" s="355"/>
      <c r="BZ144" s="355"/>
      <c r="CA144" s="355"/>
      <c r="CB144" s="355"/>
      <c r="CC144" s="355"/>
      <c r="CD144" s="355"/>
      <c r="CE144" s="355"/>
      <c r="CF144" s="355"/>
      <c r="CG144" s="355"/>
      <c r="CH144" s="355"/>
      <c r="CI144" s="355"/>
      <c r="CJ144" s="355"/>
      <c r="CK144" s="355"/>
      <c r="CL144" s="355"/>
    </row>
    <row r="145" outlineLevel="1">
      <c r="A145" s="353" t="str">
        <f t="shared" si="14"/>
        <v>TC_01.117</v>
      </c>
      <c r="B145" s="422" t="s">
        <v>75</v>
      </c>
      <c r="C145" s="438" t="s">
        <v>1445</v>
      </c>
      <c r="D145" s="419" t="s">
        <v>1446</v>
      </c>
      <c r="E145" s="419" t="s">
        <v>1447</v>
      </c>
      <c r="F145" s="436" t="s">
        <v>1448</v>
      </c>
      <c r="G145" s="433"/>
      <c r="H145" s="433"/>
      <c r="I145" s="433"/>
      <c r="J145" s="44"/>
      <c r="K145" s="329"/>
      <c r="L145" s="352"/>
      <c r="M145" s="61"/>
      <c r="N145" s="354"/>
      <c r="O145" s="61"/>
      <c r="P145" s="353"/>
      <c r="Q145" s="353"/>
      <c r="R145" s="354"/>
      <c r="S145" s="43"/>
      <c r="T145" s="353"/>
      <c r="U145" s="353"/>
      <c r="V145" s="354"/>
      <c r="W145" s="355"/>
      <c r="X145" s="355"/>
      <c r="Y145" s="355"/>
      <c r="Z145" s="355"/>
      <c r="AA145" s="355"/>
      <c r="AB145" s="355"/>
      <c r="AC145" s="355"/>
      <c r="AD145" s="355"/>
      <c r="AE145" s="355"/>
      <c r="AF145" s="355"/>
      <c r="AG145" s="355"/>
      <c r="AH145" s="355"/>
      <c r="AI145" s="355"/>
      <c r="AJ145" s="355"/>
      <c r="AK145" s="355"/>
      <c r="AL145" s="355"/>
      <c r="AM145" s="355"/>
      <c r="AN145" s="355"/>
      <c r="AO145" s="355"/>
      <c r="AP145" s="355"/>
      <c r="AQ145" s="355"/>
      <c r="AR145" s="355"/>
      <c r="AS145" s="355"/>
      <c r="AT145" s="355"/>
      <c r="AU145" s="355"/>
      <c r="AV145" s="355"/>
      <c r="AW145" s="355"/>
      <c r="AX145" s="355"/>
      <c r="AY145" s="355"/>
      <c r="AZ145" s="355"/>
      <c r="BA145" s="355"/>
      <c r="BB145" s="355"/>
      <c r="BC145" s="355"/>
      <c r="BD145" s="355"/>
      <c r="BE145" s="355"/>
      <c r="BF145" s="355"/>
      <c r="BG145" s="355"/>
      <c r="BH145" s="355"/>
      <c r="BI145" s="355"/>
      <c r="BJ145" s="355"/>
      <c r="BK145" s="355"/>
      <c r="BL145" s="355"/>
      <c r="BM145" s="355"/>
      <c r="BN145" s="355"/>
      <c r="BO145" s="355"/>
      <c r="BP145" s="355"/>
      <c r="BQ145" s="355"/>
      <c r="BR145" s="355"/>
      <c r="BS145" s="355"/>
      <c r="BT145" s="355"/>
      <c r="BU145" s="355"/>
      <c r="BV145" s="355"/>
      <c r="BW145" s="355"/>
      <c r="BX145" s="355"/>
      <c r="BY145" s="355"/>
      <c r="BZ145" s="355"/>
      <c r="CA145" s="355"/>
      <c r="CB145" s="355"/>
      <c r="CC145" s="355"/>
      <c r="CD145" s="355"/>
      <c r="CE145" s="355"/>
      <c r="CF145" s="355"/>
      <c r="CG145" s="355"/>
      <c r="CH145" s="355"/>
      <c r="CI145" s="355"/>
      <c r="CJ145" s="355"/>
      <c r="CK145" s="355"/>
      <c r="CL145" s="355"/>
    </row>
    <row r="146" outlineLevel="1">
      <c r="A146" s="353" t="str">
        <f t="shared" si="14"/>
        <v>TC_01.118</v>
      </c>
      <c r="B146" s="422" t="s">
        <v>73</v>
      </c>
      <c r="C146" s="421" t="s">
        <v>1449</v>
      </c>
      <c r="D146" s="419" t="s">
        <v>1450</v>
      </c>
      <c r="E146" s="419" t="s">
        <v>1451</v>
      </c>
      <c r="F146" s="436" t="s">
        <v>1452</v>
      </c>
      <c r="G146" s="433"/>
      <c r="H146" s="433"/>
      <c r="I146" s="433"/>
      <c r="J146" s="44"/>
      <c r="K146" s="329"/>
      <c r="L146" s="352"/>
      <c r="M146" s="61"/>
      <c r="N146" s="354"/>
      <c r="O146" s="61"/>
      <c r="P146" s="353"/>
      <c r="Q146" s="353"/>
      <c r="R146" s="354"/>
      <c r="S146" s="43"/>
      <c r="T146" s="353"/>
      <c r="U146" s="353"/>
      <c r="V146" s="354"/>
      <c r="W146" s="355"/>
      <c r="X146" s="355"/>
      <c r="Y146" s="355"/>
      <c r="Z146" s="355"/>
      <c r="AA146" s="355"/>
      <c r="AB146" s="355"/>
      <c r="AC146" s="355"/>
      <c r="AD146" s="355"/>
      <c r="AE146" s="355"/>
      <c r="AF146" s="355"/>
      <c r="AG146" s="355"/>
      <c r="AH146" s="355"/>
      <c r="AI146" s="355"/>
      <c r="AJ146" s="355"/>
      <c r="AK146" s="355"/>
      <c r="AL146" s="355"/>
      <c r="AM146" s="355"/>
      <c r="AN146" s="355"/>
      <c r="AO146" s="355"/>
      <c r="AP146" s="355"/>
      <c r="AQ146" s="355"/>
      <c r="AR146" s="355"/>
      <c r="AS146" s="355"/>
      <c r="AT146" s="355"/>
      <c r="AU146" s="355"/>
      <c r="AV146" s="355"/>
      <c r="AW146" s="355"/>
      <c r="AX146" s="355"/>
      <c r="AY146" s="355"/>
      <c r="AZ146" s="355"/>
      <c r="BA146" s="355"/>
      <c r="BB146" s="355"/>
      <c r="BC146" s="355"/>
      <c r="BD146" s="355"/>
      <c r="BE146" s="355"/>
      <c r="BF146" s="355"/>
      <c r="BG146" s="355"/>
      <c r="BH146" s="355"/>
      <c r="BI146" s="355"/>
      <c r="BJ146" s="355"/>
      <c r="BK146" s="355"/>
      <c r="BL146" s="355"/>
      <c r="BM146" s="355"/>
      <c r="BN146" s="355"/>
      <c r="BO146" s="355"/>
      <c r="BP146" s="355"/>
      <c r="BQ146" s="355"/>
      <c r="BR146" s="355"/>
      <c r="BS146" s="355"/>
      <c r="BT146" s="355"/>
      <c r="BU146" s="355"/>
      <c r="BV146" s="355"/>
      <c r="BW146" s="355"/>
      <c r="BX146" s="355"/>
      <c r="BY146" s="355"/>
      <c r="BZ146" s="355"/>
      <c r="CA146" s="355"/>
      <c r="CB146" s="355"/>
      <c r="CC146" s="355"/>
      <c r="CD146" s="355"/>
      <c r="CE146" s="355"/>
      <c r="CF146" s="355"/>
      <c r="CG146" s="355"/>
      <c r="CH146" s="355"/>
      <c r="CI146" s="355"/>
      <c r="CJ146" s="355"/>
      <c r="CK146" s="355"/>
      <c r="CL146" s="355"/>
    </row>
    <row r="147" outlineLevel="1">
      <c r="A147" s="353" t="str">
        <f t="shared" si="14"/>
        <v>TC_01.119</v>
      </c>
      <c r="B147" s="422" t="s">
        <v>73</v>
      </c>
      <c r="C147" s="418" t="s">
        <v>1453</v>
      </c>
      <c r="D147" s="419" t="s">
        <v>1454</v>
      </c>
      <c r="E147" s="419" t="s">
        <v>1455</v>
      </c>
      <c r="F147" s="436" t="s">
        <v>1456</v>
      </c>
      <c r="G147" s="433"/>
      <c r="H147" s="433"/>
      <c r="I147" s="433"/>
      <c r="J147" s="44"/>
      <c r="K147" s="329"/>
      <c r="L147" s="352"/>
      <c r="M147" s="61"/>
      <c r="N147" s="354"/>
      <c r="O147" s="61"/>
      <c r="P147" s="353"/>
      <c r="Q147" s="353"/>
      <c r="R147" s="354"/>
      <c r="S147" s="43"/>
      <c r="T147" s="353"/>
      <c r="U147" s="353"/>
      <c r="V147" s="354"/>
      <c r="W147" s="355"/>
      <c r="X147" s="355"/>
      <c r="Y147" s="355"/>
      <c r="Z147" s="355"/>
      <c r="AA147" s="355"/>
      <c r="AB147" s="355"/>
      <c r="AC147" s="355"/>
      <c r="AD147" s="355"/>
      <c r="AE147" s="355"/>
      <c r="AF147" s="355"/>
      <c r="AG147" s="355"/>
      <c r="AH147" s="355"/>
      <c r="AI147" s="355"/>
      <c r="AJ147" s="355"/>
      <c r="AK147" s="355"/>
      <c r="AL147" s="355"/>
      <c r="AM147" s="355"/>
      <c r="AN147" s="355"/>
      <c r="AO147" s="355"/>
      <c r="AP147" s="355"/>
      <c r="AQ147" s="355"/>
      <c r="AR147" s="355"/>
      <c r="AS147" s="355"/>
      <c r="AT147" s="355"/>
      <c r="AU147" s="355"/>
      <c r="AV147" s="355"/>
      <c r="AW147" s="355"/>
      <c r="AX147" s="355"/>
      <c r="AY147" s="355"/>
      <c r="AZ147" s="355"/>
      <c r="BA147" s="355"/>
      <c r="BB147" s="355"/>
      <c r="BC147" s="355"/>
      <c r="BD147" s="355"/>
      <c r="BE147" s="355"/>
      <c r="BF147" s="355"/>
      <c r="BG147" s="355"/>
      <c r="BH147" s="355"/>
      <c r="BI147" s="355"/>
      <c r="BJ147" s="355"/>
      <c r="BK147" s="355"/>
      <c r="BL147" s="355"/>
      <c r="BM147" s="355"/>
      <c r="BN147" s="355"/>
      <c r="BO147" s="355"/>
      <c r="BP147" s="355"/>
      <c r="BQ147" s="355"/>
      <c r="BR147" s="355"/>
      <c r="BS147" s="355"/>
      <c r="BT147" s="355"/>
      <c r="BU147" s="355"/>
      <c r="BV147" s="355"/>
      <c r="BW147" s="355"/>
      <c r="BX147" s="355"/>
      <c r="BY147" s="355"/>
      <c r="BZ147" s="355"/>
      <c r="CA147" s="355"/>
      <c r="CB147" s="355"/>
      <c r="CC147" s="355"/>
      <c r="CD147" s="355"/>
      <c r="CE147" s="355"/>
      <c r="CF147" s="355"/>
      <c r="CG147" s="355"/>
      <c r="CH147" s="355"/>
      <c r="CI147" s="355"/>
      <c r="CJ147" s="355"/>
      <c r="CK147" s="355"/>
      <c r="CL147" s="355"/>
    </row>
    <row r="148" outlineLevel="1">
      <c r="A148" s="324" t="s">
        <v>1457</v>
      </c>
      <c r="B148" s="148"/>
      <c r="C148" s="148"/>
      <c r="D148" s="148"/>
      <c r="E148" s="148"/>
      <c r="F148" s="171"/>
      <c r="G148" s="430"/>
      <c r="H148" s="430"/>
      <c r="I148" s="430"/>
      <c r="J148" s="353"/>
      <c r="K148" s="331"/>
      <c r="L148" s="352"/>
      <c r="M148" s="353"/>
      <c r="N148" s="354"/>
      <c r="O148" s="61"/>
      <c r="P148" s="353"/>
      <c r="Q148" s="353"/>
      <c r="R148" s="354"/>
      <c r="S148" s="43"/>
      <c r="T148" s="353"/>
      <c r="U148" s="353"/>
      <c r="V148" s="354"/>
      <c r="W148" s="355"/>
      <c r="X148" s="355"/>
      <c r="Y148" s="355"/>
      <c r="Z148" s="355"/>
      <c r="AA148" s="355"/>
      <c r="AB148" s="355"/>
      <c r="AC148" s="355"/>
      <c r="AD148" s="355"/>
      <c r="AE148" s="355"/>
      <c r="AF148" s="355"/>
      <c r="AG148" s="355"/>
      <c r="AH148" s="355"/>
      <c r="AI148" s="355"/>
      <c r="AJ148" s="355"/>
      <c r="AK148" s="355"/>
      <c r="AL148" s="355"/>
      <c r="AM148" s="355"/>
      <c r="AN148" s="355"/>
      <c r="AO148" s="355"/>
      <c r="AP148" s="355"/>
      <c r="AQ148" s="355"/>
      <c r="AR148" s="355"/>
      <c r="AS148" s="355"/>
      <c r="AT148" s="355"/>
      <c r="AU148" s="355"/>
      <c r="AV148" s="355"/>
      <c r="AW148" s="355"/>
      <c r="AX148" s="355"/>
      <c r="AY148" s="355"/>
      <c r="AZ148" s="355"/>
      <c r="BA148" s="355"/>
      <c r="BB148" s="355"/>
      <c r="BC148" s="355"/>
      <c r="BD148" s="355"/>
      <c r="BE148" s="355"/>
      <c r="BF148" s="355"/>
      <c r="BG148" s="355"/>
      <c r="BH148" s="355"/>
      <c r="BI148" s="355"/>
      <c r="BJ148" s="355"/>
      <c r="BK148" s="355"/>
      <c r="BL148" s="355"/>
      <c r="BM148" s="355"/>
      <c r="BN148" s="355"/>
      <c r="BO148" s="355"/>
      <c r="BP148" s="355"/>
      <c r="BQ148" s="355"/>
      <c r="BR148" s="355"/>
      <c r="BS148" s="355"/>
      <c r="BT148" s="355"/>
      <c r="BU148" s="355"/>
      <c r="BV148" s="355"/>
      <c r="BW148" s="355"/>
      <c r="BX148" s="355"/>
      <c r="BY148" s="355"/>
      <c r="BZ148" s="355"/>
      <c r="CA148" s="355"/>
      <c r="CB148" s="355"/>
      <c r="CC148" s="355"/>
      <c r="CD148" s="355"/>
      <c r="CE148" s="355"/>
      <c r="CF148" s="355"/>
      <c r="CG148" s="355"/>
      <c r="CH148" s="355"/>
      <c r="CI148" s="355"/>
      <c r="CJ148" s="355"/>
      <c r="CK148" s="355"/>
      <c r="CL148" s="355"/>
    </row>
    <row r="149" outlineLevel="1">
      <c r="A149" s="353" t="str">
        <f t="shared" ref="A149:A156" si="15">IF(E149="","",$C$3&amp;"."&amp;COUNTA($E$9:E149)&amp;"")</f>
        <v>TC_01.120</v>
      </c>
      <c r="B149" s="422" t="s">
        <v>73</v>
      </c>
      <c r="C149" s="327" t="s">
        <v>1458</v>
      </c>
      <c r="D149" s="329" t="s">
        <v>1371</v>
      </c>
      <c r="E149" s="382" t="s">
        <v>1459</v>
      </c>
      <c r="F149" s="382" t="s">
        <v>1460</v>
      </c>
      <c r="G149" s="433"/>
      <c r="H149" s="433"/>
      <c r="I149" s="433"/>
      <c r="J149" s="44"/>
      <c r="K149" s="331"/>
      <c r="L149" s="352"/>
      <c r="M149" s="61"/>
      <c r="N149" s="354"/>
      <c r="O149" s="61"/>
      <c r="P149" s="353"/>
      <c r="Q149" s="353"/>
      <c r="R149" s="354"/>
      <c r="S149" s="43"/>
      <c r="T149" s="353"/>
      <c r="U149" s="353"/>
      <c r="V149" s="354"/>
      <c r="W149" s="355"/>
      <c r="X149" s="355"/>
      <c r="Y149" s="355"/>
      <c r="Z149" s="355"/>
      <c r="AA149" s="355"/>
      <c r="AB149" s="355"/>
      <c r="AC149" s="355"/>
      <c r="AD149" s="355"/>
      <c r="AE149" s="355"/>
      <c r="AF149" s="355"/>
      <c r="AG149" s="355"/>
      <c r="AH149" s="355"/>
      <c r="AI149" s="355"/>
      <c r="AJ149" s="355"/>
      <c r="AK149" s="355"/>
      <c r="AL149" s="355"/>
      <c r="AM149" s="355"/>
      <c r="AN149" s="355"/>
      <c r="AO149" s="355"/>
      <c r="AP149" s="355"/>
      <c r="AQ149" s="355"/>
      <c r="AR149" s="355"/>
      <c r="AS149" s="355"/>
      <c r="AT149" s="355"/>
      <c r="AU149" s="355"/>
      <c r="AV149" s="355"/>
      <c r="AW149" s="355"/>
      <c r="AX149" s="355"/>
      <c r="AY149" s="355"/>
      <c r="AZ149" s="355"/>
      <c r="BA149" s="355"/>
      <c r="BB149" s="355"/>
      <c r="BC149" s="355"/>
      <c r="BD149" s="355"/>
      <c r="BE149" s="355"/>
      <c r="BF149" s="355"/>
      <c r="BG149" s="355"/>
      <c r="BH149" s="355"/>
      <c r="BI149" s="355"/>
      <c r="BJ149" s="355"/>
      <c r="BK149" s="355"/>
      <c r="BL149" s="355"/>
      <c r="BM149" s="355"/>
      <c r="BN149" s="355"/>
      <c r="BO149" s="355"/>
      <c r="BP149" s="355"/>
      <c r="BQ149" s="355"/>
      <c r="BR149" s="355"/>
      <c r="BS149" s="355"/>
      <c r="BT149" s="355"/>
      <c r="BU149" s="355"/>
      <c r="BV149" s="355"/>
      <c r="BW149" s="355"/>
      <c r="BX149" s="355"/>
      <c r="BY149" s="355"/>
      <c r="BZ149" s="355"/>
      <c r="CA149" s="355"/>
      <c r="CB149" s="355"/>
      <c r="CC149" s="355"/>
      <c r="CD149" s="355"/>
      <c r="CE149" s="355"/>
      <c r="CF149" s="355"/>
      <c r="CG149" s="355"/>
      <c r="CH149" s="355"/>
      <c r="CI149" s="355"/>
      <c r="CJ149" s="355"/>
      <c r="CK149" s="355"/>
      <c r="CL149" s="355"/>
    </row>
    <row r="150" outlineLevel="1">
      <c r="A150" s="353" t="str">
        <f t="shared" si="15"/>
        <v>TC_01.121</v>
      </c>
      <c r="B150" s="422" t="s">
        <v>73</v>
      </c>
      <c r="C150" s="327" t="s">
        <v>1461</v>
      </c>
      <c r="D150" s="329" t="s">
        <v>1371</v>
      </c>
      <c r="E150" s="382" t="s">
        <v>1462</v>
      </c>
      <c r="F150" s="382" t="s">
        <v>1463</v>
      </c>
      <c r="G150" s="433"/>
      <c r="H150" s="433"/>
      <c r="I150" s="433"/>
      <c r="J150" s="44"/>
      <c r="K150" s="331"/>
      <c r="L150" s="337"/>
      <c r="M150" s="61"/>
      <c r="N150" s="354"/>
      <c r="O150" s="61"/>
      <c r="P150" s="353"/>
      <c r="Q150" s="353"/>
      <c r="R150" s="354"/>
      <c r="S150" s="43"/>
      <c r="T150" s="353"/>
      <c r="U150" s="353"/>
      <c r="V150" s="354"/>
      <c r="W150" s="355"/>
      <c r="X150" s="355"/>
      <c r="Y150" s="355"/>
      <c r="Z150" s="355"/>
      <c r="AA150" s="355"/>
      <c r="AB150" s="355"/>
      <c r="AC150" s="355"/>
      <c r="AD150" s="355"/>
      <c r="AE150" s="355"/>
      <c r="AF150" s="355"/>
      <c r="AG150" s="355"/>
      <c r="AH150" s="355"/>
      <c r="AI150" s="355"/>
      <c r="AJ150" s="355"/>
      <c r="AK150" s="355"/>
      <c r="AL150" s="355"/>
      <c r="AM150" s="355"/>
      <c r="AN150" s="355"/>
      <c r="AO150" s="355"/>
      <c r="AP150" s="355"/>
      <c r="AQ150" s="355"/>
      <c r="AR150" s="355"/>
      <c r="AS150" s="355"/>
      <c r="AT150" s="355"/>
      <c r="AU150" s="355"/>
      <c r="AV150" s="355"/>
      <c r="AW150" s="355"/>
      <c r="AX150" s="355"/>
      <c r="AY150" s="355"/>
      <c r="AZ150" s="355"/>
      <c r="BA150" s="355"/>
      <c r="BB150" s="355"/>
      <c r="BC150" s="355"/>
      <c r="BD150" s="355"/>
      <c r="BE150" s="355"/>
      <c r="BF150" s="355"/>
      <c r="BG150" s="355"/>
      <c r="BH150" s="355"/>
      <c r="BI150" s="355"/>
      <c r="BJ150" s="355"/>
      <c r="BK150" s="355"/>
      <c r="BL150" s="355"/>
      <c r="BM150" s="355"/>
      <c r="BN150" s="355"/>
      <c r="BO150" s="355"/>
      <c r="BP150" s="355"/>
      <c r="BQ150" s="355"/>
      <c r="BR150" s="355"/>
      <c r="BS150" s="355"/>
      <c r="BT150" s="355"/>
      <c r="BU150" s="355"/>
      <c r="BV150" s="355"/>
      <c r="BW150" s="355"/>
      <c r="BX150" s="355"/>
      <c r="BY150" s="355"/>
      <c r="BZ150" s="355"/>
      <c r="CA150" s="355"/>
      <c r="CB150" s="355"/>
      <c r="CC150" s="355"/>
      <c r="CD150" s="355"/>
      <c r="CE150" s="355"/>
      <c r="CF150" s="355"/>
      <c r="CG150" s="355"/>
      <c r="CH150" s="355"/>
      <c r="CI150" s="355"/>
      <c r="CJ150" s="355"/>
      <c r="CK150" s="355"/>
      <c r="CL150" s="355"/>
    </row>
    <row r="151" outlineLevel="1">
      <c r="A151" s="353" t="str">
        <f t="shared" si="15"/>
        <v>TC_01.122</v>
      </c>
      <c r="B151" s="422" t="s">
        <v>73</v>
      </c>
      <c r="C151" s="327" t="s">
        <v>1464</v>
      </c>
      <c r="D151" s="329" t="s">
        <v>1371</v>
      </c>
      <c r="E151" s="382" t="s">
        <v>1465</v>
      </c>
      <c r="F151" s="382" t="s">
        <v>1466</v>
      </c>
      <c r="G151" s="433"/>
      <c r="H151" s="433"/>
      <c r="I151" s="433"/>
      <c r="J151" s="44"/>
      <c r="K151" s="331"/>
      <c r="L151" s="352"/>
      <c r="M151" s="61"/>
      <c r="N151" s="354"/>
      <c r="O151" s="61"/>
      <c r="P151" s="353"/>
      <c r="Q151" s="353"/>
      <c r="R151" s="354"/>
      <c r="S151" s="43"/>
      <c r="T151" s="353"/>
      <c r="U151" s="353"/>
      <c r="V151" s="354"/>
      <c r="W151" s="355"/>
      <c r="X151" s="355"/>
      <c r="Y151" s="355"/>
      <c r="Z151" s="355"/>
      <c r="AA151" s="355"/>
      <c r="AB151" s="355"/>
      <c r="AC151" s="355"/>
      <c r="AD151" s="355"/>
      <c r="AE151" s="355"/>
      <c r="AF151" s="355"/>
      <c r="AG151" s="355"/>
      <c r="AH151" s="355"/>
      <c r="AI151" s="355"/>
      <c r="AJ151" s="355"/>
      <c r="AK151" s="355"/>
      <c r="AL151" s="355"/>
      <c r="AM151" s="355"/>
      <c r="AN151" s="355"/>
      <c r="AO151" s="355"/>
      <c r="AP151" s="355"/>
      <c r="AQ151" s="355"/>
      <c r="AR151" s="355"/>
      <c r="AS151" s="355"/>
      <c r="AT151" s="355"/>
      <c r="AU151" s="355"/>
      <c r="AV151" s="355"/>
      <c r="AW151" s="355"/>
      <c r="AX151" s="355"/>
      <c r="AY151" s="355"/>
      <c r="AZ151" s="355"/>
      <c r="BA151" s="355"/>
      <c r="BB151" s="355"/>
      <c r="BC151" s="355"/>
      <c r="BD151" s="355"/>
      <c r="BE151" s="355"/>
      <c r="BF151" s="355"/>
      <c r="BG151" s="355"/>
      <c r="BH151" s="355"/>
      <c r="BI151" s="355"/>
      <c r="BJ151" s="355"/>
      <c r="BK151" s="355"/>
      <c r="BL151" s="355"/>
      <c r="BM151" s="355"/>
      <c r="BN151" s="355"/>
      <c r="BO151" s="355"/>
      <c r="BP151" s="355"/>
      <c r="BQ151" s="355"/>
      <c r="BR151" s="355"/>
      <c r="BS151" s="355"/>
      <c r="BT151" s="355"/>
      <c r="BU151" s="355"/>
      <c r="BV151" s="355"/>
      <c r="BW151" s="355"/>
      <c r="BX151" s="355"/>
      <c r="BY151" s="355"/>
      <c r="BZ151" s="355"/>
      <c r="CA151" s="355"/>
      <c r="CB151" s="355"/>
      <c r="CC151" s="355"/>
      <c r="CD151" s="355"/>
      <c r="CE151" s="355"/>
      <c r="CF151" s="355"/>
      <c r="CG151" s="355"/>
      <c r="CH151" s="355"/>
      <c r="CI151" s="355"/>
      <c r="CJ151" s="355"/>
      <c r="CK151" s="355"/>
      <c r="CL151" s="355"/>
    </row>
    <row r="152" outlineLevel="1">
      <c r="A152" s="353" t="str">
        <f t="shared" si="15"/>
        <v>TC_01.123</v>
      </c>
      <c r="B152" s="422" t="s">
        <v>73</v>
      </c>
      <c r="C152" s="327" t="s">
        <v>1467</v>
      </c>
      <c r="D152" s="329" t="s">
        <v>1371</v>
      </c>
      <c r="E152" s="382" t="s">
        <v>1468</v>
      </c>
      <c r="F152" s="382" t="s">
        <v>1469</v>
      </c>
      <c r="G152" s="433"/>
      <c r="H152" s="433"/>
      <c r="I152" s="433"/>
      <c r="J152" s="44"/>
      <c r="K152" s="331"/>
      <c r="L152" s="352"/>
      <c r="M152" s="61"/>
      <c r="N152" s="354"/>
      <c r="O152" s="61"/>
      <c r="P152" s="353"/>
      <c r="Q152" s="353"/>
      <c r="R152" s="354"/>
      <c r="S152" s="43"/>
      <c r="T152" s="353"/>
      <c r="U152" s="353"/>
      <c r="V152" s="354"/>
      <c r="W152" s="355"/>
      <c r="X152" s="355"/>
      <c r="Y152" s="355"/>
      <c r="Z152" s="355"/>
      <c r="AA152" s="355"/>
      <c r="AB152" s="355"/>
      <c r="AC152" s="355"/>
      <c r="AD152" s="355"/>
      <c r="AE152" s="355"/>
      <c r="AF152" s="355"/>
      <c r="AG152" s="355"/>
      <c r="AH152" s="355"/>
      <c r="AI152" s="355"/>
      <c r="AJ152" s="355"/>
      <c r="AK152" s="355"/>
      <c r="AL152" s="355"/>
      <c r="AM152" s="355"/>
      <c r="AN152" s="355"/>
      <c r="AO152" s="355"/>
      <c r="AP152" s="355"/>
      <c r="AQ152" s="355"/>
      <c r="AR152" s="355"/>
      <c r="AS152" s="355"/>
      <c r="AT152" s="355"/>
      <c r="AU152" s="355"/>
      <c r="AV152" s="355"/>
      <c r="AW152" s="355"/>
      <c r="AX152" s="355"/>
      <c r="AY152" s="355"/>
      <c r="AZ152" s="355"/>
      <c r="BA152" s="355"/>
      <c r="BB152" s="355"/>
      <c r="BC152" s="355"/>
      <c r="BD152" s="355"/>
      <c r="BE152" s="355"/>
      <c r="BF152" s="355"/>
      <c r="BG152" s="355"/>
      <c r="BH152" s="355"/>
      <c r="BI152" s="355"/>
      <c r="BJ152" s="355"/>
      <c r="BK152" s="355"/>
      <c r="BL152" s="355"/>
      <c r="BM152" s="355"/>
      <c r="BN152" s="355"/>
      <c r="BO152" s="355"/>
      <c r="BP152" s="355"/>
      <c r="BQ152" s="355"/>
      <c r="BR152" s="355"/>
      <c r="BS152" s="355"/>
      <c r="BT152" s="355"/>
      <c r="BU152" s="355"/>
      <c r="BV152" s="355"/>
      <c r="BW152" s="355"/>
      <c r="BX152" s="355"/>
      <c r="BY152" s="355"/>
      <c r="BZ152" s="355"/>
      <c r="CA152" s="355"/>
      <c r="CB152" s="355"/>
      <c r="CC152" s="355"/>
      <c r="CD152" s="355"/>
      <c r="CE152" s="355"/>
      <c r="CF152" s="355"/>
      <c r="CG152" s="355"/>
      <c r="CH152" s="355"/>
      <c r="CI152" s="355"/>
      <c r="CJ152" s="355"/>
      <c r="CK152" s="355"/>
      <c r="CL152" s="355"/>
    </row>
    <row r="153" outlineLevel="1">
      <c r="A153" s="353" t="str">
        <f t="shared" si="15"/>
        <v>TC_01.124</v>
      </c>
      <c r="B153" s="422" t="s">
        <v>73</v>
      </c>
      <c r="C153" s="327" t="s">
        <v>1470</v>
      </c>
      <c r="D153" s="329" t="s">
        <v>1371</v>
      </c>
      <c r="E153" s="382" t="s">
        <v>1471</v>
      </c>
      <c r="F153" s="382" t="s">
        <v>1472</v>
      </c>
      <c r="G153" s="433"/>
      <c r="H153" s="433"/>
      <c r="I153" s="433"/>
      <c r="J153" s="44"/>
      <c r="K153" s="329"/>
      <c r="L153" s="337"/>
      <c r="M153" s="61"/>
      <c r="N153" s="354"/>
      <c r="O153" s="61"/>
      <c r="P153" s="353"/>
      <c r="Q153" s="353"/>
      <c r="R153" s="354"/>
      <c r="S153" s="43"/>
      <c r="T153" s="353"/>
      <c r="U153" s="353"/>
      <c r="V153" s="354"/>
      <c r="W153" s="355"/>
      <c r="X153" s="355"/>
      <c r="Y153" s="355"/>
      <c r="Z153" s="355"/>
      <c r="AA153" s="355"/>
      <c r="AB153" s="355"/>
      <c r="AC153" s="355"/>
      <c r="AD153" s="355"/>
      <c r="AE153" s="355"/>
      <c r="AF153" s="355"/>
      <c r="AG153" s="355"/>
      <c r="AH153" s="355"/>
      <c r="AI153" s="355"/>
      <c r="AJ153" s="355"/>
      <c r="AK153" s="355"/>
      <c r="AL153" s="355"/>
      <c r="AM153" s="355"/>
      <c r="AN153" s="355"/>
      <c r="AO153" s="355"/>
      <c r="AP153" s="355"/>
      <c r="AQ153" s="355"/>
      <c r="AR153" s="355"/>
      <c r="AS153" s="355"/>
      <c r="AT153" s="355"/>
      <c r="AU153" s="355"/>
      <c r="AV153" s="355"/>
      <c r="AW153" s="355"/>
      <c r="AX153" s="355"/>
      <c r="AY153" s="355"/>
      <c r="AZ153" s="355"/>
      <c r="BA153" s="355"/>
      <c r="BB153" s="355"/>
      <c r="BC153" s="355"/>
      <c r="BD153" s="355"/>
      <c r="BE153" s="355"/>
      <c r="BF153" s="355"/>
      <c r="BG153" s="355"/>
      <c r="BH153" s="355"/>
      <c r="BI153" s="355"/>
      <c r="BJ153" s="355"/>
      <c r="BK153" s="355"/>
      <c r="BL153" s="355"/>
      <c r="BM153" s="355"/>
      <c r="BN153" s="355"/>
      <c r="BO153" s="355"/>
      <c r="BP153" s="355"/>
      <c r="BQ153" s="355"/>
      <c r="BR153" s="355"/>
      <c r="BS153" s="355"/>
      <c r="BT153" s="355"/>
      <c r="BU153" s="355"/>
      <c r="BV153" s="355"/>
      <c r="BW153" s="355"/>
      <c r="BX153" s="355"/>
      <c r="BY153" s="355"/>
      <c r="BZ153" s="355"/>
      <c r="CA153" s="355"/>
      <c r="CB153" s="355"/>
      <c r="CC153" s="355"/>
      <c r="CD153" s="355"/>
      <c r="CE153" s="355"/>
      <c r="CF153" s="355"/>
      <c r="CG153" s="355"/>
      <c r="CH153" s="355"/>
      <c r="CI153" s="355"/>
      <c r="CJ153" s="355"/>
      <c r="CK153" s="355"/>
      <c r="CL153" s="355"/>
    </row>
    <row r="154" outlineLevel="1">
      <c r="A154" s="353" t="str">
        <f t="shared" si="15"/>
        <v>TC_01.125</v>
      </c>
      <c r="B154" s="422" t="s">
        <v>73</v>
      </c>
      <c r="C154" s="327" t="s">
        <v>1473</v>
      </c>
      <c r="D154" s="329" t="s">
        <v>1371</v>
      </c>
      <c r="E154" s="382" t="s">
        <v>1474</v>
      </c>
      <c r="F154" s="382" t="s">
        <v>1475</v>
      </c>
      <c r="G154" s="433"/>
      <c r="H154" s="433"/>
      <c r="I154" s="433"/>
      <c r="J154" s="44"/>
      <c r="K154" s="331"/>
      <c r="L154" s="352"/>
      <c r="M154" s="61"/>
      <c r="N154" s="354"/>
      <c r="O154" s="61"/>
      <c r="P154" s="353"/>
      <c r="Q154" s="353"/>
      <c r="R154" s="354"/>
      <c r="S154" s="43"/>
      <c r="T154" s="353"/>
      <c r="U154" s="353"/>
      <c r="V154" s="354"/>
      <c r="W154" s="355"/>
      <c r="X154" s="355"/>
      <c r="Y154" s="355"/>
      <c r="Z154" s="355"/>
      <c r="AA154" s="355"/>
      <c r="AB154" s="355"/>
      <c r="AC154" s="355"/>
      <c r="AD154" s="355"/>
      <c r="AE154" s="355"/>
      <c r="AF154" s="355"/>
      <c r="AG154" s="355"/>
      <c r="AH154" s="355"/>
      <c r="AI154" s="355"/>
      <c r="AJ154" s="355"/>
      <c r="AK154" s="355"/>
      <c r="AL154" s="355"/>
      <c r="AM154" s="355"/>
      <c r="AN154" s="355"/>
      <c r="AO154" s="355"/>
      <c r="AP154" s="355"/>
      <c r="AQ154" s="355"/>
      <c r="AR154" s="355"/>
      <c r="AS154" s="355"/>
      <c r="AT154" s="355"/>
      <c r="AU154" s="355"/>
      <c r="AV154" s="355"/>
      <c r="AW154" s="355"/>
      <c r="AX154" s="355"/>
      <c r="AY154" s="355"/>
      <c r="AZ154" s="355"/>
      <c r="BA154" s="355"/>
      <c r="BB154" s="355"/>
      <c r="BC154" s="355"/>
      <c r="BD154" s="355"/>
      <c r="BE154" s="355"/>
      <c r="BF154" s="355"/>
      <c r="BG154" s="355"/>
      <c r="BH154" s="355"/>
      <c r="BI154" s="355"/>
      <c r="BJ154" s="355"/>
      <c r="BK154" s="355"/>
      <c r="BL154" s="355"/>
      <c r="BM154" s="355"/>
      <c r="BN154" s="355"/>
      <c r="BO154" s="355"/>
      <c r="BP154" s="355"/>
      <c r="BQ154" s="355"/>
      <c r="BR154" s="355"/>
      <c r="BS154" s="355"/>
      <c r="BT154" s="355"/>
      <c r="BU154" s="355"/>
      <c r="BV154" s="355"/>
      <c r="BW154" s="355"/>
      <c r="BX154" s="355"/>
      <c r="BY154" s="355"/>
      <c r="BZ154" s="355"/>
      <c r="CA154" s="355"/>
      <c r="CB154" s="355"/>
      <c r="CC154" s="355"/>
      <c r="CD154" s="355"/>
      <c r="CE154" s="355"/>
      <c r="CF154" s="355"/>
      <c r="CG154" s="355"/>
      <c r="CH154" s="355"/>
      <c r="CI154" s="355"/>
      <c r="CJ154" s="355"/>
      <c r="CK154" s="355"/>
      <c r="CL154" s="355"/>
    </row>
    <row r="155" outlineLevel="1">
      <c r="A155" s="353" t="str">
        <f t="shared" si="15"/>
        <v>TC_01.126</v>
      </c>
      <c r="B155" s="422" t="s">
        <v>73</v>
      </c>
      <c r="C155" s="327" t="s">
        <v>1476</v>
      </c>
      <c r="D155" s="329" t="s">
        <v>1371</v>
      </c>
      <c r="E155" s="382" t="s">
        <v>1477</v>
      </c>
      <c r="F155" s="382" t="s">
        <v>1478</v>
      </c>
      <c r="G155" s="433"/>
      <c r="H155" s="433"/>
      <c r="I155" s="433"/>
      <c r="J155" s="44"/>
      <c r="K155" s="331"/>
      <c r="L155" s="352"/>
      <c r="M155" s="61"/>
      <c r="N155" s="354"/>
      <c r="O155" s="61"/>
      <c r="P155" s="353"/>
      <c r="Q155" s="353"/>
      <c r="R155" s="354"/>
      <c r="S155" s="43"/>
      <c r="T155" s="353"/>
      <c r="U155" s="353"/>
      <c r="V155" s="354"/>
      <c r="W155" s="355"/>
      <c r="X155" s="355"/>
      <c r="Y155" s="355"/>
      <c r="Z155" s="355"/>
      <c r="AA155" s="355"/>
      <c r="AB155" s="355"/>
      <c r="AC155" s="355"/>
      <c r="AD155" s="355"/>
      <c r="AE155" s="355"/>
      <c r="AF155" s="355"/>
      <c r="AG155" s="355"/>
      <c r="AH155" s="355"/>
      <c r="AI155" s="355"/>
      <c r="AJ155" s="355"/>
      <c r="AK155" s="355"/>
      <c r="AL155" s="355"/>
      <c r="AM155" s="355"/>
      <c r="AN155" s="355"/>
      <c r="AO155" s="355"/>
      <c r="AP155" s="355"/>
      <c r="AQ155" s="355"/>
      <c r="AR155" s="355"/>
      <c r="AS155" s="355"/>
      <c r="AT155" s="355"/>
      <c r="AU155" s="355"/>
      <c r="AV155" s="355"/>
      <c r="AW155" s="355"/>
      <c r="AX155" s="355"/>
      <c r="AY155" s="355"/>
      <c r="AZ155" s="355"/>
      <c r="BA155" s="355"/>
      <c r="BB155" s="355"/>
      <c r="BC155" s="355"/>
      <c r="BD155" s="355"/>
      <c r="BE155" s="355"/>
      <c r="BF155" s="355"/>
      <c r="BG155" s="355"/>
      <c r="BH155" s="355"/>
      <c r="BI155" s="355"/>
      <c r="BJ155" s="355"/>
      <c r="BK155" s="355"/>
      <c r="BL155" s="355"/>
      <c r="BM155" s="355"/>
      <c r="BN155" s="355"/>
      <c r="BO155" s="355"/>
      <c r="BP155" s="355"/>
      <c r="BQ155" s="355"/>
      <c r="BR155" s="355"/>
      <c r="BS155" s="355"/>
      <c r="BT155" s="355"/>
      <c r="BU155" s="355"/>
      <c r="BV155" s="355"/>
      <c r="BW155" s="355"/>
      <c r="BX155" s="355"/>
      <c r="BY155" s="355"/>
      <c r="BZ155" s="355"/>
      <c r="CA155" s="355"/>
      <c r="CB155" s="355"/>
      <c r="CC155" s="355"/>
      <c r="CD155" s="355"/>
      <c r="CE155" s="355"/>
      <c r="CF155" s="355"/>
      <c r="CG155" s="355"/>
      <c r="CH155" s="355"/>
      <c r="CI155" s="355"/>
      <c r="CJ155" s="355"/>
      <c r="CK155" s="355"/>
      <c r="CL155" s="355"/>
    </row>
    <row r="156" outlineLevel="1">
      <c r="A156" s="353" t="str">
        <f t="shared" si="15"/>
        <v>TC_01.127</v>
      </c>
      <c r="B156" s="422" t="s">
        <v>73</v>
      </c>
      <c r="C156" s="327" t="s">
        <v>1479</v>
      </c>
      <c r="D156" s="329" t="s">
        <v>1371</v>
      </c>
      <c r="E156" s="382" t="s">
        <v>1480</v>
      </c>
      <c r="F156" s="382" t="s">
        <v>1481</v>
      </c>
      <c r="G156" s="433"/>
      <c r="H156" s="433"/>
      <c r="I156" s="433"/>
      <c r="J156" s="44"/>
      <c r="K156" s="329"/>
      <c r="L156" s="352"/>
      <c r="M156" s="61"/>
      <c r="N156" s="354"/>
      <c r="O156" s="61"/>
      <c r="P156" s="353"/>
      <c r="Q156" s="353"/>
      <c r="R156" s="354"/>
      <c r="S156" s="43"/>
      <c r="T156" s="353"/>
      <c r="U156" s="353"/>
      <c r="V156" s="354"/>
      <c r="W156" s="355"/>
      <c r="X156" s="355"/>
      <c r="Y156" s="355"/>
      <c r="Z156" s="355"/>
      <c r="AA156" s="355"/>
      <c r="AB156" s="355"/>
      <c r="AC156" s="355"/>
      <c r="AD156" s="355"/>
      <c r="AE156" s="355"/>
      <c r="AF156" s="355"/>
      <c r="AG156" s="355"/>
      <c r="AH156" s="355"/>
      <c r="AI156" s="355"/>
      <c r="AJ156" s="355"/>
      <c r="AK156" s="355"/>
      <c r="AL156" s="355"/>
      <c r="AM156" s="355"/>
      <c r="AN156" s="355"/>
      <c r="AO156" s="355"/>
      <c r="AP156" s="355"/>
      <c r="AQ156" s="355"/>
      <c r="AR156" s="355"/>
      <c r="AS156" s="355"/>
      <c r="AT156" s="355"/>
      <c r="AU156" s="355"/>
      <c r="AV156" s="355"/>
      <c r="AW156" s="355"/>
      <c r="AX156" s="355"/>
      <c r="AY156" s="355"/>
      <c r="AZ156" s="355"/>
      <c r="BA156" s="355"/>
      <c r="BB156" s="355"/>
      <c r="BC156" s="355"/>
      <c r="BD156" s="355"/>
      <c r="BE156" s="355"/>
      <c r="BF156" s="355"/>
      <c r="BG156" s="355"/>
      <c r="BH156" s="355"/>
      <c r="BI156" s="355"/>
      <c r="BJ156" s="355"/>
      <c r="BK156" s="355"/>
      <c r="BL156" s="355"/>
      <c r="BM156" s="355"/>
      <c r="BN156" s="355"/>
      <c r="BO156" s="355"/>
      <c r="BP156" s="355"/>
      <c r="BQ156" s="355"/>
      <c r="BR156" s="355"/>
      <c r="BS156" s="355"/>
      <c r="BT156" s="355"/>
      <c r="BU156" s="355"/>
      <c r="BV156" s="355"/>
      <c r="BW156" s="355"/>
      <c r="BX156" s="355"/>
      <c r="BY156" s="355"/>
      <c r="BZ156" s="355"/>
      <c r="CA156" s="355"/>
      <c r="CB156" s="355"/>
      <c r="CC156" s="355"/>
      <c r="CD156" s="355"/>
      <c r="CE156" s="355"/>
      <c r="CF156" s="355"/>
      <c r="CG156" s="355"/>
      <c r="CH156" s="355"/>
      <c r="CI156" s="355"/>
      <c r="CJ156" s="355"/>
      <c r="CK156" s="355"/>
      <c r="CL156" s="355"/>
    </row>
    <row r="157">
      <c r="A157" s="322" t="s">
        <v>1482</v>
      </c>
      <c r="B157" s="148"/>
      <c r="C157" s="148"/>
      <c r="D157" s="148"/>
      <c r="E157" s="148"/>
      <c r="F157" s="171"/>
      <c r="G157" s="267"/>
      <c r="H157" s="267"/>
      <c r="I157" s="267"/>
      <c r="J157" s="158"/>
      <c r="K157" s="273"/>
      <c r="L157" s="321"/>
      <c r="M157" s="273"/>
      <c r="N157" s="273"/>
      <c r="O157" s="273"/>
      <c r="P157" s="273"/>
      <c r="Q157" s="273"/>
      <c r="R157" s="273"/>
      <c r="S157" s="273"/>
      <c r="T157" s="273"/>
      <c r="U157" s="265"/>
      <c r="V157" s="273"/>
      <c r="W157" s="273"/>
      <c r="X157" s="273"/>
      <c r="Y157" s="249"/>
      <c r="Z157" s="249"/>
      <c r="AA157" s="249"/>
      <c r="AB157" s="249"/>
      <c r="AC157" s="249"/>
      <c r="AD157" s="249"/>
      <c r="AE157" s="249"/>
      <c r="AF157" s="249"/>
      <c r="AG157" s="249"/>
      <c r="AH157" s="249"/>
      <c r="AI157" s="249"/>
      <c r="AJ157" s="249"/>
      <c r="AK157" s="249"/>
      <c r="AL157" s="249"/>
      <c r="AM157" s="249"/>
      <c r="AN157" s="249"/>
      <c r="AO157" s="249"/>
      <c r="AP157" s="249"/>
      <c r="AQ157" s="249"/>
      <c r="AR157" s="249"/>
      <c r="AS157" s="249"/>
      <c r="AT157" s="249"/>
      <c r="AU157" s="249"/>
      <c r="AV157" s="249"/>
      <c r="AW157" s="249"/>
      <c r="AX157" s="249"/>
      <c r="AY157" s="249"/>
      <c r="AZ157" s="249"/>
      <c r="BA157" s="249"/>
      <c r="BB157" s="249"/>
      <c r="BC157" s="249"/>
      <c r="BD157" s="249"/>
      <c r="BE157" s="249"/>
      <c r="BF157" s="249"/>
      <c r="BG157" s="249"/>
      <c r="BH157" s="249"/>
      <c r="BI157" s="249"/>
      <c r="BJ157" s="249"/>
      <c r="BK157" s="249"/>
      <c r="BL157" s="249"/>
      <c r="BM157" s="249"/>
      <c r="BN157" s="249"/>
      <c r="BO157" s="249"/>
      <c r="BP157" s="249"/>
      <c r="BQ157" s="249"/>
      <c r="BR157" s="249"/>
      <c r="BS157" s="249"/>
      <c r="BT157" s="249"/>
      <c r="BU157" s="249"/>
      <c r="BV157" s="249"/>
      <c r="BW157" s="249"/>
      <c r="BX157" s="249"/>
      <c r="BY157" s="249"/>
      <c r="BZ157" s="249"/>
      <c r="CA157" s="249"/>
      <c r="CB157" s="249"/>
      <c r="CC157" s="249"/>
      <c r="CD157" s="249"/>
      <c r="CE157" s="249"/>
      <c r="CF157" s="249"/>
      <c r="CG157" s="249"/>
      <c r="CH157" s="249"/>
      <c r="CI157" s="249"/>
      <c r="CJ157" s="249"/>
      <c r="CK157" s="249"/>
      <c r="CL157" s="249"/>
    </row>
    <row r="158">
      <c r="A158" s="325"/>
      <c r="B158" s="338" t="s">
        <v>1483</v>
      </c>
      <c r="C158" s="148"/>
      <c r="D158" s="148"/>
      <c r="E158" s="148"/>
      <c r="F158" s="171"/>
      <c r="G158" s="430"/>
      <c r="H158" s="430"/>
      <c r="I158" s="430"/>
      <c r="J158" s="323"/>
      <c r="K158" s="273"/>
      <c r="L158" s="321"/>
      <c r="M158" s="273"/>
      <c r="N158" s="323"/>
      <c r="O158" s="273"/>
      <c r="P158" s="273"/>
      <c r="Q158" s="273"/>
      <c r="R158" s="323"/>
      <c r="S158" s="273"/>
      <c r="T158" s="273"/>
      <c r="U158" s="265"/>
      <c r="V158" s="323"/>
      <c r="W158" s="273"/>
      <c r="X158" s="273"/>
      <c r="Y158" s="249"/>
      <c r="Z158" s="249"/>
      <c r="AA158" s="249"/>
      <c r="AB158" s="249"/>
      <c r="AC158" s="249"/>
      <c r="AD158" s="249"/>
      <c r="AE158" s="249"/>
      <c r="AF158" s="249"/>
      <c r="AG158" s="249"/>
      <c r="AH158" s="249"/>
      <c r="AI158" s="249"/>
      <c r="AJ158" s="249"/>
      <c r="AK158" s="249"/>
      <c r="AL158" s="249"/>
      <c r="AM158" s="249"/>
      <c r="AN158" s="249"/>
      <c r="AO158" s="249"/>
      <c r="AP158" s="249"/>
      <c r="AQ158" s="249"/>
      <c r="AR158" s="249"/>
      <c r="AS158" s="249"/>
      <c r="AT158" s="249"/>
      <c r="AU158" s="249"/>
      <c r="AV158" s="249"/>
      <c r="AW158" s="249"/>
      <c r="AX158" s="249"/>
      <c r="AY158" s="249"/>
      <c r="AZ158" s="249"/>
      <c r="BA158" s="249"/>
      <c r="BB158" s="249"/>
      <c r="BC158" s="249"/>
      <c r="BD158" s="249"/>
      <c r="BE158" s="249"/>
      <c r="BF158" s="249"/>
      <c r="BG158" s="249"/>
      <c r="BH158" s="249"/>
      <c r="BI158" s="249"/>
      <c r="BJ158" s="249"/>
      <c r="BK158" s="249"/>
      <c r="BL158" s="249"/>
      <c r="BM158" s="249"/>
      <c r="BN158" s="249"/>
      <c r="BO158" s="249"/>
      <c r="BP158" s="249"/>
      <c r="BQ158" s="249"/>
      <c r="BR158" s="249"/>
      <c r="BS158" s="249"/>
      <c r="BT158" s="249"/>
      <c r="BU158" s="249"/>
      <c r="BV158" s="249"/>
      <c r="BW158" s="249"/>
      <c r="BX158" s="249"/>
      <c r="BY158" s="249"/>
      <c r="BZ158" s="249"/>
      <c r="CA158" s="249"/>
      <c r="CB158" s="249"/>
      <c r="CC158" s="249"/>
      <c r="CD158" s="249"/>
      <c r="CE158" s="249"/>
      <c r="CF158" s="249"/>
      <c r="CG158" s="249"/>
      <c r="CH158" s="249"/>
      <c r="CI158" s="249"/>
      <c r="CJ158" s="249"/>
      <c r="CK158" s="249"/>
      <c r="CL158" s="249"/>
    </row>
    <row r="159">
      <c r="A159" s="353" t="str">
        <f t="shared" ref="A159:A160" si="16">IF(E159="","",$C$3&amp;"."&amp;COUNTA($E$10:E159)&amp;"")</f>
        <v>TC_01.128</v>
      </c>
      <c r="B159" s="326" t="s">
        <v>73</v>
      </c>
      <c r="C159" s="336" t="s">
        <v>1484</v>
      </c>
      <c r="D159" s="429" t="s">
        <v>1485</v>
      </c>
      <c r="E159" s="429" t="s">
        <v>1486</v>
      </c>
      <c r="F159" s="347" t="s">
        <v>1487</v>
      </c>
      <c r="G159" s="433"/>
      <c r="H159" s="433"/>
      <c r="I159" s="433"/>
      <c r="J159" s="44"/>
      <c r="K159" s="273"/>
      <c r="L159" s="321"/>
      <c r="M159" s="273"/>
      <c r="N159" s="323"/>
      <c r="O159" s="273"/>
      <c r="P159" s="273"/>
      <c r="Q159" s="273"/>
      <c r="R159" s="323"/>
      <c r="S159" s="273"/>
      <c r="T159" s="273"/>
      <c r="U159" s="265"/>
      <c r="V159" s="323"/>
      <c r="W159" s="273"/>
      <c r="X159" s="273"/>
      <c r="Y159" s="249"/>
      <c r="Z159" s="249"/>
      <c r="AA159" s="249"/>
      <c r="AB159" s="249"/>
      <c r="AC159" s="249"/>
      <c r="AD159" s="249"/>
      <c r="AE159" s="249"/>
      <c r="AF159" s="249"/>
      <c r="AG159" s="249"/>
      <c r="AH159" s="249"/>
      <c r="AI159" s="249"/>
      <c r="AJ159" s="249"/>
      <c r="AK159" s="249"/>
      <c r="AL159" s="249"/>
      <c r="AM159" s="249"/>
      <c r="AN159" s="249"/>
      <c r="AO159" s="249"/>
      <c r="AP159" s="249"/>
      <c r="AQ159" s="249"/>
      <c r="AR159" s="249"/>
      <c r="AS159" s="249"/>
      <c r="AT159" s="249"/>
      <c r="AU159" s="249"/>
      <c r="AV159" s="249"/>
      <c r="AW159" s="249"/>
      <c r="AX159" s="249"/>
      <c r="AY159" s="249"/>
      <c r="AZ159" s="249"/>
      <c r="BA159" s="249"/>
      <c r="BB159" s="249"/>
      <c r="BC159" s="249"/>
      <c r="BD159" s="249"/>
      <c r="BE159" s="249"/>
      <c r="BF159" s="249"/>
      <c r="BG159" s="249"/>
      <c r="BH159" s="249"/>
      <c r="BI159" s="249"/>
      <c r="BJ159" s="249"/>
      <c r="BK159" s="249"/>
      <c r="BL159" s="249"/>
      <c r="BM159" s="249"/>
      <c r="BN159" s="249"/>
      <c r="BO159" s="249"/>
      <c r="BP159" s="249"/>
      <c r="BQ159" s="249"/>
      <c r="BR159" s="249"/>
      <c r="BS159" s="249"/>
      <c r="BT159" s="249"/>
      <c r="BU159" s="249"/>
      <c r="BV159" s="249"/>
      <c r="BW159" s="249"/>
      <c r="BX159" s="249"/>
      <c r="BY159" s="249"/>
      <c r="BZ159" s="249"/>
      <c r="CA159" s="249"/>
      <c r="CB159" s="249"/>
      <c r="CC159" s="249"/>
      <c r="CD159" s="249"/>
      <c r="CE159" s="249"/>
      <c r="CF159" s="249"/>
      <c r="CG159" s="249"/>
      <c r="CH159" s="249"/>
      <c r="CI159" s="249"/>
      <c r="CJ159" s="249"/>
      <c r="CK159" s="249"/>
      <c r="CL159" s="249"/>
    </row>
    <row r="160">
      <c r="A160" s="353" t="str">
        <f t="shared" si="16"/>
        <v>TC_01.129</v>
      </c>
      <c r="B160" s="326" t="s">
        <v>73</v>
      </c>
      <c r="C160" s="327" t="s">
        <v>1488</v>
      </c>
      <c r="D160" s="429" t="s">
        <v>1485</v>
      </c>
      <c r="E160" s="429" t="s">
        <v>1489</v>
      </c>
      <c r="F160" s="347" t="s">
        <v>1490</v>
      </c>
      <c r="G160" s="433"/>
      <c r="H160" s="433"/>
      <c r="I160" s="433"/>
      <c r="J160" s="44"/>
      <c r="K160" s="375"/>
      <c r="L160" s="321"/>
      <c r="M160" s="273"/>
      <c r="N160" s="323"/>
      <c r="O160" s="273"/>
      <c r="P160" s="273"/>
      <c r="Q160" s="273"/>
      <c r="R160" s="323"/>
      <c r="S160" s="273"/>
      <c r="T160" s="273"/>
      <c r="U160" s="265"/>
      <c r="V160" s="323"/>
      <c r="W160" s="273"/>
      <c r="X160" s="273"/>
      <c r="Y160" s="249"/>
      <c r="Z160" s="249"/>
      <c r="AA160" s="249"/>
      <c r="AB160" s="249"/>
      <c r="AC160" s="249"/>
      <c r="AD160" s="249"/>
      <c r="AE160" s="249"/>
      <c r="AF160" s="249"/>
      <c r="AG160" s="249"/>
      <c r="AH160" s="249"/>
      <c r="AI160" s="249"/>
      <c r="AJ160" s="249"/>
      <c r="AK160" s="249"/>
      <c r="AL160" s="249"/>
      <c r="AM160" s="249"/>
      <c r="AN160" s="249"/>
      <c r="AO160" s="249"/>
      <c r="AP160" s="249"/>
      <c r="AQ160" s="249"/>
      <c r="AR160" s="249"/>
      <c r="AS160" s="249"/>
      <c r="AT160" s="249"/>
      <c r="AU160" s="249"/>
      <c r="AV160" s="249"/>
      <c r="AW160" s="249"/>
      <c r="AX160" s="249"/>
      <c r="AY160" s="249"/>
      <c r="AZ160" s="249"/>
      <c r="BA160" s="249"/>
      <c r="BB160" s="249"/>
      <c r="BC160" s="249"/>
      <c r="BD160" s="249"/>
      <c r="BE160" s="249"/>
      <c r="BF160" s="249"/>
      <c r="BG160" s="249"/>
      <c r="BH160" s="249"/>
      <c r="BI160" s="249"/>
      <c r="BJ160" s="249"/>
      <c r="BK160" s="249"/>
      <c r="BL160" s="249"/>
      <c r="BM160" s="249"/>
      <c r="BN160" s="249"/>
      <c r="BO160" s="249"/>
      <c r="BP160" s="249"/>
      <c r="BQ160" s="249"/>
      <c r="BR160" s="249"/>
      <c r="BS160" s="249"/>
      <c r="BT160" s="249"/>
      <c r="BU160" s="249"/>
      <c r="BV160" s="249"/>
      <c r="BW160" s="249"/>
      <c r="BX160" s="249"/>
      <c r="BY160" s="249"/>
      <c r="BZ160" s="249"/>
      <c r="CA160" s="249"/>
      <c r="CB160" s="249"/>
      <c r="CC160" s="249"/>
      <c r="CD160" s="249"/>
      <c r="CE160" s="249"/>
      <c r="CF160" s="249"/>
      <c r="CG160" s="249"/>
      <c r="CH160" s="249"/>
      <c r="CI160" s="249"/>
      <c r="CJ160" s="249"/>
      <c r="CK160" s="249"/>
      <c r="CL160" s="249"/>
    </row>
    <row r="161">
      <c r="A161" s="353"/>
      <c r="B161" s="338" t="s">
        <v>1491</v>
      </c>
      <c r="C161" s="148"/>
      <c r="D161" s="148"/>
      <c r="E161" s="148"/>
      <c r="F161" s="171"/>
      <c r="G161" s="430"/>
      <c r="H161" s="430"/>
      <c r="I161" s="430"/>
      <c r="J161" s="323"/>
      <c r="K161" s="273"/>
      <c r="L161" s="321"/>
      <c r="M161" s="273"/>
      <c r="N161" s="323"/>
      <c r="O161" s="273"/>
      <c r="P161" s="273"/>
      <c r="Q161" s="273"/>
      <c r="R161" s="323"/>
      <c r="S161" s="273"/>
      <c r="T161" s="273"/>
      <c r="U161" s="265"/>
      <c r="V161" s="323"/>
      <c r="W161" s="273"/>
      <c r="X161" s="273"/>
      <c r="Y161" s="249"/>
      <c r="Z161" s="249"/>
      <c r="AA161" s="249"/>
      <c r="AB161" s="249"/>
      <c r="AC161" s="249"/>
      <c r="AD161" s="249"/>
      <c r="AE161" s="249"/>
      <c r="AF161" s="249"/>
      <c r="AG161" s="249"/>
      <c r="AH161" s="249"/>
      <c r="AI161" s="249"/>
      <c r="AJ161" s="249"/>
      <c r="AK161" s="249"/>
      <c r="AL161" s="249"/>
      <c r="AM161" s="249"/>
      <c r="AN161" s="249"/>
      <c r="AO161" s="249"/>
      <c r="AP161" s="249"/>
      <c r="AQ161" s="249"/>
      <c r="AR161" s="249"/>
      <c r="AS161" s="249"/>
      <c r="AT161" s="249"/>
      <c r="AU161" s="249"/>
      <c r="AV161" s="249"/>
      <c r="AW161" s="249"/>
      <c r="AX161" s="249"/>
      <c r="AY161" s="249"/>
      <c r="AZ161" s="249"/>
      <c r="BA161" s="249"/>
      <c r="BB161" s="249"/>
      <c r="BC161" s="249"/>
      <c r="BD161" s="249"/>
      <c r="BE161" s="249"/>
      <c r="BF161" s="249"/>
      <c r="BG161" s="249"/>
      <c r="BH161" s="249"/>
      <c r="BI161" s="249"/>
      <c r="BJ161" s="249"/>
      <c r="BK161" s="249"/>
      <c r="BL161" s="249"/>
      <c r="BM161" s="249"/>
      <c r="BN161" s="249"/>
      <c r="BO161" s="249"/>
      <c r="BP161" s="249"/>
      <c r="BQ161" s="249"/>
      <c r="BR161" s="249"/>
      <c r="BS161" s="249"/>
      <c r="BT161" s="249"/>
      <c r="BU161" s="249"/>
      <c r="BV161" s="249"/>
      <c r="BW161" s="249"/>
      <c r="BX161" s="249"/>
      <c r="BY161" s="249"/>
      <c r="BZ161" s="249"/>
      <c r="CA161" s="249"/>
      <c r="CB161" s="249"/>
      <c r="CC161" s="249"/>
      <c r="CD161" s="249"/>
      <c r="CE161" s="249"/>
      <c r="CF161" s="249"/>
      <c r="CG161" s="249"/>
      <c r="CH161" s="249"/>
      <c r="CI161" s="249"/>
      <c r="CJ161" s="249"/>
      <c r="CK161" s="249"/>
      <c r="CL161" s="249"/>
    </row>
    <row r="162">
      <c r="A162" s="353" t="str">
        <f t="shared" ref="A162:A164" si="17">IF(E162="","",$C$3&amp;"."&amp;COUNTA($E$10:E162)&amp;"")</f>
        <v>TC_01.130</v>
      </c>
      <c r="B162" s="326" t="s">
        <v>73</v>
      </c>
      <c r="C162" s="336" t="s">
        <v>1492</v>
      </c>
      <c r="D162" s="429" t="s">
        <v>1485</v>
      </c>
      <c r="E162" s="429" t="s">
        <v>1493</v>
      </c>
      <c r="F162" s="329" t="s">
        <v>1494</v>
      </c>
      <c r="G162" s="433"/>
      <c r="H162" s="433"/>
      <c r="I162" s="433"/>
      <c r="J162" s="44"/>
      <c r="K162" s="273"/>
      <c r="L162" s="321"/>
      <c r="M162" s="273"/>
      <c r="N162" s="323"/>
      <c r="O162" s="273"/>
      <c r="P162" s="273"/>
      <c r="Q162" s="273"/>
      <c r="R162" s="323"/>
      <c r="S162" s="273"/>
      <c r="T162" s="273"/>
      <c r="U162" s="265"/>
      <c r="V162" s="323"/>
      <c r="W162" s="273"/>
      <c r="X162" s="273"/>
      <c r="Y162" s="249"/>
      <c r="Z162" s="249"/>
      <c r="AA162" s="249"/>
      <c r="AB162" s="249"/>
      <c r="AC162" s="249"/>
      <c r="AD162" s="249"/>
      <c r="AE162" s="249"/>
      <c r="AF162" s="249"/>
      <c r="AG162" s="249"/>
      <c r="AH162" s="249"/>
      <c r="AI162" s="249"/>
      <c r="AJ162" s="249"/>
      <c r="AK162" s="249"/>
      <c r="AL162" s="249"/>
      <c r="AM162" s="249"/>
      <c r="AN162" s="249"/>
      <c r="AO162" s="249"/>
      <c r="AP162" s="249"/>
      <c r="AQ162" s="249"/>
      <c r="AR162" s="249"/>
      <c r="AS162" s="249"/>
      <c r="AT162" s="249"/>
      <c r="AU162" s="249"/>
      <c r="AV162" s="249"/>
      <c r="AW162" s="249"/>
      <c r="AX162" s="249"/>
      <c r="AY162" s="249"/>
      <c r="AZ162" s="249"/>
      <c r="BA162" s="249"/>
      <c r="BB162" s="249"/>
      <c r="BC162" s="249"/>
      <c r="BD162" s="249"/>
      <c r="BE162" s="249"/>
      <c r="BF162" s="249"/>
      <c r="BG162" s="249"/>
      <c r="BH162" s="249"/>
      <c r="BI162" s="249"/>
      <c r="BJ162" s="249"/>
      <c r="BK162" s="249"/>
      <c r="BL162" s="249"/>
      <c r="BM162" s="249"/>
      <c r="BN162" s="249"/>
      <c r="BO162" s="249"/>
      <c r="BP162" s="249"/>
      <c r="BQ162" s="249"/>
      <c r="BR162" s="249"/>
      <c r="BS162" s="249"/>
      <c r="BT162" s="249"/>
      <c r="BU162" s="249"/>
      <c r="BV162" s="249"/>
      <c r="BW162" s="249"/>
      <c r="BX162" s="249"/>
      <c r="BY162" s="249"/>
      <c r="BZ162" s="249"/>
      <c r="CA162" s="249"/>
      <c r="CB162" s="249"/>
      <c r="CC162" s="249"/>
      <c r="CD162" s="249"/>
      <c r="CE162" s="249"/>
      <c r="CF162" s="249"/>
      <c r="CG162" s="249"/>
      <c r="CH162" s="249"/>
      <c r="CI162" s="249"/>
      <c r="CJ162" s="249"/>
      <c r="CK162" s="249"/>
      <c r="CL162" s="249"/>
    </row>
    <row r="163">
      <c r="A163" s="353" t="str">
        <f t="shared" si="17"/>
        <v>TC_01.131</v>
      </c>
      <c r="B163" s="323" t="s">
        <v>75</v>
      </c>
      <c r="C163" s="336" t="s">
        <v>1495</v>
      </c>
      <c r="D163" s="429" t="s">
        <v>1485</v>
      </c>
      <c r="E163" s="429" t="s">
        <v>1496</v>
      </c>
      <c r="F163" s="347" t="s">
        <v>1497</v>
      </c>
      <c r="G163" s="433"/>
      <c r="H163" s="433"/>
      <c r="I163" s="433"/>
      <c r="J163" s="44"/>
      <c r="K163" s="273"/>
      <c r="L163" s="321"/>
      <c r="M163" s="273"/>
      <c r="N163" s="323"/>
      <c r="O163" s="273"/>
      <c r="P163" s="273"/>
      <c r="Q163" s="273"/>
      <c r="R163" s="323"/>
      <c r="S163" s="273"/>
      <c r="T163" s="273"/>
      <c r="U163" s="265"/>
      <c r="V163" s="323"/>
      <c r="W163" s="273"/>
      <c r="X163" s="273"/>
      <c r="Y163" s="249"/>
      <c r="Z163" s="249"/>
      <c r="AA163" s="249"/>
      <c r="AB163" s="249"/>
      <c r="AC163" s="249"/>
      <c r="AD163" s="249"/>
      <c r="AE163" s="249"/>
      <c r="AF163" s="249"/>
      <c r="AG163" s="249"/>
      <c r="AH163" s="249"/>
      <c r="AI163" s="249"/>
      <c r="AJ163" s="249"/>
      <c r="AK163" s="249"/>
      <c r="AL163" s="249"/>
      <c r="AM163" s="249"/>
      <c r="AN163" s="249"/>
      <c r="AO163" s="249"/>
      <c r="AP163" s="249"/>
      <c r="AQ163" s="249"/>
      <c r="AR163" s="249"/>
      <c r="AS163" s="249"/>
      <c r="AT163" s="249"/>
      <c r="AU163" s="249"/>
      <c r="AV163" s="249"/>
      <c r="AW163" s="249"/>
      <c r="AX163" s="249"/>
      <c r="AY163" s="249"/>
      <c r="AZ163" s="249"/>
      <c r="BA163" s="249"/>
      <c r="BB163" s="249"/>
      <c r="BC163" s="249"/>
      <c r="BD163" s="249"/>
      <c r="BE163" s="249"/>
      <c r="BF163" s="249"/>
      <c r="BG163" s="249"/>
      <c r="BH163" s="249"/>
      <c r="BI163" s="249"/>
      <c r="BJ163" s="249"/>
      <c r="BK163" s="249"/>
      <c r="BL163" s="249"/>
      <c r="BM163" s="249"/>
      <c r="BN163" s="249"/>
      <c r="BO163" s="249"/>
      <c r="BP163" s="249"/>
      <c r="BQ163" s="249"/>
      <c r="BR163" s="249"/>
      <c r="BS163" s="249"/>
      <c r="BT163" s="249"/>
      <c r="BU163" s="249"/>
      <c r="BV163" s="249"/>
      <c r="BW163" s="249"/>
      <c r="BX163" s="249"/>
      <c r="BY163" s="249"/>
      <c r="BZ163" s="249"/>
      <c r="CA163" s="249"/>
      <c r="CB163" s="249"/>
      <c r="CC163" s="249"/>
      <c r="CD163" s="249"/>
      <c r="CE163" s="249"/>
      <c r="CF163" s="249"/>
      <c r="CG163" s="249"/>
      <c r="CH163" s="249"/>
      <c r="CI163" s="249"/>
      <c r="CJ163" s="249"/>
      <c r="CK163" s="249"/>
      <c r="CL163" s="249"/>
    </row>
    <row r="164">
      <c r="A164" s="353" t="str">
        <f t="shared" si="17"/>
        <v>TC_01.132</v>
      </c>
      <c r="B164" s="323" t="s">
        <v>75</v>
      </c>
      <c r="C164" s="336" t="s">
        <v>1498</v>
      </c>
      <c r="D164" s="429" t="s">
        <v>1485</v>
      </c>
      <c r="E164" s="429" t="s">
        <v>1499</v>
      </c>
      <c r="F164" s="347" t="s">
        <v>1500</v>
      </c>
      <c r="G164" s="433"/>
      <c r="H164" s="433"/>
      <c r="I164" s="433"/>
      <c r="J164" s="44"/>
      <c r="K164" s="273"/>
      <c r="L164" s="321"/>
      <c r="M164" s="273"/>
      <c r="N164" s="323"/>
      <c r="O164" s="273"/>
      <c r="P164" s="273"/>
      <c r="Q164" s="273"/>
      <c r="R164" s="323"/>
      <c r="S164" s="273"/>
      <c r="T164" s="273"/>
      <c r="U164" s="265"/>
      <c r="V164" s="323"/>
      <c r="W164" s="273"/>
      <c r="X164" s="273"/>
      <c r="Y164" s="249"/>
      <c r="Z164" s="249"/>
      <c r="AA164" s="249"/>
      <c r="AB164" s="249"/>
      <c r="AC164" s="249"/>
      <c r="AD164" s="249"/>
      <c r="AE164" s="249"/>
      <c r="AF164" s="249"/>
      <c r="AG164" s="249"/>
      <c r="AH164" s="249"/>
      <c r="AI164" s="249"/>
      <c r="AJ164" s="249"/>
      <c r="AK164" s="249"/>
      <c r="AL164" s="249"/>
      <c r="AM164" s="249"/>
      <c r="AN164" s="249"/>
      <c r="AO164" s="249"/>
      <c r="AP164" s="249"/>
      <c r="AQ164" s="249"/>
      <c r="AR164" s="249"/>
      <c r="AS164" s="249"/>
      <c r="AT164" s="249"/>
      <c r="AU164" s="249"/>
      <c r="AV164" s="249"/>
      <c r="AW164" s="249"/>
      <c r="AX164" s="249"/>
      <c r="AY164" s="249"/>
      <c r="AZ164" s="249"/>
      <c r="BA164" s="249"/>
      <c r="BB164" s="249"/>
      <c r="BC164" s="249"/>
      <c r="BD164" s="249"/>
      <c r="BE164" s="249"/>
      <c r="BF164" s="249"/>
      <c r="BG164" s="249"/>
      <c r="BH164" s="249"/>
      <c r="BI164" s="249"/>
      <c r="BJ164" s="249"/>
      <c r="BK164" s="249"/>
      <c r="BL164" s="249"/>
      <c r="BM164" s="249"/>
      <c r="BN164" s="249"/>
      <c r="BO164" s="249"/>
      <c r="BP164" s="249"/>
      <c r="BQ164" s="249"/>
      <c r="BR164" s="249"/>
      <c r="BS164" s="249"/>
      <c r="BT164" s="249"/>
      <c r="BU164" s="249"/>
      <c r="BV164" s="249"/>
      <c r="BW164" s="249"/>
      <c r="BX164" s="249"/>
      <c r="BY164" s="249"/>
      <c r="BZ164" s="249"/>
      <c r="CA164" s="249"/>
      <c r="CB164" s="249"/>
      <c r="CC164" s="249"/>
      <c r="CD164" s="249"/>
      <c r="CE164" s="249"/>
      <c r="CF164" s="249"/>
      <c r="CG164" s="249"/>
      <c r="CH164" s="249"/>
      <c r="CI164" s="249"/>
      <c r="CJ164" s="249"/>
      <c r="CK164" s="249"/>
      <c r="CL164" s="249"/>
    </row>
    <row r="165">
      <c r="A165" s="353"/>
      <c r="B165" s="338" t="s">
        <v>1501</v>
      </c>
      <c r="C165" s="148"/>
      <c r="D165" s="148"/>
      <c r="E165" s="148"/>
      <c r="F165" s="171"/>
      <c r="G165" s="430"/>
      <c r="H165" s="430"/>
      <c r="I165" s="430"/>
      <c r="J165" s="323"/>
      <c r="K165" s="273"/>
      <c r="L165" s="321"/>
      <c r="M165" s="273"/>
      <c r="N165" s="323"/>
      <c r="O165" s="273"/>
      <c r="P165" s="273"/>
      <c r="Q165" s="273"/>
      <c r="R165" s="323"/>
      <c r="S165" s="273"/>
      <c r="T165" s="273"/>
      <c r="U165" s="265"/>
      <c r="V165" s="323"/>
      <c r="W165" s="273"/>
      <c r="X165" s="273"/>
      <c r="Y165" s="249"/>
      <c r="Z165" s="249"/>
      <c r="AA165" s="249"/>
      <c r="AB165" s="249"/>
      <c r="AC165" s="249"/>
      <c r="AD165" s="249"/>
      <c r="AE165" s="249"/>
      <c r="AF165" s="249"/>
      <c r="AG165" s="249"/>
      <c r="AH165" s="249"/>
      <c r="AI165" s="249"/>
      <c r="AJ165" s="249"/>
      <c r="AK165" s="249"/>
      <c r="AL165" s="249"/>
      <c r="AM165" s="249"/>
      <c r="AN165" s="249"/>
      <c r="AO165" s="249"/>
      <c r="AP165" s="249"/>
      <c r="AQ165" s="249"/>
      <c r="AR165" s="249"/>
      <c r="AS165" s="249"/>
      <c r="AT165" s="249"/>
      <c r="AU165" s="249"/>
      <c r="AV165" s="249"/>
      <c r="AW165" s="249"/>
      <c r="AX165" s="249"/>
      <c r="AY165" s="249"/>
      <c r="AZ165" s="249"/>
      <c r="BA165" s="249"/>
      <c r="BB165" s="249"/>
      <c r="BC165" s="249"/>
      <c r="BD165" s="249"/>
      <c r="BE165" s="249"/>
      <c r="BF165" s="249"/>
      <c r="BG165" s="249"/>
      <c r="BH165" s="249"/>
      <c r="BI165" s="249"/>
      <c r="BJ165" s="249"/>
      <c r="BK165" s="249"/>
      <c r="BL165" s="249"/>
      <c r="BM165" s="249"/>
      <c r="BN165" s="249"/>
      <c r="BO165" s="249"/>
      <c r="BP165" s="249"/>
      <c r="BQ165" s="249"/>
      <c r="BR165" s="249"/>
      <c r="BS165" s="249"/>
      <c r="BT165" s="249"/>
      <c r="BU165" s="249"/>
      <c r="BV165" s="249"/>
      <c r="BW165" s="249"/>
      <c r="BX165" s="249"/>
      <c r="BY165" s="249"/>
      <c r="BZ165" s="249"/>
      <c r="CA165" s="249"/>
      <c r="CB165" s="249"/>
      <c r="CC165" s="249"/>
      <c r="CD165" s="249"/>
      <c r="CE165" s="249"/>
      <c r="CF165" s="249"/>
      <c r="CG165" s="249"/>
      <c r="CH165" s="249"/>
      <c r="CI165" s="249"/>
      <c r="CJ165" s="249"/>
      <c r="CK165" s="249"/>
      <c r="CL165" s="249"/>
    </row>
    <row r="166">
      <c r="A166" s="353" t="str">
        <f t="shared" ref="A166:A168" si="18">IF(E166="","",$C$3&amp;"."&amp;COUNTA($E$10:E166)&amp;"")</f>
        <v>TC_01.133</v>
      </c>
      <c r="B166" s="323" t="s">
        <v>75</v>
      </c>
      <c r="C166" s="336" t="s">
        <v>1502</v>
      </c>
      <c r="D166" s="429" t="s">
        <v>1485</v>
      </c>
      <c r="E166" s="429" t="s">
        <v>1503</v>
      </c>
      <c r="F166" s="347" t="s">
        <v>1504</v>
      </c>
      <c r="G166" s="433"/>
      <c r="H166" s="433"/>
      <c r="I166" s="433"/>
      <c r="J166" s="44"/>
      <c r="K166" s="364"/>
      <c r="L166" s="321"/>
      <c r="M166" s="273"/>
      <c r="N166" s="323"/>
      <c r="O166" s="273"/>
      <c r="P166" s="273"/>
      <c r="Q166" s="273"/>
      <c r="R166" s="323"/>
      <c r="S166" s="273"/>
      <c r="T166" s="273"/>
      <c r="U166" s="265"/>
      <c r="V166" s="323"/>
      <c r="W166" s="273"/>
      <c r="X166" s="273"/>
      <c r="Y166" s="249"/>
      <c r="Z166" s="249"/>
      <c r="AA166" s="249"/>
      <c r="AB166" s="249"/>
      <c r="AC166" s="249"/>
      <c r="AD166" s="249"/>
      <c r="AE166" s="249"/>
      <c r="AF166" s="249"/>
      <c r="AG166" s="249"/>
      <c r="AH166" s="249"/>
      <c r="AI166" s="249"/>
      <c r="AJ166" s="249"/>
      <c r="AK166" s="249"/>
      <c r="AL166" s="249"/>
      <c r="AM166" s="249"/>
      <c r="AN166" s="249"/>
      <c r="AO166" s="249"/>
      <c r="AP166" s="249"/>
      <c r="AQ166" s="249"/>
      <c r="AR166" s="249"/>
      <c r="AS166" s="249"/>
      <c r="AT166" s="249"/>
      <c r="AU166" s="249"/>
      <c r="AV166" s="249"/>
      <c r="AW166" s="249"/>
      <c r="AX166" s="249"/>
      <c r="AY166" s="249"/>
      <c r="AZ166" s="249"/>
      <c r="BA166" s="249"/>
      <c r="BB166" s="249"/>
      <c r="BC166" s="249"/>
      <c r="BD166" s="249"/>
      <c r="BE166" s="249"/>
      <c r="BF166" s="249"/>
      <c r="BG166" s="249"/>
      <c r="BH166" s="249"/>
      <c r="BI166" s="249"/>
      <c r="BJ166" s="249"/>
      <c r="BK166" s="249"/>
      <c r="BL166" s="249"/>
      <c r="BM166" s="249"/>
      <c r="BN166" s="249"/>
      <c r="BO166" s="249"/>
      <c r="BP166" s="249"/>
      <c r="BQ166" s="249"/>
      <c r="BR166" s="249"/>
      <c r="BS166" s="249"/>
      <c r="BT166" s="249"/>
      <c r="BU166" s="249"/>
      <c r="BV166" s="249"/>
      <c r="BW166" s="249"/>
      <c r="BX166" s="249"/>
      <c r="BY166" s="249"/>
      <c r="BZ166" s="249"/>
      <c r="CA166" s="249"/>
      <c r="CB166" s="249"/>
      <c r="CC166" s="249"/>
      <c r="CD166" s="249"/>
      <c r="CE166" s="249"/>
      <c r="CF166" s="249"/>
      <c r="CG166" s="249"/>
      <c r="CH166" s="249"/>
      <c r="CI166" s="249"/>
      <c r="CJ166" s="249"/>
      <c r="CK166" s="249"/>
      <c r="CL166" s="249"/>
    </row>
    <row r="167">
      <c r="A167" s="353" t="str">
        <f t="shared" si="18"/>
        <v>TC_01.134</v>
      </c>
      <c r="B167" s="323" t="s">
        <v>75</v>
      </c>
      <c r="C167" s="336" t="s">
        <v>1505</v>
      </c>
      <c r="D167" s="429" t="s">
        <v>1485</v>
      </c>
      <c r="E167" s="329" t="s">
        <v>1506</v>
      </c>
      <c r="F167" s="329" t="s">
        <v>1507</v>
      </c>
      <c r="G167" s="433"/>
      <c r="H167" s="433"/>
      <c r="I167" s="433"/>
      <c r="J167" s="44"/>
      <c r="K167" s="273"/>
      <c r="L167" s="321"/>
      <c r="M167" s="273"/>
      <c r="N167" s="323"/>
      <c r="O167" s="273"/>
      <c r="P167" s="273"/>
      <c r="Q167" s="273"/>
      <c r="R167" s="323"/>
      <c r="S167" s="273"/>
      <c r="T167" s="273"/>
      <c r="U167" s="265"/>
      <c r="V167" s="323"/>
      <c r="W167" s="273"/>
      <c r="X167" s="273"/>
      <c r="Y167" s="249"/>
      <c r="Z167" s="249"/>
      <c r="AA167" s="249"/>
      <c r="AB167" s="249"/>
      <c r="AC167" s="249"/>
      <c r="AD167" s="249"/>
      <c r="AE167" s="249"/>
      <c r="AF167" s="249"/>
      <c r="AG167" s="249"/>
      <c r="AH167" s="249"/>
      <c r="AI167" s="249"/>
      <c r="AJ167" s="249"/>
      <c r="AK167" s="249"/>
      <c r="AL167" s="249"/>
      <c r="AM167" s="249"/>
      <c r="AN167" s="249"/>
      <c r="AO167" s="249"/>
      <c r="AP167" s="249"/>
      <c r="AQ167" s="249"/>
      <c r="AR167" s="249"/>
      <c r="AS167" s="249"/>
      <c r="AT167" s="249"/>
      <c r="AU167" s="249"/>
      <c r="AV167" s="249"/>
      <c r="AW167" s="249"/>
      <c r="AX167" s="249"/>
      <c r="AY167" s="249"/>
      <c r="AZ167" s="249"/>
      <c r="BA167" s="249"/>
      <c r="BB167" s="249"/>
      <c r="BC167" s="249"/>
      <c r="BD167" s="249"/>
      <c r="BE167" s="249"/>
      <c r="BF167" s="249"/>
      <c r="BG167" s="249"/>
      <c r="BH167" s="249"/>
      <c r="BI167" s="249"/>
      <c r="BJ167" s="249"/>
      <c r="BK167" s="249"/>
      <c r="BL167" s="249"/>
      <c r="BM167" s="249"/>
      <c r="BN167" s="249"/>
      <c r="BO167" s="249"/>
      <c r="BP167" s="249"/>
      <c r="BQ167" s="249"/>
      <c r="BR167" s="249"/>
      <c r="BS167" s="249"/>
      <c r="BT167" s="249"/>
      <c r="BU167" s="249"/>
      <c r="BV167" s="249"/>
      <c r="BW167" s="249"/>
      <c r="BX167" s="249"/>
      <c r="BY167" s="249"/>
      <c r="BZ167" s="249"/>
      <c r="CA167" s="249"/>
      <c r="CB167" s="249"/>
      <c r="CC167" s="249"/>
      <c r="CD167" s="249"/>
      <c r="CE167" s="249"/>
      <c r="CF167" s="249"/>
      <c r="CG167" s="249"/>
      <c r="CH167" s="249"/>
      <c r="CI167" s="249"/>
      <c r="CJ167" s="249"/>
      <c r="CK167" s="249"/>
      <c r="CL167" s="249"/>
    </row>
    <row r="168">
      <c r="A168" s="353" t="str">
        <f t="shared" si="18"/>
        <v>TC_01.135</v>
      </c>
      <c r="B168" s="323" t="s">
        <v>75</v>
      </c>
      <c r="C168" s="327" t="s">
        <v>1508</v>
      </c>
      <c r="D168" s="429" t="s">
        <v>1485</v>
      </c>
      <c r="E168" s="429" t="s">
        <v>1509</v>
      </c>
      <c r="F168" s="329" t="s">
        <v>1510</v>
      </c>
      <c r="G168" s="433"/>
      <c r="H168" s="433"/>
      <c r="I168" s="433"/>
      <c r="J168" s="44"/>
      <c r="K168" s="273"/>
      <c r="L168" s="321"/>
      <c r="M168" s="273"/>
      <c r="N168" s="323"/>
      <c r="O168" s="273"/>
      <c r="P168" s="273"/>
      <c r="Q168" s="273"/>
      <c r="R168" s="323"/>
      <c r="S168" s="273"/>
      <c r="T168" s="273"/>
      <c r="U168" s="265"/>
      <c r="V168" s="323"/>
      <c r="W168" s="273"/>
      <c r="X168" s="273"/>
      <c r="Y168" s="249"/>
      <c r="Z168" s="249"/>
      <c r="AA168" s="249"/>
      <c r="AB168" s="249"/>
      <c r="AC168" s="249"/>
      <c r="AD168" s="249"/>
      <c r="AE168" s="249"/>
      <c r="AF168" s="249"/>
      <c r="AG168" s="249"/>
      <c r="AH168" s="249"/>
      <c r="AI168" s="249"/>
      <c r="AJ168" s="249"/>
      <c r="AK168" s="249"/>
      <c r="AL168" s="249"/>
      <c r="AM168" s="249"/>
      <c r="AN168" s="249"/>
      <c r="AO168" s="249"/>
      <c r="AP168" s="249"/>
      <c r="AQ168" s="249"/>
      <c r="AR168" s="249"/>
      <c r="AS168" s="249"/>
      <c r="AT168" s="249"/>
      <c r="AU168" s="249"/>
      <c r="AV168" s="249"/>
      <c r="AW168" s="249"/>
      <c r="AX168" s="249"/>
      <c r="AY168" s="249"/>
      <c r="AZ168" s="249"/>
      <c r="BA168" s="249"/>
      <c r="BB168" s="249"/>
      <c r="BC168" s="249"/>
      <c r="BD168" s="249"/>
      <c r="BE168" s="249"/>
      <c r="BF168" s="249"/>
      <c r="BG168" s="249"/>
      <c r="BH168" s="249"/>
      <c r="BI168" s="249"/>
      <c r="BJ168" s="249"/>
      <c r="BK168" s="249"/>
      <c r="BL168" s="249"/>
      <c r="BM168" s="249"/>
      <c r="BN168" s="249"/>
      <c r="BO168" s="249"/>
      <c r="BP168" s="249"/>
      <c r="BQ168" s="249"/>
      <c r="BR168" s="249"/>
      <c r="BS168" s="249"/>
      <c r="BT168" s="249"/>
      <c r="BU168" s="249"/>
      <c r="BV168" s="249"/>
      <c r="BW168" s="249"/>
      <c r="BX168" s="249"/>
      <c r="BY168" s="249"/>
      <c r="BZ168" s="249"/>
      <c r="CA168" s="249"/>
      <c r="CB168" s="249"/>
      <c r="CC168" s="249"/>
      <c r="CD168" s="249"/>
      <c r="CE168" s="249"/>
      <c r="CF168" s="249"/>
      <c r="CG168" s="249"/>
      <c r="CH168" s="249"/>
      <c r="CI168" s="249"/>
      <c r="CJ168" s="249"/>
      <c r="CK168" s="249"/>
      <c r="CL168" s="249"/>
    </row>
    <row r="169">
      <c r="A169" s="417"/>
      <c r="B169" s="417"/>
      <c r="C169" s="439"/>
      <c r="D169" s="440"/>
      <c r="E169" s="441"/>
      <c r="F169" s="442"/>
      <c r="G169" s="430"/>
      <c r="H169" s="430"/>
      <c r="I169" s="430"/>
      <c r="J169" s="323"/>
      <c r="K169" s="273"/>
      <c r="L169" s="321"/>
      <c r="M169" s="273"/>
      <c r="N169" s="323"/>
      <c r="O169" s="273"/>
      <c r="P169" s="273"/>
      <c r="Q169" s="273"/>
      <c r="R169" s="323"/>
      <c r="S169" s="273"/>
      <c r="T169" s="273"/>
      <c r="U169" s="265"/>
      <c r="V169" s="323"/>
      <c r="W169" s="273"/>
      <c r="X169" s="273"/>
      <c r="Y169" s="249"/>
      <c r="Z169" s="249"/>
      <c r="AA169" s="249"/>
      <c r="AB169" s="249"/>
      <c r="AC169" s="249"/>
      <c r="AD169" s="249"/>
      <c r="AE169" s="249"/>
      <c r="AF169" s="249"/>
      <c r="AG169" s="249"/>
      <c r="AH169" s="249"/>
      <c r="AI169" s="249"/>
      <c r="AJ169" s="249"/>
      <c r="AK169" s="249"/>
      <c r="AL169" s="249"/>
      <c r="AM169" s="249"/>
      <c r="AN169" s="249"/>
      <c r="AO169" s="249"/>
      <c r="AP169" s="249"/>
      <c r="AQ169" s="249"/>
      <c r="AR169" s="249"/>
      <c r="AS169" s="249"/>
      <c r="AT169" s="249"/>
      <c r="AU169" s="249"/>
      <c r="AV169" s="249"/>
      <c r="AW169" s="249"/>
      <c r="AX169" s="249"/>
      <c r="AY169" s="249"/>
      <c r="AZ169" s="249"/>
      <c r="BA169" s="249"/>
      <c r="BB169" s="249"/>
      <c r="BC169" s="249"/>
      <c r="BD169" s="249"/>
      <c r="BE169" s="249"/>
      <c r="BF169" s="249"/>
      <c r="BG169" s="249"/>
      <c r="BH169" s="249"/>
      <c r="BI169" s="249"/>
      <c r="BJ169" s="249"/>
      <c r="BK169" s="249"/>
      <c r="BL169" s="249"/>
      <c r="BM169" s="249"/>
      <c r="BN169" s="249"/>
      <c r="BO169" s="249"/>
      <c r="BP169" s="249"/>
      <c r="BQ169" s="249"/>
      <c r="BR169" s="249"/>
      <c r="BS169" s="249"/>
      <c r="BT169" s="249"/>
      <c r="BU169" s="249"/>
      <c r="BV169" s="249"/>
      <c r="BW169" s="249"/>
      <c r="BX169" s="249"/>
      <c r="BY169" s="249"/>
      <c r="BZ169" s="249"/>
      <c r="CA169" s="249"/>
      <c r="CB169" s="249"/>
      <c r="CC169" s="249"/>
      <c r="CD169" s="249"/>
      <c r="CE169" s="249"/>
      <c r="CF169" s="249"/>
      <c r="CG169" s="249"/>
      <c r="CH169" s="249"/>
      <c r="CI169" s="249"/>
      <c r="CJ169" s="249"/>
      <c r="CK169" s="249"/>
      <c r="CL169" s="249"/>
    </row>
    <row r="170">
      <c r="A170" s="417"/>
      <c r="B170" s="417"/>
      <c r="C170" s="443"/>
      <c r="D170" s="444"/>
      <c r="E170" s="441"/>
      <c r="F170" s="445"/>
      <c r="G170" s="430"/>
      <c r="H170" s="430"/>
      <c r="I170" s="430"/>
      <c r="J170" s="323"/>
      <c r="K170" s="273"/>
      <c r="L170" s="321"/>
      <c r="M170" s="273"/>
      <c r="N170" s="323"/>
      <c r="O170" s="273"/>
      <c r="P170" s="273"/>
      <c r="Q170" s="273"/>
      <c r="R170" s="323"/>
      <c r="S170" s="273"/>
      <c r="T170" s="273"/>
      <c r="U170" s="265"/>
      <c r="V170" s="323"/>
      <c r="W170" s="273"/>
      <c r="X170" s="273"/>
      <c r="Y170" s="249"/>
      <c r="Z170" s="249"/>
      <c r="AA170" s="249"/>
      <c r="AB170" s="249"/>
      <c r="AC170" s="249"/>
      <c r="AD170" s="249"/>
      <c r="AE170" s="249"/>
      <c r="AF170" s="249"/>
      <c r="AG170" s="249"/>
      <c r="AH170" s="249"/>
      <c r="AI170" s="249"/>
      <c r="AJ170" s="249"/>
      <c r="AK170" s="249"/>
      <c r="AL170" s="249"/>
      <c r="AM170" s="249"/>
      <c r="AN170" s="249"/>
      <c r="AO170" s="249"/>
      <c r="AP170" s="249"/>
      <c r="AQ170" s="249"/>
      <c r="AR170" s="249"/>
      <c r="AS170" s="249"/>
      <c r="AT170" s="249"/>
      <c r="AU170" s="249"/>
      <c r="AV170" s="249"/>
      <c r="AW170" s="249"/>
      <c r="AX170" s="249"/>
      <c r="AY170" s="249"/>
      <c r="AZ170" s="249"/>
      <c r="BA170" s="249"/>
      <c r="BB170" s="249"/>
      <c r="BC170" s="249"/>
      <c r="BD170" s="249"/>
      <c r="BE170" s="249"/>
      <c r="BF170" s="249"/>
      <c r="BG170" s="249"/>
      <c r="BH170" s="249"/>
      <c r="BI170" s="249"/>
      <c r="BJ170" s="249"/>
      <c r="BK170" s="249"/>
      <c r="BL170" s="249"/>
      <c r="BM170" s="249"/>
      <c r="BN170" s="249"/>
      <c r="BO170" s="249"/>
      <c r="BP170" s="249"/>
      <c r="BQ170" s="249"/>
      <c r="BR170" s="249"/>
      <c r="BS170" s="249"/>
      <c r="BT170" s="249"/>
      <c r="BU170" s="249"/>
      <c r="BV170" s="249"/>
      <c r="BW170" s="249"/>
      <c r="BX170" s="249"/>
      <c r="BY170" s="249"/>
      <c r="BZ170" s="249"/>
      <c r="CA170" s="249"/>
      <c r="CB170" s="249"/>
      <c r="CC170" s="249"/>
      <c r="CD170" s="249"/>
      <c r="CE170" s="249"/>
      <c r="CF170" s="249"/>
      <c r="CG170" s="249"/>
      <c r="CH170" s="249"/>
      <c r="CI170" s="249"/>
      <c r="CJ170" s="249"/>
      <c r="CK170" s="249"/>
      <c r="CL170" s="249"/>
    </row>
    <row r="171">
      <c r="A171" s="417"/>
      <c r="B171" s="417"/>
      <c r="C171" s="446"/>
      <c r="D171" s="419"/>
      <c r="E171" s="419"/>
      <c r="F171" s="419"/>
      <c r="G171" s="430"/>
      <c r="H171" s="430"/>
      <c r="I171" s="430"/>
      <c r="J171" s="323"/>
      <c r="K171" s="273"/>
      <c r="L171" s="321"/>
      <c r="M171" s="273"/>
      <c r="N171" s="323"/>
      <c r="O171" s="273"/>
      <c r="P171" s="273"/>
      <c r="Q171" s="273"/>
      <c r="R171" s="323"/>
      <c r="S171" s="273"/>
      <c r="T171" s="273"/>
      <c r="U171" s="265"/>
      <c r="V171" s="323"/>
      <c r="W171" s="273"/>
      <c r="X171" s="273"/>
      <c r="Y171" s="249"/>
      <c r="Z171" s="249"/>
      <c r="AA171" s="249"/>
      <c r="AB171" s="249"/>
      <c r="AC171" s="249"/>
      <c r="AD171" s="249"/>
      <c r="AE171" s="249"/>
      <c r="AF171" s="249"/>
      <c r="AG171" s="249"/>
      <c r="AH171" s="249"/>
      <c r="AI171" s="249"/>
      <c r="AJ171" s="249"/>
      <c r="AK171" s="249"/>
      <c r="AL171" s="249"/>
      <c r="AM171" s="249"/>
      <c r="AN171" s="249"/>
      <c r="AO171" s="249"/>
      <c r="AP171" s="249"/>
      <c r="AQ171" s="249"/>
      <c r="AR171" s="249"/>
      <c r="AS171" s="249"/>
      <c r="AT171" s="249"/>
      <c r="AU171" s="249"/>
      <c r="AV171" s="249"/>
      <c r="AW171" s="249"/>
      <c r="AX171" s="249"/>
      <c r="AY171" s="249"/>
      <c r="AZ171" s="249"/>
      <c r="BA171" s="249"/>
      <c r="BB171" s="249"/>
      <c r="BC171" s="249"/>
      <c r="BD171" s="249"/>
      <c r="BE171" s="249"/>
      <c r="BF171" s="249"/>
      <c r="BG171" s="249"/>
      <c r="BH171" s="249"/>
      <c r="BI171" s="249"/>
      <c r="BJ171" s="249"/>
      <c r="BK171" s="249"/>
      <c r="BL171" s="249"/>
      <c r="BM171" s="249"/>
      <c r="BN171" s="249"/>
      <c r="BO171" s="249"/>
      <c r="BP171" s="249"/>
      <c r="BQ171" s="249"/>
      <c r="BR171" s="249"/>
      <c r="BS171" s="249"/>
      <c r="BT171" s="249"/>
      <c r="BU171" s="249"/>
      <c r="BV171" s="249"/>
      <c r="BW171" s="249"/>
      <c r="BX171" s="249"/>
      <c r="BY171" s="249"/>
      <c r="BZ171" s="249"/>
      <c r="CA171" s="249"/>
      <c r="CB171" s="249"/>
      <c r="CC171" s="249"/>
      <c r="CD171" s="249"/>
      <c r="CE171" s="249"/>
      <c r="CF171" s="249"/>
      <c r="CG171" s="249"/>
      <c r="CH171" s="249"/>
      <c r="CI171" s="249"/>
      <c r="CJ171" s="249"/>
      <c r="CK171" s="249"/>
      <c r="CL171" s="249"/>
    </row>
    <row r="172">
      <c r="A172" s="158"/>
      <c r="B172" s="158"/>
      <c r="C172" s="447"/>
      <c r="D172" s="273"/>
      <c r="E172" s="273"/>
      <c r="F172" s="273"/>
      <c r="G172" s="430"/>
      <c r="H172" s="430"/>
      <c r="I172" s="430"/>
      <c r="J172" s="323"/>
      <c r="K172" s="273"/>
      <c r="L172" s="321"/>
      <c r="M172" s="273"/>
      <c r="N172" s="323"/>
      <c r="O172" s="273"/>
      <c r="P172" s="273"/>
      <c r="Q172" s="273"/>
      <c r="R172" s="323"/>
      <c r="S172" s="273"/>
      <c r="T172" s="273"/>
      <c r="U172" s="265"/>
      <c r="V172" s="323"/>
      <c r="W172" s="273"/>
      <c r="X172" s="273"/>
      <c r="Y172" s="249"/>
      <c r="Z172" s="249"/>
      <c r="AA172" s="249"/>
      <c r="AB172" s="249"/>
      <c r="AC172" s="249"/>
      <c r="AD172" s="249"/>
      <c r="AE172" s="249"/>
      <c r="AF172" s="249"/>
      <c r="AG172" s="249"/>
      <c r="AH172" s="249"/>
      <c r="AI172" s="249"/>
      <c r="AJ172" s="249"/>
      <c r="AK172" s="249"/>
      <c r="AL172" s="249"/>
      <c r="AM172" s="249"/>
      <c r="AN172" s="249"/>
      <c r="AO172" s="249"/>
      <c r="AP172" s="249"/>
      <c r="AQ172" s="249"/>
      <c r="AR172" s="249"/>
      <c r="AS172" s="249"/>
      <c r="AT172" s="249"/>
      <c r="AU172" s="249"/>
      <c r="AV172" s="249"/>
      <c r="AW172" s="249"/>
      <c r="AX172" s="249"/>
      <c r="AY172" s="249"/>
      <c r="AZ172" s="249"/>
      <c r="BA172" s="249"/>
      <c r="BB172" s="249"/>
      <c r="BC172" s="249"/>
      <c r="BD172" s="249"/>
      <c r="BE172" s="249"/>
      <c r="BF172" s="249"/>
      <c r="BG172" s="249"/>
      <c r="BH172" s="249"/>
      <c r="BI172" s="249"/>
      <c r="BJ172" s="249"/>
      <c r="BK172" s="249"/>
      <c r="BL172" s="249"/>
      <c r="BM172" s="249"/>
      <c r="BN172" s="249"/>
      <c r="BO172" s="249"/>
      <c r="BP172" s="249"/>
      <c r="BQ172" s="249"/>
      <c r="BR172" s="249"/>
      <c r="BS172" s="249"/>
      <c r="BT172" s="249"/>
      <c r="BU172" s="249"/>
      <c r="BV172" s="249"/>
      <c r="BW172" s="249"/>
      <c r="BX172" s="249"/>
      <c r="BY172" s="249"/>
      <c r="BZ172" s="249"/>
      <c r="CA172" s="249"/>
      <c r="CB172" s="249"/>
      <c r="CC172" s="249"/>
      <c r="CD172" s="249"/>
      <c r="CE172" s="249"/>
      <c r="CF172" s="249"/>
      <c r="CG172" s="249"/>
      <c r="CH172" s="249"/>
      <c r="CI172" s="249"/>
      <c r="CJ172" s="249"/>
      <c r="CK172" s="249"/>
      <c r="CL172" s="249"/>
    </row>
    <row r="173">
      <c r="A173" s="158"/>
      <c r="B173" s="158"/>
      <c r="C173" s="447"/>
      <c r="D173" s="273"/>
      <c r="E173" s="273"/>
      <c r="F173" s="375"/>
      <c r="G173" s="430"/>
      <c r="H173" s="430"/>
      <c r="I173" s="430"/>
      <c r="J173" s="323"/>
      <c r="K173" s="273"/>
      <c r="L173" s="321"/>
      <c r="M173" s="273"/>
      <c r="N173" s="323"/>
      <c r="O173" s="273"/>
      <c r="P173" s="273"/>
      <c r="Q173" s="273"/>
      <c r="R173" s="323"/>
      <c r="S173" s="273"/>
      <c r="T173" s="273"/>
      <c r="U173" s="265"/>
      <c r="V173" s="323"/>
      <c r="W173" s="273"/>
      <c r="X173" s="273"/>
      <c r="Y173" s="249"/>
      <c r="Z173" s="249"/>
      <c r="AA173" s="249"/>
      <c r="AB173" s="249"/>
      <c r="AC173" s="249"/>
      <c r="AD173" s="249"/>
      <c r="AE173" s="249"/>
      <c r="AF173" s="249"/>
      <c r="AG173" s="249"/>
      <c r="AH173" s="249"/>
      <c r="AI173" s="249"/>
      <c r="AJ173" s="249"/>
      <c r="AK173" s="249"/>
      <c r="AL173" s="249"/>
      <c r="AM173" s="249"/>
      <c r="AN173" s="249"/>
      <c r="AO173" s="249"/>
      <c r="AP173" s="249"/>
      <c r="AQ173" s="249"/>
      <c r="AR173" s="249"/>
      <c r="AS173" s="249"/>
      <c r="AT173" s="249"/>
      <c r="AU173" s="249"/>
      <c r="AV173" s="249"/>
      <c r="AW173" s="249"/>
      <c r="AX173" s="249"/>
      <c r="AY173" s="249"/>
      <c r="AZ173" s="249"/>
      <c r="BA173" s="249"/>
      <c r="BB173" s="249"/>
      <c r="BC173" s="249"/>
      <c r="BD173" s="249"/>
      <c r="BE173" s="249"/>
      <c r="BF173" s="249"/>
      <c r="BG173" s="249"/>
      <c r="BH173" s="249"/>
      <c r="BI173" s="249"/>
      <c r="BJ173" s="249"/>
      <c r="BK173" s="249"/>
      <c r="BL173" s="249"/>
      <c r="BM173" s="249"/>
      <c r="BN173" s="249"/>
      <c r="BO173" s="249"/>
      <c r="BP173" s="249"/>
      <c r="BQ173" s="249"/>
      <c r="BR173" s="249"/>
      <c r="BS173" s="249"/>
      <c r="BT173" s="249"/>
      <c r="BU173" s="249"/>
      <c r="BV173" s="249"/>
      <c r="BW173" s="249"/>
      <c r="BX173" s="249"/>
      <c r="BY173" s="249"/>
      <c r="BZ173" s="249"/>
      <c r="CA173" s="249"/>
      <c r="CB173" s="249"/>
      <c r="CC173" s="249"/>
      <c r="CD173" s="249"/>
      <c r="CE173" s="249"/>
      <c r="CF173" s="249"/>
      <c r="CG173" s="249"/>
      <c r="CH173" s="249"/>
      <c r="CI173" s="249"/>
      <c r="CJ173" s="249"/>
      <c r="CK173" s="249"/>
      <c r="CL173" s="249"/>
    </row>
    <row r="174">
      <c r="A174" s="158"/>
      <c r="B174" s="158"/>
      <c r="C174" s="448"/>
      <c r="D174" s="273"/>
      <c r="E174" s="273"/>
      <c r="F174" s="375"/>
      <c r="G174" s="430"/>
      <c r="H174" s="430"/>
      <c r="I174" s="430"/>
      <c r="J174" s="323"/>
      <c r="K174" s="273"/>
      <c r="L174" s="321"/>
      <c r="M174" s="273"/>
      <c r="N174" s="323"/>
      <c r="O174" s="273"/>
      <c r="P174" s="273"/>
      <c r="Q174" s="273"/>
      <c r="R174" s="323"/>
      <c r="S174" s="273"/>
      <c r="T174" s="273"/>
      <c r="U174" s="265"/>
      <c r="V174" s="323"/>
      <c r="W174" s="273"/>
      <c r="X174" s="273"/>
      <c r="Y174" s="249"/>
      <c r="Z174" s="249"/>
      <c r="AA174" s="249"/>
      <c r="AB174" s="249"/>
      <c r="AC174" s="249"/>
      <c r="AD174" s="249"/>
      <c r="AE174" s="249"/>
      <c r="AF174" s="249"/>
      <c r="AG174" s="249"/>
      <c r="AH174" s="249"/>
      <c r="AI174" s="249"/>
      <c r="AJ174" s="249"/>
      <c r="AK174" s="249"/>
      <c r="AL174" s="249"/>
      <c r="AM174" s="249"/>
      <c r="AN174" s="249"/>
      <c r="AO174" s="249"/>
      <c r="AP174" s="249"/>
      <c r="AQ174" s="249"/>
      <c r="AR174" s="249"/>
      <c r="AS174" s="249"/>
      <c r="AT174" s="249"/>
      <c r="AU174" s="249"/>
      <c r="AV174" s="249"/>
      <c r="AW174" s="249"/>
      <c r="AX174" s="249"/>
      <c r="AY174" s="249"/>
      <c r="AZ174" s="249"/>
      <c r="BA174" s="249"/>
      <c r="BB174" s="249"/>
      <c r="BC174" s="249"/>
      <c r="BD174" s="249"/>
      <c r="BE174" s="249"/>
      <c r="BF174" s="249"/>
      <c r="BG174" s="249"/>
      <c r="BH174" s="249"/>
      <c r="BI174" s="249"/>
      <c r="BJ174" s="249"/>
      <c r="BK174" s="249"/>
      <c r="BL174" s="249"/>
      <c r="BM174" s="249"/>
      <c r="BN174" s="249"/>
      <c r="BO174" s="249"/>
      <c r="BP174" s="249"/>
      <c r="BQ174" s="249"/>
      <c r="BR174" s="249"/>
      <c r="BS174" s="249"/>
      <c r="BT174" s="249"/>
      <c r="BU174" s="249"/>
      <c r="BV174" s="249"/>
      <c r="BW174" s="249"/>
      <c r="BX174" s="249"/>
      <c r="BY174" s="249"/>
      <c r="BZ174" s="249"/>
      <c r="CA174" s="249"/>
      <c r="CB174" s="249"/>
      <c r="CC174" s="249"/>
      <c r="CD174" s="249"/>
      <c r="CE174" s="249"/>
      <c r="CF174" s="249"/>
      <c r="CG174" s="249"/>
      <c r="CH174" s="249"/>
      <c r="CI174" s="249"/>
      <c r="CJ174" s="249"/>
      <c r="CK174" s="249"/>
      <c r="CL174" s="249"/>
    </row>
    <row r="175">
      <c r="A175" s="158"/>
      <c r="B175" s="158"/>
      <c r="C175" s="449"/>
      <c r="D175" s="273"/>
      <c r="E175" s="273"/>
      <c r="F175" s="375"/>
      <c r="G175" s="430"/>
      <c r="H175" s="430"/>
      <c r="I175" s="430"/>
      <c r="J175" s="323"/>
      <c r="K175" s="273"/>
      <c r="L175" s="321"/>
      <c r="M175" s="273"/>
      <c r="N175" s="323"/>
      <c r="O175" s="273"/>
      <c r="P175" s="273"/>
      <c r="Q175" s="273"/>
      <c r="R175" s="323"/>
      <c r="S175" s="273"/>
      <c r="T175" s="273"/>
      <c r="U175" s="265"/>
      <c r="V175" s="323"/>
      <c r="W175" s="273"/>
      <c r="X175" s="273"/>
      <c r="Y175" s="249"/>
      <c r="Z175" s="249"/>
      <c r="AA175" s="249"/>
      <c r="AB175" s="249"/>
      <c r="AC175" s="249"/>
      <c r="AD175" s="249"/>
      <c r="AE175" s="249"/>
      <c r="AF175" s="249"/>
      <c r="AG175" s="249"/>
      <c r="AH175" s="249"/>
      <c r="AI175" s="249"/>
      <c r="AJ175" s="249"/>
      <c r="AK175" s="249"/>
      <c r="AL175" s="249"/>
      <c r="AM175" s="249"/>
      <c r="AN175" s="249"/>
      <c r="AO175" s="249"/>
      <c r="AP175" s="249"/>
      <c r="AQ175" s="249"/>
      <c r="AR175" s="249"/>
      <c r="AS175" s="249"/>
      <c r="AT175" s="249"/>
      <c r="AU175" s="249"/>
      <c r="AV175" s="249"/>
      <c r="AW175" s="249"/>
      <c r="AX175" s="249"/>
      <c r="AY175" s="249"/>
      <c r="AZ175" s="249"/>
      <c r="BA175" s="249"/>
      <c r="BB175" s="249"/>
      <c r="BC175" s="249"/>
      <c r="BD175" s="249"/>
      <c r="BE175" s="249"/>
      <c r="BF175" s="249"/>
      <c r="BG175" s="249"/>
      <c r="BH175" s="249"/>
      <c r="BI175" s="249"/>
      <c r="BJ175" s="249"/>
      <c r="BK175" s="249"/>
      <c r="BL175" s="249"/>
      <c r="BM175" s="249"/>
      <c r="BN175" s="249"/>
      <c r="BO175" s="249"/>
      <c r="BP175" s="249"/>
      <c r="BQ175" s="249"/>
      <c r="BR175" s="249"/>
      <c r="BS175" s="249"/>
      <c r="BT175" s="249"/>
      <c r="BU175" s="249"/>
      <c r="BV175" s="249"/>
      <c r="BW175" s="249"/>
      <c r="BX175" s="249"/>
      <c r="BY175" s="249"/>
      <c r="BZ175" s="249"/>
      <c r="CA175" s="249"/>
      <c r="CB175" s="249"/>
      <c r="CC175" s="249"/>
      <c r="CD175" s="249"/>
      <c r="CE175" s="249"/>
      <c r="CF175" s="249"/>
      <c r="CG175" s="249"/>
      <c r="CH175" s="249"/>
      <c r="CI175" s="249"/>
      <c r="CJ175" s="249"/>
      <c r="CK175" s="249"/>
      <c r="CL175" s="249"/>
    </row>
    <row r="176">
      <c r="A176" s="158"/>
      <c r="B176" s="158"/>
      <c r="C176" s="449"/>
      <c r="D176" s="273"/>
      <c r="E176" s="265"/>
      <c r="F176" s="265"/>
      <c r="G176" s="430"/>
      <c r="H176" s="430"/>
      <c r="I176" s="430"/>
      <c r="J176" s="323"/>
      <c r="K176" s="273"/>
      <c r="L176" s="321"/>
      <c r="M176" s="273"/>
      <c r="N176" s="323"/>
      <c r="O176" s="273"/>
      <c r="P176" s="273"/>
      <c r="Q176" s="273"/>
      <c r="R176" s="323"/>
      <c r="S176" s="273"/>
      <c r="T176" s="273"/>
      <c r="U176" s="265"/>
      <c r="V176" s="323"/>
      <c r="W176" s="273"/>
      <c r="X176" s="273"/>
      <c r="Y176" s="249"/>
      <c r="Z176" s="249"/>
      <c r="AA176" s="249"/>
      <c r="AB176" s="249"/>
      <c r="AC176" s="249"/>
      <c r="AD176" s="249"/>
      <c r="AE176" s="249"/>
      <c r="AF176" s="249"/>
      <c r="AG176" s="249"/>
      <c r="AH176" s="249"/>
      <c r="AI176" s="249"/>
      <c r="AJ176" s="249"/>
      <c r="AK176" s="249"/>
      <c r="AL176" s="249"/>
      <c r="AM176" s="249"/>
      <c r="AN176" s="249"/>
      <c r="AO176" s="249"/>
      <c r="AP176" s="249"/>
      <c r="AQ176" s="249"/>
      <c r="AR176" s="249"/>
      <c r="AS176" s="249"/>
      <c r="AT176" s="249"/>
      <c r="AU176" s="249"/>
      <c r="AV176" s="249"/>
      <c r="AW176" s="249"/>
      <c r="AX176" s="249"/>
      <c r="AY176" s="249"/>
      <c r="AZ176" s="249"/>
      <c r="BA176" s="249"/>
      <c r="BB176" s="249"/>
      <c r="BC176" s="249"/>
      <c r="BD176" s="249"/>
      <c r="BE176" s="249"/>
      <c r="BF176" s="249"/>
      <c r="BG176" s="249"/>
      <c r="BH176" s="249"/>
      <c r="BI176" s="249"/>
      <c r="BJ176" s="249"/>
      <c r="BK176" s="249"/>
      <c r="BL176" s="249"/>
      <c r="BM176" s="249"/>
      <c r="BN176" s="249"/>
      <c r="BO176" s="249"/>
      <c r="BP176" s="249"/>
      <c r="BQ176" s="249"/>
      <c r="BR176" s="249"/>
      <c r="BS176" s="249"/>
      <c r="BT176" s="249"/>
      <c r="BU176" s="249"/>
      <c r="BV176" s="249"/>
      <c r="BW176" s="249"/>
      <c r="BX176" s="249"/>
      <c r="BY176" s="249"/>
      <c r="BZ176" s="249"/>
      <c r="CA176" s="249"/>
      <c r="CB176" s="249"/>
      <c r="CC176" s="249"/>
      <c r="CD176" s="249"/>
      <c r="CE176" s="249"/>
      <c r="CF176" s="249"/>
      <c r="CG176" s="249"/>
      <c r="CH176" s="249"/>
      <c r="CI176" s="249"/>
      <c r="CJ176" s="249"/>
      <c r="CK176" s="249"/>
      <c r="CL176" s="249"/>
    </row>
    <row r="177">
      <c r="A177" s="158"/>
      <c r="B177" s="158"/>
      <c r="C177" s="449"/>
      <c r="D177" s="273"/>
      <c r="E177" s="265"/>
      <c r="F177" s="265"/>
      <c r="G177" s="450"/>
      <c r="H177" s="450"/>
      <c r="I177" s="450"/>
      <c r="J177" s="451"/>
      <c r="K177" s="452"/>
      <c r="L177" s="321"/>
      <c r="M177" s="453"/>
      <c r="N177" s="158"/>
      <c r="O177" s="273"/>
      <c r="P177" s="273"/>
      <c r="Q177" s="453"/>
      <c r="R177" s="158"/>
      <c r="S177" s="273"/>
      <c r="T177" s="273"/>
      <c r="U177" s="453"/>
      <c r="V177" s="158"/>
      <c r="W177" s="273"/>
      <c r="X177" s="273"/>
      <c r="Y177" s="249"/>
      <c r="Z177" s="249"/>
      <c r="AA177" s="249"/>
      <c r="AB177" s="249"/>
      <c r="AC177" s="249"/>
      <c r="AD177" s="249"/>
      <c r="AE177" s="249"/>
      <c r="AF177" s="249"/>
      <c r="AG177" s="249"/>
      <c r="AH177" s="249"/>
      <c r="AI177" s="249"/>
      <c r="AJ177" s="249"/>
      <c r="AK177" s="249"/>
      <c r="AL177" s="249"/>
      <c r="AM177" s="249"/>
      <c r="AN177" s="249"/>
      <c r="AO177" s="249"/>
      <c r="AP177" s="249"/>
      <c r="AQ177" s="249"/>
      <c r="AR177" s="249"/>
      <c r="AS177" s="249"/>
      <c r="AT177" s="249"/>
      <c r="AU177" s="249"/>
      <c r="AV177" s="249"/>
      <c r="AW177" s="249"/>
      <c r="AX177" s="249"/>
      <c r="AY177" s="249"/>
      <c r="AZ177" s="249"/>
      <c r="BA177" s="249"/>
      <c r="BB177" s="249"/>
      <c r="BC177" s="249"/>
      <c r="BD177" s="249"/>
      <c r="BE177" s="249"/>
      <c r="BF177" s="249"/>
      <c r="BG177" s="249"/>
      <c r="BH177" s="249"/>
      <c r="BI177" s="249"/>
      <c r="BJ177" s="249"/>
      <c r="BK177" s="249"/>
      <c r="BL177" s="249"/>
      <c r="BM177" s="249"/>
      <c r="BN177" s="249"/>
      <c r="BO177" s="249"/>
      <c r="BP177" s="249"/>
      <c r="BQ177" s="249"/>
      <c r="BR177" s="249"/>
      <c r="BS177" s="249"/>
      <c r="BT177" s="249"/>
      <c r="BU177" s="249"/>
      <c r="BV177" s="249"/>
      <c r="BW177" s="249"/>
      <c r="BX177" s="249"/>
      <c r="BY177" s="249"/>
      <c r="BZ177" s="249"/>
      <c r="CA177" s="249"/>
      <c r="CB177" s="249"/>
      <c r="CC177" s="249"/>
      <c r="CD177" s="249"/>
      <c r="CE177" s="249"/>
      <c r="CF177" s="249"/>
      <c r="CG177" s="249"/>
      <c r="CH177" s="249"/>
      <c r="CI177" s="249"/>
      <c r="CJ177" s="249"/>
      <c r="CK177" s="249"/>
      <c r="CL177" s="249"/>
    </row>
    <row r="178">
      <c r="A178" s="158"/>
      <c r="B178" s="158"/>
      <c r="C178" s="447"/>
      <c r="D178" s="273"/>
      <c r="E178" s="273"/>
      <c r="F178" s="273"/>
      <c r="G178" s="450"/>
      <c r="H178" s="450"/>
      <c r="I178" s="450"/>
      <c r="J178" s="451"/>
      <c r="K178" s="273"/>
      <c r="L178" s="321"/>
      <c r="M178" s="453"/>
      <c r="N178" s="158"/>
      <c r="O178" s="273"/>
      <c r="P178" s="273"/>
      <c r="Q178" s="453"/>
      <c r="R178" s="158"/>
      <c r="S178" s="273"/>
      <c r="T178" s="273"/>
      <c r="U178" s="453"/>
      <c r="V178" s="158"/>
      <c r="W178" s="273"/>
      <c r="X178" s="273"/>
      <c r="Y178" s="249"/>
      <c r="Z178" s="249"/>
      <c r="AA178" s="249"/>
      <c r="AB178" s="249"/>
      <c r="AC178" s="249"/>
      <c r="AD178" s="249"/>
      <c r="AE178" s="249"/>
      <c r="AF178" s="249"/>
      <c r="AG178" s="249"/>
      <c r="AH178" s="249"/>
      <c r="AI178" s="249"/>
      <c r="AJ178" s="249"/>
      <c r="AK178" s="249"/>
      <c r="AL178" s="249"/>
      <c r="AM178" s="249"/>
      <c r="AN178" s="249"/>
      <c r="AO178" s="249"/>
      <c r="AP178" s="249"/>
      <c r="AQ178" s="249"/>
      <c r="AR178" s="249"/>
      <c r="AS178" s="249"/>
      <c r="AT178" s="249"/>
      <c r="AU178" s="249"/>
      <c r="AV178" s="249"/>
      <c r="AW178" s="249"/>
      <c r="AX178" s="249"/>
      <c r="AY178" s="249"/>
      <c r="AZ178" s="249"/>
      <c r="BA178" s="249"/>
      <c r="BB178" s="249"/>
      <c r="BC178" s="249"/>
      <c r="BD178" s="249"/>
      <c r="BE178" s="249"/>
      <c r="BF178" s="249"/>
      <c r="BG178" s="249"/>
      <c r="BH178" s="249"/>
      <c r="BI178" s="249"/>
      <c r="BJ178" s="249"/>
      <c r="BK178" s="249"/>
      <c r="BL178" s="249"/>
      <c r="BM178" s="249"/>
      <c r="BN178" s="249"/>
      <c r="BO178" s="249"/>
      <c r="BP178" s="249"/>
      <c r="BQ178" s="249"/>
      <c r="BR178" s="249"/>
      <c r="BS178" s="249"/>
      <c r="BT178" s="249"/>
      <c r="BU178" s="249"/>
      <c r="BV178" s="249"/>
      <c r="BW178" s="249"/>
      <c r="BX178" s="249"/>
      <c r="BY178" s="249"/>
      <c r="BZ178" s="249"/>
      <c r="CA178" s="249"/>
      <c r="CB178" s="249"/>
      <c r="CC178" s="249"/>
      <c r="CD178" s="249"/>
      <c r="CE178" s="249"/>
      <c r="CF178" s="249"/>
      <c r="CG178" s="249"/>
      <c r="CH178" s="249"/>
      <c r="CI178" s="249"/>
      <c r="CJ178" s="249"/>
      <c r="CK178" s="249"/>
      <c r="CL178" s="249"/>
    </row>
    <row r="179">
      <c r="A179" s="158"/>
      <c r="B179" s="158"/>
      <c r="C179" s="447"/>
      <c r="D179" s="273"/>
      <c r="E179" s="273"/>
      <c r="F179" s="265"/>
      <c r="G179" s="450"/>
      <c r="H179" s="450"/>
      <c r="I179" s="450"/>
      <c r="J179" s="451"/>
      <c r="K179" s="273"/>
      <c r="L179" s="321"/>
      <c r="M179" s="453"/>
      <c r="N179" s="158"/>
      <c r="O179" s="273"/>
      <c r="P179" s="273"/>
      <c r="Q179" s="453"/>
      <c r="R179" s="158"/>
      <c r="S179" s="273"/>
      <c r="T179" s="273"/>
      <c r="U179" s="453"/>
      <c r="V179" s="158"/>
      <c r="W179" s="273"/>
      <c r="X179" s="273"/>
      <c r="Y179" s="249"/>
      <c r="Z179" s="249"/>
      <c r="AA179" s="249"/>
      <c r="AB179" s="249"/>
      <c r="AC179" s="249"/>
      <c r="AD179" s="249"/>
      <c r="AE179" s="249"/>
      <c r="AF179" s="249"/>
      <c r="AG179" s="249"/>
      <c r="AH179" s="249"/>
      <c r="AI179" s="249"/>
      <c r="AJ179" s="249"/>
      <c r="AK179" s="249"/>
      <c r="AL179" s="249"/>
      <c r="AM179" s="249"/>
      <c r="AN179" s="249"/>
      <c r="AO179" s="249"/>
      <c r="AP179" s="249"/>
      <c r="AQ179" s="249"/>
      <c r="AR179" s="249"/>
      <c r="AS179" s="249"/>
      <c r="AT179" s="249"/>
      <c r="AU179" s="249"/>
      <c r="AV179" s="249"/>
      <c r="AW179" s="249"/>
      <c r="AX179" s="249"/>
      <c r="AY179" s="249"/>
      <c r="AZ179" s="249"/>
      <c r="BA179" s="249"/>
      <c r="BB179" s="249"/>
      <c r="BC179" s="249"/>
      <c r="BD179" s="249"/>
      <c r="BE179" s="249"/>
      <c r="BF179" s="249"/>
      <c r="BG179" s="249"/>
      <c r="BH179" s="249"/>
      <c r="BI179" s="249"/>
      <c r="BJ179" s="249"/>
      <c r="BK179" s="249"/>
      <c r="BL179" s="249"/>
      <c r="BM179" s="249"/>
      <c r="BN179" s="249"/>
      <c r="BO179" s="249"/>
      <c r="BP179" s="249"/>
      <c r="BQ179" s="249"/>
      <c r="BR179" s="249"/>
      <c r="BS179" s="249"/>
      <c r="BT179" s="249"/>
      <c r="BU179" s="249"/>
      <c r="BV179" s="249"/>
      <c r="BW179" s="249"/>
      <c r="BX179" s="249"/>
      <c r="BY179" s="249"/>
      <c r="BZ179" s="249"/>
      <c r="CA179" s="249"/>
      <c r="CB179" s="249"/>
      <c r="CC179" s="249"/>
      <c r="CD179" s="249"/>
      <c r="CE179" s="249"/>
      <c r="CF179" s="249"/>
      <c r="CG179" s="249"/>
      <c r="CH179" s="249"/>
      <c r="CI179" s="249"/>
      <c r="CJ179" s="249"/>
      <c r="CK179" s="249"/>
      <c r="CL179" s="249"/>
    </row>
    <row r="180">
      <c r="A180" s="158"/>
      <c r="B180" s="158"/>
      <c r="C180" s="447"/>
      <c r="D180" s="273"/>
      <c r="E180" s="273"/>
      <c r="F180" s="273"/>
      <c r="G180" s="450"/>
      <c r="H180" s="450"/>
      <c r="I180" s="450"/>
      <c r="J180" s="451"/>
      <c r="K180" s="273"/>
      <c r="L180" s="321"/>
      <c r="M180" s="453"/>
      <c r="N180" s="158"/>
      <c r="O180" s="273"/>
      <c r="P180" s="273"/>
      <c r="Q180" s="453"/>
      <c r="R180" s="158"/>
      <c r="S180" s="273"/>
      <c r="T180" s="273"/>
      <c r="U180" s="453"/>
      <c r="V180" s="158"/>
      <c r="W180" s="273"/>
      <c r="X180" s="273"/>
      <c r="Y180" s="249"/>
      <c r="Z180" s="249"/>
      <c r="AA180" s="249"/>
      <c r="AB180" s="249"/>
      <c r="AC180" s="249"/>
      <c r="AD180" s="249"/>
      <c r="AE180" s="249"/>
      <c r="AF180" s="249"/>
      <c r="AG180" s="249"/>
      <c r="AH180" s="249"/>
      <c r="AI180" s="249"/>
      <c r="AJ180" s="249"/>
      <c r="AK180" s="249"/>
      <c r="AL180" s="249"/>
      <c r="AM180" s="249"/>
      <c r="AN180" s="249"/>
      <c r="AO180" s="249"/>
      <c r="AP180" s="249"/>
      <c r="AQ180" s="249"/>
      <c r="AR180" s="249"/>
      <c r="AS180" s="249"/>
      <c r="AT180" s="249"/>
      <c r="AU180" s="249"/>
      <c r="AV180" s="249"/>
      <c r="AW180" s="249"/>
      <c r="AX180" s="249"/>
      <c r="AY180" s="249"/>
      <c r="AZ180" s="249"/>
      <c r="BA180" s="249"/>
      <c r="BB180" s="249"/>
      <c r="BC180" s="249"/>
      <c r="BD180" s="249"/>
      <c r="BE180" s="249"/>
      <c r="BF180" s="249"/>
      <c r="BG180" s="249"/>
      <c r="BH180" s="249"/>
      <c r="BI180" s="249"/>
      <c r="BJ180" s="249"/>
      <c r="BK180" s="249"/>
      <c r="BL180" s="249"/>
      <c r="BM180" s="249"/>
      <c r="BN180" s="249"/>
      <c r="BO180" s="249"/>
      <c r="BP180" s="249"/>
      <c r="BQ180" s="249"/>
      <c r="BR180" s="249"/>
      <c r="BS180" s="249"/>
      <c r="BT180" s="249"/>
      <c r="BU180" s="249"/>
      <c r="BV180" s="249"/>
      <c r="BW180" s="249"/>
      <c r="BX180" s="249"/>
      <c r="BY180" s="249"/>
      <c r="BZ180" s="249"/>
      <c r="CA180" s="249"/>
      <c r="CB180" s="249"/>
      <c r="CC180" s="249"/>
      <c r="CD180" s="249"/>
      <c r="CE180" s="249"/>
      <c r="CF180" s="249"/>
      <c r="CG180" s="249"/>
      <c r="CH180" s="249"/>
      <c r="CI180" s="249"/>
      <c r="CJ180" s="249"/>
      <c r="CK180" s="249"/>
      <c r="CL180" s="249"/>
    </row>
    <row r="181">
      <c r="A181" s="158"/>
      <c r="B181" s="158"/>
      <c r="C181" s="447"/>
      <c r="D181" s="273"/>
      <c r="E181" s="273"/>
      <c r="F181" s="273"/>
      <c r="G181" s="272"/>
      <c r="H181" s="272"/>
      <c r="I181" s="272"/>
      <c r="J181" s="452"/>
      <c r="K181" s="452"/>
      <c r="L181" s="454"/>
      <c r="M181" s="272"/>
      <c r="N181" s="452"/>
      <c r="O181" s="452"/>
      <c r="P181" s="455"/>
      <c r="Q181" s="272"/>
      <c r="R181" s="452"/>
      <c r="S181" s="452"/>
      <c r="T181" s="455"/>
      <c r="U181" s="272"/>
      <c r="V181" s="452"/>
      <c r="W181" s="452"/>
      <c r="X181" s="455"/>
      <c r="Y181" s="248"/>
      <c r="Z181" s="248"/>
      <c r="AA181" s="248"/>
      <c r="AB181" s="248"/>
      <c r="AC181" s="248"/>
      <c r="AD181" s="248"/>
      <c r="AE181" s="248"/>
      <c r="AF181" s="248"/>
      <c r="AG181" s="248"/>
      <c r="AH181" s="248"/>
      <c r="AI181" s="248"/>
      <c r="AJ181" s="248"/>
      <c r="AK181" s="248"/>
      <c r="AL181" s="248"/>
      <c r="AM181" s="248"/>
      <c r="AN181" s="248"/>
      <c r="AO181" s="248"/>
      <c r="AP181" s="248"/>
      <c r="AQ181" s="248"/>
      <c r="AR181" s="248"/>
      <c r="AS181" s="248"/>
      <c r="AT181" s="248"/>
      <c r="AU181" s="248"/>
      <c r="AV181" s="248"/>
      <c r="AW181" s="248"/>
      <c r="AX181" s="248"/>
      <c r="AY181" s="248"/>
      <c r="AZ181" s="248"/>
      <c r="BA181" s="248"/>
      <c r="BB181" s="248"/>
      <c r="BC181" s="248"/>
      <c r="BD181" s="248"/>
      <c r="BE181" s="248"/>
      <c r="BF181" s="248"/>
      <c r="BG181" s="248"/>
      <c r="BH181" s="248"/>
      <c r="BI181" s="248"/>
      <c r="BJ181" s="248"/>
      <c r="BK181" s="248"/>
      <c r="BL181" s="248"/>
      <c r="BM181" s="248"/>
      <c r="BN181" s="248"/>
      <c r="BO181" s="248"/>
      <c r="BP181" s="248"/>
      <c r="BQ181" s="248"/>
      <c r="BR181" s="248"/>
      <c r="BS181" s="248"/>
      <c r="BT181" s="248"/>
      <c r="BU181" s="248"/>
      <c r="BV181" s="248"/>
      <c r="BW181" s="248"/>
      <c r="BX181" s="248"/>
      <c r="BY181" s="248"/>
      <c r="BZ181" s="248"/>
      <c r="CA181" s="248"/>
      <c r="CB181" s="248"/>
      <c r="CC181" s="248"/>
      <c r="CD181" s="248"/>
      <c r="CE181" s="248"/>
      <c r="CF181" s="248"/>
      <c r="CG181" s="248"/>
      <c r="CH181" s="248"/>
      <c r="CI181" s="248"/>
      <c r="CJ181" s="248"/>
      <c r="CK181" s="248"/>
      <c r="CL181" s="248"/>
    </row>
  </sheetData>
  <autoFilter ref="$G$1:$L$181"/>
  <mergeCells count="41">
    <mergeCell ref="C7:C8"/>
    <mergeCell ref="D7:D8"/>
    <mergeCell ref="F7:F8"/>
    <mergeCell ref="G7:L7"/>
    <mergeCell ref="M7:P7"/>
    <mergeCell ref="Q7:T7"/>
    <mergeCell ref="U7:X7"/>
    <mergeCell ref="G8:I8"/>
    <mergeCell ref="B2:E2"/>
    <mergeCell ref="A3:B3"/>
    <mergeCell ref="C3:D3"/>
    <mergeCell ref="A4:B4"/>
    <mergeCell ref="C4:D4"/>
    <mergeCell ref="A7:A8"/>
    <mergeCell ref="B7:B8"/>
    <mergeCell ref="E7:E8"/>
    <mergeCell ref="A9:F9"/>
    <mergeCell ref="A10:F10"/>
    <mergeCell ref="A11:F11"/>
    <mergeCell ref="A15:F15"/>
    <mergeCell ref="A19:F19"/>
    <mergeCell ref="A25:F25"/>
    <mergeCell ref="B26:F26"/>
    <mergeCell ref="B35:F35"/>
    <mergeCell ref="B42:F42"/>
    <mergeCell ref="A50:F50"/>
    <mergeCell ref="B51:F51"/>
    <mergeCell ref="B60:F60"/>
    <mergeCell ref="B66:F66"/>
    <mergeCell ref="A148:F148"/>
    <mergeCell ref="A157:F157"/>
    <mergeCell ref="B158:F158"/>
    <mergeCell ref="B161:F161"/>
    <mergeCell ref="B165:F165"/>
    <mergeCell ref="B71:F71"/>
    <mergeCell ref="B76:F76"/>
    <mergeCell ref="B89:F89"/>
    <mergeCell ref="B96:F96"/>
    <mergeCell ref="A119:F119"/>
    <mergeCell ref="A125:F125"/>
    <mergeCell ref="A136:F136"/>
  </mergeCells>
  <conditionalFormatting sqref="H9:I24 M9:M181 Q9:Q181 U9:U181 G11:G24 G35:G42 H35:I48 G50:H68 I50:I51 I60 I66 H81:H88 G96:H181 I96 I119:I181 O120:O124 S120:S124 O137:O156 S137:S156">
    <cfRule type="cellIs" dxfId="0" priority="1" operator="equal">
      <formula>"Block"</formula>
    </cfRule>
  </conditionalFormatting>
  <conditionalFormatting sqref="H9:I24 M9:M181 Q9:Q181 U9:U181 G11:G24 G35:G42 H35:I48 G50:H68 I50:I51 I60 I66 H81:H88 G96:H181 I96 I119:I181 O120:O124 S120:S124 O137:O156 S137:S156">
    <cfRule type="cellIs" dxfId="1" priority="2" operator="equal">
      <formula>"Fail"</formula>
    </cfRule>
  </conditionalFormatting>
  <conditionalFormatting sqref="H9:I24 M9:M181 Q9:Q181 U9:U181 G11:G24 G35:G42 H35:I48 G50:H68 I50:I51 I60 I66 H81:H88 G96:H181 I96 I119:I181 O120:O124 S120:S124 O137:O156 S137:S156">
    <cfRule type="cellIs" dxfId="2" priority="3" operator="equal">
      <formula>"Pass"</formula>
    </cfRule>
  </conditionalFormatting>
  <conditionalFormatting sqref="H9:I24 M9:M181 Q9:Q181 U9:U181 G11:G24 G35:G42 H35:I48 G50:H68 I50:I51 I60 I66 H81:H88 G96:H181 I96 I119:I181 O120:O124 S120:S124 O137:O156 S137:S156">
    <cfRule type="cellIs" dxfId="3" priority="4" operator="equal">
      <formula>"N/A"</formula>
    </cfRule>
  </conditionalFormatting>
  <conditionalFormatting sqref="H9:I25 M9:M176 Q9:Q176 U9:U181 G11:G25 G35:G42 H35:H181 I35:I51 G50:G71 I60 I66 I71 G73:G76 I76 G89:G181 I89 I96 I119:I181 O120:O124 S120:S124">
    <cfRule type="cellIs" dxfId="4" priority="5" operator="equal">
      <formula>"Block"</formula>
    </cfRule>
  </conditionalFormatting>
  <conditionalFormatting sqref="H9:I25 M9:M176 Q9:Q176 U9:U181 G11:G25 G35:G42 H35:H181 I35:I51 G50:G71 I60 I66 I71 G73:G76 I76 G89:G181 I89 I96 I119:I181 O120:O124 S120:S124">
    <cfRule type="cellIs" dxfId="5" priority="6" operator="equal">
      <formula>"Fail"</formula>
    </cfRule>
  </conditionalFormatting>
  <conditionalFormatting sqref="H9:I25 M9:M176 Q9:Q176 U9:U181 G11:G25 G35:G42 H35:H181 I35:I51 G50:G71 I60 I66 I71 G73:G76 I76 G89:G181 I89 I96 I119:I181 O120:O124 S120:S124">
    <cfRule type="cellIs" dxfId="6" priority="7" operator="equal">
      <formula>"Pass"</formula>
    </cfRule>
  </conditionalFormatting>
  <conditionalFormatting sqref="H9:I25 M9:M176 Q9:Q176 U9:U181 G11:G25 G35:G42 H35:H181 I35:I51 G50:G71 I60 I66 I71 G73:G76 I76 G89:G181 I89 I96 I119:I181 O120:O124 S120:S124">
    <cfRule type="cellIs" dxfId="7" priority="8" operator="equal">
      <formula>"N/A"</formula>
    </cfRule>
  </conditionalFormatting>
  <conditionalFormatting sqref="G57:H68 I60 I66 H81:H88 G96:H176 I96 I119:I176">
    <cfRule type="cellIs" dxfId="4" priority="9" operator="equal">
      <formula>"Block"</formula>
    </cfRule>
  </conditionalFormatting>
  <conditionalFormatting sqref="G57:H68 I60 I66 H81:H88 G96:H176 I96 I119:I176">
    <cfRule type="cellIs" dxfId="5" priority="10" operator="equal">
      <formula>"Fail"</formula>
    </cfRule>
  </conditionalFormatting>
  <conditionalFormatting sqref="G57:H68 I60 I66 H81:H88 G96:H176 I96 I119:I176">
    <cfRule type="cellIs" dxfId="6" priority="11" operator="equal">
      <formula>"Pass"</formula>
    </cfRule>
  </conditionalFormatting>
  <conditionalFormatting sqref="G57:H68 I60 I66 H81:H88 G96:H176 I96 I119:I176">
    <cfRule type="cellIs" dxfId="7" priority="12" operator="equal">
      <formula>"N/A"</formula>
    </cfRule>
  </conditionalFormatting>
  <conditionalFormatting sqref="H9:I25 M9:M176 Q9:Q176 U9:U181 G11:G25 G35:G42 H35:H181 I35:I51 G50:G71 I60 I66 I71 G73:G76 I76 G89:G181 I89 I96 I119:I181">
    <cfRule type="cellIs" dxfId="0" priority="13" operator="equal">
      <formula>"Block"</formula>
    </cfRule>
  </conditionalFormatting>
  <conditionalFormatting sqref="H9:I25 M9:M176 Q9:Q176 U9:U181 G11:G25 G35:G42 H35:H181 I35:I51 G50:G71 I60 I66 I71 G73:G76 I76 G89:G181 I89 I96 I119:I181">
    <cfRule type="cellIs" dxfId="1" priority="14" operator="equal">
      <formula>"Fail"</formula>
    </cfRule>
  </conditionalFormatting>
  <conditionalFormatting sqref="H9:I25 M9:M176 Q9:Q176 U9:U181 G11:G25 G35:G42 H35:H181 I35:I51 G50:G71 I60 I66 I71 G73:G76 I76 G89:G181 I89 I96 I119:I181">
    <cfRule type="cellIs" dxfId="2" priority="15" operator="equal">
      <formula>"Pass"</formula>
    </cfRule>
  </conditionalFormatting>
  <conditionalFormatting sqref="H9:I25 M9:M176 Q9:Q176 U9:U181 G11:G25 G35:G42 H35:H181 I35:I51 G50:G71 I60 I66 I71 G73:G76 I76 G89:G181 I89 I96 I119:I181">
    <cfRule type="cellIs" dxfId="3" priority="16" operator="equal">
      <formula>"N/A"</formula>
    </cfRule>
  </conditionalFormatting>
  <dataValidations>
    <dataValidation type="list" allowBlank="1" showErrorMessage="1" sqref="G12:I25 G35:I42 H43:I49 G50:I51 G52:H59 G60:I60 G61:H65 G66:I66 G67:H70 G71:I71 H72 G73:H75 G76:I76 H77:H88 G89:I89 G90:H95 G96:I96 G97:H118 M9:M119 Q9:Q119 U9:U119 G119:I124 O120:O124 S120:S124 G125:J125 M125:N125 Q125:R125 U125:V125 G126:I135 M126:M135 Q126:Q135 U126:U135 G136:J136 M136:N136 Q136:R136 U136:V136 M137:M147 O137:O156 S137:S156 G137:I181 M149:M181 Q157:Q181 U157:U181">
      <formula1>"Pass,Fail,Block,N/A"</formula1>
    </dataValidation>
    <dataValidation type="list" allowBlank="1" showErrorMessage="1" sqref="B12:B14 B16:B18 B20:B24 B27:B34 B36:B41 B43:B49 B52:B59 B61:B65 B67:B70 B72:B75 B77:B88 B90:B95 B97:B118 B120:B124 B126:B135 B137:B147 B149:B156 B159:B160 B162:B164 B166:B181">
      <formula1>"High,Medium,Low"</formula1>
    </dataValidation>
  </dataValidations>
  <hyperlinks>
    <hyperlink r:id="rId1" ref="F12"/>
    <hyperlink r:id="rId2" ref="F13"/>
    <hyperlink r:id="rId3" ref="C14"/>
    <hyperlink r:id="rId4" ref="F14"/>
  </hyperlinks>
  <printOptions/>
  <pageMargins bottom="0.75" footer="0.0" header="0.0" left="0.7" right="0.7" top="0.75"/>
  <pageSetup orientation="landscape"/>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pageSetUpPr/>
  </sheetPr>
  <sheetViews>
    <sheetView showGridLines="0" workbookViewId="0"/>
  </sheetViews>
  <sheetFormatPr customHeight="1" defaultColWidth="12.63" defaultRowHeight="15.0" outlineLevelRow="1"/>
  <cols>
    <col customWidth="1" min="1" max="1" width="11.38"/>
    <col customWidth="1" min="2" max="2" width="13.38"/>
    <col customWidth="1" min="3" max="3" width="35.5"/>
    <col customWidth="1" min="4" max="4" width="17.63"/>
    <col customWidth="1" min="5" max="5" width="40.38"/>
    <col customWidth="1" min="6" max="6" width="53.38"/>
    <col customWidth="1" min="7" max="7" width="8.38"/>
    <col customWidth="1" min="8" max="8" width="9.5"/>
    <col customWidth="1" min="9" max="9" width="10.13"/>
    <col customWidth="1" min="10" max="10" width="12.25"/>
    <col customWidth="1" min="11" max="11" width="13.5"/>
    <col customWidth="1" min="12" max="12" width="14.88"/>
    <col customWidth="1" min="13" max="13" width="8.38"/>
    <col customWidth="1" min="14" max="14" width="9.5"/>
    <col customWidth="1" min="15" max="15" width="10.13"/>
    <col customWidth="1" min="16" max="16" width="12.25"/>
    <col customWidth="1" min="17" max="17" width="13.5"/>
    <col customWidth="1" min="18" max="18" width="14.88"/>
    <col customWidth="1" min="19" max="24" width="8.38"/>
  </cols>
  <sheetData>
    <row r="1" hidden="1" outlineLevel="1">
      <c r="A1" s="233"/>
      <c r="B1" s="234"/>
      <c r="C1" s="235"/>
      <c r="D1" s="235"/>
      <c r="E1" s="236"/>
      <c r="F1" s="237"/>
      <c r="G1" s="238"/>
      <c r="H1" s="238"/>
      <c r="I1" s="238"/>
      <c r="J1" s="239"/>
      <c r="K1" s="240"/>
      <c r="L1" s="241"/>
      <c r="M1" s="238"/>
      <c r="N1" s="238"/>
      <c r="O1" s="238"/>
      <c r="P1" s="239"/>
      <c r="Q1" s="240"/>
      <c r="R1" s="241"/>
      <c r="S1" s="239"/>
      <c r="T1" s="456"/>
      <c r="U1" s="457"/>
      <c r="V1" s="239"/>
      <c r="W1" s="239"/>
      <c r="X1" s="456"/>
    </row>
    <row r="2" hidden="1" outlineLevel="1">
      <c r="A2" s="242"/>
      <c r="B2" s="243"/>
      <c r="C2" s="182"/>
      <c r="D2" s="182"/>
      <c r="E2" s="182"/>
      <c r="F2" s="244"/>
      <c r="G2" s="238"/>
      <c r="H2" s="238"/>
      <c r="I2" s="238"/>
      <c r="J2" s="239"/>
      <c r="K2" s="240"/>
      <c r="L2" s="241"/>
      <c r="M2" s="238"/>
      <c r="N2" s="238"/>
      <c r="O2" s="238"/>
      <c r="P2" s="239"/>
      <c r="Q2" s="240"/>
      <c r="R2" s="241"/>
      <c r="S2" s="239"/>
      <c r="T2" s="456"/>
      <c r="U2" s="457"/>
      <c r="V2" s="239"/>
      <c r="W2" s="239"/>
      <c r="X2" s="456"/>
    </row>
    <row r="3" hidden="1" outlineLevel="1">
      <c r="A3" s="246" t="s">
        <v>122</v>
      </c>
      <c r="B3" s="122"/>
      <c r="C3" s="247" t="s">
        <v>118</v>
      </c>
      <c r="D3" s="122"/>
      <c r="E3" s="248"/>
      <c r="F3" s="249"/>
      <c r="G3" s="238"/>
      <c r="H3" s="238"/>
      <c r="I3" s="238"/>
      <c r="J3" s="239"/>
      <c r="K3" s="240"/>
      <c r="L3" s="248"/>
      <c r="M3" s="238"/>
      <c r="N3" s="238"/>
      <c r="O3" s="238"/>
      <c r="P3" s="239"/>
      <c r="Q3" s="240"/>
      <c r="R3" s="248"/>
      <c r="S3" s="239"/>
      <c r="T3" s="458"/>
      <c r="U3" s="457"/>
      <c r="V3" s="239"/>
      <c r="W3" s="239"/>
      <c r="X3" s="458"/>
    </row>
    <row r="4" hidden="1" outlineLevel="1">
      <c r="A4" s="246" t="s">
        <v>123</v>
      </c>
      <c r="B4" s="122"/>
      <c r="C4" s="250" t="s">
        <v>1511</v>
      </c>
      <c r="D4" s="122"/>
      <c r="E4" s="248"/>
      <c r="F4" s="249"/>
      <c r="G4" s="238"/>
      <c r="H4" s="238"/>
      <c r="I4" s="238"/>
      <c r="J4" s="239"/>
      <c r="K4" s="240"/>
      <c r="L4" s="248"/>
      <c r="M4" s="238"/>
      <c r="N4" s="238"/>
      <c r="O4" s="238"/>
      <c r="P4" s="239"/>
      <c r="Q4" s="240"/>
      <c r="R4" s="248"/>
      <c r="S4" s="239"/>
      <c r="T4" s="458"/>
      <c r="U4" s="457"/>
      <c r="V4" s="239"/>
      <c r="W4" s="239"/>
      <c r="X4" s="458"/>
    </row>
    <row r="5" hidden="1" outlineLevel="1">
      <c r="A5" s="251"/>
      <c r="B5" s="251"/>
      <c r="C5" s="251"/>
      <c r="D5" s="251"/>
      <c r="E5" s="252"/>
      <c r="F5" s="253"/>
      <c r="G5" s="238"/>
      <c r="H5" s="238"/>
      <c r="I5" s="238"/>
      <c r="J5" s="239"/>
      <c r="K5" s="240"/>
      <c r="L5" s="241"/>
      <c r="M5" s="238"/>
      <c r="N5" s="238"/>
      <c r="O5" s="238"/>
      <c r="P5" s="239"/>
      <c r="Q5" s="240"/>
      <c r="R5" s="241"/>
      <c r="S5" s="239"/>
      <c r="T5" s="456"/>
      <c r="U5" s="457"/>
      <c r="V5" s="239"/>
      <c r="W5" s="239"/>
      <c r="X5" s="456"/>
    </row>
    <row r="6" hidden="1" outlineLevel="1">
      <c r="A6" s="254"/>
      <c r="B6" s="254"/>
      <c r="C6" s="254"/>
      <c r="D6" s="254"/>
      <c r="E6" s="255"/>
      <c r="F6" s="253"/>
      <c r="G6" s="238"/>
      <c r="H6" s="238"/>
      <c r="I6" s="238"/>
      <c r="J6" s="239"/>
      <c r="K6" s="240"/>
      <c r="L6" s="241"/>
      <c r="M6" s="238"/>
      <c r="N6" s="238"/>
      <c r="O6" s="238"/>
      <c r="P6" s="239"/>
      <c r="Q6" s="240"/>
      <c r="R6" s="241"/>
      <c r="S6" s="239"/>
      <c r="T6" s="456"/>
      <c r="U6" s="457"/>
      <c r="V6" s="239"/>
      <c r="W6" s="239"/>
      <c r="X6" s="456"/>
    </row>
    <row r="7">
      <c r="A7" s="146" t="s">
        <v>126</v>
      </c>
      <c r="B7" s="146" t="s">
        <v>127</v>
      </c>
      <c r="C7" s="146" t="s">
        <v>128</v>
      </c>
      <c r="D7" s="146" t="s">
        <v>129</v>
      </c>
      <c r="E7" s="146" t="s">
        <v>130</v>
      </c>
      <c r="F7" s="311" t="s">
        <v>131</v>
      </c>
      <c r="G7" s="312" t="str">
        <f>Summary!G8</f>
        <v>Round 1 (09/04/2026 - 15/04/2026)</v>
      </c>
      <c r="H7" s="313"/>
      <c r="I7" s="313"/>
      <c r="J7" s="313"/>
      <c r="K7" s="313"/>
      <c r="L7" s="314"/>
      <c r="M7" s="312" t="str">
        <f>Summary!L8</f>
        <v>Round 2 (dd/mm/yyyy - dd/mm/yyyy)</v>
      </c>
      <c r="N7" s="313"/>
      <c r="O7" s="313"/>
      <c r="P7" s="313"/>
      <c r="Q7" s="313"/>
      <c r="R7" s="314"/>
      <c r="S7" s="459"/>
      <c r="T7" s="460"/>
      <c r="U7" s="315" t="str">
        <f>Summary!V8</f>
        <v>Round 4 (dd/mm/yyyy - dd/mm/yyyy)</v>
      </c>
      <c r="V7" s="148"/>
      <c r="W7" s="148"/>
      <c r="X7" s="171"/>
    </row>
    <row r="8">
      <c r="A8" s="56"/>
      <c r="B8" s="56"/>
      <c r="C8" s="56"/>
      <c r="D8" s="56"/>
      <c r="E8" s="56"/>
      <c r="F8" s="56"/>
      <c r="G8" s="315" t="s">
        <v>132</v>
      </c>
      <c r="H8" s="148"/>
      <c r="I8" s="171"/>
      <c r="J8" s="317" t="s">
        <v>133</v>
      </c>
      <c r="K8" s="317" t="s">
        <v>134</v>
      </c>
      <c r="L8" s="317" t="s">
        <v>135</v>
      </c>
      <c r="M8" s="315" t="s">
        <v>132</v>
      </c>
      <c r="N8" s="148"/>
      <c r="O8" s="171"/>
      <c r="P8" s="317" t="s">
        <v>133</v>
      </c>
      <c r="Q8" s="317" t="s">
        <v>134</v>
      </c>
      <c r="R8" s="317" t="s">
        <v>135</v>
      </c>
      <c r="S8" s="317" t="s">
        <v>134</v>
      </c>
      <c r="T8" s="317" t="s">
        <v>135</v>
      </c>
      <c r="U8" s="317" t="s">
        <v>132</v>
      </c>
      <c r="V8" s="317" t="s">
        <v>133</v>
      </c>
      <c r="W8" s="317" t="s">
        <v>134</v>
      </c>
      <c r="X8" s="317" t="s">
        <v>135</v>
      </c>
    </row>
    <row r="9">
      <c r="A9" s="319" t="s">
        <v>1068</v>
      </c>
      <c r="B9" s="148"/>
      <c r="C9" s="148"/>
      <c r="D9" s="148"/>
      <c r="E9" s="148"/>
      <c r="F9" s="171"/>
      <c r="G9" s="320"/>
      <c r="H9" s="320"/>
      <c r="I9" s="320"/>
      <c r="J9" s="353"/>
      <c r="K9" s="353"/>
      <c r="L9" s="354"/>
      <c r="M9" s="320" t="s">
        <v>1512</v>
      </c>
      <c r="N9" s="320" t="s">
        <v>26</v>
      </c>
      <c r="O9" s="320" t="s">
        <v>1513</v>
      </c>
      <c r="P9" s="353"/>
      <c r="Q9" s="353"/>
      <c r="R9" s="354"/>
      <c r="S9" s="353"/>
      <c r="T9" s="354"/>
      <c r="U9" s="43"/>
      <c r="V9" s="353"/>
      <c r="W9" s="353"/>
      <c r="X9" s="354"/>
    </row>
    <row r="10">
      <c r="A10" s="461" t="s">
        <v>1514</v>
      </c>
      <c r="B10" s="148"/>
      <c r="C10" s="148"/>
      <c r="D10" s="148"/>
      <c r="E10" s="148"/>
      <c r="F10" s="171"/>
      <c r="G10" s="43"/>
      <c r="H10" s="43"/>
      <c r="I10" s="43"/>
      <c r="J10" s="353"/>
      <c r="K10" s="353"/>
      <c r="L10" s="354"/>
      <c r="M10" s="43"/>
      <c r="N10" s="43"/>
      <c r="O10" s="43"/>
      <c r="P10" s="353"/>
      <c r="Q10" s="353"/>
      <c r="R10" s="354"/>
      <c r="S10" s="353"/>
      <c r="T10" s="354"/>
      <c r="U10" s="43"/>
      <c r="V10" s="353"/>
      <c r="W10" s="353"/>
      <c r="X10" s="354"/>
    </row>
    <row r="11" outlineLevel="1">
      <c r="A11" s="325" t="str">
        <f t="shared" ref="A11:A14" si="1">IF(E11="","",$C$3&amp;"."&amp;COUNTA($E$11:E11)&amp;"")</f>
        <v>TC_05.1</v>
      </c>
      <c r="B11" s="61" t="s">
        <v>73</v>
      </c>
      <c r="C11" s="462" t="s">
        <v>1515</v>
      </c>
      <c r="D11" s="462" t="s">
        <v>1516</v>
      </c>
      <c r="E11" s="463" t="s">
        <v>1517</v>
      </c>
      <c r="F11" s="464" t="s">
        <v>1518</v>
      </c>
      <c r="G11" s="44"/>
      <c r="H11" s="44"/>
      <c r="I11" s="44"/>
      <c r="J11" s="44" t="s">
        <v>1519</v>
      </c>
      <c r="K11" s="329" t="s">
        <v>1520</v>
      </c>
      <c r="L11" s="371"/>
      <c r="M11" s="44"/>
      <c r="N11" s="44"/>
      <c r="O11" s="44"/>
      <c r="P11" s="44"/>
      <c r="Q11" s="329" t="s">
        <v>1520</v>
      </c>
      <c r="R11" s="371"/>
      <c r="S11" s="465"/>
      <c r="T11" s="465"/>
      <c r="U11" s="466"/>
      <c r="V11" s="465"/>
      <c r="W11" s="465"/>
      <c r="X11" s="465"/>
    </row>
    <row r="12" outlineLevel="1">
      <c r="A12" s="325" t="str">
        <f t="shared" si="1"/>
        <v>TC_05.2</v>
      </c>
      <c r="B12" s="61" t="s">
        <v>73</v>
      </c>
      <c r="C12" s="464" t="s">
        <v>1521</v>
      </c>
      <c r="D12" s="462" t="s">
        <v>1522</v>
      </c>
      <c r="E12" s="464" t="s">
        <v>1523</v>
      </c>
      <c r="F12" s="464" t="s">
        <v>1524</v>
      </c>
      <c r="G12" s="44"/>
      <c r="H12" s="44"/>
      <c r="I12" s="44"/>
      <c r="J12" s="44" t="s">
        <v>1519</v>
      </c>
      <c r="K12" s="331"/>
      <c r="L12" s="371"/>
      <c r="M12" s="44"/>
      <c r="N12" s="44"/>
      <c r="O12" s="44"/>
      <c r="P12" s="44"/>
      <c r="Q12" s="331"/>
      <c r="R12" s="371"/>
      <c r="S12" s="465"/>
      <c r="T12" s="465"/>
      <c r="U12" s="466"/>
      <c r="V12" s="465"/>
      <c r="W12" s="465"/>
      <c r="X12" s="465"/>
    </row>
    <row r="13" outlineLevel="1">
      <c r="A13" s="325" t="str">
        <f t="shared" si="1"/>
        <v>TC_05.3</v>
      </c>
      <c r="B13" s="61" t="s">
        <v>73</v>
      </c>
      <c r="C13" s="464" t="s">
        <v>1525</v>
      </c>
      <c r="D13" s="462" t="s">
        <v>1522</v>
      </c>
      <c r="E13" s="464" t="s">
        <v>1526</v>
      </c>
      <c r="F13" s="464" t="s">
        <v>1527</v>
      </c>
      <c r="G13" s="44"/>
      <c r="H13" s="44"/>
      <c r="I13" s="44"/>
      <c r="J13" s="44" t="s">
        <v>1519</v>
      </c>
      <c r="K13" s="331"/>
      <c r="L13" s="371"/>
      <c r="M13" s="44"/>
      <c r="N13" s="44"/>
      <c r="O13" s="44"/>
      <c r="P13" s="44"/>
      <c r="Q13" s="331"/>
      <c r="R13" s="371"/>
      <c r="S13" s="465"/>
      <c r="T13" s="465"/>
      <c r="U13" s="466"/>
      <c r="V13" s="465"/>
      <c r="W13" s="465"/>
      <c r="X13" s="465"/>
    </row>
    <row r="14" outlineLevel="1">
      <c r="A14" s="325" t="str">
        <f t="shared" si="1"/>
        <v>TC_05.4</v>
      </c>
      <c r="B14" s="61" t="s">
        <v>75</v>
      </c>
      <c r="C14" s="462" t="s">
        <v>1528</v>
      </c>
      <c r="D14" s="462" t="s">
        <v>1522</v>
      </c>
      <c r="E14" s="462" t="s">
        <v>1529</v>
      </c>
      <c r="F14" s="463" t="s">
        <v>1530</v>
      </c>
      <c r="G14" s="44"/>
      <c r="H14" s="44"/>
      <c r="I14" s="44"/>
      <c r="J14" s="44" t="s">
        <v>1519</v>
      </c>
      <c r="K14" s="329"/>
      <c r="L14" s="371"/>
      <c r="M14" s="44"/>
      <c r="N14" s="44"/>
      <c r="O14" s="44"/>
      <c r="P14" s="44"/>
      <c r="Q14" s="329"/>
      <c r="R14" s="371"/>
      <c r="S14" s="465"/>
      <c r="T14" s="465"/>
      <c r="U14" s="466"/>
      <c r="V14" s="465"/>
      <c r="W14" s="465"/>
      <c r="X14" s="465"/>
    </row>
    <row r="15">
      <c r="A15" s="467" t="s">
        <v>1531</v>
      </c>
      <c r="B15" s="148"/>
      <c r="C15" s="148"/>
      <c r="D15" s="148"/>
      <c r="E15" s="148"/>
      <c r="F15" s="171"/>
      <c r="G15" s="44"/>
      <c r="H15" s="44"/>
      <c r="I15" s="44"/>
      <c r="J15" s="44"/>
      <c r="K15" s="329"/>
      <c r="L15" s="371"/>
      <c r="M15" s="44"/>
      <c r="N15" s="44"/>
      <c r="O15" s="44"/>
      <c r="P15" s="44"/>
      <c r="Q15" s="329"/>
      <c r="R15" s="371"/>
      <c r="S15" s="465"/>
      <c r="T15" s="465"/>
      <c r="U15" s="466"/>
      <c r="V15" s="465"/>
      <c r="W15" s="465"/>
      <c r="X15" s="465"/>
    </row>
    <row r="16" outlineLevel="1">
      <c r="A16" s="325" t="str">
        <f t="shared" ref="A16:A18" si="2">IF(E16="","",$C$3&amp;"."&amp;COUNTA($E$11:E16)&amp;"")</f>
        <v>TC_05.5</v>
      </c>
      <c r="B16" s="468" t="s">
        <v>73</v>
      </c>
      <c r="C16" s="469" t="s">
        <v>1532</v>
      </c>
      <c r="D16" s="469" t="s">
        <v>1516</v>
      </c>
      <c r="E16" s="469" t="s">
        <v>1533</v>
      </c>
      <c r="F16" s="470" t="s">
        <v>1534</v>
      </c>
      <c r="G16" s="44"/>
      <c r="H16" s="44"/>
      <c r="I16" s="44"/>
      <c r="J16" s="44" t="s">
        <v>1519</v>
      </c>
      <c r="K16" s="329"/>
      <c r="L16" s="371"/>
      <c r="M16" s="44"/>
      <c r="N16" s="44"/>
      <c r="O16" s="44"/>
      <c r="P16" s="44"/>
      <c r="Q16" s="329"/>
      <c r="R16" s="371"/>
      <c r="S16" s="465"/>
      <c r="T16" s="465"/>
      <c r="U16" s="466"/>
      <c r="V16" s="465"/>
      <c r="W16" s="465"/>
      <c r="X16" s="465"/>
    </row>
    <row r="17" outlineLevel="1">
      <c r="A17" s="325" t="str">
        <f t="shared" si="2"/>
        <v>TC_05.6</v>
      </c>
      <c r="B17" s="468" t="s">
        <v>75</v>
      </c>
      <c r="C17" s="469" t="s">
        <v>1535</v>
      </c>
      <c r="D17" s="469" t="s">
        <v>1516</v>
      </c>
      <c r="E17" s="469" t="s">
        <v>1536</v>
      </c>
      <c r="F17" s="470" t="s">
        <v>1537</v>
      </c>
      <c r="G17" s="44"/>
      <c r="H17" s="44"/>
      <c r="I17" s="44"/>
      <c r="J17" s="44" t="s">
        <v>1519</v>
      </c>
      <c r="K17" s="331"/>
      <c r="L17" s="371"/>
      <c r="M17" s="44"/>
      <c r="N17" s="44"/>
      <c r="O17" s="44"/>
      <c r="P17" s="44"/>
      <c r="Q17" s="331"/>
      <c r="R17" s="371"/>
      <c r="S17" s="465"/>
      <c r="T17" s="465"/>
      <c r="U17" s="466"/>
      <c r="V17" s="465"/>
      <c r="W17" s="465"/>
      <c r="X17" s="465"/>
    </row>
    <row r="18" outlineLevel="1">
      <c r="A18" s="325" t="str">
        <f t="shared" si="2"/>
        <v>TC_05.7</v>
      </c>
      <c r="B18" s="468" t="s">
        <v>77</v>
      </c>
      <c r="C18" s="469" t="s">
        <v>1538</v>
      </c>
      <c r="D18" s="469" t="s">
        <v>1516</v>
      </c>
      <c r="E18" s="469" t="s">
        <v>1539</v>
      </c>
      <c r="F18" s="471" t="s">
        <v>1540</v>
      </c>
      <c r="G18" s="44"/>
      <c r="H18" s="44"/>
      <c r="I18" s="44"/>
      <c r="J18" s="44" t="s">
        <v>1519</v>
      </c>
      <c r="K18" s="353"/>
      <c r="L18" s="371"/>
      <c r="M18" s="43"/>
      <c r="N18" s="43"/>
      <c r="O18" s="43"/>
      <c r="P18" s="353"/>
      <c r="Q18" s="353"/>
      <c r="R18" s="371"/>
      <c r="S18" s="353"/>
      <c r="T18" s="354"/>
      <c r="U18" s="43"/>
      <c r="V18" s="353"/>
      <c r="W18" s="353"/>
      <c r="X18" s="354"/>
    </row>
    <row r="19" collapsed="1">
      <c r="A19" s="467" t="s">
        <v>1541</v>
      </c>
      <c r="B19" s="148"/>
      <c r="C19" s="148"/>
      <c r="D19" s="148"/>
      <c r="E19" s="148"/>
      <c r="F19" s="171"/>
      <c r="G19" s="44"/>
      <c r="H19" s="44"/>
      <c r="I19" s="44"/>
      <c r="J19" s="44"/>
      <c r="K19" s="331"/>
      <c r="L19" s="371"/>
      <c r="M19" s="44"/>
      <c r="N19" s="44"/>
      <c r="O19" s="44"/>
      <c r="P19" s="44"/>
      <c r="Q19" s="331"/>
      <c r="R19" s="371"/>
      <c r="S19" s="353"/>
      <c r="T19" s="354"/>
      <c r="U19" s="43"/>
      <c r="V19" s="353"/>
      <c r="W19" s="353"/>
      <c r="X19" s="354"/>
    </row>
    <row r="20" hidden="1" outlineLevel="1">
      <c r="A20" s="325" t="str">
        <f t="shared" ref="A20:A29" si="3">IF(E20="","",$C$3&amp;"."&amp;COUNTA($E$11:E20)&amp;"")</f>
        <v>TC_05.8</v>
      </c>
      <c r="B20" s="61" t="s">
        <v>73</v>
      </c>
      <c r="C20" s="464" t="s">
        <v>1542</v>
      </c>
      <c r="D20" s="464" t="s">
        <v>1543</v>
      </c>
      <c r="E20" s="462" t="s">
        <v>1544</v>
      </c>
      <c r="F20" s="464" t="s">
        <v>1545</v>
      </c>
      <c r="G20" s="44"/>
      <c r="H20" s="43"/>
      <c r="I20" s="44"/>
      <c r="J20" s="44" t="s">
        <v>1519</v>
      </c>
      <c r="K20" s="353"/>
      <c r="L20" s="371" t="s">
        <v>1546</v>
      </c>
      <c r="M20" s="43"/>
      <c r="N20" s="43"/>
      <c r="O20" s="43"/>
      <c r="P20" s="353"/>
      <c r="Q20" s="353"/>
      <c r="R20" s="371"/>
      <c r="S20" s="353"/>
      <c r="T20" s="354"/>
      <c r="U20" s="43"/>
      <c r="V20" s="353"/>
      <c r="W20" s="353"/>
      <c r="X20" s="354"/>
    </row>
    <row r="21" hidden="1" outlineLevel="1">
      <c r="A21" s="325" t="str">
        <f t="shared" si="3"/>
        <v>TC_05.9</v>
      </c>
      <c r="B21" s="61" t="s">
        <v>73</v>
      </c>
      <c r="C21" s="462" t="s">
        <v>1547</v>
      </c>
      <c r="D21" s="462" t="s">
        <v>1548</v>
      </c>
      <c r="E21" s="462" t="s">
        <v>1549</v>
      </c>
      <c r="F21" s="463" t="s">
        <v>1550</v>
      </c>
      <c r="G21" s="44"/>
      <c r="H21" s="44"/>
      <c r="I21" s="44"/>
      <c r="J21" s="44" t="s">
        <v>1519</v>
      </c>
      <c r="K21" s="331"/>
      <c r="L21" s="371" t="s">
        <v>1546</v>
      </c>
      <c r="M21" s="44"/>
      <c r="N21" s="44"/>
      <c r="O21" s="44"/>
      <c r="P21" s="44"/>
      <c r="Q21" s="331"/>
      <c r="R21" s="371"/>
      <c r="S21" s="357"/>
      <c r="T21" s="358"/>
      <c r="U21" s="359"/>
      <c r="V21" s="356"/>
      <c r="W21" s="357"/>
      <c r="X21" s="358"/>
    </row>
    <row r="22" hidden="1" outlineLevel="1">
      <c r="A22" s="325" t="str">
        <f t="shared" si="3"/>
        <v>TC_05.10</v>
      </c>
      <c r="B22" s="61" t="s">
        <v>73</v>
      </c>
      <c r="C22" s="462" t="s">
        <v>1551</v>
      </c>
      <c r="D22" s="462" t="s">
        <v>1552</v>
      </c>
      <c r="E22" s="462" t="s">
        <v>1553</v>
      </c>
      <c r="F22" s="463" t="s">
        <v>1554</v>
      </c>
      <c r="G22" s="44"/>
      <c r="H22" s="44"/>
      <c r="I22" s="44"/>
      <c r="J22" s="44" t="s">
        <v>1519</v>
      </c>
      <c r="K22" s="331"/>
      <c r="L22" s="371"/>
      <c r="M22" s="44"/>
      <c r="N22" s="44"/>
      <c r="O22" s="44"/>
      <c r="P22" s="44"/>
      <c r="Q22" s="331"/>
      <c r="R22" s="371"/>
      <c r="S22" s="357"/>
      <c r="T22" s="358"/>
      <c r="U22" s="359"/>
      <c r="V22" s="356"/>
      <c r="W22" s="357"/>
      <c r="X22" s="358"/>
    </row>
    <row r="23" hidden="1" outlineLevel="1">
      <c r="A23" s="325" t="str">
        <f t="shared" si="3"/>
        <v>TC_05.11</v>
      </c>
      <c r="B23" s="61" t="s">
        <v>73</v>
      </c>
      <c r="C23" s="464" t="s">
        <v>1555</v>
      </c>
      <c r="D23" s="464" t="s">
        <v>1556</v>
      </c>
      <c r="E23" s="464" t="s">
        <v>1557</v>
      </c>
      <c r="F23" s="464" t="s">
        <v>1558</v>
      </c>
      <c r="G23" s="44"/>
      <c r="H23" s="44"/>
      <c r="I23" s="44"/>
      <c r="J23" s="44" t="s">
        <v>1519</v>
      </c>
      <c r="K23" s="331"/>
      <c r="L23" s="371"/>
      <c r="M23" s="44"/>
      <c r="N23" s="44"/>
      <c r="O23" s="44"/>
      <c r="P23" s="44"/>
      <c r="Q23" s="331"/>
      <c r="R23" s="371"/>
      <c r="S23" s="356"/>
      <c r="T23" s="354"/>
      <c r="U23" s="43"/>
      <c r="V23" s="356"/>
      <c r="W23" s="356"/>
      <c r="X23" s="364"/>
    </row>
    <row r="24" hidden="1" outlineLevel="1">
      <c r="A24" s="325" t="str">
        <f t="shared" si="3"/>
        <v>TC_05.12</v>
      </c>
      <c r="B24" s="61" t="s">
        <v>73</v>
      </c>
      <c r="C24" s="462" t="s">
        <v>1559</v>
      </c>
      <c r="D24" s="462" t="s">
        <v>1560</v>
      </c>
      <c r="E24" s="462" t="s">
        <v>1561</v>
      </c>
      <c r="F24" s="463" t="s">
        <v>1562</v>
      </c>
      <c r="G24" s="44"/>
      <c r="H24" s="44"/>
      <c r="I24" s="44"/>
      <c r="J24" s="44" t="s">
        <v>1519</v>
      </c>
      <c r="K24" s="331"/>
      <c r="L24" s="371"/>
      <c r="M24" s="44"/>
      <c r="N24" s="44"/>
      <c r="O24" s="44"/>
      <c r="P24" s="44"/>
      <c r="Q24" s="331"/>
      <c r="R24" s="371"/>
      <c r="S24" s="356"/>
      <c r="T24" s="354"/>
      <c r="U24" s="43"/>
      <c r="V24" s="356"/>
      <c r="W24" s="356"/>
      <c r="X24" s="364"/>
    </row>
    <row r="25" hidden="1" outlineLevel="1">
      <c r="A25" s="325" t="str">
        <f t="shared" si="3"/>
        <v>TC_05.13</v>
      </c>
      <c r="B25" s="61" t="s">
        <v>73</v>
      </c>
      <c r="C25" s="462" t="s">
        <v>1563</v>
      </c>
      <c r="D25" s="462" t="s">
        <v>1560</v>
      </c>
      <c r="E25" s="462" t="s">
        <v>1564</v>
      </c>
      <c r="F25" s="463" t="s">
        <v>1565</v>
      </c>
      <c r="G25" s="44"/>
      <c r="H25" s="44"/>
      <c r="I25" s="44"/>
      <c r="J25" s="44" t="s">
        <v>1519</v>
      </c>
      <c r="K25" s="331"/>
      <c r="L25" s="371"/>
      <c r="M25" s="44"/>
      <c r="N25" s="44"/>
      <c r="O25" s="44"/>
      <c r="P25" s="44"/>
      <c r="Q25" s="331"/>
      <c r="R25" s="371"/>
      <c r="S25" s="353"/>
      <c r="T25" s="354"/>
      <c r="U25" s="43"/>
      <c r="V25" s="356"/>
      <c r="W25" s="353"/>
      <c r="X25" s="354"/>
    </row>
    <row r="26" hidden="1" outlineLevel="1">
      <c r="A26" s="325" t="str">
        <f t="shared" si="3"/>
        <v>TC_05.14</v>
      </c>
      <c r="B26" s="61" t="s">
        <v>75</v>
      </c>
      <c r="C26" s="462" t="s">
        <v>1566</v>
      </c>
      <c r="D26" s="462" t="s">
        <v>1567</v>
      </c>
      <c r="E26" s="462" t="s">
        <v>1568</v>
      </c>
      <c r="F26" s="464" t="s">
        <v>1569</v>
      </c>
      <c r="G26" s="44"/>
      <c r="H26" s="44"/>
      <c r="I26" s="44"/>
      <c r="J26" s="44" t="s">
        <v>1519</v>
      </c>
      <c r="K26" s="331"/>
      <c r="L26" s="371"/>
      <c r="M26" s="44"/>
      <c r="N26" s="44"/>
      <c r="O26" s="44"/>
      <c r="P26" s="44"/>
      <c r="Q26" s="331"/>
      <c r="R26" s="371"/>
      <c r="S26" s="366"/>
      <c r="T26" s="354"/>
      <c r="U26" s="43"/>
      <c r="V26" s="356"/>
      <c r="W26" s="366"/>
      <c r="X26" s="364"/>
    </row>
    <row r="27" hidden="1" outlineLevel="1">
      <c r="A27" s="325" t="str">
        <f t="shared" si="3"/>
        <v>TC_05.15</v>
      </c>
      <c r="B27" s="61" t="s">
        <v>73</v>
      </c>
      <c r="C27" s="462" t="s">
        <v>1570</v>
      </c>
      <c r="D27" s="462" t="s">
        <v>1571</v>
      </c>
      <c r="E27" s="462" t="s">
        <v>1572</v>
      </c>
      <c r="F27" s="463" t="s">
        <v>1573</v>
      </c>
      <c r="G27" s="44"/>
      <c r="H27" s="44"/>
      <c r="I27" s="44"/>
      <c r="J27" s="44" t="s">
        <v>1519</v>
      </c>
      <c r="K27" s="331"/>
      <c r="L27" s="371" t="s">
        <v>1574</v>
      </c>
      <c r="M27" s="44"/>
      <c r="N27" s="44"/>
      <c r="O27" s="44"/>
      <c r="P27" s="44"/>
      <c r="Q27" s="331"/>
      <c r="R27" s="371"/>
      <c r="S27" s="368"/>
      <c r="T27" s="358"/>
      <c r="U27" s="359"/>
      <c r="V27" s="356"/>
      <c r="W27" s="357"/>
      <c r="X27" s="358"/>
    </row>
    <row r="28" hidden="1" outlineLevel="1">
      <c r="A28" s="325" t="str">
        <f t="shared" si="3"/>
        <v>TC_05.16</v>
      </c>
      <c r="B28" s="61" t="s">
        <v>73</v>
      </c>
      <c r="C28" s="462" t="s">
        <v>1575</v>
      </c>
      <c r="D28" s="462" t="s">
        <v>1576</v>
      </c>
      <c r="E28" s="462" t="s">
        <v>1577</v>
      </c>
      <c r="F28" s="463" t="s">
        <v>1578</v>
      </c>
      <c r="G28" s="44"/>
      <c r="H28" s="44"/>
      <c r="I28" s="44"/>
      <c r="J28" s="44" t="s">
        <v>1519</v>
      </c>
      <c r="K28" s="331"/>
      <c r="L28" s="371" t="s">
        <v>1574</v>
      </c>
      <c r="M28" s="44"/>
      <c r="N28" s="44"/>
      <c r="O28" s="44"/>
      <c r="P28" s="44"/>
      <c r="Q28" s="331"/>
      <c r="R28" s="371"/>
      <c r="S28" s="353"/>
      <c r="T28" s="354"/>
      <c r="U28" s="43"/>
      <c r="V28" s="356"/>
      <c r="W28" s="353"/>
      <c r="X28" s="354"/>
    </row>
    <row r="29" hidden="1" outlineLevel="1">
      <c r="A29" s="325" t="str">
        <f t="shared" si="3"/>
        <v>TC_05.17</v>
      </c>
      <c r="B29" s="61" t="s">
        <v>75</v>
      </c>
      <c r="C29" s="462" t="s">
        <v>1579</v>
      </c>
      <c r="D29" s="462" t="s">
        <v>1580</v>
      </c>
      <c r="E29" s="462" t="s">
        <v>1581</v>
      </c>
      <c r="F29" s="463" t="s">
        <v>1582</v>
      </c>
      <c r="G29" s="44"/>
      <c r="H29" s="44"/>
      <c r="I29" s="44"/>
      <c r="J29" s="44" t="s">
        <v>1519</v>
      </c>
      <c r="K29" s="331"/>
      <c r="L29" s="371"/>
      <c r="M29" s="44"/>
      <c r="N29" s="44"/>
      <c r="O29" s="44"/>
      <c r="P29" s="44"/>
      <c r="Q29" s="331"/>
      <c r="R29" s="371"/>
      <c r="S29" s="353"/>
      <c r="T29" s="354"/>
      <c r="U29" s="43"/>
      <c r="V29" s="356"/>
      <c r="W29" s="353"/>
      <c r="X29" s="354"/>
    </row>
    <row r="30" collapsed="1">
      <c r="A30" s="467" t="s">
        <v>1583</v>
      </c>
      <c r="B30" s="148"/>
      <c r="C30" s="148"/>
      <c r="D30" s="148"/>
      <c r="E30" s="148"/>
      <c r="F30" s="171"/>
      <c r="G30" s="44"/>
      <c r="H30" s="44"/>
      <c r="I30" s="44"/>
      <c r="J30" s="44"/>
      <c r="K30" s="331"/>
      <c r="L30" s="371"/>
      <c r="M30" s="44"/>
      <c r="N30" s="44"/>
      <c r="O30" s="44"/>
      <c r="P30" s="44"/>
      <c r="Q30" s="331"/>
      <c r="R30" s="371"/>
      <c r="S30" s="353"/>
      <c r="T30" s="354"/>
      <c r="U30" s="43"/>
      <c r="V30" s="356"/>
      <c r="W30" s="353"/>
      <c r="X30" s="354"/>
    </row>
    <row r="31" hidden="1" outlineLevel="1">
      <c r="A31" s="325" t="str">
        <f t="shared" ref="A31:A33" si="4">IF(E31="","",$C$3&amp;"."&amp;COUNTA($E$11:E31)&amp;"")</f>
        <v>TC_05.18</v>
      </c>
      <c r="B31" s="61" t="s">
        <v>73</v>
      </c>
      <c r="C31" s="462" t="s">
        <v>1584</v>
      </c>
      <c r="D31" s="462" t="s">
        <v>1516</v>
      </c>
      <c r="E31" s="462" t="s">
        <v>1585</v>
      </c>
      <c r="F31" s="463" t="s">
        <v>1586</v>
      </c>
      <c r="G31" s="44"/>
      <c r="H31" s="44"/>
      <c r="I31" s="44"/>
      <c r="J31" s="44" t="s">
        <v>1519</v>
      </c>
      <c r="K31" s="331"/>
      <c r="L31" s="371"/>
      <c r="M31" s="44"/>
      <c r="N31" s="44"/>
      <c r="O31" s="44"/>
      <c r="P31" s="44"/>
      <c r="Q31" s="331"/>
      <c r="R31" s="371"/>
      <c r="S31" s="353"/>
      <c r="T31" s="354"/>
      <c r="U31" s="43"/>
      <c r="V31" s="356"/>
      <c r="W31" s="353"/>
      <c r="X31" s="354"/>
    </row>
    <row r="32" hidden="1" outlineLevel="1">
      <c r="A32" s="325" t="str">
        <f t="shared" si="4"/>
        <v>TC_05.19</v>
      </c>
      <c r="B32" s="61" t="s">
        <v>73</v>
      </c>
      <c r="C32" s="462" t="s">
        <v>1587</v>
      </c>
      <c r="D32" s="462" t="s">
        <v>1588</v>
      </c>
      <c r="E32" s="462" t="s">
        <v>1589</v>
      </c>
      <c r="F32" s="463" t="s">
        <v>1590</v>
      </c>
      <c r="G32" s="44"/>
      <c r="H32" s="44"/>
      <c r="I32" s="44"/>
      <c r="J32" s="44" t="s">
        <v>1519</v>
      </c>
      <c r="K32" s="371"/>
      <c r="L32" s="371"/>
      <c r="M32" s="44"/>
      <c r="N32" s="44"/>
      <c r="O32" s="44"/>
      <c r="P32" s="44"/>
      <c r="Q32" s="371"/>
      <c r="R32" s="371"/>
      <c r="S32" s="368"/>
      <c r="T32" s="354"/>
      <c r="U32" s="43"/>
      <c r="V32" s="356"/>
      <c r="W32" s="353"/>
      <c r="X32" s="354"/>
    </row>
    <row r="33" hidden="1" outlineLevel="1">
      <c r="A33" s="325" t="str">
        <f t="shared" si="4"/>
        <v>TC_05.20</v>
      </c>
      <c r="B33" s="61" t="s">
        <v>73</v>
      </c>
      <c r="C33" s="462" t="s">
        <v>1591</v>
      </c>
      <c r="D33" s="462" t="s">
        <v>1592</v>
      </c>
      <c r="E33" s="462" t="s">
        <v>1593</v>
      </c>
      <c r="F33" s="464" t="s">
        <v>1594</v>
      </c>
      <c r="G33" s="44"/>
      <c r="H33" s="44"/>
      <c r="I33" s="44"/>
      <c r="J33" s="44" t="s">
        <v>1519</v>
      </c>
      <c r="K33" s="331"/>
      <c r="L33" s="371"/>
      <c r="M33" s="44"/>
      <c r="N33" s="44"/>
      <c r="O33" s="44"/>
      <c r="P33" s="44"/>
      <c r="Q33" s="331"/>
      <c r="R33" s="371"/>
      <c r="S33" s="353"/>
      <c r="T33" s="354"/>
      <c r="U33" s="43"/>
      <c r="V33" s="356"/>
      <c r="W33" s="353"/>
      <c r="X33" s="354"/>
    </row>
    <row r="34" collapsed="1">
      <c r="A34" s="467" t="s">
        <v>1595</v>
      </c>
      <c r="B34" s="148"/>
      <c r="C34" s="148"/>
      <c r="D34" s="148"/>
      <c r="E34" s="148"/>
      <c r="F34" s="171"/>
      <c r="G34" s="44"/>
      <c r="H34" s="44"/>
      <c r="I34" s="44"/>
      <c r="J34" s="44"/>
      <c r="K34" s="331"/>
      <c r="L34" s="371"/>
      <c r="M34" s="44"/>
      <c r="N34" s="44"/>
      <c r="O34" s="44"/>
      <c r="P34" s="44"/>
      <c r="Q34" s="331"/>
      <c r="R34" s="371"/>
      <c r="S34" s="353"/>
      <c r="T34" s="354"/>
      <c r="U34" s="43"/>
      <c r="V34" s="356"/>
      <c r="W34" s="353"/>
      <c r="X34" s="354"/>
    </row>
    <row r="35" hidden="1" outlineLevel="1">
      <c r="A35" s="325" t="str">
        <f t="shared" ref="A35:A38" si="5">IF(E35="","",$C$3&amp;"."&amp;COUNTA($E$11:E35)&amp;"")</f>
        <v>TC_05.21</v>
      </c>
      <c r="B35" s="61" t="s">
        <v>73</v>
      </c>
      <c r="C35" s="462" t="s">
        <v>1596</v>
      </c>
      <c r="D35" s="464" t="s">
        <v>1597</v>
      </c>
      <c r="E35" s="462" t="s">
        <v>1598</v>
      </c>
      <c r="F35" s="463" t="s">
        <v>1599</v>
      </c>
      <c r="G35" s="44"/>
      <c r="H35" s="44"/>
      <c r="I35" s="44"/>
      <c r="J35" s="44" t="s">
        <v>1519</v>
      </c>
      <c r="K35" s="331"/>
      <c r="L35" s="371"/>
      <c r="M35" s="44"/>
      <c r="N35" s="44"/>
      <c r="O35" s="44"/>
      <c r="P35" s="44"/>
      <c r="Q35" s="331"/>
      <c r="R35" s="371"/>
      <c r="S35" s="353"/>
      <c r="T35" s="354"/>
      <c r="U35" s="43"/>
      <c r="V35" s="356"/>
      <c r="W35" s="353"/>
      <c r="X35" s="354"/>
    </row>
    <row r="36" hidden="1" outlineLevel="1">
      <c r="A36" s="325" t="str">
        <f t="shared" si="5"/>
        <v>TC_05.22</v>
      </c>
      <c r="B36" s="61" t="s">
        <v>73</v>
      </c>
      <c r="C36" s="462" t="s">
        <v>1600</v>
      </c>
      <c r="D36" s="464" t="s">
        <v>1601</v>
      </c>
      <c r="E36" s="462" t="s">
        <v>1598</v>
      </c>
      <c r="F36" s="463" t="s">
        <v>1602</v>
      </c>
      <c r="G36" s="44"/>
      <c r="H36" s="44"/>
      <c r="I36" s="44"/>
      <c r="J36" s="44" t="s">
        <v>1519</v>
      </c>
      <c r="K36" s="353"/>
      <c r="L36" s="371"/>
      <c r="M36" s="43"/>
      <c r="N36" s="43"/>
      <c r="O36" s="43"/>
      <c r="P36" s="353"/>
      <c r="Q36" s="353"/>
      <c r="R36" s="371"/>
      <c r="S36" s="353"/>
      <c r="T36" s="354"/>
      <c r="U36" s="43"/>
      <c r="V36" s="353"/>
      <c r="W36" s="353"/>
      <c r="X36" s="354"/>
    </row>
    <row r="37" hidden="1" outlineLevel="1">
      <c r="A37" s="325" t="str">
        <f t="shared" si="5"/>
        <v>TC_05.23</v>
      </c>
      <c r="B37" s="61" t="s">
        <v>73</v>
      </c>
      <c r="C37" s="464" t="s">
        <v>1603</v>
      </c>
      <c r="D37" s="464" t="s">
        <v>1604</v>
      </c>
      <c r="E37" s="462" t="s">
        <v>1605</v>
      </c>
      <c r="F37" s="464" t="s">
        <v>1606</v>
      </c>
      <c r="G37" s="44"/>
      <c r="H37" s="44"/>
      <c r="I37" s="44"/>
      <c r="J37" s="44" t="s">
        <v>1519</v>
      </c>
      <c r="K37" s="331"/>
      <c r="L37" s="371"/>
      <c r="M37" s="44"/>
      <c r="N37" s="44"/>
      <c r="O37" s="44"/>
      <c r="P37" s="44"/>
      <c r="Q37" s="331"/>
      <c r="R37" s="371"/>
      <c r="S37" s="356"/>
      <c r="T37" s="354"/>
      <c r="U37" s="43"/>
      <c r="V37" s="356"/>
      <c r="W37" s="353"/>
      <c r="X37" s="354"/>
    </row>
    <row r="38" hidden="1" outlineLevel="1">
      <c r="A38" s="325" t="str">
        <f t="shared" si="5"/>
        <v>TC_05.24</v>
      </c>
      <c r="B38" s="61" t="s">
        <v>75</v>
      </c>
      <c r="C38" s="462" t="s">
        <v>1607</v>
      </c>
      <c r="D38" s="462" t="s">
        <v>1516</v>
      </c>
      <c r="E38" s="462" t="s">
        <v>1608</v>
      </c>
      <c r="F38" s="463" t="s">
        <v>1609</v>
      </c>
      <c r="G38" s="44"/>
      <c r="H38" s="44"/>
      <c r="I38" s="44"/>
      <c r="J38" s="44" t="s">
        <v>1519</v>
      </c>
      <c r="K38" s="331"/>
      <c r="L38" s="371"/>
      <c r="M38" s="44"/>
      <c r="N38" s="44"/>
      <c r="O38" s="44"/>
      <c r="P38" s="44"/>
      <c r="Q38" s="331"/>
      <c r="R38" s="371"/>
      <c r="S38" s="388"/>
      <c r="T38" s="389"/>
      <c r="U38" s="386"/>
      <c r="V38" s="388"/>
      <c r="W38" s="388"/>
      <c r="X38" s="389"/>
    </row>
    <row r="39" collapsed="1">
      <c r="A39" s="467" t="s">
        <v>1610</v>
      </c>
      <c r="B39" s="148"/>
      <c r="C39" s="148"/>
      <c r="D39" s="148"/>
      <c r="E39" s="148"/>
      <c r="F39" s="171"/>
      <c r="G39" s="43"/>
      <c r="H39" s="43"/>
      <c r="I39" s="43"/>
      <c r="J39" s="44"/>
      <c r="K39" s="356"/>
      <c r="L39" s="371"/>
      <c r="M39" s="43"/>
      <c r="N39" s="43"/>
      <c r="O39" s="43"/>
      <c r="P39" s="44"/>
      <c r="Q39" s="356"/>
      <c r="R39" s="371"/>
      <c r="S39" s="356"/>
      <c r="T39" s="354"/>
      <c r="U39" s="43"/>
      <c r="V39" s="356"/>
      <c r="W39" s="353"/>
      <c r="X39" s="354"/>
    </row>
    <row r="40" hidden="1" outlineLevel="1">
      <c r="A40" s="325" t="str">
        <f t="shared" ref="A40:A41" si="6">IF(E40="","",$C$3&amp;"."&amp;COUNTA($E$11:E40)&amp;"")</f>
        <v>TC_05.25</v>
      </c>
      <c r="B40" s="472" t="s">
        <v>75</v>
      </c>
      <c r="C40" s="464" t="s">
        <v>1611</v>
      </c>
      <c r="D40" s="462" t="s">
        <v>1516</v>
      </c>
      <c r="E40" s="464" t="s">
        <v>1612</v>
      </c>
      <c r="F40" s="463" t="s">
        <v>1613</v>
      </c>
      <c r="G40" s="43"/>
      <c r="H40" s="43"/>
      <c r="I40" s="43"/>
      <c r="J40" s="44" t="s">
        <v>1519</v>
      </c>
      <c r="K40" s="356"/>
      <c r="L40" s="371"/>
      <c r="M40" s="43"/>
      <c r="N40" s="43"/>
      <c r="O40" s="43"/>
      <c r="P40" s="44"/>
      <c r="Q40" s="356"/>
      <c r="R40" s="371"/>
      <c r="S40" s="356"/>
      <c r="T40" s="354"/>
      <c r="U40" s="43"/>
      <c r="V40" s="356"/>
      <c r="W40" s="353"/>
      <c r="X40" s="354"/>
    </row>
    <row r="41" hidden="1" outlineLevel="1">
      <c r="A41" s="325" t="str">
        <f t="shared" si="6"/>
        <v>TC_05.26</v>
      </c>
      <c r="B41" s="473" t="s">
        <v>77</v>
      </c>
      <c r="C41" s="464" t="s">
        <v>1614</v>
      </c>
      <c r="D41" s="464" t="s">
        <v>1615</v>
      </c>
      <c r="E41" s="464" t="s">
        <v>1616</v>
      </c>
      <c r="F41" s="464" t="s">
        <v>1617</v>
      </c>
      <c r="G41" s="43"/>
      <c r="H41" s="43"/>
      <c r="I41" s="43"/>
      <c r="J41" s="44" t="s">
        <v>1519</v>
      </c>
      <c r="K41" s="356"/>
      <c r="L41" s="371"/>
      <c r="M41" s="43"/>
      <c r="N41" s="43"/>
      <c r="O41" s="43"/>
      <c r="P41" s="44"/>
      <c r="Q41" s="356"/>
      <c r="R41" s="371"/>
      <c r="S41" s="356"/>
      <c r="T41" s="354"/>
      <c r="U41" s="43"/>
      <c r="V41" s="356"/>
      <c r="W41" s="353"/>
      <c r="X41" s="354"/>
    </row>
    <row r="42" collapsed="1">
      <c r="A42" s="467" t="s">
        <v>1618</v>
      </c>
      <c r="B42" s="148"/>
      <c r="C42" s="148"/>
      <c r="D42" s="148"/>
      <c r="E42" s="148"/>
      <c r="F42" s="171"/>
      <c r="G42" s="43"/>
      <c r="H42" s="43"/>
      <c r="I42" s="43"/>
      <c r="J42" s="44"/>
      <c r="K42" s="366"/>
      <c r="L42" s="371"/>
      <c r="M42" s="43"/>
      <c r="N42" s="43"/>
      <c r="O42" s="43"/>
      <c r="P42" s="44"/>
      <c r="Q42" s="366"/>
      <c r="R42" s="371"/>
      <c r="S42" s="356"/>
      <c r="T42" s="354"/>
      <c r="U42" s="43"/>
      <c r="V42" s="356"/>
      <c r="W42" s="353"/>
      <c r="X42" s="354"/>
    </row>
    <row r="43" hidden="1" outlineLevel="1">
      <c r="A43" s="325"/>
      <c r="B43" s="61" t="s">
        <v>75</v>
      </c>
      <c r="C43" s="462" t="s">
        <v>1619</v>
      </c>
      <c r="D43" s="462" t="s">
        <v>1516</v>
      </c>
      <c r="E43" s="462" t="s">
        <v>1620</v>
      </c>
      <c r="F43" s="463" t="s">
        <v>1621</v>
      </c>
      <c r="G43" s="43"/>
      <c r="H43" s="43"/>
      <c r="I43" s="43"/>
      <c r="J43" s="44"/>
      <c r="K43" s="356"/>
      <c r="L43" s="371"/>
      <c r="M43" s="43"/>
      <c r="N43" s="43"/>
      <c r="O43" s="43"/>
      <c r="P43" s="44"/>
      <c r="Q43" s="356"/>
      <c r="R43" s="371"/>
      <c r="S43" s="356"/>
      <c r="T43" s="354"/>
      <c r="U43" s="43"/>
      <c r="V43" s="356"/>
      <c r="W43" s="353"/>
      <c r="X43" s="354"/>
    </row>
    <row r="44" hidden="1" outlineLevel="1">
      <c r="A44" s="325"/>
      <c r="B44" s="61" t="s">
        <v>77</v>
      </c>
      <c r="C44" s="464" t="s">
        <v>1622</v>
      </c>
      <c r="D44" s="464" t="s">
        <v>1623</v>
      </c>
      <c r="E44" s="464" t="s">
        <v>1624</v>
      </c>
      <c r="F44" s="464" t="s">
        <v>1617</v>
      </c>
      <c r="G44" s="43"/>
      <c r="H44" s="43"/>
      <c r="I44" s="43"/>
      <c r="J44" s="44"/>
      <c r="K44" s="356"/>
      <c r="L44" s="371"/>
      <c r="M44" s="43"/>
      <c r="N44" s="43"/>
      <c r="O44" s="43"/>
      <c r="P44" s="44"/>
      <c r="Q44" s="356"/>
      <c r="R44" s="371"/>
      <c r="S44" s="356"/>
      <c r="T44" s="354"/>
      <c r="U44" s="43"/>
      <c r="V44" s="356"/>
      <c r="W44" s="353"/>
      <c r="X44" s="354"/>
    </row>
    <row r="45" collapsed="1">
      <c r="A45" s="467" t="s">
        <v>1625</v>
      </c>
      <c r="B45" s="148"/>
      <c r="C45" s="148"/>
      <c r="D45" s="148"/>
      <c r="E45" s="148"/>
      <c r="F45" s="171"/>
      <c r="G45" s="43"/>
      <c r="H45" s="43"/>
      <c r="I45" s="43"/>
      <c r="J45" s="44"/>
      <c r="K45" s="356"/>
      <c r="L45" s="371"/>
      <c r="M45" s="43"/>
      <c r="N45" s="43"/>
      <c r="O45" s="43"/>
      <c r="P45" s="44"/>
      <c r="Q45" s="356"/>
      <c r="R45" s="371"/>
      <c r="S45" s="356"/>
      <c r="T45" s="354"/>
      <c r="U45" s="43"/>
      <c r="V45" s="356"/>
      <c r="W45" s="353"/>
      <c r="X45" s="354"/>
    </row>
    <row r="46" hidden="1" outlineLevel="1">
      <c r="A46" s="325"/>
      <c r="B46" s="61" t="s">
        <v>73</v>
      </c>
      <c r="C46" s="462" t="s">
        <v>1626</v>
      </c>
      <c r="D46" s="462" t="s">
        <v>1516</v>
      </c>
      <c r="E46" s="462" t="s">
        <v>1627</v>
      </c>
      <c r="F46" s="463" t="s">
        <v>1628</v>
      </c>
      <c r="G46" s="43"/>
      <c r="H46" s="43"/>
      <c r="I46" s="43"/>
      <c r="J46" s="44"/>
      <c r="K46" s="356"/>
      <c r="L46" s="371"/>
      <c r="M46" s="43"/>
      <c r="N46" s="43"/>
      <c r="O46" s="43"/>
      <c r="P46" s="44"/>
      <c r="Q46" s="356"/>
      <c r="R46" s="371"/>
      <c r="S46" s="356"/>
      <c r="T46" s="354"/>
      <c r="U46" s="43"/>
      <c r="V46" s="356"/>
      <c r="W46" s="353"/>
      <c r="X46" s="354"/>
    </row>
    <row r="47" hidden="1" outlineLevel="1">
      <c r="A47" s="325"/>
      <c r="B47" s="61" t="s">
        <v>73</v>
      </c>
      <c r="C47" s="462" t="s">
        <v>1629</v>
      </c>
      <c r="D47" s="462" t="s">
        <v>1630</v>
      </c>
      <c r="E47" s="462" t="s">
        <v>1631</v>
      </c>
      <c r="F47" s="463" t="s">
        <v>1632</v>
      </c>
      <c r="G47" s="43"/>
      <c r="H47" s="43"/>
      <c r="I47" s="43"/>
      <c r="J47" s="44"/>
      <c r="K47" s="356"/>
      <c r="L47" s="371"/>
      <c r="M47" s="43"/>
      <c r="N47" s="43"/>
      <c r="O47" s="43"/>
      <c r="P47" s="44"/>
      <c r="Q47" s="356"/>
      <c r="R47" s="371"/>
      <c r="S47" s="356"/>
      <c r="T47" s="354"/>
      <c r="U47" s="43"/>
      <c r="V47" s="356"/>
      <c r="W47" s="353"/>
      <c r="X47" s="354"/>
    </row>
    <row r="48" hidden="1" outlineLevel="1">
      <c r="A48" s="325"/>
      <c r="B48" s="61" t="s">
        <v>73</v>
      </c>
      <c r="C48" s="464" t="s">
        <v>1633</v>
      </c>
      <c r="D48" s="464" t="s">
        <v>1634</v>
      </c>
      <c r="E48" s="464" t="s">
        <v>1635</v>
      </c>
      <c r="F48" s="464" t="s">
        <v>1636</v>
      </c>
      <c r="G48" s="43"/>
      <c r="H48" s="43"/>
      <c r="I48" s="43"/>
      <c r="J48" s="44"/>
      <c r="K48" s="356"/>
      <c r="L48" s="371"/>
      <c r="M48" s="43"/>
      <c r="N48" s="43"/>
      <c r="O48" s="43"/>
      <c r="P48" s="44"/>
      <c r="Q48" s="356"/>
      <c r="R48" s="371"/>
      <c r="S48" s="356"/>
      <c r="T48" s="354"/>
      <c r="U48" s="43"/>
      <c r="V48" s="356"/>
      <c r="W48" s="353"/>
      <c r="X48" s="354"/>
    </row>
    <row r="49" hidden="1" outlineLevel="1">
      <c r="A49" s="325"/>
      <c r="B49" s="61" t="s">
        <v>77</v>
      </c>
      <c r="C49" s="462" t="s">
        <v>1637</v>
      </c>
      <c r="D49" s="462" t="s">
        <v>1638</v>
      </c>
      <c r="E49" s="462" t="s">
        <v>1639</v>
      </c>
      <c r="F49" s="464" t="s">
        <v>1617</v>
      </c>
      <c r="G49" s="44"/>
      <c r="H49" s="44"/>
      <c r="I49" s="44"/>
      <c r="J49" s="44"/>
      <c r="K49" s="331"/>
      <c r="L49" s="371"/>
      <c r="M49" s="44"/>
      <c r="N49" s="44"/>
      <c r="O49" s="44"/>
      <c r="P49" s="44"/>
      <c r="Q49" s="331"/>
      <c r="R49" s="371"/>
      <c r="S49" s="387"/>
      <c r="T49" s="389"/>
      <c r="U49" s="386"/>
      <c r="V49" s="387"/>
      <c r="W49" s="388"/>
      <c r="X49" s="389"/>
    </row>
    <row r="50" collapsed="1">
      <c r="A50" s="467" t="s">
        <v>1640</v>
      </c>
      <c r="B50" s="148"/>
      <c r="C50" s="148"/>
      <c r="D50" s="148"/>
      <c r="E50" s="148"/>
      <c r="F50" s="171"/>
      <c r="G50" s="43"/>
      <c r="H50" s="43"/>
      <c r="I50" s="43"/>
      <c r="J50" s="44"/>
      <c r="K50" s="356"/>
      <c r="L50" s="371"/>
      <c r="M50" s="43"/>
      <c r="N50" s="43"/>
      <c r="O50" s="43"/>
      <c r="P50" s="44"/>
      <c r="Q50" s="356"/>
      <c r="R50" s="371"/>
      <c r="S50" s="387"/>
      <c r="T50" s="389"/>
      <c r="U50" s="386"/>
      <c r="V50" s="387"/>
      <c r="W50" s="388"/>
      <c r="X50" s="389"/>
    </row>
    <row r="51" hidden="1" outlineLevel="1">
      <c r="A51" s="325" t="str">
        <f t="shared" ref="A51:A53" si="7">IF(E51="","",$C$3&amp;"."&amp;COUNTA($E$11:E51)&amp;"")</f>
        <v>TC_05.33</v>
      </c>
      <c r="B51" s="61" t="s">
        <v>73</v>
      </c>
      <c r="C51" s="462" t="s">
        <v>1641</v>
      </c>
      <c r="D51" s="462" t="s">
        <v>1516</v>
      </c>
      <c r="E51" s="462" t="s">
        <v>1642</v>
      </c>
      <c r="F51" s="463" t="s">
        <v>1643</v>
      </c>
      <c r="G51" s="43"/>
      <c r="H51" s="43"/>
      <c r="I51" s="43"/>
      <c r="J51" s="44" t="s">
        <v>1519</v>
      </c>
      <c r="K51" s="393"/>
      <c r="L51" s="371"/>
      <c r="M51" s="359"/>
      <c r="N51" s="359"/>
      <c r="O51" s="359"/>
      <c r="P51" s="356"/>
      <c r="Q51" s="393"/>
      <c r="R51" s="371"/>
      <c r="S51" s="394"/>
      <c r="T51" s="395"/>
      <c r="U51" s="396"/>
      <c r="V51" s="387"/>
      <c r="W51" s="394"/>
      <c r="X51" s="395"/>
    </row>
    <row r="52" hidden="1" outlineLevel="1">
      <c r="A52" s="325" t="str">
        <f t="shared" si="7"/>
        <v>TC_05.34</v>
      </c>
      <c r="B52" s="61" t="s">
        <v>73</v>
      </c>
      <c r="C52" s="462" t="s">
        <v>1644</v>
      </c>
      <c r="D52" s="462" t="s">
        <v>1592</v>
      </c>
      <c r="E52" s="462" t="s">
        <v>1645</v>
      </c>
      <c r="F52" s="463" t="s">
        <v>1646</v>
      </c>
      <c r="G52" s="43"/>
      <c r="H52" s="43"/>
      <c r="I52" s="43"/>
      <c r="J52" s="44" t="s">
        <v>1519</v>
      </c>
      <c r="K52" s="331"/>
      <c r="L52" s="371"/>
      <c r="M52" s="44"/>
      <c r="N52" s="44"/>
      <c r="O52" s="44"/>
      <c r="P52" s="44"/>
      <c r="Q52" s="331"/>
      <c r="R52" s="371"/>
      <c r="S52" s="394"/>
      <c r="T52" s="395"/>
      <c r="U52" s="396"/>
      <c r="V52" s="387"/>
      <c r="W52" s="394"/>
      <c r="X52" s="395"/>
    </row>
    <row r="53" hidden="1" outlineLevel="1">
      <c r="A53" s="325" t="str">
        <f t="shared" si="7"/>
        <v>TC_05.35</v>
      </c>
      <c r="B53" s="61" t="s">
        <v>75</v>
      </c>
      <c r="C53" s="462" t="s">
        <v>1647</v>
      </c>
      <c r="D53" s="462" t="s">
        <v>1516</v>
      </c>
      <c r="E53" s="462" t="s">
        <v>1648</v>
      </c>
      <c r="F53" s="463" t="s">
        <v>1649</v>
      </c>
      <c r="G53" s="43"/>
      <c r="H53" s="43"/>
      <c r="I53" s="43"/>
      <c r="J53" s="44" t="s">
        <v>1519</v>
      </c>
      <c r="K53" s="331"/>
      <c r="L53" s="371"/>
      <c r="M53" s="44"/>
      <c r="N53" s="44"/>
      <c r="O53" s="44"/>
      <c r="P53" s="44"/>
      <c r="Q53" s="331"/>
      <c r="R53" s="371"/>
      <c r="S53" s="394"/>
      <c r="T53" s="395"/>
      <c r="U53" s="396"/>
      <c r="V53" s="387"/>
      <c r="W53" s="394"/>
      <c r="X53" s="395"/>
    </row>
    <row r="54" collapsed="1">
      <c r="A54" s="467" t="s">
        <v>1650</v>
      </c>
      <c r="B54" s="148"/>
      <c r="C54" s="148"/>
      <c r="D54" s="148"/>
      <c r="E54" s="148"/>
      <c r="F54" s="171"/>
      <c r="G54" s="44"/>
      <c r="H54" s="44"/>
      <c r="I54" s="44"/>
      <c r="J54" s="44"/>
      <c r="K54" s="331"/>
      <c r="L54" s="371"/>
      <c r="M54" s="44"/>
      <c r="N54" s="44"/>
      <c r="O54" s="44"/>
      <c r="P54" s="44"/>
      <c r="Q54" s="331"/>
      <c r="R54" s="371"/>
      <c r="S54" s="394"/>
      <c r="T54" s="395"/>
      <c r="U54" s="396"/>
      <c r="V54" s="387"/>
      <c r="W54" s="394"/>
      <c r="X54" s="395"/>
    </row>
    <row r="55" hidden="1" outlineLevel="1">
      <c r="A55" s="325" t="str">
        <f t="shared" ref="A55:A58" si="8">IF(E55="","",$C$3&amp;"."&amp;COUNTA($E$11:E55)&amp;"")</f>
        <v>TC_05.36</v>
      </c>
      <c r="B55" s="61" t="s">
        <v>73</v>
      </c>
      <c r="C55" s="462" t="s">
        <v>1651</v>
      </c>
      <c r="D55" s="462" t="s">
        <v>1516</v>
      </c>
      <c r="E55" s="462" t="s">
        <v>1652</v>
      </c>
      <c r="F55" s="463" t="s">
        <v>1653</v>
      </c>
      <c r="G55" s="43"/>
      <c r="H55" s="43"/>
      <c r="I55" s="43"/>
      <c r="J55" s="44" t="s">
        <v>1519</v>
      </c>
      <c r="K55" s="331"/>
      <c r="L55" s="371"/>
      <c r="M55" s="44"/>
      <c r="N55" s="44"/>
      <c r="O55" s="44"/>
      <c r="P55" s="44"/>
      <c r="Q55" s="331"/>
      <c r="R55" s="371"/>
      <c r="S55" s="387"/>
      <c r="T55" s="389"/>
      <c r="U55" s="386"/>
      <c r="V55" s="387"/>
      <c r="W55" s="388"/>
      <c r="X55" s="389"/>
    </row>
    <row r="56" hidden="1" outlineLevel="1">
      <c r="A56" s="325" t="str">
        <f t="shared" si="8"/>
        <v>TC_05.37</v>
      </c>
      <c r="B56" s="61" t="s">
        <v>73</v>
      </c>
      <c r="C56" s="462" t="s">
        <v>1654</v>
      </c>
      <c r="D56" s="462" t="s">
        <v>1516</v>
      </c>
      <c r="E56" s="462" t="s">
        <v>1655</v>
      </c>
      <c r="F56" s="463" t="s">
        <v>1656</v>
      </c>
      <c r="G56" s="43"/>
      <c r="H56" s="43"/>
      <c r="I56" s="43"/>
      <c r="J56" s="44" t="s">
        <v>1519</v>
      </c>
      <c r="K56" s="331"/>
      <c r="L56" s="371"/>
      <c r="M56" s="44"/>
      <c r="N56" s="44"/>
      <c r="O56" s="44"/>
      <c r="P56" s="44"/>
      <c r="Q56" s="331"/>
      <c r="R56" s="371"/>
      <c r="S56" s="387"/>
      <c r="T56" s="389"/>
      <c r="U56" s="386"/>
      <c r="V56" s="387"/>
      <c r="W56" s="388"/>
      <c r="X56" s="389"/>
    </row>
    <row r="57" hidden="1" outlineLevel="1">
      <c r="A57" s="325" t="str">
        <f t="shared" si="8"/>
        <v>TC_05.38</v>
      </c>
      <c r="B57" s="61" t="s">
        <v>73</v>
      </c>
      <c r="C57" s="462" t="s">
        <v>1657</v>
      </c>
      <c r="D57" s="462" t="s">
        <v>1516</v>
      </c>
      <c r="E57" s="462" t="s">
        <v>1658</v>
      </c>
      <c r="F57" s="463" t="s">
        <v>1659</v>
      </c>
      <c r="G57" s="43"/>
      <c r="H57" s="43"/>
      <c r="I57" s="43"/>
      <c r="J57" s="44" t="s">
        <v>1519</v>
      </c>
      <c r="K57" s="329"/>
      <c r="L57" s="371"/>
      <c r="M57" s="44"/>
      <c r="N57" s="44"/>
      <c r="O57" s="44"/>
      <c r="P57" s="44"/>
      <c r="Q57" s="329"/>
      <c r="R57" s="371"/>
      <c r="S57" s="394"/>
      <c r="T57" s="395"/>
      <c r="U57" s="396"/>
      <c r="V57" s="387"/>
      <c r="W57" s="394"/>
      <c r="X57" s="395"/>
    </row>
    <row r="58" hidden="1" outlineLevel="1">
      <c r="A58" s="325" t="str">
        <f t="shared" si="8"/>
        <v>TC_05.39</v>
      </c>
      <c r="B58" s="61" t="s">
        <v>75</v>
      </c>
      <c r="C58" s="462" t="s">
        <v>1660</v>
      </c>
      <c r="D58" s="462" t="s">
        <v>1516</v>
      </c>
      <c r="E58" s="462" t="s">
        <v>1661</v>
      </c>
      <c r="F58" s="463" t="s">
        <v>1662</v>
      </c>
      <c r="G58" s="44"/>
      <c r="H58" s="44"/>
      <c r="I58" s="44"/>
      <c r="J58" s="44" t="s">
        <v>1519</v>
      </c>
      <c r="K58" s="331"/>
      <c r="L58" s="371" t="s">
        <v>1663</v>
      </c>
      <c r="M58" s="44"/>
      <c r="N58" s="44"/>
      <c r="O58" s="44"/>
      <c r="P58" s="44"/>
      <c r="Q58" s="331"/>
      <c r="R58" s="371"/>
      <c r="S58" s="394"/>
      <c r="T58" s="395"/>
      <c r="U58" s="396"/>
      <c r="V58" s="387"/>
      <c r="W58" s="394"/>
      <c r="X58" s="395"/>
    </row>
    <row r="59" collapsed="1">
      <c r="A59" s="467" t="s">
        <v>1664</v>
      </c>
      <c r="B59" s="148"/>
      <c r="C59" s="148"/>
      <c r="D59" s="148"/>
      <c r="E59" s="148"/>
      <c r="F59" s="171"/>
      <c r="G59" s="44"/>
      <c r="H59" s="44"/>
      <c r="I59" s="44"/>
      <c r="J59" s="44"/>
      <c r="K59" s="331"/>
      <c r="L59" s="371"/>
      <c r="M59" s="44"/>
      <c r="N59" s="44"/>
      <c r="O59" s="44"/>
      <c r="P59" s="44"/>
      <c r="Q59" s="331"/>
      <c r="R59" s="371"/>
      <c r="S59" s="394"/>
      <c r="T59" s="395"/>
      <c r="U59" s="396"/>
      <c r="V59" s="387"/>
      <c r="W59" s="394"/>
      <c r="X59" s="395"/>
    </row>
    <row r="60" hidden="1" outlineLevel="1">
      <c r="A60" s="325"/>
      <c r="B60" s="61" t="s">
        <v>75</v>
      </c>
      <c r="C60" s="462" t="s">
        <v>1665</v>
      </c>
      <c r="D60" s="462" t="s">
        <v>1666</v>
      </c>
      <c r="E60" s="462" t="s">
        <v>1667</v>
      </c>
      <c r="F60" s="463" t="s">
        <v>1668</v>
      </c>
      <c r="G60" s="44"/>
      <c r="H60" s="44"/>
      <c r="I60" s="44"/>
      <c r="J60" s="44"/>
      <c r="K60" s="331"/>
      <c r="L60" s="371"/>
      <c r="M60" s="44"/>
      <c r="N60" s="44"/>
      <c r="O60" s="44"/>
      <c r="P60" s="44"/>
      <c r="Q60" s="331"/>
      <c r="R60" s="371"/>
      <c r="S60" s="388"/>
      <c r="T60" s="389"/>
      <c r="U60" s="407"/>
      <c r="V60" s="388"/>
      <c r="W60" s="388"/>
      <c r="X60" s="389"/>
    </row>
    <row r="61" hidden="1" outlineLevel="1">
      <c r="A61" s="325"/>
      <c r="B61" s="61" t="s">
        <v>75</v>
      </c>
      <c r="C61" s="462" t="s">
        <v>1669</v>
      </c>
      <c r="D61" s="462" t="s">
        <v>1670</v>
      </c>
      <c r="E61" s="462" t="s">
        <v>1671</v>
      </c>
      <c r="F61" s="463" t="s">
        <v>1672</v>
      </c>
      <c r="G61" s="44"/>
      <c r="H61" s="44"/>
      <c r="I61" s="44"/>
      <c r="J61" s="44"/>
      <c r="K61" s="331"/>
      <c r="L61" s="371"/>
      <c r="M61" s="44"/>
      <c r="N61" s="44"/>
      <c r="O61" s="44"/>
      <c r="P61" s="44"/>
      <c r="Q61" s="331"/>
      <c r="R61" s="371"/>
      <c r="S61" s="388"/>
      <c r="T61" s="389"/>
      <c r="U61" s="407"/>
      <c r="V61" s="388"/>
      <c r="W61" s="388"/>
      <c r="X61" s="389"/>
    </row>
    <row r="62" hidden="1" outlineLevel="1">
      <c r="A62" s="325"/>
      <c r="B62" s="61" t="s">
        <v>77</v>
      </c>
      <c r="C62" s="462" t="s">
        <v>1673</v>
      </c>
      <c r="D62" s="462" t="s">
        <v>1674</v>
      </c>
      <c r="E62" s="462" t="s">
        <v>1667</v>
      </c>
      <c r="F62" s="463" t="s">
        <v>1675</v>
      </c>
      <c r="G62" s="44"/>
      <c r="H62" s="44"/>
      <c r="I62" s="44"/>
      <c r="J62" s="44"/>
      <c r="K62" s="329"/>
      <c r="L62" s="371"/>
      <c r="M62" s="44"/>
      <c r="N62" s="44"/>
      <c r="O62" s="44"/>
      <c r="P62" s="44"/>
      <c r="Q62" s="329"/>
      <c r="R62" s="371"/>
      <c r="S62" s="388"/>
      <c r="T62" s="389"/>
      <c r="U62" s="407"/>
      <c r="V62" s="388"/>
      <c r="W62" s="388"/>
      <c r="X62" s="389"/>
    </row>
    <row r="63" hidden="1" outlineLevel="1">
      <c r="A63" s="325"/>
      <c r="B63" s="61" t="s">
        <v>77</v>
      </c>
      <c r="C63" s="462" t="s">
        <v>1676</v>
      </c>
      <c r="D63" s="462" t="s">
        <v>1677</v>
      </c>
      <c r="E63" s="462" t="s">
        <v>1678</v>
      </c>
      <c r="F63" s="464" t="s">
        <v>1617</v>
      </c>
      <c r="G63" s="44"/>
      <c r="H63" s="44"/>
      <c r="I63" s="44"/>
      <c r="J63" s="44"/>
      <c r="K63" s="331"/>
      <c r="L63" s="371"/>
      <c r="M63" s="44"/>
      <c r="N63" s="44"/>
      <c r="O63" s="44"/>
      <c r="P63" s="44"/>
      <c r="Q63" s="331"/>
      <c r="R63" s="371"/>
      <c r="S63" s="388"/>
      <c r="T63" s="389"/>
      <c r="U63" s="407"/>
      <c r="V63" s="388"/>
      <c r="W63" s="388"/>
      <c r="X63" s="389"/>
    </row>
    <row r="64" collapsed="1">
      <c r="A64" s="467" t="s">
        <v>1679</v>
      </c>
      <c r="B64" s="148"/>
      <c r="C64" s="148"/>
      <c r="D64" s="148"/>
      <c r="E64" s="148"/>
      <c r="F64" s="171"/>
      <c r="G64" s="44"/>
      <c r="H64" s="44"/>
      <c r="I64" s="44"/>
      <c r="J64" s="44"/>
      <c r="K64" s="331"/>
      <c r="L64" s="371"/>
      <c r="M64" s="44"/>
      <c r="N64" s="44"/>
      <c r="O64" s="44"/>
      <c r="P64" s="44"/>
      <c r="Q64" s="331"/>
      <c r="R64" s="371"/>
      <c r="S64" s="388"/>
      <c r="T64" s="389"/>
      <c r="U64" s="407"/>
      <c r="V64" s="388"/>
      <c r="W64" s="388"/>
      <c r="X64" s="389"/>
    </row>
    <row r="65" hidden="1" outlineLevel="1">
      <c r="A65" s="325" t="str">
        <f t="shared" ref="A65:A72" si="9">IF(E65="","",$C$3&amp;"."&amp;COUNTA($E$11:E65)&amp;"")</f>
        <v>TC_05.44</v>
      </c>
      <c r="B65" s="325" t="s">
        <v>73</v>
      </c>
      <c r="C65" s="462" t="s">
        <v>1680</v>
      </c>
      <c r="D65" s="462" t="s">
        <v>1681</v>
      </c>
      <c r="E65" s="462" t="s">
        <v>1682</v>
      </c>
      <c r="F65" s="463" t="s">
        <v>1683</v>
      </c>
      <c r="G65" s="43"/>
      <c r="H65" s="43"/>
      <c r="I65" s="43"/>
      <c r="J65" s="44" t="s">
        <v>1519</v>
      </c>
      <c r="K65" s="331"/>
      <c r="L65" s="371"/>
      <c r="M65" s="44"/>
      <c r="N65" s="44"/>
      <c r="O65" s="44"/>
      <c r="P65" s="44"/>
      <c r="Q65" s="331"/>
      <c r="R65" s="371"/>
      <c r="S65" s="388"/>
      <c r="T65" s="389"/>
      <c r="U65" s="407"/>
      <c r="V65" s="388"/>
      <c r="W65" s="388"/>
      <c r="X65" s="389"/>
    </row>
    <row r="66" hidden="1" outlineLevel="1">
      <c r="A66" s="325" t="str">
        <f t="shared" si="9"/>
        <v>TC_05.45</v>
      </c>
      <c r="B66" s="325" t="s">
        <v>73</v>
      </c>
      <c r="C66" s="462" t="s">
        <v>1684</v>
      </c>
      <c r="D66" s="462" t="s">
        <v>1685</v>
      </c>
      <c r="E66" s="462" t="s">
        <v>1686</v>
      </c>
      <c r="F66" s="463" t="s">
        <v>1687</v>
      </c>
      <c r="G66" s="43"/>
      <c r="H66" s="43"/>
      <c r="I66" s="43"/>
      <c r="J66" s="44" t="s">
        <v>1519</v>
      </c>
      <c r="K66" s="331"/>
      <c r="L66" s="371"/>
      <c r="M66" s="44"/>
      <c r="N66" s="44"/>
      <c r="O66" s="44"/>
      <c r="P66" s="44"/>
      <c r="Q66" s="331"/>
      <c r="R66" s="371"/>
      <c r="S66" s="388"/>
      <c r="T66" s="389"/>
      <c r="U66" s="407"/>
      <c r="V66" s="388"/>
      <c r="W66" s="388"/>
      <c r="X66" s="389"/>
    </row>
    <row r="67" hidden="1" outlineLevel="1">
      <c r="A67" s="325" t="str">
        <f t="shared" si="9"/>
        <v>TC_05.46</v>
      </c>
      <c r="B67" s="325" t="s">
        <v>73</v>
      </c>
      <c r="C67" s="462" t="s">
        <v>1688</v>
      </c>
      <c r="D67" s="462" t="s">
        <v>1689</v>
      </c>
      <c r="E67" s="462" t="s">
        <v>1690</v>
      </c>
      <c r="F67" s="463" t="s">
        <v>1691</v>
      </c>
      <c r="G67" s="44"/>
      <c r="H67" s="44"/>
      <c r="I67" s="44"/>
      <c r="J67" s="44" t="s">
        <v>1519</v>
      </c>
      <c r="K67" s="474" t="s">
        <v>1692</v>
      </c>
      <c r="L67" s="371" t="s">
        <v>1693</v>
      </c>
      <c r="M67" s="475"/>
      <c r="N67" s="475"/>
      <c r="O67" s="475"/>
      <c r="P67" s="476"/>
      <c r="Q67" s="477"/>
      <c r="R67" s="371"/>
      <c r="S67" s="478"/>
      <c r="T67" s="478"/>
      <c r="U67" s="479"/>
      <c r="V67" s="478"/>
      <c r="W67" s="478"/>
      <c r="X67" s="478"/>
    </row>
    <row r="68" hidden="1" outlineLevel="1">
      <c r="A68" s="325" t="str">
        <f t="shared" si="9"/>
        <v>TC_05.47</v>
      </c>
      <c r="B68" s="325" t="s">
        <v>75</v>
      </c>
      <c r="C68" s="462" t="s">
        <v>1694</v>
      </c>
      <c r="D68" s="462" t="s">
        <v>1695</v>
      </c>
      <c r="E68" s="462" t="s">
        <v>1696</v>
      </c>
      <c r="F68" s="464" t="s">
        <v>1617</v>
      </c>
      <c r="G68" s="43"/>
      <c r="H68" s="43"/>
      <c r="I68" s="43"/>
      <c r="J68" s="44" t="s">
        <v>1519</v>
      </c>
      <c r="K68" s="477"/>
      <c r="L68" s="371"/>
      <c r="M68" s="480"/>
      <c r="N68" s="480"/>
      <c r="O68" s="480"/>
      <c r="P68" s="44"/>
      <c r="Q68" s="477"/>
      <c r="R68" s="371"/>
      <c r="S68" s="478"/>
      <c r="T68" s="478"/>
      <c r="U68" s="479"/>
      <c r="V68" s="478"/>
      <c r="W68" s="478"/>
      <c r="X68" s="478"/>
    </row>
    <row r="69" hidden="1" outlineLevel="1">
      <c r="A69" s="325" t="str">
        <f t="shared" si="9"/>
        <v>TC_05.48</v>
      </c>
      <c r="B69" s="325" t="s">
        <v>75</v>
      </c>
      <c r="C69" s="462" t="s">
        <v>1697</v>
      </c>
      <c r="D69" s="462" t="s">
        <v>1698</v>
      </c>
      <c r="E69" s="462" t="s">
        <v>1699</v>
      </c>
      <c r="F69" s="463" t="s">
        <v>1700</v>
      </c>
      <c r="G69" s="480"/>
      <c r="H69" s="480"/>
      <c r="I69" s="43"/>
      <c r="J69" s="44" t="s">
        <v>1519</v>
      </c>
      <c r="K69" s="477"/>
      <c r="L69" s="371"/>
      <c r="M69" s="480"/>
      <c r="N69" s="480"/>
      <c r="O69" s="480"/>
      <c r="P69" s="44"/>
      <c r="Q69" s="477"/>
      <c r="R69" s="371"/>
      <c r="S69" s="478"/>
      <c r="T69" s="478"/>
      <c r="U69" s="479"/>
      <c r="V69" s="478"/>
      <c r="W69" s="478"/>
      <c r="X69" s="478"/>
    </row>
    <row r="70" hidden="1" outlineLevel="1">
      <c r="A70" s="325" t="str">
        <f t="shared" si="9"/>
        <v>TC_05.49</v>
      </c>
      <c r="B70" s="325" t="s">
        <v>77</v>
      </c>
      <c r="C70" s="462" t="s">
        <v>1701</v>
      </c>
      <c r="D70" s="464" t="s">
        <v>1702</v>
      </c>
      <c r="E70" s="464" t="s">
        <v>1703</v>
      </c>
      <c r="F70" s="463" t="s">
        <v>1704</v>
      </c>
      <c r="G70" s="480"/>
      <c r="H70" s="480"/>
      <c r="I70" s="480"/>
      <c r="J70" s="44" t="s">
        <v>1519</v>
      </c>
      <c r="K70" s="481"/>
      <c r="L70" s="371"/>
      <c r="M70" s="480"/>
      <c r="N70" s="480"/>
      <c r="O70" s="480"/>
      <c r="P70" s="44"/>
      <c r="Q70" s="481"/>
      <c r="R70" s="371"/>
      <c r="S70" s="478"/>
      <c r="T70" s="478"/>
      <c r="U70" s="479"/>
      <c r="V70" s="478"/>
      <c r="W70" s="478"/>
      <c r="X70" s="478"/>
    </row>
    <row r="71" hidden="1" outlineLevel="1">
      <c r="A71" s="325" t="str">
        <f t="shared" si="9"/>
        <v>TC_05.50</v>
      </c>
      <c r="B71" s="325" t="s">
        <v>77</v>
      </c>
      <c r="C71" s="464" t="s">
        <v>1705</v>
      </c>
      <c r="D71" s="464" t="s">
        <v>1702</v>
      </c>
      <c r="E71" s="464" t="s">
        <v>1706</v>
      </c>
      <c r="F71" s="464" t="s">
        <v>1707</v>
      </c>
      <c r="G71" s="480"/>
      <c r="H71" s="480"/>
      <c r="I71" s="480"/>
      <c r="J71" s="44" t="s">
        <v>1519</v>
      </c>
      <c r="K71" s="482" t="s">
        <v>1708</v>
      </c>
      <c r="L71" s="371" t="s">
        <v>1709</v>
      </c>
      <c r="M71" s="480"/>
      <c r="N71" s="480"/>
      <c r="O71" s="480"/>
      <c r="P71" s="44"/>
      <c r="Q71" s="481"/>
      <c r="R71" s="371"/>
      <c r="S71" s="478"/>
      <c r="T71" s="478"/>
      <c r="U71" s="479"/>
      <c r="V71" s="478"/>
      <c r="W71" s="478"/>
      <c r="X71" s="478"/>
    </row>
    <row r="72" hidden="1" outlineLevel="1">
      <c r="A72" s="325" t="str">
        <f t="shared" si="9"/>
        <v>TC_05.51</v>
      </c>
      <c r="B72" s="325" t="s">
        <v>77</v>
      </c>
      <c r="C72" s="464" t="s">
        <v>1710</v>
      </c>
      <c r="D72" s="464" t="s">
        <v>1702</v>
      </c>
      <c r="E72" s="464" t="s">
        <v>1711</v>
      </c>
      <c r="F72" s="464" t="s">
        <v>1712</v>
      </c>
      <c r="G72" s="480"/>
      <c r="H72" s="480"/>
      <c r="I72" s="480"/>
      <c r="J72" s="44" t="s">
        <v>1519</v>
      </c>
      <c r="K72" s="481"/>
      <c r="L72" s="371"/>
      <c r="M72" s="480"/>
      <c r="N72" s="480"/>
      <c r="O72" s="480"/>
      <c r="P72" s="44"/>
      <c r="Q72" s="481"/>
      <c r="R72" s="371"/>
      <c r="S72" s="478"/>
      <c r="T72" s="478"/>
      <c r="U72" s="479"/>
      <c r="V72" s="478"/>
      <c r="W72" s="478"/>
      <c r="X72" s="478"/>
    </row>
    <row r="73" collapsed="1">
      <c r="A73" s="467" t="s">
        <v>1713</v>
      </c>
      <c r="B73" s="148"/>
      <c r="C73" s="148"/>
      <c r="D73" s="148"/>
      <c r="E73" s="148"/>
      <c r="F73" s="171"/>
      <c r="G73" s="480"/>
      <c r="H73" s="480"/>
      <c r="I73" s="480"/>
      <c r="J73" s="44"/>
      <c r="K73" s="477"/>
      <c r="L73" s="371"/>
      <c r="M73" s="480"/>
      <c r="N73" s="480"/>
      <c r="O73" s="480"/>
      <c r="P73" s="44"/>
      <c r="Q73" s="477"/>
      <c r="R73" s="371"/>
      <c r="S73" s="478"/>
      <c r="T73" s="478"/>
      <c r="U73" s="479"/>
      <c r="V73" s="478"/>
      <c r="W73" s="478"/>
      <c r="X73" s="478"/>
    </row>
    <row r="74" hidden="1" outlineLevel="1">
      <c r="A74" s="325" t="str">
        <f t="shared" ref="A74:A79" si="10">IF(E74="","",$C$3&amp;"."&amp;COUNTA($E$11:E74)&amp;"")</f>
        <v>TC_05.52</v>
      </c>
      <c r="B74" s="61" t="s">
        <v>73</v>
      </c>
      <c r="C74" s="462" t="s">
        <v>1714</v>
      </c>
      <c r="D74" s="462" t="s">
        <v>1715</v>
      </c>
      <c r="E74" s="462" t="s">
        <v>1716</v>
      </c>
      <c r="F74" s="463" t="s">
        <v>1717</v>
      </c>
      <c r="G74" s="480"/>
      <c r="H74" s="480"/>
      <c r="I74" s="480"/>
      <c r="J74" s="44" t="s">
        <v>1519</v>
      </c>
      <c r="K74" s="477"/>
      <c r="L74" s="371"/>
      <c r="M74" s="480"/>
      <c r="N74" s="480"/>
      <c r="O74" s="480"/>
      <c r="P74" s="44"/>
      <c r="Q74" s="477"/>
      <c r="R74" s="371"/>
      <c r="S74" s="478"/>
      <c r="T74" s="478"/>
      <c r="U74" s="479"/>
      <c r="V74" s="478"/>
      <c r="W74" s="478"/>
      <c r="X74" s="478"/>
    </row>
    <row r="75" hidden="1" outlineLevel="1">
      <c r="A75" s="325" t="str">
        <f t="shared" si="10"/>
        <v>TC_05.53</v>
      </c>
      <c r="B75" s="61" t="s">
        <v>73</v>
      </c>
      <c r="C75" s="462" t="s">
        <v>1718</v>
      </c>
      <c r="D75" s="462" t="s">
        <v>1719</v>
      </c>
      <c r="E75" s="462" t="s">
        <v>1720</v>
      </c>
      <c r="F75" s="463" t="s">
        <v>1721</v>
      </c>
      <c r="G75" s="480"/>
      <c r="H75" s="480"/>
      <c r="I75" s="480"/>
      <c r="J75" s="44" t="s">
        <v>1519</v>
      </c>
      <c r="K75" s="331"/>
      <c r="L75" s="371"/>
      <c r="M75" s="475"/>
      <c r="N75" s="475"/>
      <c r="O75" s="475"/>
      <c r="P75" s="476"/>
      <c r="Q75" s="331"/>
      <c r="R75" s="371"/>
      <c r="S75" s="465"/>
      <c r="T75" s="465"/>
      <c r="U75" s="466"/>
      <c r="V75" s="465"/>
      <c r="W75" s="465"/>
      <c r="X75" s="465"/>
    </row>
    <row r="76" hidden="1" outlineLevel="1">
      <c r="A76" s="325" t="str">
        <f t="shared" si="10"/>
        <v>TC_05.54</v>
      </c>
      <c r="B76" s="61" t="s">
        <v>73</v>
      </c>
      <c r="C76" s="462" t="s">
        <v>1722</v>
      </c>
      <c r="D76" s="462" t="s">
        <v>1723</v>
      </c>
      <c r="E76" s="462" t="s">
        <v>1724</v>
      </c>
      <c r="F76" s="463" t="s">
        <v>1725</v>
      </c>
      <c r="G76" s="480"/>
      <c r="H76" s="480"/>
      <c r="I76" s="480"/>
      <c r="J76" s="44" t="s">
        <v>1519</v>
      </c>
      <c r="K76" s="331"/>
      <c r="L76" s="371"/>
      <c r="M76" s="480"/>
      <c r="N76" s="480"/>
      <c r="O76" s="480"/>
      <c r="P76" s="44"/>
      <c r="Q76" s="331"/>
      <c r="R76" s="371"/>
      <c r="S76" s="465"/>
      <c r="T76" s="465"/>
      <c r="U76" s="466"/>
      <c r="V76" s="465"/>
      <c r="W76" s="465"/>
      <c r="X76" s="465"/>
    </row>
    <row r="77" hidden="1" outlineLevel="1">
      <c r="A77" s="325" t="str">
        <f t="shared" si="10"/>
        <v>TC_05.55</v>
      </c>
      <c r="B77" s="61" t="s">
        <v>75</v>
      </c>
      <c r="C77" s="462" t="s">
        <v>1726</v>
      </c>
      <c r="D77" s="464" t="s">
        <v>1727</v>
      </c>
      <c r="E77" s="462" t="s">
        <v>1728</v>
      </c>
      <c r="F77" s="464" t="s">
        <v>1729</v>
      </c>
      <c r="G77" s="480"/>
      <c r="H77" s="480"/>
      <c r="I77" s="480"/>
      <c r="J77" s="44" t="s">
        <v>1519</v>
      </c>
      <c r="K77" s="331"/>
      <c r="L77" s="371"/>
      <c r="M77" s="480"/>
      <c r="N77" s="480"/>
      <c r="O77" s="480"/>
      <c r="P77" s="44"/>
      <c r="Q77" s="331"/>
      <c r="R77" s="371"/>
      <c r="S77" s="465"/>
      <c r="T77" s="465"/>
      <c r="U77" s="466"/>
      <c r="V77" s="465"/>
      <c r="W77" s="465"/>
      <c r="X77" s="465"/>
    </row>
    <row r="78" hidden="1" outlineLevel="1">
      <c r="A78" s="325" t="str">
        <f t="shared" si="10"/>
        <v>TC_05.56</v>
      </c>
      <c r="B78" s="61" t="s">
        <v>75</v>
      </c>
      <c r="C78" s="462" t="s">
        <v>1730</v>
      </c>
      <c r="D78" s="462" t="s">
        <v>1731</v>
      </c>
      <c r="E78" s="462" t="s">
        <v>1732</v>
      </c>
      <c r="F78" s="463" t="s">
        <v>1733</v>
      </c>
      <c r="G78" s="480"/>
      <c r="H78" s="480"/>
      <c r="I78" s="480"/>
      <c r="J78" s="44" t="s">
        <v>1519</v>
      </c>
      <c r="K78" s="325"/>
      <c r="L78" s="371"/>
      <c r="M78" s="43"/>
      <c r="N78" s="43"/>
      <c r="O78" s="43"/>
      <c r="P78" s="323"/>
      <c r="Q78" s="325"/>
      <c r="R78" s="371"/>
      <c r="S78" s="465"/>
      <c r="T78" s="465"/>
      <c r="U78" s="466"/>
      <c r="V78" s="465"/>
      <c r="W78" s="465"/>
      <c r="X78" s="465"/>
    </row>
    <row r="79" hidden="1" outlineLevel="1">
      <c r="A79" s="325" t="str">
        <f t="shared" si="10"/>
        <v>TC_05.57</v>
      </c>
      <c r="B79" s="61" t="s">
        <v>77</v>
      </c>
      <c r="C79" s="462" t="s">
        <v>1734</v>
      </c>
      <c r="D79" s="462" t="s">
        <v>1735</v>
      </c>
      <c r="E79" s="462" t="s">
        <v>1736</v>
      </c>
      <c r="F79" s="464" t="s">
        <v>1617</v>
      </c>
      <c r="G79" s="480"/>
      <c r="H79" s="480"/>
      <c r="I79" s="480"/>
      <c r="J79" s="44" t="s">
        <v>1519</v>
      </c>
      <c r="K79" s="331"/>
      <c r="L79" s="371"/>
      <c r="M79" s="480"/>
      <c r="N79" s="480"/>
      <c r="O79" s="480"/>
      <c r="P79" s="44"/>
      <c r="Q79" s="331"/>
      <c r="R79" s="371"/>
      <c r="S79" s="465"/>
      <c r="T79" s="465"/>
      <c r="U79" s="466"/>
      <c r="V79" s="465"/>
      <c r="W79" s="465"/>
      <c r="X79" s="465"/>
    </row>
    <row r="80" collapsed="1">
      <c r="A80" s="467" t="s">
        <v>1737</v>
      </c>
      <c r="B80" s="148"/>
      <c r="C80" s="148"/>
      <c r="D80" s="148"/>
      <c r="E80" s="148"/>
      <c r="F80" s="171"/>
      <c r="G80" s="480"/>
      <c r="H80" s="480"/>
      <c r="I80" s="480"/>
      <c r="J80" s="44"/>
      <c r="K80" s="331"/>
      <c r="L80" s="371"/>
      <c r="M80" s="480"/>
      <c r="N80" s="480"/>
      <c r="O80" s="480"/>
      <c r="P80" s="44"/>
      <c r="Q80" s="331"/>
      <c r="R80" s="371"/>
      <c r="S80" s="465"/>
      <c r="T80" s="465"/>
      <c r="U80" s="466"/>
      <c r="V80" s="465"/>
      <c r="W80" s="465"/>
      <c r="X80" s="465"/>
    </row>
    <row r="81" hidden="1" outlineLevel="1">
      <c r="A81" s="325" t="str">
        <f t="shared" ref="A81:A83" si="11">IF(E81="","",$C$3&amp;"."&amp;COUNTA($E$11:E81)&amp;"")</f>
        <v>TC_05.58</v>
      </c>
      <c r="B81" s="61" t="s">
        <v>73</v>
      </c>
      <c r="C81" s="462" t="s">
        <v>1738</v>
      </c>
      <c r="D81" s="462" t="s">
        <v>1739</v>
      </c>
      <c r="E81" s="462" t="s">
        <v>1740</v>
      </c>
      <c r="F81" s="463" t="s">
        <v>1741</v>
      </c>
      <c r="G81" s="480"/>
      <c r="H81" s="480"/>
      <c r="I81" s="480"/>
      <c r="J81" s="44" t="s">
        <v>1519</v>
      </c>
      <c r="K81" s="331"/>
      <c r="L81" s="371"/>
      <c r="M81" s="480"/>
      <c r="N81" s="480"/>
      <c r="O81" s="480"/>
      <c r="P81" s="44"/>
      <c r="Q81" s="331"/>
      <c r="R81" s="371"/>
      <c r="S81" s="465"/>
      <c r="T81" s="465"/>
      <c r="U81" s="466"/>
      <c r="V81" s="465"/>
      <c r="W81" s="465"/>
      <c r="X81" s="465"/>
    </row>
    <row r="82" hidden="1" outlineLevel="1">
      <c r="A82" s="325" t="str">
        <f t="shared" si="11"/>
        <v>TC_05.59</v>
      </c>
      <c r="B82" s="61" t="s">
        <v>73</v>
      </c>
      <c r="C82" s="462" t="s">
        <v>1742</v>
      </c>
      <c r="D82" s="462" t="s">
        <v>1743</v>
      </c>
      <c r="E82" s="462" t="s">
        <v>1744</v>
      </c>
      <c r="F82" s="463" t="s">
        <v>1745</v>
      </c>
      <c r="G82" s="480"/>
      <c r="H82" s="480"/>
      <c r="I82" s="480"/>
      <c r="J82" s="44" t="s">
        <v>1519</v>
      </c>
      <c r="K82" s="331"/>
      <c r="L82" s="371"/>
      <c r="M82" s="480"/>
      <c r="N82" s="480"/>
      <c r="O82" s="480"/>
      <c r="P82" s="44"/>
      <c r="Q82" s="331"/>
      <c r="R82" s="371"/>
      <c r="S82" s="465"/>
      <c r="T82" s="465"/>
      <c r="U82" s="466"/>
      <c r="V82" s="465"/>
      <c r="W82" s="465"/>
      <c r="X82" s="465"/>
    </row>
    <row r="83" hidden="1" outlineLevel="1">
      <c r="A83" s="325" t="str">
        <f t="shared" si="11"/>
        <v>TC_05.60</v>
      </c>
      <c r="B83" s="61" t="s">
        <v>75</v>
      </c>
      <c r="C83" s="462" t="s">
        <v>1746</v>
      </c>
      <c r="D83" s="462" t="s">
        <v>1747</v>
      </c>
      <c r="E83" s="462" t="s">
        <v>1748</v>
      </c>
      <c r="F83" s="463" t="s">
        <v>1749</v>
      </c>
      <c r="G83" s="480"/>
      <c r="H83" s="480"/>
      <c r="I83" s="480"/>
      <c r="J83" s="44" t="s">
        <v>1519</v>
      </c>
      <c r="K83" s="331"/>
      <c r="L83" s="371"/>
      <c r="M83" s="480"/>
      <c r="N83" s="480"/>
      <c r="O83" s="480"/>
      <c r="P83" s="44"/>
      <c r="Q83" s="331"/>
      <c r="R83" s="371"/>
      <c r="S83" s="465"/>
      <c r="T83" s="465"/>
      <c r="U83" s="466"/>
      <c r="V83" s="465"/>
      <c r="W83" s="465"/>
      <c r="X83" s="465"/>
    </row>
    <row r="84">
      <c r="A84" s="325"/>
      <c r="B84" s="325"/>
      <c r="C84" s="350"/>
      <c r="D84" s="465"/>
      <c r="E84" s="331"/>
      <c r="F84" s="371"/>
      <c r="G84" s="480"/>
      <c r="H84" s="480"/>
      <c r="I84" s="480"/>
      <c r="J84" s="44"/>
      <c r="K84" s="371"/>
      <c r="L84" s="481"/>
      <c r="M84" s="480"/>
      <c r="N84" s="480"/>
      <c r="O84" s="480"/>
      <c r="P84" s="44"/>
      <c r="Q84" s="371"/>
      <c r="R84" s="481"/>
      <c r="S84" s="465"/>
      <c r="T84" s="465"/>
      <c r="U84" s="466"/>
      <c r="V84" s="465"/>
      <c r="W84" s="465"/>
      <c r="X84" s="465"/>
    </row>
  </sheetData>
  <autoFilter ref="$G$1:$L$84"/>
  <mergeCells count="31">
    <mergeCell ref="C7:C8"/>
    <mergeCell ref="D7:D8"/>
    <mergeCell ref="F7:F8"/>
    <mergeCell ref="G7:L7"/>
    <mergeCell ref="M7:R7"/>
    <mergeCell ref="U7:X7"/>
    <mergeCell ref="G8:I8"/>
    <mergeCell ref="M8:O8"/>
    <mergeCell ref="B2:E2"/>
    <mergeCell ref="A3:B3"/>
    <mergeCell ref="C3:D3"/>
    <mergeCell ref="A4:B4"/>
    <mergeCell ref="C4:D4"/>
    <mergeCell ref="A7:A8"/>
    <mergeCell ref="B7:B8"/>
    <mergeCell ref="E7:E8"/>
    <mergeCell ref="A9:F9"/>
    <mergeCell ref="A10:F10"/>
    <mergeCell ref="A15:F15"/>
    <mergeCell ref="A19:F19"/>
    <mergeCell ref="A30:F30"/>
    <mergeCell ref="A34:F34"/>
    <mergeCell ref="A73:F73"/>
    <mergeCell ref="A80:F80"/>
    <mergeCell ref="A39:F39"/>
    <mergeCell ref="A42:F42"/>
    <mergeCell ref="A45:F45"/>
    <mergeCell ref="A50:F50"/>
    <mergeCell ref="A54:F54"/>
    <mergeCell ref="A59:F59"/>
    <mergeCell ref="A64:F64"/>
  </mergeCells>
  <conditionalFormatting sqref="G9:I84 M9:O84 Q9:Q84 U9:U84">
    <cfRule type="cellIs" dxfId="0" priority="1" operator="equal">
      <formula>"Block"</formula>
    </cfRule>
  </conditionalFormatting>
  <conditionalFormatting sqref="G9:I84 M9:O84 Q9:Q84 U9:U84">
    <cfRule type="cellIs" dxfId="1" priority="2" operator="equal">
      <formula>"Fail"</formula>
    </cfRule>
  </conditionalFormatting>
  <conditionalFormatting sqref="G9:I84 M9:O84 Q9:Q84 U9:U84">
    <cfRule type="cellIs" dxfId="2" priority="3" operator="equal">
      <formula>"Pass"</formula>
    </cfRule>
  </conditionalFormatting>
  <conditionalFormatting sqref="G9:I84 M9:O84 Q9:Q84 U9:U84">
    <cfRule type="cellIs" dxfId="3" priority="4" operator="equal">
      <formula>"N/A"</formula>
    </cfRule>
  </conditionalFormatting>
  <conditionalFormatting sqref="G9:I84 M9:O84 Q9:Q84 U9:U84">
    <cfRule type="cellIs" dxfId="4" priority="5" operator="equal">
      <formula>"Block"</formula>
    </cfRule>
  </conditionalFormatting>
  <conditionalFormatting sqref="G9:I84 M9:O84 Q9:Q84 U9:U84">
    <cfRule type="cellIs" dxfId="5" priority="6" operator="equal">
      <formula>"Fail"</formula>
    </cfRule>
  </conditionalFormatting>
  <conditionalFormatting sqref="G9:I84 M9:O84 Q9:Q84 U9:U84">
    <cfRule type="cellIs" dxfId="6" priority="7" operator="equal">
      <formula>"Pass"</formula>
    </cfRule>
  </conditionalFormatting>
  <conditionalFormatting sqref="G9:I84 M9:O84 Q9:Q84 U9:U84">
    <cfRule type="cellIs" dxfId="7" priority="8" operator="equal">
      <formula>"N/A"</formula>
    </cfRule>
  </conditionalFormatting>
  <conditionalFormatting sqref="G9:I84 M9:O84 Q9:Q84 U9:U84">
    <cfRule type="cellIs" dxfId="0" priority="9" operator="equal">
      <formula>"Block"</formula>
    </cfRule>
  </conditionalFormatting>
  <conditionalFormatting sqref="G9:I84 M9:O84 Q9:Q84 U9:U84">
    <cfRule type="cellIs" dxfId="1" priority="10" operator="equal">
      <formula>"Fail"</formula>
    </cfRule>
  </conditionalFormatting>
  <conditionalFormatting sqref="G9:I84 M9:O84 Q9:Q84 U9:U84">
    <cfRule type="cellIs" dxfId="2" priority="11" operator="equal">
      <formula>"Pass"</formula>
    </cfRule>
  </conditionalFormatting>
  <conditionalFormatting sqref="G9:I84 M9:O84 Q9:Q84 U9:U84">
    <cfRule type="cellIs" dxfId="3" priority="12" operator="equal">
      <formula>"N/A"</formula>
    </cfRule>
  </conditionalFormatting>
  <dataValidations>
    <dataValidation type="list" allowBlank="1" showErrorMessage="1" sqref="G10:I84 M10:O84 U9:U84">
      <formula1>"Pass,Fail,Block,N/A"</formula1>
    </dataValidation>
    <dataValidation type="list" allowBlank="1" showErrorMessage="1" sqref="B11:B14 B16:B18 B20:B29 B31:B33 B35:B38 B40:B41 B43:B44 B46:B49 B51:B53 B55:B58 B60:B63 B65:B72 B74:B79 B81:B84">
      <formula1>"High,Medium,Low"</formula1>
    </dataValidation>
  </dataValidations>
  <hyperlinks>
    <hyperlink r:id="rId1" ref="K67"/>
    <hyperlink r:id="rId2" ref="K71"/>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pageSetUpPr/>
  </sheetPr>
  <sheetViews>
    <sheetView showGridLines="0" workbookViewId="0"/>
  </sheetViews>
  <sheetFormatPr customHeight="1" defaultColWidth="12.63" defaultRowHeight="15.0" outlineLevelRow="1"/>
  <cols>
    <col customWidth="1" hidden="1" min="1" max="1" width="11.38"/>
    <col customWidth="1" min="2" max="2" width="11.38"/>
    <col customWidth="1" min="3" max="3" width="13.38"/>
    <col customWidth="1" min="4" max="4" width="35.5"/>
    <col customWidth="1" min="5" max="5" width="17.63"/>
    <col customWidth="1" min="6" max="6" width="40.38"/>
    <col customWidth="1" min="7" max="7" width="53.38"/>
    <col customWidth="1" min="8" max="8" width="8.38"/>
    <col customWidth="1" min="9" max="9" width="9.5"/>
    <col customWidth="1" min="10" max="11" width="10.13"/>
    <col customWidth="1" min="12" max="12" width="12.25"/>
    <col customWidth="1" min="13" max="13" width="13.5"/>
    <col customWidth="1" min="14" max="14" width="14.88"/>
    <col customWidth="1" min="15" max="15" width="8.38"/>
    <col customWidth="1" min="16" max="16" width="9.5"/>
    <col customWidth="1" min="17" max="18" width="10.13"/>
    <col customWidth="1" min="19" max="19" width="12.25"/>
    <col customWidth="1" min="20" max="20" width="13.5"/>
    <col customWidth="1" min="21" max="21" width="14.88"/>
  </cols>
  <sheetData>
    <row r="1" outlineLevel="1">
      <c r="A1" s="232"/>
      <c r="B1" s="233"/>
      <c r="C1" s="234"/>
      <c r="D1" s="235"/>
      <c r="E1" s="235"/>
      <c r="F1" s="236"/>
      <c r="G1" s="237"/>
      <c r="H1" s="238"/>
      <c r="I1" s="238"/>
      <c r="J1" s="238"/>
      <c r="K1" s="238"/>
      <c r="L1" s="239"/>
      <c r="M1" s="240"/>
      <c r="N1" s="241"/>
      <c r="O1" s="238"/>
      <c r="P1" s="238"/>
      <c r="Q1" s="238"/>
      <c r="R1" s="238"/>
      <c r="S1" s="239"/>
      <c r="T1" s="240"/>
      <c r="U1" s="241"/>
    </row>
    <row r="2" outlineLevel="1">
      <c r="A2" s="232"/>
      <c r="B2" s="242"/>
      <c r="C2" s="243"/>
      <c r="D2" s="182"/>
      <c r="E2" s="182"/>
      <c r="F2" s="182"/>
      <c r="G2" s="244"/>
      <c r="H2" s="238"/>
      <c r="I2" s="238"/>
      <c r="J2" s="238"/>
      <c r="K2" s="238"/>
      <c r="L2" s="239"/>
      <c r="M2" s="240"/>
      <c r="N2" s="241"/>
      <c r="O2" s="238"/>
      <c r="P2" s="238"/>
      <c r="Q2" s="238"/>
      <c r="R2" s="238"/>
      <c r="S2" s="239"/>
      <c r="T2" s="240"/>
      <c r="U2" s="241"/>
    </row>
    <row r="3" outlineLevel="1">
      <c r="A3" s="245"/>
      <c r="B3" s="246" t="s">
        <v>122</v>
      </c>
      <c r="C3" s="122"/>
      <c r="D3" s="247" t="s">
        <v>118</v>
      </c>
      <c r="E3" s="122"/>
      <c r="F3" s="248"/>
      <c r="G3" s="249"/>
      <c r="H3" s="238"/>
      <c r="I3" s="238"/>
      <c r="J3" s="238"/>
      <c r="K3" s="238"/>
      <c r="L3" s="239"/>
      <c r="M3" s="240"/>
      <c r="N3" s="248"/>
      <c r="O3" s="238"/>
      <c r="P3" s="238"/>
      <c r="Q3" s="238"/>
      <c r="R3" s="238"/>
      <c r="S3" s="239"/>
      <c r="T3" s="240"/>
      <c r="U3" s="248"/>
    </row>
    <row r="4" outlineLevel="1">
      <c r="A4" s="245"/>
      <c r="B4" s="246" t="s">
        <v>123</v>
      </c>
      <c r="C4" s="122"/>
      <c r="D4" s="250" t="s">
        <v>40</v>
      </c>
      <c r="E4" s="122"/>
      <c r="F4" s="248"/>
      <c r="G4" s="249"/>
      <c r="H4" s="238"/>
      <c r="I4" s="238"/>
      <c r="J4" s="238"/>
      <c r="K4" s="238"/>
      <c r="L4" s="239"/>
      <c r="M4" s="240"/>
      <c r="N4" s="248"/>
      <c r="O4" s="238"/>
      <c r="P4" s="238"/>
      <c r="Q4" s="238"/>
      <c r="R4" s="238"/>
      <c r="S4" s="239"/>
      <c r="T4" s="240"/>
      <c r="U4" s="248"/>
    </row>
    <row r="5" outlineLevel="1">
      <c r="A5" s="232"/>
      <c r="B5" s="251"/>
      <c r="C5" s="251"/>
      <c r="D5" s="251"/>
      <c r="E5" s="251"/>
      <c r="F5" s="252"/>
      <c r="G5" s="253"/>
      <c r="H5" s="238"/>
      <c r="I5" s="238"/>
      <c r="J5" s="238"/>
      <c r="K5" s="238"/>
      <c r="L5" s="239"/>
      <c r="M5" s="240"/>
      <c r="N5" s="241"/>
      <c r="O5" s="238"/>
      <c r="P5" s="238"/>
      <c r="Q5" s="238"/>
      <c r="R5" s="238"/>
      <c r="S5" s="239"/>
      <c r="T5" s="240"/>
      <c r="U5" s="241"/>
    </row>
    <row r="6" outlineLevel="1">
      <c r="A6" s="232"/>
      <c r="B6" s="254"/>
      <c r="C6" s="254"/>
      <c r="D6" s="254"/>
      <c r="E6" s="254"/>
      <c r="F6" s="255"/>
      <c r="G6" s="253"/>
      <c r="H6" s="238"/>
      <c r="I6" s="238"/>
      <c r="J6" s="238"/>
      <c r="K6" s="238"/>
      <c r="L6" s="239"/>
      <c r="M6" s="240"/>
      <c r="N6" s="241"/>
      <c r="O6" s="238"/>
      <c r="P6" s="238"/>
      <c r="Q6" s="238"/>
      <c r="R6" s="238"/>
      <c r="S6" s="239"/>
      <c r="T6" s="240"/>
      <c r="U6" s="241"/>
    </row>
    <row r="7">
      <c r="A7" s="256" t="s">
        <v>125</v>
      </c>
      <c r="B7" s="146" t="s">
        <v>126</v>
      </c>
      <c r="C7" s="146" t="s">
        <v>127</v>
      </c>
      <c r="D7" s="146" t="s">
        <v>128</v>
      </c>
      <c r="E7" s="146" t="s">
        <v>129</v>
      </c>
      <c r="F7" s="146" t="s">
        <v>130</v>
      </c>
      <c r="G7" s="311" t="s">
        <v>131</v>
      </c>
      <c r="H7" s="312" t="str">
        <f>Summary!G8</f>
        <v>Round 1 (09/04/2026 - 15/04/2026)</v>
      </c>
      <c r="I7" s="313"/>
      <c r="J7" s="313"/>
      <c r="K7" s="313"/>
      <c r="L7" s="313"/>
      <c r="M7" s="313"/>
      <c r="N7" s="314"/>
      <c r="O7" s="312" t="str">
        <f>Summary!L8</f>
        <v>Round 2 (dd/mm/yyyy - dd/mm/yyyy)</v>
      </c>
      <c r="P7" s="313"/>
      <c r="Q7" s="313"/>
      <c r="R7" s="313"/>
      <c r="S7" s="313"/>
      <c r="T7" s="313"/>
      <c r="U7" s="314"/>
    </row>
    <row r="8">
      <c r="A8" s="56"/>
      <c r="B8" s="56"/>
      <c r="C8" s="56"/>
      <c r="D8" s="56"/>
      <c r="E8" s="56"/>
      <c r="F8" s="56"/>
      <c r="G8" s="56"/>
      <c r="H8" s="315" t="s">
        <v>132</v>
      </c>
      <c r="I8" s="148"/>
      <c r="J8" s="171"/>
      <c r="K8" s="317"/>
      <c r="L8" s="317" t="s">
        <v>133</v>
      </c>
      <c r="M8" s="317" t="s">
        <v>134</v>
      </c>
      <c r="N8" s="317" t="s">
        <v>135</v>
      </c>
      <c r="O8" s="315" t="s">
        <v>132</v>
      </c>
      <c r="P8" s="148"/>
      <c r="Q8" s="171"/>
      <c r="R8" s="317"/>
      <c r="S8" s="317" t="s">
        <v>133</v>
      </c>
      <c r="T8" s="317" t="s">
        <v>134</v>
      </c>
      <c r="U8" s="317" t="s">
        <v>135</v>
      </c>
    </row>
    <row r="9">
      <c r="A9" s="483"/>
      <c r="B9" s="319" t="s">
        <v>1750</v>
      </c>
      <c r="C9" s="148"/>
      <c r="D9" s="148"/>
      <c r="E9" s="148"/>
      <c r="F9" s="148"/>
      <c r="G9" s="171"/>
      <c r="H9" s="484" t="s">
        <v>1069</v>
      </c>
      <c r="I9" s="484" t="s">
        <v>1070</v>
      </c>
      <c r="J9" s="484" t="s">
        <v>1071</v>
      </c>
      <c r="K9" s="484" t="s">
        <v>1751</v>
      </c>
      <c r="L9" s="353"/>
      <c r="M9" s="353"/>
      <c r="N9" s="354"/>
      <c r="O9" s="484" t="s">
        <v>1069</v>
      </c>
      <c r="P9" s="484" t="s">
        <v>1070</v>
      </c>
      <c r="Q9" s="484" t="s">
        <v>1071</v>
      </c>
      <c r="R9" s="484" t="s">
        <v>1751</v>
      </c>
      <c r="S9" s="353"/>
      <c r="T9" s="353"/>
      <c r="U9" s="354"/>
    </row>
    <row r="10">
      <c r="A10" s="302"/>
      <c r="B10" s="485" t="s">
        <v>1752</v>
      </c>
      <c r="C10" s="148"/>
      <c r="D10" s="148"/>
      <c r="E10" s="148"/>
      <c r="F10" s="148"/>
      <c r="G10" s="148"/>
      <c r="H10" s="486"/>
      <c r="I10" s="487"/>
      <c r="J10" s="487"/>
      <c r="K10" s="487"/>
      <c r="L10" s="488"/>
      <c r="M10" s="488"/>
      <c r="N10" s="488"/>
      <c r="O10" s="486"/>
      <c r="P10" s="487"/>
      <c r="Q10" s="487"/>
      <c r="R10" s="487"/>
      <c r="S10" s="488"/>
      <c r="T10" s="488"/>
      <c r="U10" s="488"/>
    </row>
    <row r="11" outlineLevel="1">
      <c r="A11" s="489" t="s">
        <v>381</v>
      </c>
      <c r="B11" s="158" t="str">
        <f t="shared" ref="B11:B14" si="1">IF(F11="","",$D$3&amp;"."&amp;COUNTA($F$11:F11)&amp;"")</f>
        <v>TC_05.1</v>
      </c>
      <c r="C11" s="490" t="s">
        <v>73</v>
      </c>
      <c r="D11" s="491" t="s">
        <v>1753</v>
      </c>
      <c r="E11" s="491" t="s">
        <v>1754</v>
      </c>
      <c r="F11" s="492" t="s">
        <v>1755</v>
      </c>
      <c r="G11" s="492" t="s">
        <v>1756</v>
      </c>
      <c r="H11" s="493"/>
      <c r="I11" s="493"/>
      <c r="J11" s="493"/>
      <c r="K11" s="493"/>
      <c r="L11" s="493"/>
      <c r="M11" s="493"/>
      <c r="N11" s="493"/>
      <c r="O11" s="493"/>
      <c r="P11" s="493"/>
      <c r="Q11" s="493"/>
      <c r="R11" s="493"/>
      <c r="S11" s="493"/>
      <c r="T11" s="493"/>
      <c r="U11" s="493"/>
    </row>
    <row r="12" outlineLevel="1">
      <c r="A12" s="489" t="s">
        <v>381</v>
      </c>
      <c r="B12" s="158" t="str">
        <f t="shared" si="1"/>
        <v>TC_05.2</v>
      </c>
      <c r="C12" s="494" t="s">
        <v>73</v>
      </c>
      <c r="D12" s="495" t="s">
        <v>1757</v>
      </c>
      <c r="E12" s="496" t="s">
        <v>1758</v>
      </c>
      <c r="F12" s="495" t="s">
        <v>1759</v>
      </c>
      <c r="G12" s="495" t="s">
        <v>1760</v>
      </c>
      <c r="H12" s="493"/>
      <c r="I12" s="493"/>
      <c r="J12" s="493"/>
      <c r="K12" s="493"/>
      <c r="L12" s="493"/>
      <c r="M12" s="497"/>
      <c r="N12" s="493"/>
      <c r="O12" s="493"/>
      <c r="P12" s="493"/>
      <c r="Q12" s="493"/>
      <c r="R12" s="493"/>
      <c r="S12" s="493"/>
      <c r="T12" s="497"/>
      <c r="U12" s="493"/>
    </row>
    <row r="13" outlineLevel="1">
      <c r="A13" s="489" t="s">
        <v>381</v>
      </c>
      <c r="B13" s="158" t="str">
        <f t="shared" si="1"/>
        <v>TC_05.3</v>
      </c>
      <c r="C13" s="498" t="s">
        <v>75</v>
      </c>
      <c r="D13" s="492" t="s">
        <v>1761</v>
      </c>
      <c r="E13" s="491" t="s">
        <v>1522</v>
      </c>
      <c r="F13" s="492" t="s">
        <v>1762</v>
      </c>
      <c r="G13" s="492" t="s">
        <v>1763</v>
      </c>
      <c r="H13" s="493"/>
      <c r="I13" s="493"/>
      <c r="J13" s="493"/>
      <c r="K13" s="493"/>
      <c r="L13" s="493"/>
      <c r="M13" s="497"/>
      <c r="N13" s="493"/>
      <c r="O13" s="493"/>
      <c r="P13" s="493"/>
      <c r="Q13" s="493"/>
      <c r="R13" s="493"/>
      <c r="S13" s="493"/>
      <c r="T13" s="497"/>
      <c r="U13" s="493"/>
    </row>
    <row r="14" outlineLevel="1">
      <c r="A14" s="489" t="s">
        <v>381</v>
      </c>
      <c r="B14" s="158" t="str">
        <f t="shared" si="1"/>
        <v>TC_05.4</v>
      </c>
      <c r="C14" s="499" t="s">
        <v>75</v>
      </c>
      <c r="D14" s="496" t="s">
        <v>1764</v>
      </c>
      <c r="E14" s="496" t="s">
        <v>1522</v>
      </c>
      <c r="F14" s="496" t="s">
        <v>1765</v>
      </c>
      <c r="G14" s="495" t="s">
        <v>1766</v>
      </c>
      <c r="H14" s="493"/>
      <c r="I14" s="493"/>
      <c r="J14" s="493"/>
      <c r="K14" s="493"/>
      <c r="L14" s="493"/>
      <c r="M14" s="493"/>
      <c r="N14" s="493"/>
      <c r="O14" s="493"/>
      <c r="P14" s="493"/>
      <c r="Q14" s="493"/>
      <c r="R14" s="493"/>
      <c r="S14" s="493"/>
      <c r="T14" s="493"/>
      <c r="U14" s="493"/>
    </row>
    <row r="15">
      <c r="A15" s="302"/>
      <c r="B15" s="485" t="s">
        <v>1767</v>
      </c>
      <c r="C15" s="148"/>
      <c r="D15" s="148"/>
      <c r="E15" s="148"/>
      <c r="F15" s="148"/>
      <c r="G15" s="148"/>
      <c r="H15" s="486"/>
      <c r="I15" s="487"/>
      <c r="J15" s="487"/>
      <c r="K15" s="487"/>
      <c r="L15" s="487"/>
      <c r="M15" s="487"/>
      <c r="N15" s="487"/>
      <c r="O15" s="486"/>
      <c r="P15" s="487"/>
      <c r="Q15" s="487"/>
      <c r="R15" s="487"/>
      <c r="S15" s="487"/>
      <c r="T15" s="487"/>
      <c r="U15" s="487"/>
    </row>
    <row r="16" outlineLevel="1">
      <c r="A16" s="489" t="s">
        <v>381</v>
      </c>
      <c r="B16" s="158" t="str">
        <f t="shared" ref="B16:B18" si="2">IF(F16="","",$D$3&amp;"."&amp;COUNTA($F$11:F16)&amp;"")</f>
        <v>TC_05.5</v>
      </c>
      <c r="C16" s="498" t="s">
        <v>75</v>
      </c>
      <c r="D16" s="491" t="s">
        <v>1768</v>
      </c>
      <c r="E16" s="491" t="s">
        <v>1769</v>
      </c>
      <c r="F16" s="491" t="s">
        <v>1770</v>
      </c>
      <c r="G16" s="492" t="s">
        <v>1771</v>
      </c>
      <c r="H16" s="493"/>
      <c r="I16" s="493"/>
      <c r="J16" s="493"/>
      <c r="K16" s="493"/>
      <c r="L16" s="493"/>
      <c r="M16" s="493"/>
      <c r="N16" s="493"/>
      <c r="O16" s="493"/>
      <c r="P16" s="493"/>
      <c r="Q16" s="493"/>
      <c r="R16" s="493"/>
      <c r="S16" s="493"/>
      <c r="T16" s="493"/>
      <c r="U16" s="493"/>
    </row>
    <row r="17" outlineLevel="1">
      <c r="A17" s="489" t="s">
        <v>381</v>
      </c>
      <c r="B17" s="158" t="str">
        <f t="shared" si="2"/>
        <v>TC_05.6</v>
      </c>
      <c r="C17" s="499" t="s">
        <v>75</v>
      </c>
      <c r="D17" s="496" t="s">
        <v>1772</v>
      </c>
      <c r="E17" s="496" t="s">
        <v>1773</v>
      </c>
      <c r="F17" s="496" t="s">
        <v>1774</v>
      </c>
      <c r="G17" s="495" t="s">
        <v>1537</v>
      </c>
      <c r="H17" s="493"/>
      <c r="I17" s="493"/>
      <c r="J17" s="493"/>
      <c r="K17" s="493"/>
      <c r="L17" s="493"/>
      <c r="M17" s="497"/>
      <c r="N17" s="493"/>
      <c r="O17" s="493"/>
      <c r="P17" s="493"/>
      <c r="Q17" s="493"/>
      <c r="R17" s="493"/>
      <c r="S17" s="493"/>
      <c r="T17" s="497"/>
      <c r="U17" s="493"/>
    </row>
    <row r="18" outlineLevel="1">
      <c r="A18" s="489" t="s">
        <v>381</v>
      </c>
      <c r="B18" s="158" t="str">
        <f t="shared" si="2"/>
        <v>TC_05.7</v>
      </c>
      <c r="C18" s="500" t="s">
        <v>77</v>
      </c>
      <c r="D18" s="491" t="s">
        <v>1775</v>
      </c>
      <c r="E18" s="491" t="s">
        <v>1769</v>
      </c>
      <c r="F18" s="491" t="s">
        <v>1776</v>
      </c>
      <c r="G18" s="492" t="s">
        <v>1777</v>
      </c>
      <c r="H18" s="493"/>
      <c r="I18" s="493"/>
      <c r="J18" s="493"/>
      <c r="K18" s="493"/>
      <c r="L18" s="493"/>
      <c r="M18" s="497"/>
      <c r="N18" s="493"/>
      <c r="O18" s="493"/>
      <c r="P18" s="493"/>
      <c r="Q18" s="493"/>
      <c r="R18" s="493"/>
      <c r="S18" s="493"/>
      <c r="T18" s="497"/>
      <c r="U18" s="493"/>
    </row>
    <row r="19">
      <c r="A19" s="302"/>
      <c r="B19" s="485" t="s">
        <v>1778</v>
      </c>
      <c r="C19" s="148"/>
      <c r="D19" s="148"/>
      <c r="E19" s="148"/>
      <c r="F19" s="148"/>
      <c r="G19" s="148"/>
      <c r="H19" s="486"/>
      <c r="I19" s="487"/>
      <c r="J19" s="487"/>
      <c r="K19" s="487"/>
      <c r="L19" s="487"/>
      <c r="M19" s="488"/>
      <c r="N19" s="487"/>
      <c r="O19" s="486"/>
      <c r="P19" s="487"/>
      <c r="Q19" s="487"/>
      <c r="R19" s="487"/>
      <c r="S19" s="487"/>
      <c r="T19" s="488"/>
      <c r="U19" s="487"/>
    </row>
    <row r="20" outlineLevel="1">
      <c r="A20" s="489" t="s">
        <v>381</v>
      </c>
      <c r="B20" s="158" t="str">
        <f t="shared" ref="B20:B27" si="3">IF(F20="","",$D$3&amp;"."&amp;COUNTA($F$11:F20)&amp;"")</f>
        <v>TC_05.8</v>
      </c>
      <c r="C20" s="494" t="s">
        <v>73</v>
      </c>
      <c r="D20" s="495" t="s">
        <v>1779</v>
      </c>
      <c r="E20" s="495" t="s">
        <v>1780</v>
      </c>
      <c r="F20" s="496" t="s">
        <v>1781</v>
      </c>
      <c r="G20" s="495" t="s">
        <v>1782</v>
      </c>
      <c r="H20" s="493"/>
      <c r="I20" s="493"/>
      <c r="J20" s="493"/>
      <c r="K20" s="493"/>
      <c r="L20" s="493"/>
      <c r="M20" s="497"/>
      <c r="N20" s="493"/>
      <c r="O20" s="493"/>
      <c r="P20" s="493"/>
      <c r="Q20" s="493"/>
      <c r="R20" s="493"/>
      <c r="S20" s="493"/>
      <c r="T20" s="497"/>
      <c r="U20" s="493"/>
    </row>
    <row r="21" outlineLevel="1">
      <c r="A21" s="489" t="s">
        <v>381</v>
      </c>
      <c r="B21" s="158" t="str">
        <f t="shared" si="3"/>
        <v>TC_05.9</v>
      </c>
      <c r="C21" s="498" t="s">
        <v>75</v>
      </c>
      <c r="D21" s="491" t="s">
        <v>1547</v>
      </c>
      <c r="E21" s="491" t="s">
        <v>1783</v>
      </c>
      <c r="F21" s="491" t="s">
        <v>1784</v>
      </c>
      <c r="G21" s="492" t="s">
        <v>1785</v>
      </c>
      <c r="H21" s="493"/>
      <c r="I21" s="493"/>
      <c r="J21" s="493"/>
      <c r="K21" s="493"/>
      <c r="L21" s="493"/>
      <c r="M21" s="497"/>
      <c r="N21" s="493"/>
      <c r="O21" s="493"/>
      <c r="P21" s="493"/>
      <c r="Q21" s="493"/>
      <c r="R21" s="493"/>
      <c r="S21" s="493"/>
      <c r="T21" s="497"/>
      <c r="U21" s="493"/>
    </row>
    <row r="22" outlineLevel="1">
      <c r="A22" s="489" t="s">
        <v>381</v>
      </c>
      <c r="B22" s="158" t="str">
        <f t="shared" si="3"/>
        <v>TC_05.10</v>
      </c>
      <c r="C22" s="499" t="s">
        <v>75</v>
      </c>
      <c r="D22" s="496" t="s">
        <v>1786</v>
      </c>
      <c r="E22" s="496" t="s">
        <v>1787</v>
      </c>
      <c r="F22" s="496" t="s">
        <v>1788</v>
      </c>
      <c r="G22" s="495" t="s">
        <v>1554</v>
      </c>
      <c r="H22" s="493"/>
      <c r="I22" s="493"/>
      <c r="J22" s="493"/>
      <c r="K22" s="493"/>
      <c r="L22" s="493"/>
      <c r="M22" s="497"/>
      <c r="N22" s="493"/>
      <c r="O22" s="493"/>
      <c r="P22" s="493"/>
      <c r="Q22" s="493"/>
      <c r="R22" s="493"/>
      <c r="S22" s="493"/>
      <c r="T22" s="497"/>
      <c r="U22" s="493"/>
    </row>
    <row r="23" outlineLevel="1">
      <c r="A23" s="489" t="s">
        <v>381</v>
      </c>
      <c r="B23" s="158" t="str">
        <f t="shared" si="3"/>
        <v>TC_05.11</v>
      </c>
      <c r="C23" s="498" t="s">
        <v>75</v>
      </c>
      <c r="D23" s="492" t="s">
        <v>1789</v>
      </c>
      <c r="E23" s="492" t="s">
        <v>1790</v>
      </c>
      <c r="F23" s="492" t="s">
        <v>1791</v>
      </c>
      <c r="G23" s="492" t="s">
        <v>1792</v>
      </c>
      <c r="H23" s="493"/>
      <c r="I23" s="493"/>
      <c r="J23" s="493"/>
      <c r="K23" s="493"/>
      <c r="L23" s="493"/>
      <c r="M23" s="497"/>
      <c r="N23" s="493"/>
      <c r="O23" s="493"/>
      <c r="P23" s="493"/>
      <c r="Q23" s="493"/>
      <c r="R23" s="493"/>
      <c r="S23" s="493"/>
      <c r="T23" s="497"/>
      <c r="U23" s="493"/>
    </row>
    <row r="24" outlineLevel="1">
      <c r="A24" s="489" t="s">
        <v>381</v>
      </c>
      <c r="B24" s="158" t="str">
        <f t="shared" si="3"/>
        <v>TC_05.12</v>
      </c>
      <c r="C24" s="499" t="s">
        <v>75</v>
      </c>
      <c r="D24" s="496" t="s">
        <v>1793</v>
      </c>
      <c r="E24" s="496" t="s">
        <v>1769</v>
      </c>
      <c r="F24" s="496" t="s">
        <v>1794</v>
      </c>
      <c r="G24" s="495" t="s">
        <v>1795</v>
      </c>
      <c r="H24" s="493"/>
      <c r="I24" s="493"/>
      <c r="J24" s="493"/>
      <c r="K24" s="493"/>
      <c r="L24" s="493"/>
      <c r="M24" s="497"/>
      <c r="N24" s="493"/>
      <c r="O24" s="493"/>
      <c r="P24" s="493"/>
      <c r="Q24" s="493"/>
      <c r="R24" s="493"/>
      <c r="S24" s="493"/>
      <c r="T24" s="497"/>
      <c r="U24" s="493"/>
    </row>
    <row r="25" outlineLevel="1">
      <c r="A25" s="489" t="s">
        <v>381</v>
      </c>
      <c r="B25" s="158" t="str">
        <f t="shared" si="3"/>
        <v>TC_05.13</v>
      </c>
      <c r="C25" s="498" t="s">
        <v>75</v>
      </c>
      <c r="D25" s="491" t="s">
        <v>1796</v>
      </c>
      <c r="E25" s="491" t="s">
        <v>1797</v>
      </c>
      <c r="F25" s="491" t="s">
        <v>1798</v>
      </c>
      <c r="G25" s="492" t="s">
        <v>1799</v>
      </c>
      <c r="H25" s="493"/>
      <c r="I25" s="493"/>
      <c r="J25" s="493"/>
      <c r="K25" s="493"/>
      <c r="L25" s="493"/>
      <c r="M25" s="497"/>
      <c r="N25" s="493"/>
      <c r="O25" s="493"/>
      <c r="P25" s="493"/>
      <c r="Q25" s="493"/>
      <c r="R25" s="493"/>
      <c r="S25" s="493"/>
      <c r="T25" s="497"/>
      <c r="U25" s="493"/>
    </row>
    <row r="26" outlineLevel="1">
      <c r="A26" s="489" t="s">
        <v>381</v>
      </c>
      <c r="B26" s="158" t="str">
        <f t="shared" si="3"/>
        <v>TC_05.14</v>
      </c>
      <c r="C26" s="501" t="s">
        <v>77</v>
      </c>
      <c r="D26" s="496" t="s">
        <v>1800</v>
      </c>
      <c r="E26" s="496" t="s">
        <v>1787</v>
      </c>
      <c r="F26" s="496" t="s">
        <v>1801</v>
      </c>
      <c r="G26" s="495" t="s">
        <v>1802</v>
      </c>
      <c r="H26" s="493"/>
      <c r="I26" s="493"/>
      <c r="J26" s="493"/>
      <c r="K26" s="493"/>
      <c r="L26" s="493"/>
      <c r="M26" s="497"/>
      <c r="N26" s="493"/>
      <c r="O26" s="493"/>
      <c r="P26" s="493"/>
      <c r="Q26" s="493"/>
      <c r="R26" s="493"/>
      <c r="S26" s="493"/>
      <c r="T26" s="497"/>
      <c r="U26" s="493"/>
    </row>
    <row r="27" outlineLevel="1">
      <c r="A27" s="489" t="s">
        <v>381</v>
      </c>
      <c r="B27" s="158" t="str">
        <f t="shared" si="3"/>
        <v>TC_05.15</v>
      </c>
      <c r="C27" s="498" t="s">
        <v>75</v>
      </c>
      <c r="D27" s="491" t="s">
        <v>1803</v>
      </c>
      <c r="E27" s="491" t="s">
        <v>1804</v>
      </c>
      <c r="F27" s="491" t="s">
        <v>1805</v>
      </c>
      <c r="G27" s="492" t="s">
        <v>1582</v>
      </c>
      <c r="H27" s="493"/>
      <c r="I27" s="493"/>
      <c r="J27" s="493"/>
      <c r="K27" s="493"/>
      <c r="L27" s="493"/>
      <c r="M27" s="497"/>
      <c r="N27" s="493"/>
      <c r="O27" s="493"/>
      <c r="P27" s="493"/>
      <c r="Q27" s="493"/>
      <c r="R27" s="493"/>
      <c r="S27" s="493"/>
      <c r="T27" s="497"/>
      <c r="U27" s="493"/>
    </row>
    <row r="28" outlineLevel="1">
      <c r="A28" s="489"/>
      <c r="B28" s="502" t="s">
        <v>1806</v>
      </c>
      <c r="C28" s="148"/>
      <c r="D28" s="148"/>
      <c r="E28" s="148"/>
      <c r="F28" s="148"/>
      <c r="G28" s="148"/>
      <c r="H28" s="493"/>
      <c r="I28" s="493"/>
      <c r="J28" s="493"/>
      <c r="K28" s="493"/>
      <c r="L28" s="493"/>
      <c r="M28" s="497"/>
      <c r="N28" s="493"/>
      <c r="O28" s="493"/>
      <c r="P28" s="493"/>
      <c r="Q28" s="493"/>
      <c r="R28" s="493"/>
      <c r="S28" s="493"/>
      <c r="T28" s="497"/>
      <c r="U28" s="493"/>
    </row>
    <row r="29" outlineLevel="1">
      <c r="A29" s="489" t="s">
        <v>381</v>
      </c>
      <c r="B29" s="158" t="str">
        <f t="shared" ref="B29:B32" si="4">IF(F29="","",$D$3&amp;"."&amp;COUNTA($F$11:F29)&amp;"")</f>
        <v>TC_05.16</v>
      </c>
      <c r="C29" s="494" t="s">
        <v>73</v>
      </c>
      <c r="D29" s="496" t="s">
        <v>1807</v>
      </c>
      <c r="E29" s="496" t="s">
        <v>1769</v>
      </c>
      <c r="F29" s="496" t="s">
        <v>1808</v>
      </c>
      <c r="G29" s="496" t="s">
        <v>1809</v>
      </c>
      <c r="H29" s="486"/>
      <c r="I29" s="487"/>
      <c r="J29" s="487"/>
      <c r="K29" s="487"/>
      <c r="L29" s="487"/>
      <c r="M29" s="488"/>
      <c r="N29" s="487"/>
      <c r="O29" s="486"/>
      <c r="P29" s="487"/>
      <c r="Q29" s="487"/>
      <c r="R29" s="487"/>
      <c r="S29" s="487"/>
      <c r="T29" s="488"/>
      <c r="U29" s="487"/>
    </row>
    <row r="30" outlineLevel="1">
      <c r="A30" s="489" t="s">
        <v>381</v>
      </c>
      <c r="B30" s="158" t="str">
        <f t="shared" si="4"/>
        <v>TC_05.17</v>
      </c>
      <c r="C30" s="503" t="s">
        <v>73</v>
      </c>
      <c r="D30" s="492" t="s">
        <v>1810</v>
      </c>
      <c r="E30" s="492" t="s">
        <v>1811</v>
      </c>
      <c r="F30" s="492" t="s">
        <v>1812</v>
      </c>
      <c r="G30" s="492" t="s">
        <v>1813</v>
      </c>
      <c r="H30" s="493"/>
      <c r="I30" s="493"/>
      <c r="J30" s="493"/>
      <c r="K30" s="493"/>
      <c r="L30" s="493"/>
      <c r="M30" s="497"/>
      <c r="N30" s="504"/>
      <c r="O30" s="493"/>
      <c r="P30" s="493"/>
      <c r="Q30" s="493"/>
      <c r="R30" s="493"/>
      <c r="S30" s="493"/>
      <c r="T30" s="497"/>
      <c r="U30" s="504"/>
    </row>
    <row r="31" outlineLevel="1">
      <c r="A31" s="489" t="s">
        <v>381</v>
      </c>
      <c r="B31" s="158" t="str">
        <f t="shared" si="4"/>
        <v>TC_05.18</v>
      </c>
      <c r="C31" s="505" t="s">
        <v>75</v>
      </c>
      <c r="D31" s="495" t="s">
        <v>1814</v>
      </c>
      <c r="E31" s="495" t="s">
        <v>1815</v>
      </c>
      <c r="F31" s="495" t="s">
        <v>1812</v>
      </c>
      <c r="G31" s="495" t="s">
        <v>1816</v>
      </c>
      <c r="H31" s="493"/>
      <c r="I31" s="493"/>
      <c r="J31" s="493"/>
      <c r="K31" s="493"/>
      <c r="L31" s="493"/>
      <c r="M31" s="497"/>
      <c r="N31" s="504"/>
      <c r="O31" s="493"/>
      <c r="P31" s="493"/>
      <c r="Q31" s="493"/>
      <c r="R31" s="493"/>
      <c r="S31" s="493"/>
      <c r="T31" s="497"/>
      <c r="U31" s="504"/>
    </row>
    <row r="32" outlineLevel="1">
      <c r="A32" s="489" t="s">
        <v>381</v>
      </c>
      <c r="B32" s="158" t="str">
        <f t="shared" si="4"/>
        <v>TC_05.19</v>
      </c>
      <c r="C32" s="506" t="s">
        <v>75</v>
      </c>
      <c r="D32" s="492" t="s">
        <v>1817</v>
      </c>
      <c r="E32" s="492" t="s">
        <v>1769</v>
      </c>
      <c r="F32" s="492" t="s">
        <v>1818</v>
      </c>
      <c r="G32" s="492" t="s">
        <v>1819</v>
      </c>
      <c r="H32" s="493"/>
      <c r="I32" s="493"/>
      <c r="J32" s="493"/>
      <c r="K32" s="493"/>
      <c r="L32" s="493"/>
      <c r="M32" s="497"/>
      <c r="N32" s="504"/>
      <c r="O32" s="493"/>
      <c r="P32" s="493"/>
      <c r="Q32" s="493"/>
      <c r="R32" s="493"/>
      <c r="S32" s="493"/>
      <c r="T32" s="497"/>
      <c r="U32" s="504"/>
    </row>
    <row r="33">
      <c r="A33" s="489"/>
      <c r="B33" s="485" t="s">
        <v>1820</v>
      </c>
      <c r="C33" s="148"/>
      <c r="D33" s="148"/>
      <c r="E33" s="148"/>
      <c r="F33" s="148"/>
      <c r="G33" s="148"/>
      <c r="H33" s="493"/>
      <c r="I33" s="493"/>
      <c r="J33" s="493"/>
      <c r="K33" s="493"/>
      <c r="L33" s="493"/>
      <c r="M33" s="497"/>
      <c r="N33" s="504"/>
      <c r="O33" s="493"/>
      <c r="P33" s="493"/>
      <c r="Q33" s="493"/>
      <c r="R33" s="493"/>
      <c r="S33" s="493"/>
      <c r="T33" s="497"/>
      <c r="U33" s="504"/>
    </row>
    <row r="34" outlineLevel="1">
      <c r="A34" s="489" t="s">
        <v>381</v>
      </c>
      <c r="B34" s="158" t="str">
        <f t="shared" ref="B34:B37" si="5">IF(F34="","",$D$3&amp;"."&amp;COUNTA($F$11:F34)&amp;"")</f>
        <v>TC_05.20</v>
      </c>
      <c r="C34" s="507" t="s">
        <v>73</v>
      </c>
      <c r="D34" s="495" t="s">
        <v>1821</v>
      </c>
      <c r="E34" s="495" t="s">
        <v>1822</v>
      </c>
      <c r="F34" s="495" t="s">
        <v>1823</v>
      </c>
      <c r="G34" s="495" t="s">
        <v>1824</v>
      </c>
      <c r="H34" s="493"/>
      <c r="I34" s="493"/>
      <c r="J34" s="493"/>
      <c r="K34" s="493"/>
      <c r="L34" s="493"/>
      <c r="M34" s="497"/>
      <c r="N34" s="504"/>
      <c r="O34" s="493"/>
      <c r="P34" s="493"/>
      <c r="Q34" s="493"/>
      <c r="R34" s="493"/>
      <c r="S34" s="493"/>
      <c r="T34" s="497"/>
      <c r="U34" s="504"/>
    </row>
    <row r="35" outlineLevel="1">
      <c r="A35" s="489" t="s">
        <v>381</v>
      </c>
      <c r="B35" s="158" t="str">
        <f t="shared" si="5"/>
        <v>TC_05.21</v>
      </c>
      <c r="C35" s="503" t="s">
        <v>73</v>
      </c>
      <c r="D35" s="492" t="s">
        <v>1825</v>
      </c>
      <c r="E35" s="492" t="s">
        <v>1826</v>
      </c>
      <c r="F35" s="492" t="s">
        <v>1827</v>
      </c>
      <c r="G35" s="492" t="s">
        <v>1828</v>
      </c>
      <c r="H35" s="493"/>
      <c r="I35" s="493"/>
      <c r="J35" s="493"/>
      <c r="K35" s="493"/>
      <c r="L35" s="493"/>
      <c r="M35" s="497"/>
      <c r="N35" s="504"/>
      <c r="O35" s="493"/>
      <c r="P35" s="493"/>
      <c r="Q35" s="493"/>
      <c r="R35" s="493"/>
      <c r="S35" s="493"/>
      <c r="T35" s="497"/>
      <c r="U35" s="504"/>
    </row>
    <row r="36" outlineLevel="1">
      <c r="A36" s="489" t="s">
        <v>381</v>
      </c>
      <c r="B36" s="158" t="str">
        <f t="shared" si="5"/>
        <v>TC_05.22</v>
      </c>
      <c r="C36" s="494" t="s">
        <v>73</v>
      </c>
      <c r="D36" s="496" t="s">
        <v>1829</v>
      </c>
      <c r="E36" s="496" t="s">
        <v>1830</v>
      </c>
      <c r="F36" s="496" t="s">
        <v>1831</v>
      </c>
      <c r="G36" s="496" t="s">
        <v>1832</v>
      </c>
      <c r="H36" s="486"/>
      <c r="I36" s="487"/>
      <c r="J36" s="487"/>
      <c r="K36" s="487"/>
      <c r="L36" s="487"/>
      <c r="M36" s="488"/>
      <c r="N36" s="487"/>
      <c r="O36" s="486"/>
      <c r="P36" s="487"/>
      <c r="Q36" s="487"/>
      <c r="R36" s="487"/>
      <c r="S36" s="487"/>
      <c r="T36" s="488"/>
      <c r="U36" s="487"/>
    </row>
    <row r="37" outlineLevel="1">
      <c r="A37" s="489" t="s">
        <v>381</v>
      </c>
      <c r="B37" s="158" t="str">
        <f t="shared" si="5"/>
        <v>TC_05.23</v>
      </c>
      <c r="C37" s="498" t="s">
        <v>75</v>
      </c>
      <c r="D37" s="491" t="s">
        <v>1833</v>
      </c>
      <c r="E37" s="491" t="s">
        <v>1834</v>
      </c>
      <c r="F37" s="491" t="s">
        <v>1835</v>
      </c>
      <c r="G37" s="508" t="s">
        <v>1836</v>
      </c>
      <c r="H37" s="493"/>
      <c r="I37" s="493"/>
      <c r="J37" s="493"/>
      <c r="K37" s="493"/>
      <c r="L37" s="493"/>
      <c r="M37" s="493"/>
      <c r="N37" s="493"/>
      <c r="O37" s="493"/>
      <c r="P37" s="493"/>
      <c r="Q37" s="493"/>
      <c r="R37" s="493"/>
      <c r="S37" s="493"/>
      <c r="T37" s="493"/>
      <c r="U37" s="493"/>
    </row>
    <row r="38">
      <c r="A38" s="489"/>
      <c r="B38" s="509" t="s">
        <v>1837</v>
      </c>
      <c r="C38" s="148"/>
      <c r="D38" s="148"/>
      <c r="E38" s="148"/>
      <c r="F38" s="148"/>
      <c r="G38" s="148"/>
      <c r="H38" s="493"/>
      <c r="I38" s="493"/>
      <c r="J38" s="493"/>
      <c r="K38" s="493"/>
      <c r="L38" s="493"/>
      <c r="M38" s="497"/>
      <c r="N38" s="493"/>
      <c r="O38" s="493"/>
      <c r="P38" s="493"/>
      <c r="Q38" s="493"/>
      <c r="R38" s="493"/>
      <c r="S38" s="493"/>
      <c r="T38" s="497"/>
      <c r="U38" s="493"/>
    </row>
    <row r="39" outlineLevel="1">
      <c r="A39" s="489" t="s">
        <v>525</v>
      </c>
      <c r="B39" s="158" t="str">
        <f t="shared" ref="B39:B42" si="6">IF(F39="","",$D$3&amp;"."&amp;COUNTA($F$11:F39)&amp;"")</f>
        <v>TC_05.24</v>
      </c>
      <c r="C39" s="510" t="s">
        <v>73</v>
      </c>
      <c r="D39" s="511" t="s">
        <v>1838</v>
      </c>
      <c r="E39" s="511" t="s">
        <v>1839</v>
      </c>
      <c r="F39" s="511" t="s">
        <v>1840</v>
      </c>
      <c r="G39" s="511" t="s">
        <v>1841</v>
      </c>
      <c r="H39" s="493"/>
      <c r="I39" s="493"/>
      <c r="J39" s="493"/>
      <c r="K39" s="493"/>
      <c r="L39" s="493"/>
      <c r="M39" s="497"/>
      <c r="N39" s="493"/>
      <c r="O39" s="493"/>
      <c r="P39" s="493"/>
      <c r="Q39" s="493"/>
      <c r="R39" s="493"/>
      <c r="S39" s="493"/>
      <c r="T39" s="497"/>
      <c r="U39" s="493"/>
    </row>
    <row r="40" outlineLevel="1">
      <c r="A40" s="489" t="s">
        <v>525</v>
      </c>
      <c r="B40" s="158" t="str">
        <f t="shared" si="6"/>
        <v>TC_05.25</v>
      </c>
      <c r="C40" s="512" t="s">
        <v>73</v>
      </c>
      <c r="D40" s="513" t="s">
        <v>1842</v>
      </c>
      <c r="E40" s="514" t="s">
        <v>1843</v>
      </c>
      <c r="F40" s="513" t="s">
        <v>1844</v>
      </c>
      <c r="G40" s="514" t="s">
        <v>1845</v>
      </c>
      <c r="H40" s="493"/>
      <c r="I40" s="493"/>
      <c r="J40" s="493"/>
      <c r="K40" s="493"/>
      <c r="L40" s="493"/>
      <c r="M40" s="497"/>
      <c r="N40" s="493"/>
      <c r="O40" s="493"/>
      <c r="P40" s="493"/>
      <c r="Q40" s="493"/>
      <c r="R40" s="493"/>
      <c r="S40" s="493"/>
      <c r="T40" s="497"/>
      <c r="U40" s="493"/>
    </row>
    <row r="41" outlineLevel="1">
      <c r="A41" s="489" t="s">
        <v>525</v>
      </c>
      <c r="B41" s="158" t="str">
        <f t="shared" si="6"/>
        <v>TC_05.26</v>
      </c>
      <c r="C41" s="515" t="s">
        <v>73</v>
      </c>
      <c r="D41" s="516" t="s">
        <v>1846</v>
      </c>
      <c r="E41" s="511" t="s">
        <v>1847</v>
      </c>
      <c r="F41" s="516" t="s">
        <v>1848</v>
      </c>
      <c r="G41" s="511" t="s">
        <v>1849</v>
      </c>
      <c r="H41" s="493"/>
      <c r="I41" s="493"/>
      <c r="J41" s="493"/>
      <c r="K41" s="493"/>
      <c r="L41" s="493"/>
      <c r="M41" s="497"/>
      <c r="N41" s="493"/>
      <c r="O41" s="493"/>
      <c r="P41" s="493"/>
      <c r="Q41" s="493"/>
      <c r="R41" s="493"/>
      <c r="S41" s="493"/>
      <c r="T41" s="497"/>
      <c r="U41" s="493"/>
    </row>
    <row r="42" outlineLevel="1">
      <c r="A42" s="489" t="s">
        <v>525</v>
      </c>
      <c r="B42" s="158" t="str">
        <f t="shared" si="6"/>
        <v>TC_05.27</v>
      </c>
      <c r="C42" s="512" t="s">
        <v>75</v>
      </c>
      <c r="D42" s="514" t="s">
        <v>1850</v>
      </c>
      <c r="E42" s="514" t="s">
        <v>1851</v>
      </c>
      <c r="F42" s="513" t="s">
        <v>1852</v>
      </c>
      <c r="G42" s="514" t="s">
        <v>1853</v>
      </c>
      <c r="H42" s="493"/>
      <c r="I42" s="493"/>
      <c r="J42" s="493"/>
      <c r="K42" s="493"/>
      <c r="L42" s="493"/>
      <c r="M42" s="497"/>
      <c r="N42" s="493"/>
      <c r="O42" s="493"/>
      <c r="P42" s="493"/>
      <c r="Q42" s="493"/>
      <c r="R42" s="493"/>
      <c r="S42" s="493"/>
      <c r="T42" s="497"/>
      <c r="U42" s="493"/>
    </row>
    <row r="43">
      <c r="A43" s="489"/>
      <c r="B43" s="509" t="s">
        <v>1854</v>
      </c>
      <c r="C43" s="148"/>
      <c r="D43" s="148"/>
      <c r="E43" s="148"/>
      <c r="F43" s="148"/>
      <c r="G43" s="148"/>
      <c r="H43" s="493"/>
      <c r="I43" s="493"/>
      <c r="J43" s="493"/>
      <c r="K43" s="493"/>
      <c r="L43" s="493"/>
      <c r="M43" s="497"/>
      <c r="N43" s="493"/>
      <c r="O43" s="493"/>
      <c r="P43" s="493"/>
      <c r="Q43" s="493"/>
      <c r="R43" s="493"/>
      <c r="S43" s="493"/>
      <c r="T43" s="497"/>
      <c r="U43" s="493"/>
    </row>
    <row r="44" outlineLevel="1">
      <c r="A44" s="489" t="s">
        <v>525</v>
      </c>
      <c r="B44" s="158" t="str">
        <f t="shared" ref="B44:B47" si="7">IF(F44="","",$D$3&amp;"."&amp;COUNTA($F$11:F44)&amp;"")</f>
        <v>TC_05.28</v>
      </c>
      <c r="C44" s="510" t="s">
        <v>73</v>
      </c>
      <c r="D44" s="511" t="s">
        <v>1855</v>
      </c>
      <c r="E44" s="511" t="s">
        <v>1856</v>
      </c>
      <c r="F44" s="511" t="s">
        <v>1857</v>
      </c>
      <c r="G44" s="511" t="s">
        <v>1858</v>
      </c>
      <c r="H44" s="486"/>
      <c r="I44" s="487"/>
      <c r="J44" s="487"/>
      <c r="K44" s="487"/>
      <c r="L44" s="487"/>
      <c r="M44" s="487"/>
      <c r="N44" s="487"/>
      <c r="O44" s="486"/>
      <c r="P44" s="487"/>
      <c r="Q44" s="487"/>
      <c r="R44" s="487"/>
      <c r="S44" s="487"/>
      <c r="T44" s="487"/>
      <c r="U44" s="487"/>
    </row>
    <row r="45" outlineLevel="1">
      <c r="A45" s="489" t="s">
        <v>525</v>
      </c>
      <c r="B45" s="158" t="str">
        <f t="shared" si="7"/>
        <v>TC_05.29</v>
      </c>
      <c r="C45" s="512" t="s">
        <v>73</v>
      </c>
      <c r="D45" s="514" t="s">
        <v>1859</v>
      </c>
      <c r="E45" s="513" t="s">
        <v>1860</v>
      </c>
      <c r="F45" s="514" t="s">
        <v>1861</v>
      </c>
      <c r="G45" s="514" t="s">
        <v>1862</v>
      </c>
      <c r="H45" s="493"/>
      <c r="I45" s="493"/>
      <c r="J45" s="493"/>
      <c r="K45" s="493"/>
      <c r="L45" s="493"/>
      <c r="M45" s="493"/>
      <c r="N45" s="493"/>
      <c r="O45" s="493"/>
      <c r="P45" s="493"/>
      <c r="Q45" s="493"/>
      <c r="R45" s="493"/>
      <c r="S45" s="493"/>
      <c r="T45" s="493"/>
      <c r="U45" s="493"/>
    </row>
    <row r="46" outlineLevel="1">
      <c r="A46" s="489" t="s">
        <v>525</v>
      </c>
      <c r="B46" s="158" t="str">
        <f t="shared" si="7"/>
        <v>TC_05.30</v>
      </c>
      <c r="C46" s="515" t="s">
        <v>73</v>
      </c>
      <c r="D46" s="511" t="s">
        <v>1863</v>
      </c>
      <c r="E46" s="511" t="s">
        <v>1864</v>
      </c>
      <c r="F46" s="511" t="s">
        <v>1865</v>
      </c>
      <c r="G46" s="511" t="s">
        <v>1866</v>
      </c>
      <c r="H46" s="493"/>
      <c r="I46" s="493"/>
      <c r="J46" s="493"/>
      <c r="K46" s="493"/>
      <c r="L46" s="493"/>
      <c r="M46" s="493"/>
      <c r="N46" s="493"/>
      <c r="O46" s="493"/>
      <c r="P46" s="493"/>
      <c r="Q46" s="493"/>
      <c r="R46" s="493"/>
      <c r="S46" s="493"/>
      <c r="T46" s="493"/>
      <c r="U46" s="493"/>
    </row>
    <row r="47" outlineLevel="1">
      <c r="A47" s="489" t="s">
        <v>525</v>
      </c>
      <c r="B47" s="158" t="str">
        <f t="shared" si="7"/>
        <v>TC_05.31</v>
      </c>
      <c r="C47" s="517" t="s">
        <v>75</v>
      </c>
      <c r="D47" s="514" t="s">
        <v>1867</v>
      </c>
      <c r="E47" s="514" t="s">
        <v>1868</v>
      </c>
      <c r="F47" s="514" t="s">
        <v>1852</v>
      </c>
      <c r="G47" s="514" t="s">
        <v>1869</v>
      </c>
      <c r="H47" s="493"/>
      <c r="I47" s="493"/>
      <c r="J47" s="493"/>
      <c r="K47" s="493"/>
      <c r="L47" s="493"/>
      <c r="M47" s="493"/>
      <c r="N47" s="493"/>
      <c r="O47" s="493"/>
      <c r="P47" s="493"/>
      <c r="Q47" s="493"/>
      <c r="R47" s="493"/>
      <c r="S47" s="493"/>
      <c r="T47" s="493"/>
      <c r="U47" s="493"/>
    </row>
    <row r="48">
      <c r="A48" s="489"/>
      <c r="B48" s="485" t="s">
        <v>1870</v>
      </c>
      <c r="C48" s="148"/>
      <c r="D48" s="148"/>
      <c r="E48" s="148"/>
      <c r="F48" s="148"/>
      <c r="G48" s="148"/>
      <c r="H48" s="493"/>
      <c r="I48" s="493"/>
      <c r="J48" s="493"/>
      <c r="K48" s="493"/>
      <c r="L48" s="493"/>
      <c r="M48" s="493"/>
      <c r="N48" s="493"/>
      <c r="O48" s="493"/>
      <c r="P48" s="493"/>
      <c r="Q48" s="493"/>
      <c r="R48" s="493"/>
      <c r="S48" s="493"/>
      <c r="T48" s="493"/>
      <c r="U48" s="493"/>
    </row>
    <row r="49" outlineLevel="1">
      <c r="A49" s="300" t="s">
        <v>381</v>
      </c>
      <c r="B49" s="158" t="str">
        <f t="shared" ref="B49:B50" si="8">IF(F49="","",$D$3&amp;"."&amp;COUNTA($F$11:F49)&amp;"")</f>
        <v>TC_05.32</v>
      </c>
      <c r="C49" s="499" t="s">
        <v>75</v>
      </c>
      <c r="D49" s="496" t="s">
        <v>1871</v>
      </c>
      <c r="E49" s="496" t="s">
        <v>1872</v>
      </c>
      <c r="F49" s="496" t="s">
        <v>1873</v>
      </c>
      <c r="G49" s="496" t="s">
        <v>1874</v>
      </c>
      <c r="H49" s="486"/>
      <c r="I49" s="487"/>
      <c r="J49" s="487"/>
      <c r="K49" s="487"/>
      <c r="L49" s="487"/>
      <c r="M49" s="487"/>
      <c r="N49" s="487"/>
      <c r="O49" s="486"/>
      <c r="P49" s="487"/>
      <c r="Q49" s="487"/>
      <c r="R49" s="487"/>
      <c r="S49" s="487"/>
      <c r="T49" s="487"/>
      <c r="U49" s="487"/>
    </row>
    <row r="50" outlineLevel="1">
      <c r="A50" s="300" t="s">
        <v>381</v>
      </c>
      <c r="B50" s="158" t="str">
        <f t="shared" si="8"/>
        <v>TC_05.33</v>
      </c>
      <c r="C50" s="498" t="s">
        <v>75</v>
      </c>
      <c r="D50" s="492" t="s">
        <v>1875</v>
      </c>
      <c r="E50" s="492" t="s">
        <v>1876</v>
      </c>
      <c r="F50" s="492" t="s">
        <v>1877</v>
      </c>
      <c r="G50" s="492" t="s">
        <v>1878</v>
      </c>
      <c r="H50" s="493"/>
      <c r="I50" s="493"/>
      <c r="J50" s="493"/>
      <c r="K50" s="493"/>
      <c r="L50" s="493"/>
      <c r="M50" s="493"/>
      <c r="N50" s="493"/>
      <c r="O50" s="493"/>
      <c r="P50" s="493"/>
      <c r="Q50" s="493"/>
      <c r="R50" s="493"/>
      <c r="S50" s="493"/>
      <c r="T50" s="493"/>
      <c r="U50" s="493"/>
    </row>
    <row r="51">
      <c r="A51" s="302"/>
      <c r="B51" s="485" t="s">
        <v>1879</v>
      </c>
      <c r="C51" s="148"/>
      <c r="D51" s="148"/>
      <c r="E51" s="148"/>
      <c r="F51" s="148"/>
      <c r="G51" s="148"/>
      <c r="H51" s="493"/>
      <c r="I51" s="493"/>
      <c r="J51" s="493"/>
      <c r="K51" s="493"/>
      <c r="L51" s="493"/>
      <c r="M51" s="493"/>
      <c r="N51" s="493"/>
      <c r="O51" s="493"/>
      <c r="P51" s="493"/>
      <c r="Q51" s="493"/>
      <c r="R51" s="493"/>
      <c r="S51" s="493"/>
      <c r="T51" s="493"/>
      <c r="U51" s="493"/>
    </row>
    <row r="52" outlineLevel="1">
      <c r="A52" s="489" t="s">
        <v>381</v>
      </c>
      <c r="B52" s="158" t="str">
        <f t="shared" ref="B52:B53" si="9">IF(F52="","",$D$3&amp;"."&amp;COUNTA($F$11:F52)&amp;"")</f>
        <v>TC_05.34</v>
      </c>
      <c r="C52" s="499" t="s">
        <v>75</v>
      </c>
      <c r="D52" s="496" t="s">
        <v>1880</v>
      </c>
      <c r="E52" s="496" t="s">
        <v>1881</v>
      </c>
      <c r="F52" s="496" t="s">
        <v>1882</v>
      </c>
      <c r="G52" s="496" t="s">
        <v>1883</v>
      </c>
      <c r="H52" s="486"/>
      <c r="I52" s="487"/>
      <c r="J52" s="487"/>
      <c r="K52" s="487"/>
      <c r="L52" s="487"/>
      <c r="M52" s="487"/>
      <c r="N52" s="487"/>
      <c r="O52" s="486"/>
      <c r="P52" s="487"/>
      <c r="Q52" s="487"/>
      <c r="R52" s="487"/>
      <c r="S52" s="487"/>
      <c r="T52" s="487"/>
      <c r="U52" s="487"/>
    </row>
    <row r="53" outlineLevel="1">
      <c r="A53" s="300" t="s">
        <v>381</v>
      </c>
      <c r="B53" s="158" t="str">
        <f t="shared" si="9"/>
        <v>TC_05.35</v>
      </c>
      <c r="C53" s="498" t="s">
        <v>75</v>
      </c>
      <c r="D53" s="491" t="s">
        <v>1884</v>
      </c>
      <c r="E53" s="491" t="s">
        <v>1885</v>
      </c>
      <c r="F53" s="491" t="s">
        <v>1886</v>
      </c>
      <c r="G53" s="492" t="s">
        <v>1887</v>
      </c>
      <c r="H53" s="493"/>
      <c r="I53" s="493"/>
      <c r="J53" s="493"/>
      <c r="K53" s="493"/>
      <c r="L53" s="493"/>
      <c r="M53" s="493"/>
      <c r="N53" s="493"/>
      <c r="O53" s="493"/>
      <c r="P53" s="493"/>
      <c r="Q53" s="493"/>
      <c r="R53" s="493"/>
      <c r="S53" s="493"/>
      <c r="T53" s="493"/>
      <c r="U53" s="493"/>
    </row>
    <row r="54">
      <c r="A54" s="300"/>
      <c r="B54" s="502" t="s">
        <v>1888</v>
      </c>
      <c r="C54" s="148"/>
      <c r="D54" s="148"/>
      <c r="E54" s="148"/>
      <c r="F54" s="148"/>
      <c r="G54" s="148"/>
      <c r="H54" s="493"/>
      <c r="I54" s="493"/>
      <c r="J54" s="493"/>
      <c r="K54" s="493"/>
      <c r="L54" s="493"/>
      <c r="M54" s="493"/>
      <c r="N54" s="493"/>
      <c r="O54" s="493"/>
      <c r="P54" s="493"/>
      <c r="Q54" s="493"/>
      <c r="R54" s="493"/>
      <c r="S54" s="493"/>
      <c r="T54" s="493"/>
      <c r="U54" s="493"/>
    </row>
    <row r="55" outlineLevel="1">
      <c r="A55" s="489" t="s">
        <v>381</v>
      </c>
      <c r="B55" s="158" t="str">
        <f t="shared" ref="B55:B58" si="10">IF(F55="","",$D$3&amp;"."&amp;COUNTA($F$11:F55)&amp;"")</f>
        <v>TC_05.36</v>
      </c>
      <c r="C55" s="499" t="s">
        <v>75</v>
      </c>
      <c r="D55" s="496" t="s">
        <v>1626</v>
      </c>
      <c r="E55" s="496" t="s">
        <v>1889</v>
      </c>
      <c r="F55" s="496" t="s">
        <v>1890</v>
      </c>
      <c r="G55" s="496" t="s">
        <v>1628</v>
      </c>
      <c r="H55" s="486"/>
      <c r="I55" s="487"/>
      <c r="J55" s="487"/>
      <c r="K55" s="487"/>
      <c r="L55" s="487"/>
      <c r="M55" s="488"/>
      <c r="N55" s="487"/>
      <c r="O55" s="486"/>
      <c r="P55" s="487"/>
      <c r="Q55" s="487"/>
      <c r="R55" s="487"/>
      <c r="S55" s="487"/>
      <c r="T55" s="488"/>
      <c r="U55" s="487"/>
    </row>
    <row r="56" outlineLevel="1">
      <c r="A56" s="302" t="s">
        <v>381</v>
      </c>
      <c r="B56" s="158" t="str">
        <f t="shared" si="10"/>
        <v>TC_05.37</v>
      </c>
      <c r="C56" s="506" t="s">
        <v>75</v>
      </c>
      <c r="D56" s="492" t="s">
        <v>1891</v>
      </c>
      <c r="E56" s="492" t="s">
        <v>1892</v>
      </c>
      <c r="F56" s="492" t="s">
        <v>1893</v>
      </c>
      <c r="G56" s="492" t="s">
        <v>1894</v>
      </c>
      <c r="H56" s="493"/>
      <c r="I56" s="493"/>
      <c r="J56" s="493"/>
      <c r="K56" s="493"/>
      <c r="L56" s="493"/>
      <c r="M56" s="493"/>
      <c r="N56" s="493"/>
      <c r="O56" s="493"/>
      <c r="P56" s="493"/>
      <c r="Q56" s="493"/>
      <c r="R56" s="493"/>
      <c r="S56" s="493"/>
      <c r="T56" s="493"/>
      <c r="U56" s="493"/>
    </row>
    <row r="57" outlineLevel="1">
      <c r="A57" s="300" t="s">
        <v>381</v>
      </c>
      <c r="B57" s="158" t="str">
        <f t="shared" si="10"/>
        <v>TC_05.38</v>
      </c>
      <c r="C57" s="501" t="s">
        <v>77</v>
      </c>
      <c r="D57" s="496" t="s">
        <v>1895</v>
      </c>
      <c r="E57" s="496" t="s">
        <v>1896</v>
      </c>
      <c r="F57" s="496" t="s">
        <v>1897</v>
      </c>
      <c r="G57" s="495" t="s">
        <v>1898</v>
      </c>
      <c r="H57" s="493"/>
      <c r="I57" s="493"/>
      <c r="J57" s="493"/>
      <c r="K57" s="493"/>
      <c r="L57" s="493"/>
      <c r="M57" s="493"/>
      <c r="N57" s="493"/>
      <c r="O57" s="493"/>
      <c r="P57" s="493"/>
      <c r="Q57" s="493"/>
      <c r="R57" s="493"/>
      <c r="S57" s="493"/>
      <c r="T57" s="493"/>
      <c r="U57" s="493"/>
    </row>
    <row r="58" outlineLevel="1">
      <c r="A58" s="300" t="s">
        <v>381</v>
      </c>
      <c r="B58" s="158" t="str">
        <f t="shared" si="10"/>
        <v>TC_05.39</v>
      </c>
      <c r="C58" s="498" t="s">
        <v>75</v>
      </c>
      <c r="D58" s="491" t="s">
        <v>1899</v>
      </c>
      <c r="E58" s="491" t="s">
        <v>1900</v>
      </c>
      <c r="F58" s="491" t="s">
        <v>1901</v>
      </c>
      <c r="G58" s="492" t="s">
        <v>1902</v>
      </c>
      <c r="H58" s="493"/>
      <c r="I58" s="493"/>
      <c r="J58" s="493"/>
      <c r="K58" s="493"/>
      <c r="L58" s="493"/>
      <c r="M58" s="497"/>
      <c r="N58" s="493"/>
      <c r="O58" s="493"/>
      <c r="P58" s="493"/>
      <c r="Q58" s="493"/>
      <c r="R58" s="493"/>
      <c r="S58" s="493"/>
      <c r="T58" s="497"/>
      <c r="U58" s="493"/>
    </row>
    <row r="59">
      <c r="A59" s="300"/>
      <c r="B59" s="502" t="s">
        <v>1903</v>
      </c>
      <c r="C59" s="148"/>
      <c r="D59" s="148"/>
      <c r="E59" s="148"/>
      <c r="F59" s="148"/>
      <c r="G59" s="148"/>
      <c r="H59" s="493"/>
      <c r="I59" s="493"/>
      <c r="J59" s="493"/>
      <c r="K59" s="493"/>
      <c r="L59" s="493"/>
      <c r="M59" s="497"/>
      <c r="N59" s="493"/>
      <c r="O59" s="493"/>
      <c r="P59" s="493"/>
      <c r="Q59" s="493"/>
      <c r="R59" s="493"/>
      <c r="S59" s="493"/>
      <c r="T59" s="497"/>
      <c r="U59" s="493"/>
    </row>
    <row r="60" outlineLevel="1">
      <c r="A60" s="489" t="s">
        <v>381</v>
      </c>
      <c r="B60" s="158" t="str">
        <f t="shared" ref="B60:B61" si="11">IF(F60="","",$D$3&amp;"."&amp;COUNTA($F$11:F60)&amp;"")</f>
        <v>TC_05.40</v>
      </c>
      <c r="C60" s="507" t="s">
        <v>73</v>
      </c>
      <c r="D60" s="495" t="s">
        <v>1904</v>
      </c>
      <c r="E60" s="495" t="s">
        <v>1769</v>
      </c>
      <c r="F60" s="495" t="s">
        <v>1905</v>
      </c>
      <c r="G60" s="495" t="s">
        <v>1906</v>
      </c>
      <c r="H60" s="486"/>
      <c r="I60" s="487"/>
      <c r="J60" s="487"/>
      <c r="K60" s="487"/>
      <c r="L60" s="487"/>
      <c r="M60" s="488"/>
      <c r="N60" s="487"/>
      <c r="O60" s="486"/>
      <c r="P60" s="487"/>
      <c r="Q60" s="487"/>
      <c r="R60" s="487"/>
      <c r="S60" s="487"/>
      <c r="T60" s="488"/>
      <c r="U60" s="487"/>
    </row>
    <row r="61" outlineLevel="1">
      <c r="A61" s="300" t="s">
        <v>381</v>
      </c>
      <c r="B61" s="158" t="str">
        <f t="shared" si="11"/>
        <v>TC_05.41</v>
      </c>
      <c r="C61" s="500" t="s">
        <v>77</v>
      </c>
      <c r="D61" s="491" t="s">
        <v>1907</v>
      </c>
      <c r="E61" s="491" t="s">
        <v>1769</v>
      </c>
      <c r="F61" s="491" t="s">
        <v>1908</v>
      </c>
      <c r="G61" s="492" t="s">
        <v>1909</v>
      </c>
      <c r="H61" s="493"/>
      <c r="I61" s="493"/>
      <c r="J61" s="493"/>
      <c r="K61" s="493"/>
      <c r="L61" s="493"/>
      <c r="M61" s="497"/>
      <c r="N61" s="493"/>
      <c r="O61" s="493"/>
      <c r="P61" s="493"/>
      <c r="Q61" s="493"/>
      <c r="R61" s="493"/>
      <c r="S61" s="493"/>
      <c r="T61" s="497"/>
      <c r="U61" s="493"/>
    </row>
    <row r="62">
      <c r="A62" s="300"/>
      <c r="B62" s="502" t="s">
        <v>1910</v>
      </c>
      <c r="C62" s="148"/>
      <c r="D62" s="148"/>
      <c r="E62" s="148"/>
      <c r="F62" s="148"/>
      <c r="G62" s="148"/>
      <c r="H62" s="493"/>
      <c r="I62" s="493"/>
      <c r="J62" s="493"/>
      <c r="K62" s="493"/>
      <c r="L62" s="493"/>
      <c r="M62" s="497"/>
      <c r="N62" s="493"/>
      <c r="O62" s="493"/>
      <c r="P62" s="493"/>
      <c r="Q62" s="493"/>
      <c r="R62" s="493"/>
      <c r="S62" s="493"/>
      <c r="T62" s="497"/>
      <c r="U62" s="493"/>
    </row>
    <row r="63" outlineLevel="1">
      <c r="A63" s="489" t="s">
        <v>381</v>
      </c>
      <c r="B63" s="158" t="str">
        <f t="shared" ref="B63:B65" si="12">IF(F63="","",$D$3&amp;"."&amp;COUNTA($F$11:F63)&amp;"")</f>
        <v>TC_05.42</v>
      </c>
      <c r="C63" s="499" t="s">
        <v>75</v>
      </c>
      <c r="D63" s="496" t="s">
        <v>1911</v>
      </c>
      <c r="E63" s="496" t="s">
        <v>1769</v>
      </c>
      <c r="F63" s="496" t="s">
        <v>1912</v>
      </c>
      <c r="G63" s="495" t="s">
        <v>1913</v>
      </c>
      <c r="H63" s="493"/>
      <c r="I63" s="493"/>
      <c r="J63" s="493"/>
      <c r="K63" s="493"/>
      <c r="L63" s="493"/>
      <c r="M63" s="493"/>
      <c r="N63" s="493"/>
      <c r="O63" s="493"/>
      <c r="P63" s="493"/>
      <c r="Q63" s="493"/>
      <c r="R63" s="493"/>
      <c r="S63" s="493"/>
      <c r="T63" s="493"/>
      <c r="U63" s="493"/>
    </row>
    <row r="64" outlineLevel="1">
      <c r="A64" s="489" t="s">
        <v>381</v>
      </c>
      <c r="B64" s="158" t="str">
        <f t="shared" si="12"/>
        <v>TC_05.43</v>
      </c>
      <c r="C64" s="498" t="s">
        <v>75</v>
      </c>
      <c r="D64" s="491" t="s">
        <v>1914</v>
      </c>
      <c r="E64" s="491" t="s">
        <v>1915</v>
      </c>
      <c r="F64" s="491" t="s">
        <v>1916</v>
      </c>
      <c r="G64" s="491" t="s">
        <v>1917</v>
      </c>
      <c r="H64" s="486"/>
      <c r="I64" s="487"/>
      <c r="J64" s="487"/>
      <c r="K64" s="487"/>
      <c r="L64" s="487"/>
      <c r="M64" s="488"/>
      <c r="N64" s="487"/>
      <c r="O64" s="486"/>
      <c r="P64" s="487"/>
      <c r="Q64" s="487"/>
      <c r="R64" s="487"/>
      <c r="S64" s="487"/>
      <c r="T64" s="488"/>
      <c r="U64" s="487"/>
    </row>
    <row r="65" outlineLevel="1">
      <c r="A65" s="489" t="s">
        <v>381</v>
      </c>
      <c r="B65" s="158" t="str">
        <f t="shared" si="12"/>
        <v>TC_05.44</v>
      </c>
      <c r="C65" s="505" t="s">
        <v>75</v>
      </c>
      <c r="D65" s="495" t="s">
        <v>1918</v>
      </c>
      <c r="E65" s="495" t="s">
        <v>1919</v>
      </c>
      <c r="F65" s="495" t="s">
        <v>1920</v>
      </c>
      <c r="G65" s="495" t="s">
        <v>1921</v>
      </c>
      <c r="H65" s="493"/>
      <c r="I65" s="493"/>
      <c r="J65" s="493"/>
      <c r="K65" s="493"/>
      <c r="L65" s="493"/>
      <c r="M65" s="497"/>
      <c r="N65" s="493"/>
      <c r="O65" s="493"/>
      <c r="P65" s="493"/>
      <c r="Q65" s="493"/>
      <c r="R65" s="493"/>
      <c r="S65" s="493"/>
      <c r="T65" s="497"/>
      <c r="U65" s="493"/>
    </row>
    <row r="66">
      <c r="A66" s="489"/>
      <c r="B66" s="502" t="s">
        <v>1922</v>
      </c>
      <c r="C66" s="148"/>
      <c r="D66" s="148"/>
      <c r="E66" s="148"/>
      <c r="F66" s="148"/>
      <c r="G66" s="148"/>
      <c r="H66" s="493"/>
      <c r="I66" s="493"/>
      <c r="J66" s="493"/>
      <c r="K66" s="493"/>
      <c r="L66" s="493"/>
      <c r="M66" s="497"/>
      <c r="N66" s="493"/>
      <c r="O66" s="493"/>
      <c r="P66" s="493"/>
      <c r="Q66" s="493"/>
      <c r="R66" s="493"/>
      <c r="S66" s="493"/>
      <c r="T66" s="497"/>
      <c r="U66" s="493"/>
    </row>
    <row r="67" outlineLevel="1">
      <c r="A67" s="489" t="s">
        <v>381</v>
      </c>
      <c r="B67" s="158" t="str">
        <f t="shared" ref="B67:B70" si="13">IF(F67="","",$D$3&amp;"."&amp;COUNTA($F$11:F67)&amp;"")</f>
        <v>TC_05.45</v>
      </c>
      <c r="C67" s="498" t="s">
        <v>75</v>
      </c>
      <c r="D67" s="491" t="s">
        <v>1923</v>
      </c>
      <c r="E67" s="491" t="s">
        <v>1924</v>
      </c>
      <c r="F67" s="491" t="s">
        <v>1925</v>
      </c>
      <c r="G67" s="492" t="s">
        <v>1926</v>
      </c>
      <c r="H67" s="493"/>
      <c r="I67" s="493"/>
      <c r="J67" s="493"/>
      <c r="K67" s="493"/>
      <c r="L67" s="493"/>
      <c r="M67" s="497"/>
      <c r="N67" s="493"/>
      <c r="O67" s="493"/>
      <c r="P67" s="493"/>
      <c r="Q67" s="493"/>
      <c r="R67" s="493"/>
      <c r="S67" s="493"/>
      <c r="T67" s="497"/>
      <c r="U67" s="493"/>
    </row>
    <row r="68" outlineLevel="1">
      <c r="A68" s="300" t="s">
        <v>381</v>
      </c>
      <c r="B68" s="158" t="str">
        <f t="shared" si="13"/>
        <v>TC_05.46</v>
      </c>
      <c r="C68" s="499" t="s">
        <v>75</v>
      </c>
      <c r="D68" s="496" t="s">
        <v>1927</v>
      </c>
      <c r="E68" s="496" t="s">
        <v>1928</v>
      </c>
      <c r="F68" s="496" t="s">
        <v>1929</v>
      </c>
      <c r="G68" s="495" t="s">
        <v>1930</v>
      </c>
      <c r="H68" s="493"/>
      <c r="I68" s="493"/>
      <c r="J68" s="493"/>
      <c r="K68" s="493"/>
      <c r="L68" s="493"/>
      <c r="M68" s="493"/>
      <c r="N68" s="493"/>
      <c r="O68" s="493"/>
      <c r="P68" s="493"/>
      <c r="Q68" s="493"/>
      <c r="R68" s="493"/>
      <c r="S68" s="493"/>
      <c r="T68" s="493"/>
      <c r="U68" s="493"/>
    </row>
    <row r="69" outlineLevel="1">
      <c r="A69" s="300" t="s">
        <v>381</v>
      </c>
      <c r="B69" s="158" t="str">
        <f t="shared" si="13"/>
        <v>TC_05.47</v>
      </c>
      <c r="C69" s="498" t="s">
        <v>75</v>
      </c>
      <c r="D69" s="491" t="s">
        <v>1931</v>
      </c>
      <c r="E69" s="491" t="s">
        <v>1932</v>
      </c>
      <c r="F69" s="491" t="s">
        <v>1933</v>
      </c>
      <c r="G69" s="492" t="s">
        <v>1934</v>
      </c>
      <c r="H69" s="493"/>
      <c r="I69" s="493"/>
      <c r="J69" s="493"/>
      <c r="K69" s="493"/>
      <c r="L69" s="493"/>
      <c r="M69" s="497"/>
      <c r="N69" s="493"/>
      <c r="O69" s="493"/>
      <c r="P69" s="493"/>
      <c r="Q69" s="493"/>
      <c r="R69" s="493"/>
      <c r="S69" s="493"/>
      <c r="T69" s="497"/>
      <c r="U69" s="493"/>
    </row>
    <row r="70" outlineLevel="1">
      <c r="A70" s="302" t="s">
        <v>381</v>
      </c>
      <c r="B70" s="158" t="str">
        <f t="shared" si="13"/>
        <v>TC_05.48</v>
      </c>
      <c r="C70" s="505" t="s">
        <v>75</v>
      </c>
      <c r="D70" s="495" t="s">
        <v>1935</v>
      </c>
      <c r="E70" s="495" t="s">
        <v>1936</v>
      </c>
      <c r="F70" s="495" t="s">
        <v>1937</v>
      </c>
      <c r="G70" s="495" t="s">
        <v>1938</v>
      </c>
      <c r="H70" s="493"/>
      <c r="I70" s="493"/>
      <c r="J70" s="493"/>
      <c r="K70" s="493"/>
      <c r="L70" s="493"/>
      <c r="M70" s="497"/>
      <c r="N70" s="493"/>
      <c r="O70" s="493"/>
      <c r="P70" s="493"/>
      <c r="Q70" s="493"/>
      <c r="R70" s="493"/>
      <c r="S70" s="493"/>
      <c r="T70" s="497"/>
      <c r="U70" s="493"/>
    </row>
    <row r="71">
      <c r="A71" s="266"/>
      <c r="B71" s="485" t="s">
        <v>1939</v>
      </c>
      <c r="C71" s="148"/>
      <c r="D71" s="148"/>
      <c r="E71" s="148"/>
      <c r="F71" s="148"/>
      <c r="G71" s="148"/>
      <c r="H71" s="486"/>
      <c r="I71" s="487"/>
      <c r="J71" s="487"/>
      <c r="K71" s="487"/>
      <c r="L71" s="487"/>
      <c r="M71" s="488"/>
      <c r="N71" s="487"/>
      <c r="O71" s="486"/>
      <c r="P71" s="487"/>
      <c r="Q71" s="487"/>
      <c r="R71" s="487"/>
      <c r="S71" s="487"/>
      <c r="T71" s="488"/>
      <c r="U71" s="487"/>
    </row>
    <row r="72" outlineLevel="1">
      <c r="A72" s="302" t="s">
        <v>381</v>
      </c>
      <c r="B72" s="158" t="str">
        <f t="shared" ref="B72:B79" si="14">IF(F72="","",$D$3&amp;"."&amp;COUNTA($F$11:F72)&amp;"")</f>
        <v>TC_05.49</v>
      </c>
      <c r="C72" s="498" t="s">
        <v>75</v>
      </c>
      <c r="D72" s="491" t="s">
        <v>1940</v>
      </c>
      <c r="E72" s="491" t="s">
        <v>1941</v>
      </c>
      <c r="F72" s="491" t="s">
        <v>1942</v>
      </c>
      <c r="G72" s="492" t="s">
        <v>1943</v>
      </c>
      <c r="H72" s="493"/>
      <c r="I72" s="493"/>
      <c r="J72" s="493"/>
      <c r="K72" s="493"/>
      <c r="L72" s="493"/>
      <c r="M72" s="497"/>
      <c r="N72" s="493"/>
      <c r="O72" s="493"/>
      <c r="P72" s="493"/>
      <c r="Q72" s="493"/>
      <c r="R72" s="493"/>
      <c r="S72" s="493"/>
      <c r="T72" s="497"/>
      <c r="U72" s="493"/>
    </row>
    <row r="73" outlineLevel="1">
      <c r="A73" s="302" t="s">
        <v>381</v>
      </c>
      <c r="B73" s="158" t="str">
        <f t="shared" si="14"/>
        <v>TC_05.50</v>
      </c>
      <c r="C73" s="501" t="s">
        <v>77</v>
      </c>
      <c r="D73" s="496" t="s">
        <v>1944</v>
      </c>
      <c r="E73" s="496" t="s">
        <v>1945</v>
      </c>
      <c r="F73" s="496" t="s">
        <v>1946</v>
      </c>
      <c r="G73" s="495" t="s">
        <v>1947</v>
      </c>
      <c r="H73" s="493"/>
      <c r="I73" s="493"/>
      <c r="J73" s="493"/>
      <c r="K73" s="493"/>
      <c r="L73" s="493"/>
      <c r="M73" s="493"/>
      <c r="N73" s="493"/>
      <c r="O73" s="493"/>
      <c r="P73" s="493"/>
      <c r="Q73" s="493"/>
      <c r="R73" s="493"/>
      <c r="S73" s="493"/>
      <c r="T73" s="493"/>
      <c r="U73" s="493"/>
    </row>
    <row r="74" outlineLevel="1">
      <c r="A74" s="302" t="s">
        <v>381</v>
      </c>
      <c r="B74" s="158" t="str">
        <f t="shared" si="14"/>
        <v>TC_05.51</v>
      </c>
      <c r="C74" s="498" t="s">
        <v>75</v>
      </c>
      <c r="D74" s="491" t="s">
        <v>1948</v>
      </c>
      <c r="E74" s="491" t="s">
        <v>1949</v>
      </c>
      <c r="F74" s="491" t="s">
        <v>1950</v>
      </c>
      <c r="G74" s="492" t="s">
        <v>1951</v>
      </c>
      <c r="H74" s="493"/>
      <c r="I74" s="493"/>
      <c r="J74" s="493"/>
      <c r="K74" s="493"/>
      <c r="L74" s="493"/>
      <c r="M74" s="497"/>
      <c r="N74" s="493"/>
      <c r="O74" s="493"/>
      <c r="P74" s="493"/>
      <c r="Q74" s="493"/>
      <c r="R74" s="493"/>
      <c r="S74" s="493"/>
      <c r="T74" s="497"/>
      <c r="U74" s="493"/>
    </row>
    <row r="75" outlineLevel="1">
      <c r="A75" s="302" t="s">
        <v>381</v>
      </c>
      <c r="B75" s="158" t="str">
        <f t="shared" si="14"/>
        <v>TC_05.52</v>
      </c>
      <c r="C75" s="499" t="s">
        <v>75</v>
      </c>
      <c r="D75" s="496" t="s">
        <v>1952</v>
      </c>
      <c r="E75" s="496" t="s">
        <v>1953</v>
      </c>
      <c r="F75" s="496" t="s">
        <v>1954</v>
      </c>
      <c r="G75" s="495" t="s">
        <v>1955</v>
      </c>
      <c r="H75" s="493"/>
      <c r="I75" s="493"/>
      <c r="J75" s="493"/>
      <c r="K75" s="493"/>
      <c r="L75" s="493"/>
      <c r="M75" s="497"/>
      <c r="N75" s="493"/>
      <c r="O75" s="493"/>
      <c r="P75" s="493"/>
      <c r="Q75" s="493"/>
      <c r="R75" s="493"/>
      <c r="S75" s="493"/>
      <c r="T75" s="497"/>
      <c r="U75" s="493"/>
    </row>
    <row r="76" outlineLevel="1">
      <c r="A76" s="302" t="s">
        <v>381</v>
      </c>
      <c r="B76" s="158" t="str">
        <f t="shared" si="14"/>
        <v>TC_05.53</v>
      </c>
      <c r="C76" s="498" t="s">
        <v>75</v>
      </c>
      <c r="D76" s="491" t="s">
        <v>1956</v>
      </c>
      <c r="E76" s="492" t="s">
        <v>1957</v>
      </c>
      <c r="F76" s="492" t="s">
        <v>1958</v>
      </c>
      <c r="G76" s="492" t="s">
        <v>1959</v>
      </c>
      <c r="H76" s="493"/>
      <c r="I76" s="493"/>
      <c r="J76" s="493"/>
      <c r="K76" s="493"/>
      <c r="L76" s="493"/>
      <c r="M76" s="493"/>
      <c r="N76" s="493"/>
      <c r="O76" s="493"/>
      <c r="P76" s="493"/>
      <c r="Q76" s="493"/>
      <c r="R76" s="493"/>
      <c r="S76" s="493"/>
      <c r="T76" s="493"/>
      <c r="U76" s="493"/>
    </row>
    <row r="77" outlineLevel="1">
      <c r="A77" s="302" t="s">
        <v>381</v>
      </c>
      <c r="B77" s="158" t="str">
        <f t="shared" si="14"/>
        <v>TC_05.54</v>
      </c>
      <c r="C77" s="499" t="s">
        <v>75</v>
      </c>
      <c r="D77" s="495" t="s">
        <v>1960</v>
      </c>
      <c r="E77" s="495" t="s">
        <v>1961</v>
      </c>
      <c r="F77" s="495" t="s">
        <v>1962</v>
      </c>
      <c r="G77" s="495" t="s">
        <v>1963</v>
      </c>
      <c r="H77" s="493"/>
      <c r="I77" s="493"/>
      <c r="J77" s="493"/>
      <c r="K77" s="493"/>
      <c r="L77" s="493"/>
      <c r="M77" s="493"/>
      <c r="N77" s="493"/>
      <c r="O77" s="493"/>
      <c r="P77" s="493"/>
      <c r="Q77" s="493"/>
      <c r="R77" s="493"/>
      <c r="S77" s="493"/>
      <c r="T77" s="493"/>
      <c r="U77" s="493"/>
    </row>
    <row r="78" outlineLevel="1">
      <c r="A78" s="302" t="s">
        <v>381</v>
      </c>
      <c r="B78" s="158" t="str">
        <f t="shared" si="14"/>
        <v>TC_05.55</v>
      </c>
      <c r="C78" s="498" t="s">
        <v>75</v>
      </c>
      <c r="D78" s="492" t="s">
        <v>1964</v>
      </c>
      <c r="E78" s="492" t="s">
        <v>1965</v>
      </c>
      <c r="F78" s="492" t="s">
        <v>1966</v>
      </c>
      <c r="G78" s="492" t="s">
        <v>1967</v>
      </c>
      <c r="H78" s="493"/>
      <c r="I78" s="493"/>
      <c r="J78" s="493"/>
      <c r="K78" s="493"/>
      <c r="L78" s="493"/>
      <c r="M78" s="493"/>
      <c r="N78" s="493"/>
      <c r="O78" s="493"/>
      <c r="P78" s="493"/>
      <c r="Q78" s="493"/>
      <c r="R78" s="493"/>
      <c r="S78" s="493"/>
      <c r="T78" s="493"/>
      <c r="U78" s="493"/>
    </row>
    <row r="79" outlineLevel="1">
      <c r="A79" s="302" t="s">
        <v>381</v>
      </c>
      <c r="B79" s="158" t="str">
        <f t="shared" si="14"/>
        <v>TC_05.56</v>
      </c>
      <c r="C79" s="505" t="s">
        <v>75</v>
      </c>
      <c r="D79" s="495" t="s">
        <v>1968</v>
      </c>
      <c r="E79" s="495" t="s">
        <v>1969</v>
      </c>
      <c r="F79" s="495" t="s">
        <v>1970</v>
      </c>
      <c r="G79" s="495" t="s">
        <v>1971</v>
      </c>
      <c r="H79" s="486"/>
      <c r="I79" s="487"/>
      <c r="J79" s="487"/>
      <c r="K79" s="487"/>
      <c r="L79" s="487"/>
      <c r="M79" s="488"/>
      <c r="N79" s="487"/>
      <c r="O79" s="486"/>
      <c r="P79" s="487"/>
      <c r="Q79" s="487"/>
      <c r="R79" s="487"/>
      <c r="S79" s="487"/>
      <c r="T79" s="488"/>
      <c r="U79" s="487"/>
    </row>
    <row r="80">
      <c r="A80" s="302"/>
      <c r="B80" s="502" t="s">
        <v>1972</v>
      </c>
      <c r="C80" s="148"/>
      <c r="D80" s="148"/>
      <c r="E80" s="148"/>
      <c r="F80" s="148"/>
      <c r="G80" s="148"/>
      <c r="H80" s="493"/>
      <c r="I80" s="493"/>
      <c r="J80" s="493"/>
      <c r="K80" s="493"/>
      <c r="L80" s="493"/>
      <c r="M80" s="497"/>
      <c r="N80" s="493"/>
      <c r="O80" s="493"/>
      <c r="P80" s="493"/>
      <c r="Q80" s="493"/>
      <c r="R80" s="493"/>
      <c r="S80" s="493"/>
      <c r="T80" s="497"/>
      <c r="U80" s="493"/>
    </row>
    <row r="81" outlineLevel="1">
      <c r="A81" s="302" t="s">
        <v>381</v>
      </c>
      <c r="B81" s="158" t="str">
        <f t="shared" ref="B81:B86" si="15">IF(F81="","",$D$3&amp;"."&amp;COUNTA($F$11:F81)&amp;"")</f>
        <v>TC_05.57</v>
      </c>
      <c r="C81" s="498" t="s">
        <v>75</v>
      </c>
      <c r="D81" s="491" t="s">
        <v>1973</v>
      </c>
      <c r="E81" s="491" t="s">
        <v>1974</v>
      </c>
      <c r="F81" s="491" t="s">
        <v>1975</v>
      </c>
      <c r="G81" s="492" t="s">
        <v>1976</v>
      </c>
      <c r="H81" s="493"/>
      <c r="I81" s="493"/>
      <c r="J81" s="493"/>
      <c r="K81" s="493"/>
      <c r="L81" s="493"/>
      <c r="M81" s="497"/>
      <c r="N81" s="493"/>
      <c r="O81" s="493"/>
      <c r="P81" s="493"/>
      <c r="Q81" s="493"/>
      <c r="R81" s="493"/>
      <c r="S81" s="493"/>
      <c r="T81" s="497"/>
      <c r="U81" s="493"/>
    </row>
    <row r="82" outlineLevel="1">
      <c r="A82" s="302" t="s">
        <v>381</v>
      </c>
      <c r="B82" s="158" t="str">
        <f t="shared" si="15"/>
        <v>TC_05.58</v>
      </c>
      <c r="C82" s="499" t="s">
        <v>75</v>
      </c>
      <c r="D82" s="496" t="s">
        <v>1977</v>
      </c>
      <c r="E82" s="496" t="s">
        <v>1978</v>
      </c>
      <c r="F82" s="496" t="s">
        <v>1979</v>
      </c>
      <c r="G82" s="495" t="s">
        <v>1980</v>
      </c>
      <c r="H82" s="493"/>
      <c r="I82" s="493"/>
      <c r="J82" s="493"/>
      <c r="K82" s="493"/>
      <c r="L82" s="493"/>
      <c r="M82" s="497"/>
      <c r="N82" s="493"/>
      <c r="O82" s="493"/>
      <c r="P82" s="493"/>
      <c r="Q82" s="493"/>
      <c r="R82" s="493"/>
      <c r="S82" s="493"/>
      <c r="T82" s="497"/>
      <c r="U82" s="493"/>
    </row>
    <row r="83" outlineLevel="1">
      <c r="A83" s="263"/>
      <c r="B83" s="158" t="str">
        <f t="shared" si="15"/>
        <v>TC_05.59</v>
      </c>
      <c r="C83" s="498" t="s">
        <v>75</v>
      </c>
      <c r="D83" s="491" t="s">
        <v>1981</v>
      </c>
      <c r="E83" s="491" t="s">
        <v>1982</v>
      </c>
      <c r="F83" s="491" t="s">
        <v>1983</v>
      </c>
      <c r="G83" s="491" t="s">
        <v>1984</v>
      </c>
      <c r="H83" s="486"/>
      <c r="I83" s="487"/>
      <c r="J83" s="487"/>
      <c r="K83" s="487"/>
      <c r="L83" s="487"/>
      <c r="M83" s="488"/>
      <c r="N83" s="487"/>
      <c r="O83" s="486"/>
      <c r="P83" s="487"/>
      <c r="Q83" s="487"/>
      <c r="R83" s="487"/>
      <c r="S83" s="487"/>
      <c r="T83" s="488"/>
      <c r="U83" s="487"/>
    </row>
    <row r="84" outlineLevel="1">
      <c r="A84" s="300" t="s">
        <v>381</v>
      </c>
      <c r="B84" s="158" t="str">
        <f t="shared" si="15"/>
        <v>TC_05.60</v>
      </c>
      <c r="C84" s="499" t="s">
        <v>75</v>
      </c>
      <c r="D84" s="496" t="s">
        <v>1985</v>
      </c>
      <c r="E84" s="496" t="s">
        <v>1986</v>
      </c>
      <c r="F84" s="496" t="s">
        <v>1987</v>
      </c>
      <c r="G84" s="495" t="s">
        <v>1988</v>
      </c>
      <c r="H84" s="493"/>
      <c r="I84" s="493"/>
      <c r="J84" s="493"/>
      <c r="K84" s="493"/>
      <c r="L84" s="493"/>
      <c r="M84" s="497"/>
      <c r="N84" s="493"/>
      <c r="O84" s="493"/>
      <c r="P84" s="493"/>
      <c r="Q84" s="493"/>
      <c r="R84" s="493"/>
      <c r="S84" s="493"/>
      <c r="T84" s="497"/>
      <c r="U84" s="493"/>
    </row>
    <row r="85" outlineLevel="1">
      <c r="A85" s="300" t="s">
        <v>381</v>
      </c>
      <c r="B85" s="158" t="str">
        <f t="shared" si="15"/>
        <v>TC_05.61</v>
      </c>
      <c r="C85" s="498" t="s">
        <v>75</v>
      </c>
      <c r="D85" s="491" t="s">
        <v>1730</v>
      </c>
      <c r="E85" s="491" t="s">
        <v>1989</v>
      </c>
      <c r="F85" s="491" t="s">
        <v>1990</v>
      </c>
      <c r="G85" s="492" t="s">
        <v>1991</v>
      </c>
      <c r="H85" s="493"/>
      <c r="I85" s="493"/>
      <c r="J85" s="493"/>
      <c r="K85" s="493"/>
      <c r="L85" s="493"/>
      <c r="M85" s="497"/>
      <c r="N85" s="493"/>
      <c r="O85" s="493"/>
      <c r="P85" s="493"/>
      <c r="Q85" s="493"/>
      <c r="R85" s="493"/>
      <c r="S85" s="493"/>
      <c r="T85" s="497"/>
      <c r="U85" s="493"/>
    </row>
    <row r="86" outlineLevel="1">
      <c r="A86" s="300" t="s">
        <v>381</v>
      </c>
      <c r="B86" s="158" t="str">
        <f t="shared" si="15"/>
        <v>TC_05.62</v>
      </c>
      <c r="C86" s="505" t="s">
        <v>75</v>
      </c>
      <c r="D86" s="495" t="s">
        <v>1992</v>
      </c>
      <c r="E86" s="495" t="s">
        <v>1993</v>
      </c>
      <c r="F86" s="495" t="s">
        <v>1994</v>
      </c>
      <c r="G86" s="495" t="s">
        <v>1995</v>
      </c>
      <c r="H86" s="493"/>
      <c r="I86" s="493"/>
      <c r="J86" s="493"/>
      <c r="K86" s="493"/>
      <c r="L86" s="493"/>
      <c r="M86" s="497"/>
      <c r="N86" s="493"/>
      <c r="O86" s="493"/>
      <c r="P86" s="493"/>
      <c r="Q86" s="493"/>
      <c r="R86" s="493"/>
      <c r="S86" s="493"/>
      <c r="T86" s="497"/>
      <c r="U86" s="493"/>
    </row>
    <row r="87">
      <c r="A87" s="300"/>
      <c r="B87" s="502" t="s">
        <v>1996</v>
      </c>
      <c r="C87" s="148"/>
      <c r="D87" s="148"/>
      <c r="E87" s="148"/>
      <c r="F87" s="148"/>
      <c r="G87" s="148"/>
      <c r="H87" s="493"/>
      <c r="I87" s="493"/>
      <c r="J87" s="493"/>
      <c r="K87" s="493"/>
      <c r="L87" s="493"/>
      <c r="M87" s="497"/>
      <c r="N87" s="493"/>
      <c r="O87" s="493"/>
      <c r="P87" s="493"/>
      <c r="Q87" s="493"/>
      <c r="R87" s="493"/>
      <c r="S87" s="493"/>
      <c r="T87" s="497"/>
      <c r="U87" s="493"/>
    </row>
    <row r="88" outlineLevel="1">
      <c r="A88" s="300" t="s">
        <v>381</v>
      </c>
      <c r="B88" s="158" t="str">
        <f t="shared" ref="B88:B97" si="16">IF(F88="","",$D$3&amp;"."&amp;COUNTA($F$11:F88)&amp;"")</f>
        <v>TC_05.63</v>
      </c>
      <c r="C88" s="498" t="s">
        <v>75</v>
      </c>
      <c r="D88" s="491" t="s">
        <v>1997</v>
      </c>
      <c r="E88" s="491" t="s">
        <v>1998</v>
      </c>
      <c r="F88" s="491" t="s">
        <v>1999</v>
      </c>
      <c r="G88" s="491" t="s">
        <v>2000</v>
      </c>
      <c r="H88" s="486"/>
      <c r="I88" s="487"/>
      <c r="J88" s="487"/>
      <c r="K88" s="487"/>
      <c r="L88" s="487"/>
      <c r="M88" s="488"/>
      <c r="N88" s="487"/>
      <c r="O88" s="486"/>
      <c r="P88" s="487"/>
      <c r="Q88" s="487"/>
      <c r="R88" s="487"/>
      <c r="S88" s="487"/>
      <c r="T88" s="488"/>
      <c r="U88" s="487"/>
    </row>
    <row r="89" outlineLevel="1">
      <c r="A89" s="300" t="s">
        <v>381</v>
      </c>
      <c r="B89" s="158" t="str">
        <f t="shared" si="16"/>
        <v>TC_05.64</v>
      </c>
      <c r="C89" s="494" t="s">
        <v>73</v>
      </c>
      <c r="D89" s="496" t="s">
        <v>2001</v>
      </c>
      <c r="E89" s="496" t="s">
        <v>2002</v>
      </c>
      <c r="F89" s="496" t="s">
        <v>2003</v>
      </c>
      <c r="G89" s="495" t="s">
        <v>2004</v>
      </c>
      <c r="H89" s="493"/>
      <c r="I89" s="493"/>
      <c r="J89" s="493"/>
      <c r="K89" s="493"/>
      <c r="L89" s="493"/>
      <c r="M89" s="497"/>
      <c r="N89" s="493"/>
      <c r="O89" s="493"/>
      <c r="P89" s="493"/>
      <c r="Q89" s="493"/>
      <c r="R89" s="493"/>
      <c r="S89" s="493"/>
      <c r="T89" s="497"/>
      <c r="U89" s="493"/>
    </row>
    <row r="90" outlineLevel="1">
      <c r="A90" s="300" t="s">
        <v>381</v>
      </c>
      <c r="B90" s="158" t="str">
        <f t="shared" si="16"/>
        <v>TC_05.65</v>
      </c>
      <c r="C90" s="490" t="s">
        <v>73</v>
      </c>
      <c r="D90" s="491" t="s">
        <v>2005</v>
      </c>
      <c r="E90" s="491" t="s">
        <v>2006</v>
      </c>
      <c r="F90" s="491" t="s">
        <v>2007</v>
      </c>
      <c r="G90" s="492" t="s">
        <v>2008</v>
      </c>
      <c r="H90" s="493"/>
      <c r="I90" s="493"/>
      <c r="J90" s="493"/>
      <c r="K90" s="493"/>
      <c r="L90" s="493"/>
      <c r="M90" s="493"/>
      <c r="N90" s="493"/>
      <c r="O90" s="493"/>
      <c r="P90" s="493"/>
      <c r="Q90" s="493"/>
      <c r="R90" s="493"/>
      <c r="S90" s="493"/>
      <c r="T90" s="493"/>
      <c r="U90" s="493"/>
    </row>
    <row r="91" outlineLevel="1">
      <c r="A91" s="300" t="s">
        <v>381</v>
      </c>
      <c r="B91" s="158" t="str">
        <f t="shared" si="16"/>
        <v>TC_05.66</v>
      </c>
      <c r="C91" s="499" t="s">
        <v>75</v>
      </c>
      <c r="D91" s="496" t="s">
        <v>2009</v>
      </c>
      <c r="E91" s="496" t="s">
        <v>2010</v>
      </c>
      <c r="F91" s="496" t="s">
        <v>2011</v>
      </c>
      <c r="G91" s="495" t="s">
        <v>2012</v>
      </c>
      <c r="H91" s="493"/>
      <c r="I91" s="493"/>
      <c r="J91" s="493"/>
      <c r="K91" s="493"/>
      <c r="L91" s="493"/>
      <c r="M91" s="493"/>
      <c r="N91" s="493"/>
      <c r="O91" s="493"/>
      <c r="P91" s="493"/>
      <c r="Q91" s="493"/>
      <c r="R91" s="493"/>
      <c r="S91" s="493"/>
      <c r="T91" s="493"/>
      <c r="U91" s="493"/>
    </row>
    <row r="92" outlineLevel="1">
      <c r="A92" s="300" t="s">
        <v>381</v>
      </c>
      <c r="B92" s="158" t="str">
        <f t="shared" si="16"/>
        <v>TC_05.67</v>
      </c>
      <c r="C92" s="498" t="s">
        <v>75</v>
      </c>
      <c r="D92" s="491" t="s">
        <v>2013</v>
      </c>
      <c r="E92" s="491" t="s">
        <v>2014</v>
      </c>
      <c r="F92" s="491" t="s">
        <v>2015</v>
      </c>
      <c r="G92" s="492" t="s">
        <v>2016</v>
      </c>
      <c r="H92" s="493"/>
      <c r="I92" s="493"/>
      <c r="J92" s="493"/>
      <c r="K92" s="493"/>
      <c r="L92" s="493"/>
      <c r="M92" s="493"/>
      <c r="N92" s="493"/>
      <c r="O92" s="493"/>
      <c r="P92" s="493"/>
      <c r="Q92" s="493"/>
      <c r="R92" s="493"/>
      <c r="S92" s="493"/>
      <c r="T92" s="493"/>
      <c r="U92" s="493"/>
    </row>
    <row r="93" outlineLevel="1">
      <c r="A93" s="300" t="s">
        <v>381</v>
      </c>
      <c r="B93" s="158" t="str">
        <f t="shared" si="16"/>
        <v>TC_05.68</v>
      </c>
      <c r="C93" s="499" t="s">
        <v>75</v>
      </c>
      <c r="D93" s="496" t="s">
        <v>2017</v>
      </c>
      <c r="E93" s="496" t="s">
        <v>2018</v>
      </c>
      <c r="F93" s="496" t="s">
        <v>2019</v>
      </c>
      <c r="G93" s="495" t="s">
        <v>2020</v>
      </c>
      <c r="H93" s="493"/>
      <c r="I93" s="493"/>
      <c r="J93" s="493"/>
      <c r="K93" s="493"/>
      <c r="L93" s="493"/>
      <c r="M93" s="493"/>
      <c r="N93" s="493"/>
      <c r="O93" s="493"/>
      <c r="P93" s="493"/>
      <c r="Q93" s="493"/>
      <c r="R93" s="493"/>
      <c r="S93" s="493"/>
      <c r="T93" s="493"/>
      <c r="U93" s="493"/>
    </row>
    <row r="94" outlineLevel="1">
      <c r="A94" s="300" t="s">
        <v>381</v>
      </c>
      <c r="B94" s="158" t="str">
        <f t="shared" si="16"/>
        <v>TC_05.69</v>
      </c>
      <c r="C94" s="498" t="s">
        <v>75</v>
      </c>
      <c r="D94" s="491" t="s">
        <v>2021</v>
      </c>
      <c r="E94" s="491" t="s">
        <v>2022</v>
      </c>
      <c r="F94" s="491" t="s">
        <v>2019</v>
      </c>
      <c r="G94" s="492" t="s">
        <v>2023</v>
      </c>
      <c r="H94" s="493"/>
      <c r="I94" s="493"/>
      <c r="J94" s="493"/>
      <c r="K94" s="493"/>
      <c r="L94" s="493"/>
      <c r="M94" s="493"/>
      <c r="N94" s="493"/>
      <c r="O94" s="493"/>
      <c r="P94" s="493"/>
      <c r="Q94" s="493"/>
      <c r="R94" s="493"/>
      <c r="S94" s="493"/>
      <c r="T94" s="493"/>
      <c r="U94" s="493"/>
    </row>
    <row r="95" outlineLevel="1">
      <c r="A95" s="300" t="s">
        <v>381</v>
      </c>
      <c r="B95" s="158" t="str">
        <f t="shared" si="16"/>
        <v>TC_05.70</v>
      </c>
      <c r="C95" s="494" t="s">
        <v>73</v>
      </c>
      <c r="D95" s="496" t="s">
        <v>2024</v>
      </c>
      <c r="E95" s="496" t="s">
        <v>2025</v>
      </c>
      <c r="F95" s="496" t="s">
        <v>2026</v>
      </c>
      <c r="G95" s="495" t="s">
        <v>2027</v>
      </c>
      <c r="H95" s="493"/>
      <c r="I95" s="493"/>
      <c r="J95" s="493"/>
      <c r="K95" s="493"/>
      <c r="L95" s="493"/>
      <c r="M95" s="493"/>
      <c r="N95" s="493"/>
      <c r="O95" s="493"/>
      <c r="P95" s="493"/>
      <c r="Q95" s="493"/>
      <c r="R95" s="493"/>
      <c r="S95" s="493"/>
      <c r="T95" s="493"/>
      <c r="U95" s="493"/>
    </row>
    <row r="96" outlineLevel="1">
      <c r="A96" s="263"/>
      <c r="B96" s="158" t="str">
        <f t="shared" si="16"/>
        <v>TC_05.71</v>
      </c>
      <c r="C96" s="490" t="s">
        <v>73</v>
      </c>
      <c r="D96" s="491" t="s">
        <v>2028</v>
      </c>
      <c r="E96" s="491" t="s">
        <v>2029</v>
      </c>
      <c r="F96" s="491" t="s">
        <v>2030</v>
      </c>
      <c r="G96" s="491" t="s">
        <v>2031</v>
      </c>
      <c r="H96" s="486"/>
      <c r="I96" s="487"/>
      <c r="J96" s="487"/>
      <c r="K96" s="487"/>
      <c r="L96" s="487"/>
      <c r="M96" s="487"/>
      <c r="N96" s="487"/>
      <c r="O96" s="486"/>
      <c r="P96" s="487"/>
      <c r="Q96" s="487"/>
      <c r="R96" s="487"/>
      <c r="S96" s="487"/>
      <c r="T96" s="487"/>
      <c r="U96" s="487"/>
    </row>
    <row r="97" outlineLevel="1">
      <c r="A97" s="300" t="s">
        <v>381</v>
      </c>
      <c r="B97" s="158" t="str">
        <f t="shared" si="16"/>
        <v>TC_05.72</v>
      </c>
      <c r="C97" s="494" t="s">
        <v>73</v>
      </c>
      <c r="D97" s="496" t="s">
        <v>2032</v>
      </c>
      <c r="E97" s="496" t="s">
        <v>2033</v>
      </c>
      <c r="F97" s="496" t="s">
        <v>2034</v>
      </c>
      <c r="G97" s="495" t="s">
        <v>2035</v>
      </c>
      <c r="H97" s="493"/>
      <c r="I97" s="493"/>
      <c r="J97" s="493"/>
      <c r="K97" s="493"/>
      <c r="L97" s="493"/>
      <c r="M97" s="493"/>
      <c r="N97" s="493"/>
      <c r="O97" s="493"/>
      <c r="P97" s="493"/>
      <c r="Q97" s="493"/>
      <c r="R97" s="493"/>
      <c r="S97" s="493"/>
      <c r="T97" s="493"/>
      <c r="U97" s="493"/>
    </row>
    <row r="98" outlineLevel="1">
      <c r="A98" s="300"/>
      <c r="B98" s="502" t="s">
        <v>2036</v>
      </c>
      <c r="C98" s="148"/>
      <c r="D98" s="148"/>
      <c r="E98" s="148"/>
      <c r="F98" s="148"/>
      <c r="G98" s="148"/>
      <c r="H98" s="493"/>
      <c r="I98" s="493"/>
      <c r="J98" s="493"/>
      <c r="K98" s="493"/>
      <c r="L98" s="493"/>
      <c r="M98" s="493"/>
      <c r="N98" s="493"/>
      <c r="O98" s="493"/>
      <c r="P98" s="493"/>
      <c r="Q98" s="493"/>
      <c r="R98" s="493"/>
      <c r="S98" s="493"/>
      <c r="T98" s="493"/>
      <c r="U98" s="493"/>
    </row>
    <row r="99" outlineLevel="1">
      <c r="A99" s="300" t="s">
        <v>381</v>
      </c>
      <c r="B99" s="158" t="str">
        <f t="shared" ref="B99:B102" si="17">IF(F99="","",$D$3&amp;"."&amp;COUNTA($F$11:F99)&amp;"")</f>
        <v>TC_05.73</v>
      </c>
      <c r="C99" s="498" t="s">
        <v>75</v>
      </c>
      <c r="D99" s="491" t="s">
        <v>2037</v>
      </c>
      <c r="E99" s="491" t="s">
        <v>2038</v>
      </c>
      <c r="F99" s="491" t="s">
        <v>2039</v>
      </c>
      <c r="G99" s="492" t="s">
        <v>2040</v>
      </c>
      <c r="H99" s="493"/>
      <c r="I99" s="493"/>
      <c r="J99" s="493"/>
      <c r="K99" s="493"/>
      <c r="L99" s="493"/>
      <c r="M99" s="493"/>
      <c r="N99" s="493"/>
      <c r="O99" s="493"/>
      <c r="P99" s="493"/>
      <c r="Q99" s="493"/>
      <c r="R99" s="493"/>
      <c r="S99" s="493"/>
      <c r="T99" s="493"/>
      <c r="U99" s="493"/>
    </row>
    <row r="100" outlineLevel="1">
      <c r="A100" s="300" t="s">
        <v>381</v>
      </c>
      <c r="B100" s="158" t="str">
        <f t="shared" si="17"/>
        <v>TC_05.74</v>
      </c>
      <c r="C100" s="501" t="s">
        <v>77</v>
      </c>
      <c r="D100" s="496" t="s">
        <v>2041</v>
      </c>
      <c r="E100" s="496" t="s">
        <v>2042</v>
      </c>
      <c r="F100" s="496" t="s">
        <v>2043</v>
      </c>
      <c r="G100" s="495" t="s">
        <v>2044</v>
      </c>
      <c r="H100" s="493"/>
      <c r="I100" s="493"/>
      <c r="J100" s="493"/>
      <c r="K100" s="493"/>
      <c r="L100" s="493"/>
      <c r="M100" s="493"/>
      <c r="N100" s="493"/>
      <c r="O100" s="493"/>
      <c r="P100" s="493"/>
      <c r="Q100" s="493"/>
      <c r="R100" s="493"/>
      <c r="S100" s="493"/>
      <c r="T100" s="493"/>
      <c r="U100" s="493"/>
    </row>
    <row r="101" outlineLevel="1">
      <c r="A101" s="300" t="s">
        <v>381</v>
      </c>
      <c r="B101" s="158" t="str">
        <f t="shared" si="17"/>
        <v>TC_05.75</v>
      </c>
      <c r="C101" s="498" t="s">
        <v>75</v>
      </c>
      <c r="D101" s="491" t="s">
        <v>2045</v>
      </c>
      <c r="E101" s="491" t="s">
        <v>2046</v>
      </c>
      <c r="F101" s="491" t="s">
        <v>2047</v>
      </c>
      <c r="G101" s="492" t="s">
        <v>1749</v>
      </c>
      <c r="H101" s="493"/>
      <c r="I101" s="493"/>
      <c r="J101" s="493"/>
      <c r="K101" s="493"/>
      <c r="L101" s="493"/>
      <c r="M101" s="493"/>
      <c r="N101" s="493"/>
      <c r="O101" s="493"/>
      <c r="P101" s="493"/>
      <c r="Q101" s="493"/>
      <c r="R101" s="493"/>
      <c r="S101" s="493"/>
      <c r="T101" s="493"/>
      <c r="U101" s="493"/>
    </row>
    <row r="102" outlineLevel="1">
      <c r="A102" s="300" t="s">
        <v>381</v>
      </c>
      <c r="B102" s="158" t="str">
        <f t="shared" si="17"/>
        <v>TC_05.76</v>
      </c>
      <c r="C102" s="518" t="s">
        <v>77</v>
      </c>
      <c r="D102" s="519" t="s">
        <v>2048</v>
      </c>
      <c r="E102" s="519" t="s">
        <v>2049</v>
      </c>
      <c r="F102" s="519" t="s">
        <v>1994</v>
      </c>
      <c r="G102" s="520" t="s">
        <v>2050</v>
      </c>
      <c r="H102" s="493"/>
      <c r="I102" s="493"/>
      <c r="J102" s="493"/>
      <c r="K102" s="493"/>
      <c r="L102" s="493"/>
      <c r="M102" s="493"/>
      <c r="N102" s="493"/>
      <c r="O102" s="493"/>
      <c r="P102" s="493"/>
      <c r="Q102" s="493"/>
      <c r="R102" s="493"/>
      <c r="S102" s="493"/>
      <c r="T102" s="493"/>
      <c r="U102" s="493"/>
    </row>
    <row r="103">
      <c r="A103" s="263"/>
      <c r="B103" s="521" t="s">
        <v>1737</v>
      </c>
      <c r="C103" s="148"/>
      <c r="D103" s="148"/>
      <c r="E103" s="148"/>
      <c r="F103" s="148"/>
      <c r="G103" s="522"/>
      <c r="H103" s="486"/>
      <c r="I103" s="487"/>
      <c r="J103" s="487"/>
      <c r="K103" s="487"/>
      <c r="L103" s="487"/>
      <c r="M103" s="487"/>
      <c r="N103" s="487"/>
      <c r="O103" s="486"/>
      <c r="P103" s="487"/>
      <c r="Q103" s="487"/>
      <c r="R103" s="487"/>
      <c r="S103" s="487"/>
      <c r="T103" s="487"/>
      <c r="U103" s="487"/>
    </row>
    <row r="104" outlineLevel="1">
      <c r="A104" s="300" t="s">
        <v>381</v>
      </c>
      <c r="B104" s="158" t="str">
        <f t="shared" ref="B104:B106" si="18">IF(F104="","",$D$3&amp;"."&amp;COUNTA($F$11:F104)&amp;"")</f>
        <v>TC_05.77</v>
      </c>
      <c r="C104" s="518" t="s">
        <v>73</v>
      </c>
      <c r="D104" s="519" t="s">
        <v>2051</v>
      </c>
      <c r="E104" s="519" t="s">
        <v>1739</v>
      </c>
      <c r="F104" s="519" t="s">
        <v>2052</v>
      </c>
      <c r="G104" s="520" t="s">
        <v>2053</v>
      </c>
      <c r="H104" s="493"/>
      <c r="I104" s="493"/>
      <c r="J104" s="493"/>
      <c r="K104" s="493"/>
      <c r="L104" s="493"/>
      <c r="M104" s="493"/>
      <c r="N104" s="493"/>
      <c r="O104" s="493"/>
      <c r="P104" s="493"/>
      <c r="Q104" s="493"/>
      <c r="R104" s="493"/>
      <c r="S104" s="493"/>
      <c r="T104" s="493"/>
      <c r="U104" s="493"/>
    </row>
    <row r="105" outlineLevel="1">
      <c r="A105" s="300" t="s">
        <v>381</v>
      </c>
      <c r="B105" s="158" t="str">
        <f t="shared" si="18"/>
        <v>TC_05.78</v>
      </c>
      <c r="C105" s="518" t="s">
        <v>73</v>
      </c>
      <c r="D105" s="519" t="s">
        <v>2041</v>
      </c>
      <c r="E105" s="519" t="s">
        <v>1743</v>
      </c>
      <c r="F105" s="519" t="s">
        <v>2054</v>
      </c>
      <c r="G105" s="520" t="s">
        <v>1745</v>
      </c>
      <c r="H105" s="493"/>
      <c r="I105" s="493"/>
      <c r="J105" s="493"/>
      <c r="K105" s="493"/>
      <c r="L105" s="493"/>
      <c r="M105" s="493"/>
      <c r="N105" s="493"/>
      <c r="O105" s="493"/>
      <c r="P105" s="493"/>
      <c r="Q105" s="493"/>
      <c r="R105" s="493"/>
      <c r="S105" s="493"/>
      <c r="T105" s="493"/>
      <c r="U105" s="493"/>
    </row>
    <row r="106" outlineLevel="1">
      <c r="A106" s="300" t="s">
        <v>381</v>
      </c>
      <c r="B106" s="158" t="str">
        <f t="shared" si="18"/>
        <v>TC_05.79</v>
      </c>
      <c r="C106" s="518" t="s">
        <v>75</v>
      </c>
      <c r="D106" s="519" t="s">
        <v>1746</v>
      </c>
      <c r="E106" s="519" t="s">
        <v>2055</v>
      </c>
      <c r="F106" s="519" t="s">
        <v>2056</v>
      </c>
      <c r="G106" s="520" t="s">
        <v>1749</v>
      </c>
      <c r="H106" s="493"/>
      <c r="I106" s="493"/>
      <c r="J106" s="493"/>
      <c r="K106" s="493"/>
      <c r="L106" s="493"/>
      <c r="M106" s="493"/>
      <c r="N106" s="493"/>
      <c r="O106" s="493"/>
      <c r="P106" s="493"/>
      <c r="Q106" s="493"/>
      <c r="R106" s="493"/>
      <c r="S106" s="493"/>
      <c r="T106" s="493"/>
      <c r="U106" s="493"/>
    </row>
    <row r="107">
      <c r="A107" s="523"/>
      <c r="B107" s="523"/>
      <c r="C107" s="524"/>
      <c r="D107" s="525"/>
      <c r="E107" s="525"/>
      <c r="F107" s="525"/>
      <c r="G107" s="526"/>
      <c r="H107" s="527"/>
      <c r="I107" s="527"/>
      <c r="J107" s="527"/>
      <c r="K107" s="527"/>
      <c r="L107" s="527"/>
      <c r="M107" s="527"/>
      <c r="N107" s="527"/>
      <c r="O107" s="527"/>
      <c r="P107" s="527"/>
      <c r="Q107" s="527"/>
      <c r="R107" s="527"/>
      <c r="S107" s="527"/>
      <c r="T107" s="527"/>
      <c r="U107" s="527"/>
    </row>
    <row r="108">
      <c r="A108" s="523"/>
      <c r="B108" s="523"/>
      <c r="C108" s="524"/>
      <c r="D108" s="525"/>
      <c r="E108" s="525"/>
      <c r="F108" s="525"/>
      <c r="G108" s="526"/>
      <c r="H108" s="527"/>
      <c r="I108" s="527"/>
      <c r="J108" s="527"/>
      <c r="K108" s="527"/>
      <c r="L108" s="527"/>
      <c r="M108" s="527"/>
      <c r="N108" s="527"/>
      <c r="O108" s="527"/>
      <c r="P108" s="527"/>
      <c r="Q108" s="527"/>
      <c r="R108" s="527"/>
      <c r="S108" s="527"/>
      <c r="T108" s="527"/>
      <c r="U108" s="527"/>
    </row>
  </sheetData>
  <autoFilter ref="$H$1:$N$90"/>
  <mergeCells count="35">
    <mergeCell ref="C7:C8"/>
    <mergeCell ref="D7:D8"/>
    <mergeCell ref="E7:E8"/>
    <mergeCell ref="F7:F8"/>
    <mergeCell ref="G7:G8"/>
    <mergeCell ref="H7:N7"/>
    <mergeCell ref="O7:U7"/>
    <mergeCell ref="H8:J8"/>
    <mergeCell ref="O8:Q8"/>
    <mergeCell ref="C2:F2"/>
    <mergeCell ref="B3:C3"/>
    <mergeCell ref="D3:E3"/>
    <mergeCell ref="B4:C4"/>
    <mergeCell ref="D4:E4"/>
    <mergeCell ref="A7:A8"/>
    <mergeCell ref="B7:B8"/>
    <mergeCell ref="B9:G9"/>
    <mergeCell ref="B10:G10"/>
    <mergeCell ref="B15:G15"/>
    <mergeCell ref="B19:G19"/>
    <mergeCell ref="B28:G28"/>
    <mergeCell ref="B33:G33"/>
    <mergeCell ref="B38:G38"/>
    <mergeCell ref="B71:G71"/>
    <mergeCell ref="B80:G80"/>
    <mergeCell ref="B87:G87"/>
    <mergeCell ref="B98:G98"/>
    <mergeCell ref="B103:G103"/>
    <mergeCell ref="B43:G43"/>
    <mergeCell ref="B48:G48"/>
    <mergeCell ref="B51:G51"/>
    <mergeCell ref="B54:G54"/>
    <mergeCell ref="B59:G59"/>
    <mergeCell ref="B62:G62"/>
    <mergeCell ref="B66:G66"/>
  </mergeCells>
  <conditionalFormatting sqref="H9:K108 O9:S108">
    <cfRule type="cellIs" dxfId="0" priority="1" operator="equal">
      <formula>"Block"</formula>
    </cfRule>
  </conditionalFormatting>
  <conditionalFormatting sqref="H9:K108 O9:S108">
    <cfRule type="cellIs" dxfId="1" priority="2" operator="equal">
      <formula>"Fail"</formula>
    </cfRule>
  </conditionalFormatting>
  <conditionalFormatting sqref="H9:K108 O9:S108">
    <cfRule type="cellIs" dxfId="2" priority="3" operator="equal">
      <formula>"Pass"</formula>
    </cfRule>
  </conditionalFormatting>
  <conditionalFormatting sqref="H9:K108 O9:S108">
    <cfRule type="cellIs" dxfId="3" priority="4" operator="equal">
      <formula>"N/A"</formula>
    </cfRule>
  </conditionalFormatting>
  <conditionalFormatting sqref="H9:K108 O9:S108">
    <cfRule type="cellIs" dxfId="4" priority="5" operator="equal">
      <formula>"Block"</formula>
    </cfRule>
  </conditionalFormatting>
  <conditionalFormatting sqref="H9:K108 O9:S108">
    <cfRule type="cellIs" dxfId="5" priority="6" operator="equal">
      <formula>"Fail"</formula>
    </cfRule>
  </conditionalFormatting>
  <conditionalFormatting sqref="H9:K108 O9:S108">
    <cfRule type="cellIs" dxfId="6" priority="7" operator="equal">
      <formula>"Pass"</formula>
    </cfRule>
  </conditionalFormatting>
  <conditionalFormatting sqref="H9:K108 O9:S108">
    <cfRule type="cellIs" dxfId="7" priority="8" operator="equal">
      <formula>"N/A"</formula>
    </cfRule>
  </conditionalFormatting>
  <conditionalFormatting sqref="H9:K108 O9:S108">
    <cfRule type="cellIs" dxfId="0" priority="9" operator="equal">
      <formula>"Block"</formula>
    </cfRule>
  </conditionalFormatting>
  <conditionalFormatting sqref="H9:K108 O9:S108">
    <cfRule type="cellIs" dxfId="1" priority="10" operator="equal">
      <formula>"Fail"</formula>
    </cfRule>
  </conditionalFormatting>
  <conditionalFormatting sqref="H9:K108 O9:S108">
    <cfRule type="cellIs" dxfId="2" priority="11" operator="equal">
      <formula>"Pass"</formula>
    </cfRule>
  </conditionalFormatting>
  <conditionalFormatting sqref="H9:K108 O9:S108">
    <cfRule type="cellIs" dxfId="3" priority="12" operator="equal">
      <formula>"N/A"</formula>
    </cfRule>
  </conditionalFormatting>
  <dataValidations>
    <dataValidation type="list" allowBlank="1" showErrorMessage="1" sqref="A10:A70 A72:A82 A84:A95 A97:A102 A104:A106">
      <formula1>"QC,AI"</formula1>
    </dataValidation>
    <dataValidation type="list" allowBlank="1" showErrorMessage="1" sqref="H10:K108 O10:R108">
      <formula1>"Pass,Fail,Block,N/A"</formula1>
    </dataValidation>
    <dataValidation type="list" allowBlank="1" showErrorMessage="1" sqref="C11:C14 C16:C18 C20:C27 C37 C40:C42 C45:C46 C50 C53 C57:C58 C61 C63 C67:C69 C72:C78 C81:C82 C84:C85 C89:C95 C97 C99:C102 C104:C108">
      <formula1>"High,Medium,Low"</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2" width="11.38"/>
    <col customWidth="1" min="3" max="3" width="10.88"/>
    <col customWidth="1" min="4" max="4" width="35.5"/>
    <col customWidth="1" min="5" max="5" width="17.63"/>
    <col customWidth="1" min="6" max="6" width="40.38"/>
    <col customWidth="1" min="7" max="7" width="53.38"/>
    <col customWidth="1" min="8" max="8" width="12.0"/>
    <col customWidth="1" min="9" max="9" width="33.88"/>
    <col customWidth="1" min="10" max="10" width="13.5"/>
    <col customWidth="1" min="11" max="11" width="14.88"/>
    <col customWidth="1" min="12" max="91" width="8.38"/>
  </cols>
  <sheetData>
    <row r="1" outlineLevel="1">
      <c r="A1" s="232"/>
      <c r="B1" s="528"/>
      <c r="C1" s="529"/>
      <c r="D1" s="528"/>
      <c r="E1" s="528"/>
      <c r="F1" s="530"/>
      <c r="G1" s="232"/>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529"/>
      <c r="AZ1" s="529"/>
      <c r="BA1" s="529"/>
      <c r="BB1" s="529"/>
      <c r="BC1" s="529"/>
      <c r="BD1" s="529"/>
      <c r="BE1" s="529"/>
      <c r="BF1" s="529"/>
      <c r="BG1" s="529"/>
      <c r="BH1" s="529"/>
      <c r="BI1" s="529"/>
      <c r="BJ1" s="529"/>
      <c r="BK1" s="529"/>
      <c r="BL1" s="529"/>
      <c r="BM1" s="529"/>
      <c r="BN1" s="529"/>
      <c r="BO1" s="529"/>
      <c r="BP1" s="529"/>
      <c r="BQ1" s="529"/>
      <c r="BR1" s="529"/>
      <c r="BS1" s="529"/>
      <c r="BT1" s="529"/>
      <c r="BU1" s="529"/>
      <c r="BV1" s="529"/>
      <c r="BW1" s="529"/>
      <c r="BX1" s="529"/>
      <c r="BY1" s="529"/>
      <c r="BZ1" s="529"/>
      <c r="CA1" s="529"/>
      <c r="CB1" s="529"/>
      <c r="CC1" s="529"/>
      <c r="CD1" s="529"/>
      <c r="CE1" s="529"/>
      <c r="CF1" s="529"/>
      <c r="CG1" s="529"/>
      <c r="CH1" s="529"/>
      <c r="CI1" s="529"/>
      <c r="CJ1" s="529"/>
      <c r="CK1" s="529"/>
      <c r="CL1" s="529"/>
      <c r="CM1" s="529"/>
    </row>
    <row r="2" outlineLevel="1">
      <c r="A2" s="232"/>
      <c r="B2" s="531"/>
      <c r="C2" s="532"/>
      <c r="D2" s="182"/>
      <c r="E2" s="182"/>
      <c r="F2" s="182"/>
      <c r="G2" s="232"/>
      <c r="H2" s="529"/>
      <c r="I2" s="529"/>
      <c r="J2" s="529"/>
      <c r="K2" s="529"/>
      <c r="L2" s="529"/>
      <c r="M2" s="529"/>
      <c r="N2" s="529"/>
      <c r="O2" s="529"/>
      <c r="P2" s="529"/>
      <c r="Q2" s="529"/>
      <c r="R2" s="529"/>
      <c r="S2" s="529"/>
      <c r="T2" s="529"/>
      <c r="U2" s="529"/>
      <c r="V2" s="529"/>
      <c r="W2" s="529"/>
      <c r="X2" s="529"/>
      <c r="Y2" s="529"/>
      <c r="Z2" s="529"/>
      <c r="AA2" s="529"/>
      <c r="AB2" s="529"/>
      <c r="AC2" s="529"/>
      <c r="AD2" s="529"/>
      <c r="AE2" s="529"/>
      <c r="AF2" s="529"/>
      <c r="AG2" s="529"/>
      <c r="AH2" s="529"/>
      <c r="AI2" s="529"/>
      <c r="AJ2" s="529"/>
      <c r="AK2" s="529"/>
      <c r="AL2" s="529"/>
      <c r="AM2" s="529"/>
      <c r="AN2" s="529"/>
      <c r="AO2" s="529"/>
      <c r="AP2" s="529"/>
      <c r="AQ2" s="529"/>
      <c r="AR2" s="529"/>
      <c r="AS2" s="529"/>
      <c r="AT2" s="529"/>
      <c r="AU2" s="529"/>
      <c r="AV2" s="529"/>
      <c r="AW2" s="529"/>
      <c r="AX2" s="529"/>
      <c r="AY2" s="529"/>
      <c r="AZ2" s="529"/>
      <c r="BA2" s="529"/>
      <c r="BB2" s="529"/>
      <c r="BC2" s="529"/>
      <c r="BD2" s="529"/>
      <c r="BE2" s="529"/>
      <c r="BF2" s="529"/>
      <c r="BG2" s="529"/>
      <c r="BH2" s="529"/>
      <c r="BI2" s="529"/>
      <c r="BJ2" s="529"/>
      <c r="BK2" s="529"/>
      <c r="BL2" s="529"/>
      <c r="BM2" s="529"/>
      <c r="BN2" s="529"/>
      <c r="BO2" s="529"/>
      <c r="BP2" s="529"/>
      <c r="BQ2" s="529"/>
      <c r="BR2" s="529"/>
      <c r="BS2" s="529"/>
      <c r="BT2" s="529"/>
      <c r="BU2" s="529"/>
      <c r="BV2" s="529"/>
      <c r="BW2" s="529"/>
      <c r="BX2" s="529"/>
      <c r="BY2" s="529"/>
      <c r="BZ2" s="529"/>
      <c r="CA2" s="529"/>
      <c r="CB2" s="529"/>
      <c r="CC2" s="529"/>
      <c r="CD2" s="529"/>
      <c r="CE2" s="529"/>
      <c r="CF2" s="529"/>
      <c r="CG2" s="529"/>
      <c r="CH2" s="529"/>
      <c r="CI2" s="529"/>
      <c r="CJ2" s="529"/>
      <c r="CK2" s="529"/>
      <c r="CL2" s="529"/>
      <c r="CM2" s="529"/>
    </row>
    <row r="3" outlineLevel="1">
      <c r="A3" s="533"/>
      <c r="B3" s="246" t="s">
        <v>122</v>
      </c>
      <c r="C3" s="122"/>
      <c r="D3" s="534" t="s">
        <v>118</v>
      </c>
      <c r="E3" s="122"/>
      <c r="F3" s="529"/>
      <c r="G3" s="529"/>
      <c r="H3" s="529"/>
      <c r="I3" s="529"/>
      <c r="J3" s="529"/>
      <c r="K3" s="529"/>
      <c r="L3" s="529"/>
      <c r="M3" s="529"/>
      <c r="N3" s="529"/>
      <c r="O3" s="529"/>
      <c r="P3" s="529"/>
      <c r="Q3" s="529"/>
      <c r="R3" s="529"/>
      <c r="S3" s="529"/>
      <c r="T3" s="529"/>
      <c r="U3" s="529"/>
      <c r="V3" s="529"/>
      <c r="W3" s="529"/>
      <c r="X3" s="529"/>
      <c r="Y3" s="529"/>
      <c r="Z3" s="529"/>
      <c r="AA3" s="529"/>
      <c r="AB3" s="529"/>
      <c r="AC3" s="529"/>
      <c r="AD3" s="529"/>
      <c r="AE3" s="529"/>
      <c r="AF3" s="529"/>
      <c r="AG3" s="529"/>
      <c r="AH3" s="529"/>
      <c r="AI3" s="529"/>
      <c r="AJ3" s="529"/>
      <c r="AK3" s="529"/>
      <c r="AL3" s="529"/>
      <c r="AM3" s="529"/>
      <c r="AN3" s="529"/>
      <c r="AO3" s="529"/>
      <c r="AP3" s="529"/>
      <c r="AQ3" s="529"/>
      <c r="AR3" s="529"/>
      <c r="AS3" s="529"/>
      <c r="AT3" s="529"/>
      <c r="AU3" s="529"/>
      <c r="AV3" s="529"/>
      <c r="AW3" s="529"/>
      <c r="AX3" s="529"/>
      <c r="AY3" s="529"/>
      <c r="AZ3" s="529"/>
      <c r="BA3" s="529"/>
      <c r="BB3" s="529"/>
      <c r="BC3" s="529"/>
      <c r="BD3" s="529"/>
      <c r="BE3" s="529"/>
      <c r="BF3" s="529"/>
      <c r="BG3" s="529"/>
      <c r="BH3" s="529"/>
      <c r="BI3" s="529"/>
      <c r="BJ3" s="529"/>
      <c r="BK3" s="529"/>
      <c r="BL3" s="529"/>
      <c r="BM3" s="529"/>
      <c r="BN3" s="529"/>
      <c r="BO3" s="529"/>
      <c r="BP3" s="529"/>
      <c r="BQ3" s="529"/>
      <c r="BR3" s="529"/>
      <c r="BS3" s="529"/>
      <c r="BT3" s="529"/>
      <c r="BU3" s="529"/>
      <c r="BV3" s="529"/>
      <c r="BW3" s="529"/>
      <c r="BX3" s="529"/>
      <c r="BY3" s="529"/>
      <c r="BZ3" s="529"/>
      <c r="CA3" s="529"/>
      <c r="CB3" s="529"/>
      <c r="CC3" s="529"/>
      <c r="CD3" s="529"/>
      <c r="CE3" s="529"/>
      <c r="CF3" s="529"/>
      <c r="CG3" s="529"/>
      <c r="CH3" s="529"/>
      <c r="CI3" s="529"/>
      <c r="CJ3" s="529"/>
      <c r="CK3" s="529"/>
      <c r="CL3" s="529"/>
      <c r="CM3" s="529"/>
    </row>
    <row r="4" outlineLevel="1">
      <c r="A4" s="533"/>
      <c r="B4" s="246" t="s">
        <v>123</v>
      </c>
      <c r="C4" s="122"/>
      <c r="D4" s="250" t="s">
        <v>2057</v>
      </c>
      <c r="E4" s="122"/>
      <c r="F4" s="529"/>
      <c r="G4" s="529"/>
      <c r="H4" s="529"/>
      <c r="I4" s="529"/>
      <c r="J4" s="529"/>
      <c r="K4" s="529"/>
      <c r="L4" s="529"/>
      <c r="M4" s="529"/>
      <c r="N4" s="529"/>
      <c r="O4" s="529"/>
      <c r="P4" s="529"/>
      <c r="Q4" s="529"/>
      <c r="R4" s="529"/>
      <c r="S4" s="529"/>
      <c r="T4" s="529"/>
      <c r="U4" s="529"/>
      <c r="V4" s="529"/>
      <c r="W4" s="529"/>
      <c r="X4" s="529"/>
      <c r="Y4" s="529"/>
      <c r="Z4" s="529"/>
      <c r="AA4" s="529"/>
      <c r="AB4" s="529"/>
      <c r="AC4" s="529"/>
      <c r="AD4" s="529"/>
      <c r="AE4" s="529"/>
      <c r="AF4" s="529"/>
      <c r="AG4" s="529"/>
      <c r="AH4" s="529"/>
      <c r="AI4" s="529"/>
      <c r="AJ4" s="529"/>
      <c r="AK4" s="529"/>
      <c r="AL4" s="529"/>
      <c r="AM4" s="529"/>
      <c r="AN4" s="529"/>
      <c r="AO4" s="529"/>
      <c r="AP4" s="529"/>
      <c r="AQ4" s="529"/>
      <c r="AR4" s="529"/>
      <c r="AS4" s="529"/>
      <c r="AT4" s="529"/>
      <c r="AU4" s="529"/>
      <c r="AV4" s="529"/>
      <c r="AW4" s="529"/>
      <c r="AX4" s="529"/>
      <c r="AY4" s="529"/>
      <c r="AZ4" s="529"/>
      <c r="BA4" s="529"/>
      <c r="BB4" s="529"/>
      <c r="BC4" s="529"/>
      <c r="BD4" s="529"/>
      <c r="BE4" s="529"/>
      <c r="BF4" s="529"/>
      <c r="BG4" s="529"/>
      <c r="BH4" s="529"/>
      <c r="BI4" s="529"/>
      <c r="BJ4" s="529"/>
      <c r="BK4" s="529"/>
      <c r="BL4" s="529"/>
      <c r="BM4" s="529"/>
      <c r="BN4" s="529"/>
      <c r="BO4" s="529"/>
      <c r="BP4" s="529"/>
      <c r="BQ4" s="529"/>
      <c r="BR4" s="529"/>
      <c r="BS4" s="529"/>
      <c r="BT4" s="529"/>
      <c r="BU4" s="529"/>
      <c r="BV4" s="529"/>
      <c r="BW4" s="529"/>
      <c r="BX4" s="529"/>
      <c r="BY4" s="529"/>
      <c r="BZ4" s="529"/>
      <c r="CA4" s="529"/>
      <c r="CB4" s="529"/>
      <c r="CC4" s="529"/>
      <c r="CD4" s="529"/>
      <c r="CE4" s="529"/>
      <c r="CF4" s="529"/>
      <c r="CG4" s="529"/>
      <c r="CH4" s="529"/>
      <c r="CI4" s="529"/>
      <c r="CJ4" s="529"/>
      <c r="CK4" s="529"/>
      <c r="CL4" s="529"/>
      <c r="CM4" s="529"/>
    </row>
    <row r="5" outlineLevel="1">
      <c r="A5" s="232"/>
      <c r="B5" s="535"/>
      <c r="C5" s="535"/>
      <c r="D5" s="535"/>
      <c r="E5" s="535"/>
      <c r="F5" s="530"/>
      <c r="G5" s="232"/>
      <c r="H5" s="529"/>
      <c r="I5" s="529"/>
      <c r="J5" s="529"/>
      <c r="K5" s="529"/>
      <c r="L5" s="529"/>
      <c r="M5" s="529"/>
      <c r="N5" s="529"/>
      <c r="O5" s="529"/>
      <c r="P5" s="529"/>
      <c r="Q5" s="529"/>
      <c r="R5" s="529"/>
      <c r="S5" s="529"/>
      <c r="T5" s="529"/>
      <c r="U5" s="529"/>
      <c r="V5" s="529"/>
      <c r="W5" s="529"/>
      <c r="X5" s="529"/>
      <c r="Y5" s="529"/>
      <c r="Z5" s="529"/>
      <c r="AA5" s="529"/>
      <c r="AB5" s="529"/>
      <c r="AC5" s="529"/>
      <c r="AD5" s="529"/>
      <c r="AE5" s="529"/>
      <c r="AF5" s="529"/>
      <c r="AG5" s="529"/>
      <c r="AH5" s="529"/>
      <c r="AI5" s="529"/>
      <c r="AJ5" s="529"/>
      <c r="AK5" s="529"/>
      <c r="AL5" s="529"/>
      <c r="AM5" s="529"/>
      <c r="AN5" s="529"/>
      <c r="AO5" s="529"/>
      <c r="AP5" s="529"/>
      <c r="AQ5" s="529"/>
      <c r="AR5" s="529"/>
      <c r="AS5" s="529"/>
      <c r="AT5" s="529"/>
      <c r="AU5" s="529"/>
      <c r="AV5" s="529"/>
      <c r="AW5" s="529"/>
      <c r="AX5" s="529"/>
      <c r="AY5" s="529"/>
      <c r="AZ5" s="529"/>
      <c r="BA5" s="529"/>
      <c r="BB5" s="529"/>
      <c r="BC5" s="529"/>
      <c r="BD5" s="529"/>
      <c r="BE5" s="529"/>
      <c r="BF5" s="529"/>
      <c r="BG5" s="529"/>
      <c r="BH5" s="529"/>
      <c r="BI5" s="529"/>
      <c r="BJ5" s="529"/>
      <c r="BK5" s="529"/>
      <c r="BL5" s="529"/>
      <c r="BM5" s="529"/>
      <c r="BN5" s="529"/>
      <c r="BO5" s="529"/>
      <c r="BP5" s="529"/>
      <c r="BQ5" s="529"/>
      <c r="BR5" s="529"/>
      <c r="BS5" s="529"/>
      <c r="BT5" s="529"/>
      <c r="BU5" s="529"/>
      <c r="BV5" s="529"/>
      <c r="BW5" s="529"/>
      <c r="BX5" s="529"/>
      <c r="BY5" s="529"/>
      <c r="BZ5" s="529"/>
      <c r="CA5" s="529"/>
      <c r="CB5" s="529"/>
      <c r="CC5" s="529"/>
      <c r="CD5" s="529"/>
      <c r="CE5" s="529"/>
      <c r="CF5" s="529"/>
      <c r="CG5" s="529"/>
      <c r="CH5" s="529"/>
      <c r="CI5" s="529"/>
      <c r="CJ5" s="529"/>
      <c r="CK5" s="529"/>
      <c r="CL5" s="529"/>
      <c r="CM5" s="529"/>
    </row>
    <row r="6" outlineLevel="1">
      <c r="A6" s="232"/>
      <c r="B6" s="531"/>
      <c r="C6" s="531"/>
      <c r="D6" s="531"/>
      <c r="E6" s="531"/>
      <c r="F6" s="532"/>
      <c r="G6" s="232"/>
      <c r="H6" s="529"/>
      <c r="I6" s="529"/>
      <c r="J6" s="529"/>
      <c r="K6" s="529"/>
      <c r="L6" s="529"/>
      <c r="M6" s="529"/>
      <c r="N6" s="529"/>
      <c r="O6" s="529"/>
      <c r="P6" s="529"/>
      <c r="Q6" s="529"/>
      <c r="R6" s="529"/>
      <c r="S6" s="529"/>
      <c r="T6" s="529"/>
      <c r="U6" s="529"/>
      <c r="V6" s="529"/>
      <c r="W6" s="529"/>
      <c r="X6" s="529"/>
      <c r="Y6" s="529"/>
      <c r="Z6" s="529"/>
      <c r="AA6" s="529"/>
      <c r="AB6" s="529"/>
      <c r="AC6" s="529"/>
      <c r="AD6" s="529"/>
      <c r="AE6" s="529"/>
      <c r="AF6" s="529"/>
      <c r="AG6" s="529"/>
      <c r="AH6" s="529"/>
      <c r="AI6" s="529"/>
      <c r="AJ6" s="529"/>
      <c r="AK6" s="529"/>
      <c r="AL6" s="529"/>
      <c r="AM6" s="529"/>
      <c r="AN6" s="529"/>
      <c r="AO6" s="529"/>
      <c r="AP6" s="529"/>
      <c r="AQ6" s="529"/>
      <c r="AR6" s="529"/>
      <c r="AS6" s="529"/>
      <c r="AT6" s="529"/>
      <c r="AU6" s="529"/>
      <c r="AV6" s="529"/>
      <c r="AW6" s="529"/>
      <c r="AX6" s="529"/>
      <c r="AY6" s="529"/>
      <c r="AZ6" s="529"/>
      <c r="BA6" s="529"/>
      <c r="BB6" s="529"/>
      <c r="BC6" s="529"/>
      <c r="BD6" s="529"/>
      <c r="BE6" s="529"/>
      <c r="BF6" s="529"/>
      <c r="BG6" s="529"/>
      <c r="BH6" s="529"/>
      <c r="BI6" s="529"/>
      <c r="BJ6" s="529"/>
      <c r="BK6" s="529"/>
      <c r="BL6" s="529"/>
      <c r="BM6" s="529"/>
      <c r="BN6" s="529"/>
      <c r="BO6" s="529"/>
      <c r="BP6" s="529"/>
      <c r="BQ6" s="529"/>
      <c r="BR6" s="529"/>
      <c r="BS6" s="529"/>
      <c r="BT6" s="529"/>
      <c r="BU6" s="529"/>
      <c r="BV6" s="529"/>
      <c r="BW6" s="529"/>
      <c r="BX6" s="529"/>
      <c r="BY6" s="529"/>
      <c r="BZ6" s="529"/>
      <c r="CA6" s="529"/>
      <c r="CB6" s="529"/>
      <c r="CC6" s="529"/>
      <c r="CD6" s="529"/>
      <c r="CE6" s="529"/>
      <c r="CF6" s="529"/>
      <c r="CG6" s="529"/>
      <c r="CH6" s="529"/>
      <c r="CI6" s="529"/>
      <c r="CJ6" s="529"/>
      <c r="CK6" s="529"/>
      <c r="CL6" s="529"/>
      <c r="CM6" s="529"/>
    </row>
    <row r="7">
      <c r="A7" s="256" t="s">
        <v>125</v>
      </c>
      <c r="B7" s="146" t="s">
        <v>126</v>
      </c>
      <c r="C7" s="146" t="s">
        <v>127</v>
      </c>
      <c r="D7" s="146" t="s">
        <v>128</v>
      </c>
      <c r="E7" s="146" t="s">
        <v>129</v>
      </c>
      <c r="F7" s="146" t="s">
        <v>130</v>
      </c>
      <c r="G7" s="311" t="s">
        <v>131</v>
      </c>
      <c r="H7" s="312" t="str">
        <f>Summary!G8</f>
        <v>Round 1 (09/04/2026 - 15/04/2026)</v>
      </c>
      <c r="I7" s="313"/>
      <c r="J7" s="313"/>
      <c r="K7" s="314"/>
      <c r="L7" s="312" t="str">
        <f>Summary!L8</f>
        <v>Round 2 (dd/mm/yyyy - dd/mm/yyyy)</v>
      </c>
      <c r="M7" s="313"/>
      <c r="N7" s="313"/>
      <c r="O7" s="314"/>
      <c r="P7" s="315" t="str">
        <f>Summary!Q8</f>
        <v>Round 3(dd/mm/yyyy - dd/mm/yyyy)</v>
      </c>
      <c r="Q7" s="148"/>
      <c r="R7" s="148"/>
      <c r="S7" s="171"/>
      <c r="T7" s="315" t="str">
        <f>Summary!V8</f>
        <v>Round 4 (dd/mm/yyyy - dd/mm/yyyy)</v>
      </c>
      <c r="U7" s="148"/>
      <c r="V7" s="148"/>
      <c r="W7" s="171"/>
      <c r="X7" s="533"/>
      <c r="Y7" s="533"/>
      <c r="Z7" s="533"/>
      <c r="AA7" s="533"/>
      <c r="AB7" s="533"/>
      <c r="AC7" s="533"/>
      <c r="AD7" s="533"/>
      <c r="AE7" s="533"/>
      <c r="AF7" s="533"/>
      <c r="AG7" s="533"/>
      <c r="AH7" s="533"/>
      <c r="AI7" s="533"/>
      <c r="AJ7" s="533"/>
      <c r="AK7" s="533"/>
      <c r="AL7" s="533"/>
      <c r="AM7" s="533"/>
      <c r="AN7" s="533"/>
      <c r="AO7" s="533"/>
      <c r="AP7" s="533"/>
      <c r="AQ7" s="533"/>
      <c r="AR7" s="533"/>
      <c r="AS7" s="533"/>
      <c r="AT7" s="533"/>
      <c r="AU7" s="533"/>
      <c r="AV7" s="533"/>
      <c r="AW7" s="533"/>
      <c r="AX7" s="533"/>
      <c r="AY7" s="533"/>
      <c r="AZ7" s="533"/>
      <c r="BA7" s="533"/>
      <c r="BB7" s="533"/>
      <c r="BC7" s="533"/>
      <c r="BD7" s="533"/>
      <c r="BE7" s="533"/>
      <c r="BF7" s="533"/>
      <c r="BG7" s="533"/>
      <c r="BH7" s="533"/>
      <c r="BI7" s="533"/>
      <c r="BJ7" s="533"/>
      <c r="BK7" s="533"/>
      <c r="BL7" s="533"/>
      <c r="BM7" s="533"/>
      <c r="BN7" s="533"/>
      <c r="BO7" s="533"/>
      <c r="BP7" s="533"/>
      <c r="BQ7" s="533"/>
      <c r="BR7" s="533"/>
      <c r="BS7" s="533"/>
      <c r="BT7" s="533"/>
      <c r="BU7" s="533"/>
      <c r="BV7" s="533"/>
      <c r="BW7" s="533"/>
      <c r="BX7" s="533"/>
      <c r="BY7" s="533"/>
      <c r="BZ7" s="533"/>
      <c r="CA7" s="533"/>
      <c r="CB7" s="533"/>
      <c r="CC7" s="533"/>
      <c r="CD7" s="533"/>
      <c r="CE7" s="533"/>
      <c r="CF7" s="533"/>
      <c r="CG7" s="533"/>
      <c r="CH7" s="533"/>
      <c r="CI7" s="533"/>
      <c r="CJ7" s="533"/>
      <c r="CK7" s="533"/>
      <c r="CL7" s="533"/>
      <c r="CM7" s="533"/>
    </row>
    <row r="8">
      <c r="A8" s="56"/>
      <c r="B8" s="56"/>
      <c r="C8" s="56"/>
      <c r="D8" s="56"/>
      <c r="E8" s="56"/>
      <c r="F8" s="56"/>
      <c r="G8" s="56"/>
      <c r="H8" s="317" t="s">
        <v>132</v>
      </c>
      <c r="I8" s="317" t="s">
        <v>133</v>
      </c>
      <c r="J8" s="317" t="s">
        <v>134</v>
      </c>
      <c r="K8" s="317" t="s">
        <v>135</v>
      </c>
      <c r="L8" s="317" t="s">
        <v>132</v>
      </c>
      <c r="M8" s="317" t="s">
        <v>133</v>
      </c>
      <c r="N8" s="317" t="s">
        <v>134</v>
      </c>
      <c r="O8" s="317" t="s">
        <v>135</v>
      </c>
      <c r="P8" s="317" t="s">
        <v>132</v>
      </c>
      <c r="Q8" s="317" t="s">
        <v>133</v>
      </c>
      <c r="R8" s="317" t="s">
        <v>134</v>
      </c>
      <c r="S8" s="317" t="s">
        <v>135</v>
      </c>
      <c r="T8" s="317" t="s">
        <v>132</v>
      </c>
      <c r="U8" s="317" t="s">
        <v>133</v>
      </c>
      <c r="V8" s="317" t="s">
        <v>134</v>
      </c>
      <c r="W8" s="317" t="s">
        <v>135</v>
      </c>
      <c r="X8" s="533"/>
      <c r="Y8" s="533"/>
      <c r="Z8" s="533"/>
      <c r="AA8" s="533"/>
      <c r="AB8" s="533"/>
      <c r="AC8" s="533"/>
      <c r="AD8" s="533"/>
      <c r="AE8" s="533"/>
      <c r="AF8" s="533"/>
      <c r="AG8" s="533"/>
      <c r="AH8" s="533"/>
      <c r="AI8" s="533"/>
      <c r="AJ8" s="533"/>
      <c r="AK8" s="533"/>
      <c r="AL8" s="533"/>
      <c r="AM8" s="533"/>
      <c r="AN8" s="533"/>
      <c r="AO8" s="533"/>
      <c r="AP8" s="533"/>
      <c r="AQ8" s="533"/>
      <c r="AR8" s="533"/>
      <c r="AS8" s="533"/>
      <c r="AT8" s="533"/>
      <c r="AU8" s="533"/>
      <c r="AV8" s="533"/>
      <c r="AW8" s="533"/>
      <c r="AX8" s="533"/>
      <c r="AY8" s="533"/>
      <c r="AZ8" s="533"/>
      <c r="BA8" s="533"/>
      <c r="BB8" s="533"/>
      <c r="BC8" s="533"/>
      <c r="BD8" s="533"/>
      <c r="BE8" s="533"/>
      <c r="BF8" s="533"/>
      <c r="BG8" s="533"/>
      <c r="BH8" s="533"/>
      <c r="BI8" s="533"/>
      <c r="BJ8" s="533"/>
      <c r="BK8" s="533"/>
      <c r="BL8" s="533"/>
      <c r="BM8" s="533"/>
      <c r="BN8" s="533"/>
      <c r="BO8" s="533"/>
      <c r="BP8" s="533"/>
      <c r="BQ8" s="533"/>
      <c r="BR8" s="533"/>
      <c r="BS8" s="533"/>
      <c r="BT8" s="533"/>
      <c r="BU8" s="533"/>
      <c r="BV8" s="533"/>
      <c r="BW8" s="533"/>
      <c r="BX8" s="533"/>
      <c r="BY8" s="533"/>
      <c r="BZ8" s="533"/>
      <c r="CA8" s="533"/>
      <c r="CB8" s="533"/>
      <c r="CC8" s="533"/>
      <c r="CD8" s="533"/>
      <c r="CE8" s="533"/>
      <c r="CF8" s="533"/>
      <c r="CG8" s="533"/>
      <c r="CH8" s="533"/>
      <c r="CI8" s="533"/>
      <c r="CJ8" s="533"/>
      <c r="CK8" s="533"/>
      <c r="CL8" s="533"/>
      <c r="CM8" s="533"/>
    </row>
    <row r="9">
      <c r="A9" s="536" t="s">
        <v>2058</v>
      </c>
      <c r="B9" s="148"/>
      <c r="C9" s="148"/>
      <c r="D9" s="148"/>
      <c r="E9" s="148"/>
      <c r="F9" s="148"/>
      <c r="G9" s="171"/>
      <c r="H9" s="302"/>
      <c r="I9" s="302"/>
      <c r="J9" s="300"/>
      <c r="K9" s="300"/>
      <c r="L9" s="300"/>
      <c r="M9" s="300"/>
      <c r="N9" s="300"/>
      <c r="O9" s="300"/>
      <c r="P9" s="300"/>
      <c r="Q9" s="300"/>
      <c r="R9" s="300"/>
      <c r="S9" s="300"/>
      <c r="T9" s="302"/>
      <c r="U9" s="300"/>
      <c r="V9" s="300"/>
      <c r="W9" s="300"/>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29"/>
      <c r="BD9" s="529"/>
      <c r="BE9" s="529"/>
      <c r="BF9" s="529"/>
      <c r="BG9" s="529"/>
      <c r="BH9" s="529"/>
      <c r="BI9" s="529"/>
      <c r="BJ9" s="529"/>
      <c r="BK9" s="529"/>
      <c r="BL9" s="529"/>
      <c r="BM9" s="529"/>
      <c r="BN9" s="529"/>
      <c r="BO9" s="529"/>
      <c r="BP9" s="529"/>
      <c r="BQ9" s="529"/>
      <c r="BR9" s="529"/>
      <c r="BS9" s="529"/>
      <c r="BT9" s="529"/>
      <c r="BU9" s="529"/>
      <c r="BV9" s="529"/>
      <c r="BW9" s="529"/>
      <c r="BX9" s="529"/>
      <c r="BY9" s="529"/>
      <c r="BZ9" s="529"/>
      <c r="CA9" s="529"/>
      <c r="CB9" s="529"/>
      <c r="CC9" s="529"/>
      <c r="CD9" s="529"/>
      <c r="CE9" s="529"/>
      <c r="CF9" s="529"/>
      <c r="CG9" s="529"/>
      <c r="CH9" s="529"/>
      <c r="CI9" s="529"/>
      <c r="CJ9" s="529"/>
      <c r="CK9" s="529"/>
      <c r="CL9" s="529"/>
      <c r="CM9" s="529"/>
    </row>
    <row r="10">
      <c r="A10" s="489"/>
      <c r="B10" s="325" t="str">
        <f t="shared" ref="B10:B11" si="1">IF(F10="","",$D$3&amp;"."&amp;COUNTA($F$9:F10)&amp;"")</f>
        <v>TC_05.1</v>
      </c>
      <c r="C10" s="326" t="s">
        <v>73</v>
      </c>
      <c r="D10" s="537" t="s">
        <v>2059</v>
      </c>
      <c r="E10" s="538"/>
      <c r="F10" s="539" t="s">
        <v>2060</v>
      </c>
      <c r="G10" s="537" t="s">
        <v>2061</v>
      </c>
      <c r="H10" s="302"/>
      <c r="I10" s="302"/>
      <c r="J10" s="300"/>
      <c r="K10" s="300"/>
      <c r="L10" s="300"/>
      <c r="M10" s="300"/>
      <c r="N10" s="300"/>
      <c r="O10" s="300"/>
      <c r="P10" s="300"/>
      <c r="Q10" s="300"/>
      <c r="R10" s="300"/>
      <c r="S10" s="300"/>
      <c r="T10" s="302"/>
      <c r="U10" s="300"/>
      <c r="V10" s="300"/>
      <c r="W10" s="300"/>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29"/>
      <c r="BD10" s="529"/>
      <c r="BE10" s="529"/>
      <c r="BF10" s="529"/>
      <c r="BG10" s="529"/>
      <c r="BH10" s="529"/>
      <c r="BI10" s="529"/>
      <c r="BJ10" s="529"/>
      <c r="BK10" s="529"/>
      <c r="BL10" s="529"/>
      <c r="BM10" s="529"/>
      <c r="BN10" s="529"/>
      <c r="BO10" s="529"/>
      <c r="BP10" s="529"/>
      <c r="BQ10" s="529"/>
      <c r="BR10" s="529"/>
      <c r="BS10" s="529"/>
      <c r="BT10" s="529"/>
      <c r="BU10" s="529"/>
      <c r="BV10" s="529"/>
      <c r="BW10" s="529"/>
      <c r="BX10" s="529"/>
      <c r="BY10" s="529"/>
      <c r="BZ10" s="529"/>
      <c r="CA10" s="529"/>
      <c r="CB10" s="529"/>
      <c r="CC10" s="529"/>
      <c r="CD10" s="529"/>
      <c r="CE10" s="529"/>
      <c r="CF10" s="529"/>
      <c r="CG10" s="529"/>
      <c r="CH10" s="529"/>
      <c r="CI10" s="529"/>
      <c r="CJ10" s="529"/>
      <c r="CK10" s="529"/>
      <c r="CL10" s="529"/>
      <c r="CM10" s="529"/>
    </row>
    <row r="11">
      <c r="A11" s="489"/>
      <c r="B11" s="325" t="str">
        <f t="shared" si="1"/>
        <v>TC_05.2</v>
      </c>
      <c r="C11" s="326" t="s">
        <v>73</v>
      </c>
      <c r="D11" s="537" t="s">
        <v>2062</v>
      </c>
      <c r="E11" s="537" t="s">
        <v>2063</v>
      </c>
      <c r="F11" s="537" t="s">
        <v>2064</v>
      </c>
      <c r="G11" s="539" t="s">
        <v>2065</v>
      </c>
      <c r="H11" s="302"/>
      <c r="I11" s="302"/>
      <c r="J11" s="300"/>
      <c r="K11" s="302"/>
      <c r="L11" s="300"/>
      <c r="M11" s="300"/>
      <c r="N11" s="300"/>
      <c r="O11" s="300"/>
      <c r="P11" s="300"/>
      <c r="Q11" s="300"/>
      <c r="R11" s="300"/>
      <c r="S11" s="300"/>
      <c r="T11" s="302"/>
      <c r="U11" s="300"/>
      <c r="V11" s="300"/>
      <c r="W11" s="300"/>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29"/>
      <c r="BD11" s="529"/>
      <c r="BE11" s="529"/>
      <c r="BF11" s="529"/>
      <c r="BG11" s="529"/>
      <c r="BH11" s="529"/>
      <c r="BI11" s="529"/>
      <c r="BJ11" s="529"/>
      <c r="BK11" s="529"/>
      <c r="BL11" s="529"/>
      <c r="BM11" s="529"/>
      <c r="BN11" s="529"/>
      <c r="BO11" s="529"/>
      <c r="BP11" s="529"/>
      <c r="BQ11" s="529"/>
      <c r="BR11" s="529"/>
      <c r="BS11" s="529"/>
      <c r="BT11" s="529"/>
      <c r="BU11" s="529"/>
      <c r="BV11" s="529"/>
      <c r="BW11" s="529"/>
      <c r="BX11" s="529"/>
      <c r="BY11" s="529"/>
      <c r="BZ11" s="529"/>
      <c r="CA11" s="529"/>
      <c r="CB11" s="529"/>
      <c r="CC11" s="529"/>
      <c r="CD11" s="529"/>
      <c r="CE11" s="529"/>
      <c r="CF11" s="529"/>
      <c r="CG11" s="529"/>
      <c r="CH11" s="529"/>
      <c r="CI11" s="529"/>
      <c r="CJ11" s="529"/>
      <c r="CK11" s="529"/>
      <c r="CL11" s="529"/>
      <c r="CM11" s="529"/>
    </row>
    <row r="12">
      <c r="A12" s="536" t="s">
        <v>2066</v>
      </c>
      <c r="B12" s="148"/>
      <c r="C12" s="148"/>
      <c r="D12" s="148"/>
      <c r="E12" s="148"/>
      <c r="F12" s="148"/>
      <c r="G12" s="171"/>
      <c r="H12" s="302"/>
      <c r="I12" s="302"/>
      <c r="J12" s="300"/>
      <c r="K12" s="302"/>
      <c r="L12" s="300"/>
      <c r="M12" s="300"/>
      <c r="N12" s="300"/>
      <c r="O12" s="300"/>
      <c r="P12" s="300"/>
      <c r="Q12" s="300"/>
      <c r="R12" s="300"/>
      <c r="S12" s="300"/>
      <c r="T12" s="302"/>
      <c r="U12" s="300"/>
      <c r="V12" s="300"/>
      <c r="W12" s="300"/>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29"/>
      <c r="BD12" s="529"/>
      <c r="BE12" s="529"/>
      <c r="BF12" s="529"/>
      <c r="BG12" s="529"/>
      <c r="BH12" s="529"/>
      <c r="BI12" s="529"/>
      <c r="BJ12" s="529"/>
      <c r="BK12" s="529"/>
      <c r="BL12" s="529"/>
      <c r="BM12" s="529"/>
      <c r="BN12" s="529"/>
      <c r="BO12" s="529"/>
      <c r="BP12" s="529"/>
      <c r="BQ12" s="529"/>
      <c r="BR12" s="529"/>
      <c r="BS12" s="529"/>
      <c r="BT12" s="529"/>
      <c r="BU12" s="529"/>
      <c r="BV12" s="529"/>
      <c r="BW12" s="529"/>
      <c r="BX12" s="529"/>
      <c r="BY12" s="529"/>
      <c r="BZ12" s="529"/>
      <c r="CA12" s="529"/>
      <c r="CB12" s="529"/>
      <c r="CC12" s="529"/>
      <c r="CD12" s="529"/>
      <c r="CE12" s="529"/>
      <c r="CF12" s="529"/>
      <c r="CG12" s="529"/>
      <c r="CH12" s="529"/>
      <c r="CI12" s="529"/>
      <c r="CJ12" s="529"/>
      <c r="CK12" s="529"/>
      <c r="CL12" s="529"/>
      <c r="CM12" s="529"/>
    </row>
    <row r="13">
      <c r="A13" s="300"/>
      <c r="B13" s="300" t="str">
        <f>IF(D13="","",$D$3&amp;"."&amp;COUNTA($D$9:D13)&amp;"")</f>
        <v/>
      </c>
      <c r="C13" s="540" t="s">
        <v>2067</v>
      </c>
      <c r="D13" s="148"/>
      <c r="E13" s="148"/>
      <c r="F13" s="148"/>
      <c r="G13" s="171"/>
      <c r="H13" s="302"/>
      <c r="I13" s="302"/>
      <c r="J13" s="300"/>
      <c r="K13" s="300"/>
      <c r="L13" s="300"/>
      <c r="M13" s="300"/>
      <c r="N13" s="300"/>
      <c r="O13" s="300"/>
      <c r="P13" s="300"/>
      <c r="Q13" s="300"/>
      <c r="R13" s="300"/>
      <c r="S13" s="300"/>
      <c r="T13" s="302"/>
      <c r="U13" s="300"/>
      <c r="V13" s="300"/>
      <c r="W13" s="300"/>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29"/>
      <c r="BD13" s="529"/>
      <c r="BE13" s="529"/>
      <c r="BF13" s="529"/>
      <c r="BG13" s="529"/>
      <c r="BH13" s="529"/>
      <c r="BI13" s="529"/>
      <c r="BJ13" s="529"/>
      <c r="BK13" s="529"/>
      <c r="BL13" s="529"/>
      <c r="BM13" s="529"/>
      <c r="BN13" s="529"/>
      <c r="BO13" s="529"/>
      <c r="BP13" s="529"/>
      <c r="BQ13" s="529"/>
      <c r="BR13" s="529"/>
      <c r="BS13" s="529"/>
      <c r="BT13" s="529"/>
      <c r="BU13" s="529"/>
      <c r="BV13" s="529"/>
      <c r="BW13" s="529"/>
      <c r="BX13" s="529"/>
      <c r="BY13" s="529"/>
      <c r="BZ13" s="529"/>
      <c r="CA13" s="529"/>
      <c r="CB13" s="529"/>
      <c r="CC13" s="529"/>
      <c r="CD13" s="529"/>
      <c r="CE13" s="529"/>
      <c r="CF13" s="529"/>
      <c r="CG13" s="529"/>
      <c r="CH13" s="529"/>
      <c r="CI13" s="529"/>
      <c r="CJ13" s="529"/>
      <c r="CK13" s="529"/>
      <c r="CL13" s="529"/>
      <c r="CM13" s="529"/>
    </row>
    <row r="14">
      <c r="A14" s="489"/>
      <c r="B14" s="325" t="str">
        <f>IF(F14="","",$D$3&amp;"."&amp;COUNTA($F$9:F14)&amp;"")</f>
        <v>TC_05.3</v>
      </c>
      <c r="C14" s="326" t="s">
        <v>75</v>
      </c>
      <c r="D14" s="541" t="s">
        <v>2068</v>
      </c>
      <c r="E14" s="541" t="s">
        <v>2069</v>
      </c>
      <c r="F14" s="541" t="s">
        <v>2070</v>
      </c>
      <c r="G14" s="542" t="s">
        <v>2071</v>
      </c>
      <c r="H14" s="302"/>
      <c r="I14" s="302"/>
      <c r="J14" s="300"/>
      <c r="K14" s="300"/>
      <c r="L14" s="300"/>
      <c r="M14" s="300"/>
      <c r="N14" s="300"/>
      <c r="O14" s="300"/>
      <c r="P14" s="300"/>
      <c r="Q14" s="300"/>
      <c r="R14" s="300"/>
      <c r="S14" s="300"/>
      <c r="T14" s="302"/>
      <c r="U14" s="300"/>
      <c r="V14" s="300"/>
      <c r="W14" s="300"/>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29"/>
      <c r="BD14" s="529"/>
      <c r="BE14" s="529"/>
      <c r="BF14" s="529"/>
      <c r="BG14" s="529"/>
      <c r="BH14" s="529"/>
      <c r="BI14" s="529"/>
      <c r="BJ14" s="529"/>
      <c r="BK14" s="529"/>
      <c r="BL14" s="529"/>
      <c r="BM14" s="529"/>
      <c r="BN14" s="529"/>
      <c r="BO14" s="529"/>
      <c r="BP14" s="529"/>
      <c r="BQ14" s="529"/>
      <c r="BR14" s="529"/>
      <c r="BS14" s="529"/>
      <c r="BT14" s="529"/>
      <c r="BU14" s="529"/>
      <c r="BV14" s="529"/>
      <c r="BW14" s="529"/>
      <c r="BX14" s="529"/>
      <c r="BY14" s="529"/>
      <c r="BZ14" s="529"/>
      <c r="CA14" s="529"/>
      <c r="CB14" s="529"/>
      <c r="CC14" s="529"/>
      <c r="CD14" s="529"/>
      <c r="CE14" s="529"/>
      <c r="CF14" s="529"/>
      <c r="CG14" s="529"/>
      <c r="CH14" s="529"/>
      <c r="CI14" s="529"/>
      <c r="CJ14" s="529"/>
      <c r="CK14" s="529"/>
      <c r="CL14" s="529"/>
      <c r="CM14" s="529"/>
    </row>
    <row r="15">
      <c r="A15" s="302"/>
      <c r="B15" s="302" t="str">
        <f>IF(D15="","",$D$3&amp;"."&amp;COUNTA($D$9:D15)&amp;"")</f>
        <v/>
      </c>
      <c r="C15" s="540" t="s">
        <v>2072</v>
      </c>
      <c r="D15" s="148"/>
      <c r="E15" s="148"/>
      <c r="F15" s="148"/>
      <c r="G15" s="171"/>
      <c r="H15" s="302"/>
      <c r="I15" s="302"/>
      <c r="J15" s="300"/>
      <c r="K15" s="300"/>
      <c r="L15" s="300"/>
      <c r="M15" s="300"/>
      <c r="N15" s="300"/>
      <c r="O15" s="300"/>
      <c r="P15" s="300"/>
      <c r="Q15" s="300"/>
      <c r="R15" s="300"/>
      <c r="S15" s="300"/>
      <c r="T15" s="302"/>
      <c r="U15" s="300"/>
      <c r="V15" s="300"/>
      <c r="W15" s="300"/>
      <c r="X15" s="529"/>
      <c r="Y15" s="529"/>
      <c r="Z15" s="529"/>
      <c r="AA15" s="529"/>
      <c r="AB15" s="529"/>
      <c r="AC15" s="529"/>
      <c r="AD15" s="529"/>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29"/>
      <c r="BD15" s="529"/>
      <c r="BE15" s="529"/>
      <c r="BF15" s="529"/>
      <c r="BG15" s="529"/>
      <c r="BH15" s="529"/>
      <c r="BI15" s="529"/>
      <c r="BJ15" s="529"/>
      <c r="BK15" s="529"/>
      <c r="BL15" s="529"/>
      <c r="BM15" s="529"/>
      <c r="BN15" s="529"/>
      <c r="BO15" s="529"/>
      <c r="BP15" s="529"/>
      <c r="BQ15" s="529"/>
      <c r="BR15" s="529"/>
      <c r="BS15" s="529"/>
      <c r="BT15" s="529"/>
      <c r="BU15" s="529"/>
      <c r="BV15" s="529"/>
      <c r="BW15" s="529"/>
      <c r="BX15" s="529"/>
      <c r="BY15" s="529"/>
      <c r="BZ15" s="529"/>
      <c r="CA15" s="529"/>
      <c r="CB15" s="529"/>
      <c r="CC15" s="529"/>
      <c r="CD15" s="529"/>
      <c r="CE15" s="529"/>
      <c r="CF15" s="529"/>
      <c r="CG15" s="529"/>
      <c r="CH15" s="529"/>
      <c r="CI15" s="529"/>
      <c r="CJ15" s="529"/>
      <c r="CK15" s="529"/>
      <c r="CL15" s="529"/>
      <c r="CM15" s="529"/>
    </row>
    <row r="16">
      <c r="A16" s="489"/>
      <c r="B16" s="325" t="str">
        <f>IF(F16="","",$D$3&amp;"."&amp;COUNTA($F$9:F16)&amp;"")</f>
        <v>TC_05.4</v>
      </c>
      <c r="C16" s="372" t="s">
        <v>75</v>
      </c>
      <c r="D16" s="541" t="s">
        <v>2073</v>
      </c>
      <c r="E16" s="543"/>
      <c r="F16" s="541" t="s">
        <v>2074</v>
      </c>
      <c r="G16" s="541" t="s">
        <v>2075</v>
      </c>
      <c r="H16" s="302"/>
      <c r="I16" s="302"/>
      <c r="J16" s="300"/>
      <c r="K16" s="544"/>
      <c r="L16" s="300"/>
      <c r="M16" s="300"/>
      <c r="N16" s="544"/>
      <c r="O16" s="544"/>
      <c r="P16" s="544"/>
      <c r="Q16" s="300"/>
      <c r="R16" s="544"/>
      <c r="S16" s="544"/>
      <c r="T16" s="545"/>
      <c r="U16" s="300"/>
      <c r="V16" s="544"/>
      <c r="W16" s="544"/>
      <c r="X16" s="544"/>
      <c r="Y16" s="300"/>
      <c r="Z16" s="544"/>
      <c r="AA16" s="544"/>
      <c r="AB16" s="544"/>
      <c r="AC16" s="300"/>
      <c r="AD16" s="544"/>
      <c r="AE16" s="544"/>
      <c r="AF16" s="300"/>
      <c r="AG16" s="300"/>
      <c r="AH16" s="300"/>
      <c r="AI16" s="300"/>
      <c r="AJ16" s="300"/>
      <c r="AK16" s="300"/>
      <c r="AL16" s="300"/>
      <c r="AM16" s="300"/>
      <c r="AN16" s="300"/>
      <c r="AO16" s="300"/>
      <c r="AP16" s="300"/>
      <c r="AQ16" s="300"/>
      <c r="AR16" s="544"/>
      <c r="AS16" s="544"/>
      <c r="AT16" s="544"/>
      <c r="AU16" s="544"/>
      <c r="AV16" s="544"/>
      <c r="AW16" s="544"/>
      <c r="AX16" s="544"/>
      <c r="AY16" s="544"/>
      <c r="AZ16" s="544"/>
      <c r="BA16" s="544"/>
      <c r="BB16" s="544"/>
      <c r="BC16" s="546"/>
      <c r="BD16" s="232"/>
      <c r="BE16" s="232"/>
      <c r="BF16" s="232"/>
      <c r="BG16" s="232"/>
      <c r="BH16" s="232"/>
      <c r="BI16" s="232"/>
      <c r="BJ16" s="232"/>
      <c r="BK16" s="232"/>
      <c r="BL16" s="232"/>
      <c r="BM16" s="232"/>
      <c r="BN16" s="232"/>
      <c r="BO16" s="232"/>
      <c r="BP16" s="232"/>
      <c r="BQ16" s="232"/>
      <c r="BR16" s="232"/>
      <c r="BS16" s="232"/>
      <c r="BT16" s="232"/>
      <c r="BU16" s="232"/>
      <c r="BV16" s="232"/>
      <c r="BW16" s="232"/>
      <c r="BX16" s="232"/>
      <c r="BY16" s="232"/>
      <c r="BZ16" s="232"/>
      <c r="CA16" s="232"/>
      <c r="CB16" s="232"/>
      <c r="CC16" s="232"/>
      <c r="CD16" s="232"/>
      <c r="CE16" s="232"/>
      <c r="CF16" s="232"/>
      <c r="CG16" s="232"/>
      <c r="CH16" s="232"/>
      <c r="CI16" s="232"/>
      <c r="CJ16" s="232"/>
      <c r="CK16" s="232"/>
      <c r="CL16" s="232"/>
      <c r="CM16" s="232"/>
    </row>
    <row r="17">
      <c r="A17" s="302"/>
      <c r="B17" s="302" t="str">
        <f>IF(D17="","",$D$3&amp;"."&amp;COUNTA($D$9:D17)&amp;"")</f>
        <v/>
      </c>
      <c r="C17" s="547" t="s">
        <v>2076</v>
      </c>
      <c r="D17" s="148"/>
      <c r="E17" s="148"/>
      <c r="F17" s="148"/>
      <c r="G17" s="171"/>
      <c r="H17" s="302"/>
      <c r="I17" s="302"/>
      <c r="J17" s="300"/>
      <c r="K17" s="300"/>
      <c r="L17" s="300"/>
      <c r="M17" s="300"/>
      <c r="N17" s="300"/>
      <c r="O17" s="300"/>
      <c r="P17" s="300"/>
      <c r="Q17" s="300"/>
      <c r="R17" s="300"/>
      <c r="S17" s="300"/>
      <c r="T17" s="302"/>
      <c r="U17" s="300"/>
      <c r="V17" s="300"/>
      <c r="W17" s="300"/>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29"/>
      <c r="BD17" s="529"/>
      <c r="BE17" s="529"/>
      <c r="BF17" s="529"/>
      <c r="BG17" s="529"/>
      <c r="BH17" s="529"/>
      <c r="BI17" s="529"/>
      <c r="BJ17" s="529"/>
      <c r="BK17" s="529"/>
      <c r="BL17" s="529"/>
      <c r="BM17" s="529"/>
      <c r="BN17" s="529"/>
      <c r="BO17" s="529"/>
      <c r="BP17" s="529"/>
      <c r="BQ17" s="529"/>
      <c r="BR17" s="529"/>
      <c r="BS17" s="529"/>
      <c r="BT17" s="529"/>
      <c r="BU17" s="529"/>
      <c r="BV17" s="529"/>
      <c r="BW17" s="529"/>
      <c r="BX17" s="529"/>
      <c r="BY17" s="529"/>
      <c r="BZ17" s="529"/>
      <c r="CA17" s="529"/>
      <c r="CB17" s="529"/>
      <c r="CC17" s="529"/>
      <c r="CD17" s="529"/>
      <c r="CE17" s="529"/>
      <c r="CF17" s="529"/>
      <c r="CG17" s="529"/>
      <c r="CH17" s="529"/>
      <c r="CI17" s="529"/>
      <c r="CJ17" s="529"/>
      <c r="CK17" s="529"/>
      <c r="CL17" s="529"/>
      <c r="CM17" s="529"/>
    </row>
    <row r="18">
      <c r="A18" s="548"/>
      <c r="B18" s="302"/>
      <c r="C18" s="549" t="s">
        <v>75</v>
      </c>
      <c r="D18" s="537" t="s">
        <v>2077</v>
      </c>
      <c r="E18" s="538"/>
      <c r="F18" s="537" t="s">
        <v>2078</v>
      </c>
      <c r="G18" s="539" t="s">
        <v>2079</v>
      </c>
      <c r="H18" s="302"/>
      <c r="I18" s="302"/>
      <c r="J18" s="300"/>
      <c r="K18" s="300"/>
      <c r="L18" s="300"/>
      <c r="M18" s="300"/>
      <c r="N18" s="300"/>
      <c r="O18" s="300"/>
      <c r="P18" s="300"/>
      <c r="Q18" s="300"/>
      <c r="R18" s="300"/>
      <c r="S18" s="300"/>
      <c r="T18" s="302"/>
      <c r="U18" s="300"/>
      <c r="V18" s="300"/>
      <c r="W18" s="300"/>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29"/>
      <c r="BD18" s="529"/>
      <c r="BE18" s="529"/>
      <c r="BF18" s="529"/>
      <c r="BG18" s="529"/>
      <c r="BH18" s="529"/>
      <c r="BI18" s="529"/>
      <c r="BJ18" s="529"/>
      <c r="BK18" s="529"/>
      <c r="BL18" s="529"/>
      <c r="BM18" s="529"/>
      <c r="BN18" s="529"/>
      <c r="BO18" s="529"/>
      <c r="BP18" s="529"/>
      <c r="BQ18" s="529"/>
      <c r="BR18" s="529"/>
      <c r="BS18" s="529"/>
      <c r="BT18" s="529"/>
      <c r="BU18" s="529"/>
      <c r="BV18" s="529"/>
      <c r="BW18" s="529"/>
      <c r="BX18" s="529"/>
      <c r="BY18" s="529"/>
      <c r="BZ18" s="529"/>
      <c r="CA18" s="529"/>
      <c r="CB18" s="529"/>
      <c r="CC18" s="529"/>
      <c r="CD18" s="529"/>
      <c r="CE18" s="529"/>
      <c r="CF18" s="529"/>
      <c r="CG18" s="529"/>
      <c r="CH18" s="529"/>
      <c r="CI18" s="529"/>
      <c r="CJ18" s="529"/>
      <c r="CK18" s="529"/>
      <c r="CL18" s="529"/>
      <c r="CM18" s="529"/>
    </row>
    <row r="19">
      <c r="A19" s="548"/>
      <c r="B19" s="325" t="str">
        <f>IF(F19="","",$D$3&amp;"."&amp;COUNTA($F$9:F19)&amp;"")</f>
        <v>TC_05.6</v>
      </c>
      <c r="C19" s="549"/>
      <c r="D19" s="539" t="s">
        <v>2080</v>
      </c>
      <c r="E19" s="538"/>
      <c r="F19" s="539" t="s">
        <v>2081</v>
      </c>
      <c r="G19" s="539" t="s">
        <v>2082</v>
      </c>
      <c r="H19" s="302"/>
      <c r="I19" s="302"/>
      <c r="J19" s="300"/>
      <c r="K19" s="300"/>
      <c r="L19" s="300"/>
      <c r="M19" s="300"/>
      <c r="N19" s="300"/>
      <c r="O19" s="300"/>
      <c r="P19" s="300"/>
      <c r="Q19" s="300"/>
      <c r="R19" s="300"/>
      <c r="S19" s="300"/>
      <c r="T19" s="302"/>
      <c r="U19" s="300"/>
      <c r="V19" s="300"/>
      <c r="W19" s="300"/>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29"/>
      <c r="BD19" s="529"/>
      <c r="BE19" s="529"/>
      <c r="BF19" s="529"/>
      <c r="BG19" s="529"/>
      <c r="BH19" s="529"/>
      <c r="BI19" s="529"/>
      <c r="BJ19" s="529"/>
      <c r="BK19" s="529"/>
      <c r="BL19" s="529"/>
      <c r="BM19" s="529"/>
      <c r="BN19" s="529"/>
      <c r="BO19" s="529"/>
      <c r="BP19" s="529"/>
      <c r="BQ19" s="529"/>
      <c r="BR19" s="529"/>
      <c r="BS19" s="529"/>
      <c r="BT19" s="529"/>
      <c r="BU19" s="529"/>
      <c r="BV19" s="529"/>
      <c r="BW19" s="529"/>
      <c r="BX19" s="529"/>
      <c r="BY19" s="529"/>
      <c r="BZ19" s="529"/>
      <c r="CA19" s="529"/>
      <c r="CB19" s="529"/>
      <c r="CC19" s="529"/>
      <c r="CD19" s="529"/>
      <c r="CE19" s="529"/>
      <c r="CF19" s="529"/>
      <c r="CG19" s="529"/>
      <c r="CH19" s="529"/>
      <c r="CI19" s="529"/>
      <c r="CJ19" s="529"/>
      <c r="CK19" s="529"/>
      <c r="CL19" s="529"/>
      <c r="CM19" s="529"/>
    </row>
    <row r="20">
      <c r="A20" s="300"/>
      <c r="B20" s="300" t="str">
        <f>IF(F20="","",$D$3&amp;"."&amp;COUNTA($F$15:F20)&amp;"")</f>
        <v/>
      </c>
      <c r="C20" s="540" t="s">
        <v>2083</v>
      </c>
      <c r="D20" s="148"/>
      <c r="E20" s="148"/>
      <c r="F20" s="148"/>
      <c r="G20" s="171"/>
      <c r="H20" s="302"/>
      <c r="I20" s="302"/>
      <c r="J20" s="300"/>
      <c r="K20" s="300"/>
      <c r="L20" s="300"/>
      <c r="M20" s="300"/>
      <c r="N20" s="300"/>
      <c r="O20" s="300"/>
      <c r="P20" s="300"/>
      <c r="Q20" s="300"/>
      <c r="R20" s="300"/>
      <c r="S20" s="300"/>
      <c r="T20" s="302"/>
      <c r="U20" s="300"/>
      <c r="V20" s="300"/>
      <c r="W20" s="300"/>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c r="BZ20" s="529"/>
      <c r="CA20" s="529"/>
      <c r="CB20" s="529"/>
      <c r="CC20" s="529"/>
      <c r="CD20" s="529"/>
      <c r="CE20" s="529"/>
      <c r="CF20" s="529"/>
      <c r="CG20" s="529"/>
      <c r="CH20" s="529"/>
      <c r="CI20" s="529"/>
      <c r="CJ20" s="529"/>
      <c r="CK20" s="529"/>
      <c r="CL20" s="529"/>
      <c r="CM20" s="529"/>
    </row>
    <row r="21">
      <c r="A21" s="489"/>
      <c r="B21" s="325" t="str">
        <f t="shared" ref="B21:B25" si="2">IF(F21="","",$D$3&amp;"."&amp;COUNTA($F$9:F21)&amp;"")</f>
        <v>TC_05.7</v>
      </c>
      <c r="C21" s="326" t="s">
        <v>75</v>
      </c>
      <c r="D21" s="541" t="s">
        <v>2084</v>
      </c>
      <c r="E21" s="543"/>
      <c r="F21" s="541" t="s">
        <v>2085</v>
      </c>
      <c r="G21" s="542" t="s">
        <v>2086</v>
      </c>
      <c r="H21" s="302"/>
      <c r="I21" s="302"/>
      <c r="J21" s="300"/>
      <c r="K21" s="300"/>
      <c r="L21" s="300"/>
      <c r="M21" s="300"/>
      <c r="N21" s="300"/>
      <c r="O21" s="300"/>
      <c r="P21" s="300"/>
      <c r="Q21" s="300"/>
      <c r="R21" s="300"/>
      <c r="S21" s="300"/>
      <c r="T21" s="302"/>
      <c r="U21" s="300"/>
      <c r="V21" s="300"/>
      <c r="W21" s="300"/>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c r="BZ21" s="529"/>
      <c r="CA21" s="529"/>
      <c r="CB21" s="529"/>
      <c r="CC21" s="529"/>
      <c r="CD21" s="529"/>
      <c r="CE21" s="529"/>
      <c r="CF21" s="529"/>
      <c r="CG21" s="529"/>
      <c r="CH21" s="529"/>
      <c r="CI21" s="529"/>
      <c r="CJ21" s="529"/>
      <c r="CK21" s="529"/>
      <c r="CL21" s="529"/>
      <c r="CM21" s="529"/>
    </row>
    <row r="22">
      <c r="A22" s="300"/>
      <c r="B22" s="300" t="str">
        <f t="shared" si="2"/>
        <v/>
      </c>
      <c r="C22" s="540" t="s">
        <v>1501</v>
      </c>
      <c r="D22" s="148"/>
      <c r="E22" s="148"/>
      <c r="F22" s="148"/>
      <c r="G22" s="171"/>
      <c r="H22" s="302"/>
      <c r="I22" s="302"/>
      <c r="J22" s="300"/>
      <c r="K22" s="300"/>
      <c r="L22" s="300"/>
      <c r="M22" s="300"/>
      <c r="N22" s="300"/>
      <c r="O22" s="300"/>
      <c r="P22" s="300"/>
      <c r="Q22" s="300"/>
      <c r="R22" s="300"/>
      <c r="S22" s="300"/>
      <c r="T22" s="302"/>
      <c r="U22" s="300"/>
      <c r="V22" s="300"/>
      <c r="W22" s="300"/>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29"/>
      <c r="BD22" s="529"/>
      <c r="BE22" s="529"/>
      <c r="BF22" s="529"/>
      <c r="BG22" s="529"/>
      <c r="BH22" s="529"/>
      <c r="BI22" s="529"/>
      <c r="BJ22" s="529"/>
      <c r="BK22" s="529"/>
      <c r="BL22" s="529"/>
      <c r="BM22" s="529"/>
      <c r="BN22" s="529"/>
      <c r="BO22" s="529"/>
      <c r="BP22" s="529"/>
      <c r="BQ22" s="529"/>
      <c r="BR22" s="529"/>
      <c r="BS22" s="529"/>
      <c r="BT22" s="529"/>
      <c r="BU22" s="529"/>
      <c r="BV22" s="529"/>
      <c r="BW22" s="529"/>
      <c r="BX22" s="529"/>
      <c r="BY22" s="529"/>
      <c r="BZ22" s="529"/>
      <c r="CA22" s="529"/>
      <c r="CB22" s="529"/>
      <c r="CC22" s="529"/>
      <c r="CD22" s="529"/>
      <c r="CE22" s="529"/>
      <c r="CF22" s="529"/>
      <c r="CG22" s="529"/>
      <c r="CH22" s="529"/>
      <c r="CI22" s="529"/>
      <c r="CJ22" s="529"/>
      <c r="CK22" s="529"/>
      <c r="CL22" s="529"/>
      <c r="CM22" s="529"/>
    </row>
    <row r="23">
      <c r="A23" s="300"/>
      <c r="B23" s="325" t="str">
        <f t="shared" si="2"/>
        <v>TC_05.8</v>
      </c>
      <c r="C23" s="326" t="s">
        <v>75</v>
      </c>
      <c r="D23" s="345" t="s">
        <v>2087</v>
      </c>
      <c r="E23" s="545"/>
      <c r="F23" s="550" t="s">
        <v>2088</v>
      </c>
      <c r="G23" s="345" t="s">
        <v>2089</v>
      </c>
      <c r="H23" s="302"/>
      <c r="I23" s="302"/>
      <c r="J23" s="300"/>
      <c r="K23" s="300"/>
      <c r="L23" s="300"/>
      <c r="M23" s="300"/>
      <c r="N23" s="300"/>
      <c r="O23" s="300"/>
      <c r="P23" s="300"/>
      <c r="Q23" s="300"/>
      <c r="R23" s="300"/>
      <c r="S23" s="300"/>
      <c r="T23" s="302"/>
      <c r="U23" s="300"/>
      <c r="V23" s="300"/>
      <c r="W23" s="300"/>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29"/>
      <c r="BD23" s="529"/>
      <c r="BE23" s="529"/>
      <c r="BF23" s="529"/>
      <c r="BG23" s="529"/>
      <c r="BH23" s="529"/>
      <c r="BI23" s="529"/>
      <c r="BJ23" s="529"/>
      <c r="BK23" s="529"/>
      <c r="BL23" s="529"/>
      <c r="BM23" s="529"/>
      <c r="BN23" s="529"/>
      <c r="BO23" s="529"/>
      <c r="BP23" s="529"/>
      <c r="BQ23" s="529"/>
      <c r="BR23" s="529"/>
      <c r="BS23" s="529"/>
      <c r="BT23" s="529"/>
      <c r="BU23" s="529"/>
      <c r="BV23" s="529"/>
      <c r="BW23" s="529"/>
      <c r="BX23" s="529"/>
      <c r="BY23" s="529"/>
      <c r="BZ23" s="529"/>
      <c r="CA23" s="529"/>
      <c r="CB23" s="529"/>
      <c r="CC23" s="529"/>
      <c r="CD23" s="529"/>
      <c r="CE23" s="529"/>
      <c r="CF23" s="529"/>
      <c r="CG23" s="529"/>
      <c r="CH23" s="529"/>
      <c r="CI23" s="529"/>
      <c r="CJ23" s="529"/>
      <c r="CK23" s="529"/>
      <c r="CL23" s="529"/>
      <c r="CM23" s="529"/>
    </row>
    <row r="24">
      <c r="A24" s="302"/>
      <c r="B24" s="326" t="str">
        <f t="shared" si="2"/>
        <v>TC_05.9</v>
      </c>
      <c r="C24" s="347" t="s">
        <v>73</v>
      </c>
      <c r="D24" s="551" t="s">
        <v>2090</v>
      </c>
      <c r="E24" s="276" t="s">
        <v>2091</v>
      </c>
      <c r="F24" s="347" t="s">
        <v>2092</v>
      </c>
      <c r="G24" s="347" t="s">
        <v>2093</v>
      </c>
      <c r="H24" s="302"/>
      <c r="I24" s="300"/>
      <c r="J24" s="300"/>
      <c r="K24" s="300"/>
      <c r="L24" s="300"/>
      <c r="M24" s="300"/>
      <c r="N24" s="300"/>
      <c r="O24" s="300"/>
      <c r="P24" s="300"/>
      <c r="Q24" s="300"/>
      <c r="R24" s="300"/>
      <c r="S24" s="300"/>
      <c r="T24" s="302"/>
      <c r="U24" s="300"/>
      <c r="V24" s="300"/>
      <c r="W24" s="300"/>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29"/>
      <c r="BD24" s="529"/>
      <c r="BE24" s="529"/>
      <c r="BF24" s="529"/>
      <c r="BG24" s="529"/>
      <c r="BH24" s="529"/>
      <c r="BI24" s="529"/>
      <c r="BJ24" s="529"/>
      <c r="BK24" s="529"/>
      <c r="BL24" s="529"/>
      <c r="BM24" s="529"/>
      <c r="BN24" s="529"/>
      <c r="BO24" s="529"/>
      <c r="BP24" s="529"/>
      <c r="BQ24" s="529"/>
      <c r="BR24" s="529"/>
      <c r="BS24" s="529"/>
      <c r="BT24" s="529"/>
      <c r="BU24" s="529"/>
      <c r="BV24" s="529"/>
      <c r="BW24" s="529"/>
      <c r="BX24" s="529"/>
      <c r="BY24" s="529"/>
      <c r="BZ24" s="529"/>
      <c r="CA24" s="529"/>
      <c r="CB24" s="529"/>
      <c r="CC24" s="529"/>
      <c r="CD24" s="529"/>
      <c r="CE24" s="529"/>
      <c r="CF24" s="529"/>
      <c r="CG24" s="529"/>
      <c r="CH24" s="529"/>
      <c r="CI24" s="529"/>
      <c r="CJ24" s="529"/>
      <c r="CK24" s="529"/>
      <c r="CL24" s="529"/>
      <c r="CM24" s="529"/>
    </row>
    <row r="25">
      <c r="A25" s="300"/>
      <c r="B25" s="325" t="str">
        <f t="shared" si="2"/>
        <v>TC_05.10</v>
      </c>
      <c r="C25" s="347" t="s">
        <v>73</v>
      </c>
      <c r="D25" s="551" t="s">
        <v>2094</v>
      </c>
      <c r="E25" s="276" t="s">
        <v>2095</v>
      </c>
      <c r="F25" s="347" t="s">
        <v>2096</v>
      </c>
      <c r="G25" s="347" t="s">
        <v>2097</v>
      </c>
      <c r="H25" s="302"/>
      <c r="I25" s="302"/>
      <c r="J25" s="300"/>
      <c r="K25" s="300"/>
      <c r="L25" s="300"/>
      <c r="M25" s="300"/>
      <c r="N25" s="300"/>
      <c r="O25" s="300"/>
      <c r="P25" s="300"/>
      <c r="Q25" s="300"/>
      <c r="R25" s="300"/>
      <c r="S25" s="300"/>
      <c r="T25" s="302"/>
      <c r="U25" s="300"/>
      <c r="V25" s="300"/>
      <c r="W25" s="300"/>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29"/>
      <c r="BD25" s="529"/>
      <c r="BE25" s="529"/>
      <c r="BF25" s="529"/>
      <c r="BG25" s="529"/>
      <c r="BH25" s="529"/>
      <c r="BI25" s="529"/>
      <c r="BJ25" s="529"/>
      <c r="BK25" s="529"/>
      <c r="BL25" s="529"/>
      <c r="BM25" s="529"/>
      <c r="BN25" s="529"/>
      <c r="BO25" s="529"/>
      <c r="BP25" s="529"/>
      <c r="BQ25" s="529"/>
      <c r="BR25" s="529"/>
      <c r="BS25" s="529"/>
      <c r="BT25" s="529"/>
      <c r="BU25" s="529"/>
      <c r="BV25" s="529"/>
      <c r="BW25" s="529"/>
      <c r="BX25" s="529"/>
      <c r="BY25" s="529"/>
      <c r="BZ25" s="529"/>
      <c r="CA25" s="529"/>
      <c r="CB25" s="529"/>
      <c r="CC25" s="529"/>
      <c r="CD25" s="529"/>
      <c r="CE25" s="529"/>
      <c r="CF25" s="529"/>
      <c r="CG25" s="529"/>
      <c r="CH25" s="529"/>
      <c r="CI25" s="529"/>
      <c r="CJ25" s="529"/>
      <c r="CK25" s="529"/>
      <c r="CL25" s="529"/>
      <c r="CM25" s="529"/>
    </row>
    <row r="26">
      <c r="A26" s="300"/>
      <c r="B26" s="536" t="s">
        <v>1482</v>
      </c>
      <c r="C26" s="148"/>
      <c r="D26" s="148"/>
      <c r="E26" s="148"/>
      <c r="F26" s="148"/>
      <c r="G26" s="171"/>
      <c r="H26" s="302"/>
      <c r="I26" s="302"/>
      <c r="J26" s="300"/>
      <c r="K26" s="300"/>
      <c r="L26" s="300"/>
      <c r="M26" s="300"/>
      <c r="N26" s="300"/>
      <c r="O26" s="300"/>
      <c r="P26" s="300"/>
      <c r="Q26" s="300"/>
      <c r="R26" s="300"/>
      <c r="S26" s="300"/>
      <c r="T26" s="302"/>
      <c r="U26" s="300"/>
      <c r="V26" s="300"/>
      <c r="W26" s="300"/>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29"/>
      <c r="BD26" s="529"/>
      <c r="BE26" s="529"/>
      <c r="BF26" s="529"/>
      <c r="BG26" s="529"/>
      <c r="BH26" s="529"/>
      <c r="BI26" s="529"/>
      <c r="BJ26" s="529"/>
      <c r="BK26" s="529"/>
      <c r="BL26" s="529"/>
      <c r="BM26" s="529"/>
      <c r="BN26" s="529"/>
      <c r="BO26" s="529"/>
      <c r="BP26" s="529"/>
      <c r="BQ26" s="529"/>
      <c r="BR26" s="529"/>
      <c r="BS26" s="529"/>
      <c r="BT26" s="529"/>
      <c r="BU26" s="529"/>
      <c r="BV26" s="529"/>
      <c r="BW26" s="529"/>
      <c r="BX26" s="529"/>
      <c r="BY26" s="529"/>
      <c r="BZ26" s="529"/>
      <c r="CA26" s="529"/>
      <c r="CB26" s="529"/>
      <c r="CC26" s="529"/>
      <c r="CD26" s="529"/>
      <c r="CE26" s="529"/>
      <c r="CF26" s="529"/>
      <c r="CG26" s="529"/>
      <c r="CH26" s="529"/>
      <c r="CI26" s="529"/>
      <c r="CJ26" s="529"/>
      <c r="CK26" s="529"/>
      <c r="CL26" s="529"/>
      <c r="CM26" s="529"/>
    </row>
    <row r="27">
      <c r="A27" s="300"/>
      <c r="B27" s="325"/>
      <c r="C27" s="329" t="s">
        <v>73</v>
      </c>
      <c r="D27" s="347" t="s">
        <v>2098</v>
      </c>
      <c r="E27" s="329" t="s">
        <v>2099</v>
      </c>
      <c r="F27" s="429" t="s">
        <v>2100</v>
      </c>
      <c r="G27" s="329" t="s">
        <v>2101</v>
      </c>
      <c r="H27" s="302"/>
      <c r="I27" s="302"/>
      <c r="J27" s="300"/>
      <c r="K27" s="300"/>
      <c r="L27" s="300"/>
      <c r="M27" s="300"/>
      <c r="N27" s="300"/>
      <c r="O27" s="300"/>
      <c r="P27" s="300"/>
      <c r="Q27" s="300"/>
      <c r="R27" s="300"/>
      <c r="S27" s="300"/>
      <c r="T27" s="302"/>
      <c r="U27" s="300"/>
      <c r="V27" s="300"/>
      <c r="W27" s="300"/>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29"/>
      <c r="BD27" s="529"/>
      <c r="BE27" s="529"/>
      <c r="BF27" s="529"/>
      <c r="BG27" s="529"/>
      <c r="BH27" s="529"/>
      <c r="BI27" s="529"/>
      <c r="BJ27" s="529"/>
      <c r="BK27" s="529"/>
      <c r="BL27" s="529"/>
      <c r="BM27" s="529"/>
      <c r="BN27" s="529"/>
      <c r="BO27" s="529"/>
      <c r="BP27" s="529"/>
      <c r="BQ27" s="529"/>
      <c r="BR27" s="529"/>
      <c r="BS27" s="529"/>
      <c r="BT27" s="529"/>
      <c r="BU27" s="529"/>
      <c r="BV27" s="529"/>
      <c r="BW27" s="529"/>
      <c r="BX27" s="529"/>
      <c r="BY27" s="529"/>
      <c r="BZ27" s="529"/>
      <c r="CA27" s="529"/>
      <c r="CB27" s="529"/>
      <c r="CC27" s="529"/>
      <c r="CD27" s="529"/>
      <c r="CE27" s="529"/>
      <c r="CF27" s="529"/>
      <c r="CG27" s="529"/>
      <c r="CH27" s="529"/>
      <c r="CI27" s="529"/>
      <c r="CJ27" s="529"/>
      <c r="CK27" s="529"/>
      <c r="CL27" s="529"/>
      <c r="CM27" s="529"/>
    </row>
    <row r="28">
      <c r="A28" s="300"/>
      <c r="B28" s="325" t="str">
        <f t="shared" ref="B28:B30" si="3">IF(F28="","",$D$3&amp;"."&amp;COUNTA($F$9:F28)&amp;"")</f>
        <v>TC_05.12</v>
      </c>
      <c r="C28" s="347" t="s">
        <v>73</v>
      </c>
      <c r="D28" s="347" t="s">
        <v>2098</v>
      </c>
      <c r="E28" s="347" t="s">
        <v>2102</v>
      </c>
      <c r="F28" s="550" t="s">
        <v>2103</v>
      </c>
      <c r="G28" s="329" t="s">
        <v>2104</v>
      </c>
      <c r="H28" s="302"/>
      <c r="I28" s="302"/>
      <c r="J28" s="300"/>
      <c r="K28" s="300"/>
      <c r="L28" s="300"/>
      <c r="M28" s="300"/>
      <c r="N28" s="300"/>
      <c r="O28" s="300"/>
      <c r="P28" s="300"/>
      <c r="Q28" s="300"/>
      <c r="R28" s="300"/>
      <c r="S28" s="300"/>
      <c r="T28" s="302"/>
      <c r="U28" s="300"/>
      <c r="V28" s="300"/>
      <c r="W28" s="300"/>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29"/>
      <c r="BD28" s="529"/>
      <c r="BE28" s="529"/>
      <c r="BF28" s="529"/>
      <c r="BG28" s="529"/>
      <c r="BH28" s="529"/>
      <c r="BI28" s="529"/>
      <c r="BJ28" s="529"/>
      <c r="BK28" s="529"/>
      <c r="BL28" s="529"/>
      <c r="BM28" s="529"/>
      <c r="BN28" s="529"/>
      <c r="BO28" s="529"/>
      <c r="BP28" s="529"/>
      <c r="BQ28" s="529"/>
      <c r="BR28" s="529"/>
      <c r="BS28" s="529"/>
      <c r="BT28" s="529"/>
      <c r="BU28" s="529"/>
      <c r="BV28" s="529"/>
      <c r="BW28" s="529"/>
      <c r="BX28" s="529"/>
      <c r="BY28" s="529"/>
      <c r="BZ28" s="529"/>
      <c r="CA28" s="529"/>
      <c r="CB28" s="529"/>
      <c r="CC28" s="529"/>
      <c r="CD28" s="529"/>
      <c r="CE28" s="529"/>
      <c r="CF28" s="529"/>
      <c r="CG28" s="529"/>
      <c r="CH28" s="529"/>
      <c r="CI28" s="529"/>
      <c r="CJ28" s="529"/>
      <c r="CK28" s="529"/>
      <c r="CL28" s="529"/>
      <c r="CM28" s="529"/>
    </row>
    <row r="29">
      <c r="A29" s="300"/>
      <c r="B29" s="325" t="str">
        <f t="shared" si="3"/>
        <v>TC_05.13</v>
      </c>
      <c r="C29" s="267" t="s">
        <v>73</v>
      </c>
      <c r="D29" s="265" t="s">
        <v>2105</v>
      </c>
      <c r="E29" s="552" t="s">
        <v>2106</v>
      </c>
      <c r="F29" s="552" t="s">
        <v>2107</v>
      </c>
      <c r="G29" s="265" t="s">
        <v>2108</v>
      </c>
      <c r="H29" s="302"/>
      <c r="I29" s="302"/>
      <c r="J29" s="300"/>
      <c r="K29" s="300"/>
      <c r="L29" s="300"/>
      <c r="M29" s="300"/>
      <c r="N29" s="300"/>
      <c r="O29" s="300"/>
      <c r="P29" s="300"/>
      <c r="Q29" s="300"/>
      <c r="R29" s="300"/>
      <c r="S29" s="300"/>
      <c r="T29" s="302"/>
      <c r="U29" s="300"/>
      <c r="V29" s="300"/>
      <c r="W29" s="300"/>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c r="BZ29" s="529"/>
      <c r="CA29" s="529"/>
      <c r="CB29" s="529"/>
      <c r="CC29" s="529"/>
      <c r="CD29" s="529"/>
      <c r="CE29" s="529"/>
      <c r="CF29" s="529"/>
      <c r="CG29" s="529"/>
      <c r="CH29" s="529"/>
      <c r="CI29" s="529"/>
      <c r="CJ29" s="529"/>
      <c r="CK29" s="529"/>
      <c r="CL29" s="529"/>
      <c r="CM29" s="529"/>
    </row>
    <row r="30">
      <c r="A30" s="300"/>
      <c r="B30" s="325" t="str">
        <f t="shared" si="3"/>
        <v>TC_05.14</v>
      </c>
      <c r="C30" s="267" t="s">
        <v>73</v>
      </c>
      <c r="D30" s="265" t="s">
        <v>2109</v>
      </c>
      <c r="E30" s="552" t="s">
        <v>2106</v>
      </c>
      <c r="F30" s="552" t="s">
        <v>2110</v>
      </c>
      <c r="G30" s="265" t="s">
        <v>2111</v>
      </c>
      <c r="H30" s="302"/>
      <c r="I30" s="302"/>
      <c r="J30" s="300"/>
      <c r="K30" s="300"/>
      <c r="L30" s="300"/>
      <c r="M30" s="300"/>
      <c r="N30" s="300"/>
      <c r="O30" s="300"/>
      <c r="P30" s="300"/>
      <c r="Q30" s="300"/>
      <c r="R30" s="300"/>
      <c r="S30" s="300"/>
      <c r="T30" s="302"/>
      <c r="U30" s="300"/>
      <c r="V30" s="300"/>
      <c r="W30" s="300"/>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c r="BZ30" s="529"/>
      <c r="CA30" s="529"/>
      <c r="CB30" s="529"/>
      <c r="CC30" s="529"/>
      <c r="CD30" s="529"/>
      <c r="CE30" s="529"/>
      <c r="CF30" s="529"/>
      <c r="CG30" s="529"/>
      <c r="CH30" s="529"/>
      <c r="CI30" s="529"/>
      <c r="CJ30" s="529"/>
      <c r="CK30" s="529"/>
      <c r="CL30" s="529"/>
      <c r="CM30" s="529"/>
    </row>
    <row r="31">
      <c r="A31" s="300"/>
      <c r="B31" s="300"/>
      <c r="C31" s="302"/>
      <c r="D31" s="302"/>
      <c r="E31" s="302"/>
      <c r="F31" s="302"/>
      <c r="G31" s="302"/>
      <c r="H31" s="302"/>
      <c r="I31" s="302"/>
      <c r="J31" s="300"/>
      <c r="K31" s="300"/>
      <c r="L31" s="300"/>
      <c r="M31" s="300"/>
      <c r="N31" s="300"/>
      <c r="O31" s="300"/>
      <c r="P31" s="300"/>
      <c r="Q31" s="300"/>
      <c r="R31" s="300"/>
      <c r="S31" s="300"/>
      <c r="T31" s="302"/>
      <c r="U31" s="300"/>
      <c r="V31" s="300"/>
      <c r="W31" s="300"/>
      <c r="X31" s="529"/>
      <c r="Y31" s="529"/>
      <c r="Z31" s="529"/>
      <c r="AA31" s="529"/>
      <c r="AB31" s="529"/>
      <c r="AC31" s="529"/>
      <c r="AD31" s="529"/>
      <c r="AE31" s="529"/>
      <c r="AF31" s="529"/>
      <c r="AG31" s="529"/>
      <c r="AH31" s="529"/>
      <c r="AI31" s="529"/>
      <c r="AJ31" s="529"/>
      <c r="AK31" s="529"/>
      <c r="AL31" s="529"/>
      <c r="AM31" s="529"/>
      <c r="AN31" s="529"/>
      <c r="AO31" s="529"/>
      <c r="AP31" s="529"/>
      <c r="AQ31" s="529"/>
      <c r="AR31" s="529"/>
      <c r="AS31" s="529"/>
      <c r="AT31" s="529"/>
      <c r="AU31" s="529"/>
      <c r="AV31" s="529"/>
      <c r="AW31" s="529"/>
      <c r="AX31" s="529"/>
      <c r="AY31" s="529"/>
      <c r="AZ31" s="529"/>
      <c r="BA31" s="529"/>
      <c r="BB31" s="529"/>
      <c r="BC31" s="529"/>
      <c r="BD31" s="529"/>
      <c r="BE31" s="529"/>
      <c r="BF31" s="529"/>
      <c r="BG31" s="529"/>
      <c r="BH31" s="529"/>
      <c r="BI31" s="529"/>
      <c r="BJ31" s="529"/>
      <c r="BK31" s="529"/>
      <c r="BL31" s="529"/>
      <c r="BM31" s="529"/>
      <c r="BN31" s="529"/>
      <c r="BO31" s="529"/>
      <c r="BP31" s="529"/>
      <c r="BQ31" s="529"/>
      <c r="BR31" s="529"/>
      <c r="BS31" s="529"/>
      <c r="BT31" s="529"/>
      <c r="BU31" s="529"/>
      <c r="BV31" s="529"/>
      <c r="BW31" s="529"/>
      <c r="BX31" s="529"/>
      <c r="BY31" s="529"/>
      <c r="BZ31" s="529"/>
      <c r="CA31" s="529"/>
      <c r="CB31" s="529"/>
      <c r="CC31" s="529"/>
      <c r="CD31" s="529"/>
      <c r="CE31" s="529"/>
      <c r="CF31" s="529"/>
      <c r="CG31" s="529"/>
      <c r="CH31" s="529"/>
      <c r="CI31" s="529"/>
      <c r="CJ31" s="529"/>
      <c r="CK31" s="529"/>
      <c r="CL31" s="529"/>
      <c r="CM31" s="529"/>
    </row>
    <row r="32">
      <c r="A32" s="300"/>
      <c r="B32" s="529"/>
      <c r="C32" s="553"/>
      <c r="D32" s="553"/>
      <c r="E32" s="553"/>
      <c r="F32" s="553"/>
      <c r="G32" s="553"/>
      <c r="H32" s="553"/>
      <c r="I32" s="553"/>
      <c r="J32" s="529"/>
      <c r="K32" s="529"/>
      <c r="L32" s="529"/>
      <c r="M32" s="529"/>
      <c r="N32" s="529"/>
      <c r="O32" s="529"/>
      <c r="P32" s="529"/>
      <c r="Q32" s="529"/>
      <c r="R32" s="529"/>
      <c r="S32" s="529"/>
      <c r="T32" s="553"/>
      <c r="U32" s="529"/>
      <c r="V32" s="529"/>
      <c r="W32" s="529"/>
      <c r="X32" s="529"/>
      <c r="Y32" s="529"/>
      <c r="Z32" s="529"/>
      <c r="AA32" s="529"/>
      <c r="AB32" s="529"/>
      <c r="AC32" s="529"/>
      <c r="AD32" s="529"/>
      <c r="AE32" s="529"/>
      <c r="AF32" s="529"/>
      <c r="AG32" s="529"/>
      <c r="AH32" s="529"/>
      <c r="AI32" s="529"/>
      <c r="AJ32" s="529"/>
      <c r="AK32" s="529"/>
      <c r="AL32" s="529"/>
      <c r="AM32" s="529"/>
      <c r="AN32" s="529"/>
      <c r="AO32" s="529"/>
      <c r="AP32" s="529"/>
      <c r="AQ32" s="529"/>
      <c r="AR32" s="529"/>
      <c r="AS32" s="529"/>
      <c r="AT32" s="529"/>
      <c r="AU32" s="529"/>
      <c r="AV32" s="529"/>
      <c r="AW32" s="529"/>
      <c r="AX32" s="529"/>
      <c r="AY32" s="529"/>
      <c r="AZ32" s="529"/>
      <c r="BA32" s="529"/>
      <c r="BB32" s="529"/>
      <c r="BC32" s="529"/>
      <c r="BD32" s="529"/>
      <c r="BE32" s="529"/>
      <c r="BF32" s="529"/>
      <c r="BG32" s="529"/>
      <c r="BH32" s="529"/>
      <c r="BI32" s="529"/>
      <c r="BJ32" s="529"/>
      <c r="BK32" s="529"/>
      <c r="BL32" s="529"/>
      <c r="BM32" s="529"/>
      <c r="BN32" s="529"/>
      <c r="BO32" s="529"/>
      <c r="BP32" s="529"/>
      <c r="BQ32" s="529"/>
      <c r="BR32" s="529"/>
      <c r="BS32" s="529"/>
      <c r="BT32" s="529"/>
      <c r="BU32" s="529"/>
      <c r="BV32" s="529"/>
      <c r="BW32" s="529"/>
      <c r="BX32" s="529"/>
      <c r="BY32" s="529"/>
      <c r="BZ32" s="529"/>
      <c r="CA32" s="529"/>
      <c r="CB32" s="529"/>
      <c r="CC32" s="529"/>
      <c r="CD32" s="529"/>
      <c r="CE32" s="529"/>
      <c r="CF32" s="529"/>
      <c r="CG32" s="529"/>
      <c r="CH32" s="529"/>
      <c r="CI32" s="529"/>
      <c r="CJ32" s="529"/>
      <c r="CK32" s="529"/>
      <c r="CL32" s="529"/>
      <c r="CM32" s="529"/>
    </row>
    <row r="33">
      <c r="A33" s="300"/>
      <c r="B33" s="529"/>
      <c r="C33" s="553"/>
      <c r="D33" s="553"/>
      <c r="E33" s="553"/>
      <c r="F33" s="553"/>
      <c r="G33" s="553"/>
      <c r="H33" s="553"/>
      <c r="I33" s="529"/>
      <c r="J33" s="529"/>
      <c r="K33" s="529"/>
      <c r="L33" s="529"/>
      <c r="M33" s="529"/>
      <c r="N33" s="529"/>
      <c r="O33" s="529"/>
      <c r="P33" s="529"/>
      <c r="Q33" s="529"/>
      <c r="R33" s="529"/>
      <c r="S33" s="529"/>
      <c r="T33" s="553"/>
      <c r="U33" s="529"/>
      <c r="V33" s="529"/>
      <c r="W33" s="529"/>
      <c r="X33" s="529"/>
      <c r="Y33" s="529"/>
      <c r="Z33" s="529"/>
      <c r="AA33" s="529"/>
      <c r="AB33" s="529"/>
      <c r="AC33" s="529"/>
      <c r="AD33" s="529"/>
      <c r="AE33" s="529"/>
      <c r="AF33" s="529"/>
      <c r="AG33" s="529"/>
      <c r="AH33" s="529"/>
      <c r="AI33" s="529"/>
      <c r="AJ33" s="529"/>
      <c r="AK33" s="529"/>
      <c r="AL33" s="529"/>
      <c r="AM33" s="529"/>
      <c r="AN33" s="529"/>
      <c r="AO33" s="529"/>
      <c r="AP33" s="529"/>
      <c r="AQ33" s="529"/>
      <c r="AR33" s="529"/>
      <c r="AS33" s="529"/>
      <c r="AT33" s="529"/>
      <c r="AU33" s="529"/>
      <c r="AV33" s="529"/>
      <c r="AW33" s="529"/>
      <c r="AX33" s="529"/>
      <c r="AY33" s="529"/>
      <c r="AZ33" s="529"/>
      <c r="BA33" s="529"/>
      <c r="BB33" s="529"/>
      <c r="BC33" s="529"/>
      <c r="BD33" s="529"/>
      <c r="BE33" s="529"/>
      <c r="BF33" s="529"/>
      <c r="BG33" s="529"/>
      <c r="BH33" s="529"/>
      <c r="BI33" s="529"/>
      <c r="BJ33" s="529"/>
      <c r="BK33" s="529"/>
      <c r="BL33" s="529"/>
      <c r="BM33" s="529"/>
      <c r="BN33" s="529"/>
      <c r="BO33" s="529"/>
      <c r="BP33" s="529"/>
      <c r="BQ33" s="529"/>
      <c r="BR33" s="529"/>
      <c r="BS33" s="529"/>
      <c r="BT33" s="529"/>
      <c r="BU33" s="529"/>
      <c r="BV33" s="529"/>
      <c r="BW33" s="529"/>
      <c r="BX33" s="529"/>
      <c r="BY33" s="529"/>
      <c r="BZ33" s="529"/>
      <c r="CA33" s="529"/>
      <c r="CB33" s="529"/>
      <c r="CC33" s="529"/>
      <c r="CD33" s="529"/>
      <c r="CE33" s="529"/>
      <c r="CF33" s="529"/>
      <c r="CG33" s="529"/>
      <c r="CH33" s="529"/>
      <c r="CI33" s="529"/>
      <c r="CJ33" s="529"/>
      <c r="CK33" s="529"/>
      <c r="CL33" s="529"/>
      <c r="CM33" s="529"/>
    </row>
    <row r="34">
      <c r="A34" s="300"/>
      <c r="B34" s="529"/>
      <c r="C34" s="553"/>
      <c r="D34" s="553"/>
      <c r="E34" s="553"/>
      <c r="F34" s="553"/>
      <c r="G34" s="553"/>
      <c r="H34" s="553"/>
      <c r="I34" s="529"/>
      <c r="J34" s="529"/>
      <c r="K34" s="529"/>
      <c r="L34" s="529"/>
      <c r="M34" s="529"/>
      <c r="N34" s="529"/>
      <c r="O34" s="529"/>
      <c r="P34" s="529"/>
      <c r="Q34" s="529"/>
      <c r="R34" s="529"/>
      <c r="S34" s="529"/>
      <c r="T34" s="553"/>
      <c r="U34" s="529"/>
      <c r="V34" s="529"/>
      <c r="W34" s="529"/>
      <c r="X34" s="529"/>
      <c r="Y34" s="529"/>
      <c r="Z34" s="529"/>
      <c r="AA34" s="529"/>
      <c r="AB34" s="529"/>
      <c r="AC34" s="529"/>
      <c r="AD34" s="529"/>
      <c r="AE34" s="529"/>
      <c r="AF34" s="529"/>
      <c r="AG34" s="529"/>
      <c r="AH34" s="529"/>
      <c r="AI34" s="529"/>
      <c r="AJ34" s="529"/>
      <c r="AK34" s="529"/>
      <c r="AL34" s="529"/>
      <c r="AM34" s="529"/>
      <c r="AN34" s="529"/>
      <c r="AO34" s="529"/>
      <c r="AP34" s="529"/>
      <c r="AQ34" s="529"/>
      <c r="AR34" s="529"/>
      <c r="AS34" s="529"/>
      <c r="AT34" s="529"/>
      <c r="AU34" s="529"/>
      <c r="AV34" s="529"/>
      <c r="AW34" s="529"/>
      <c r="AX34" s="529"/>
      <c r="AY34" s="529"/>
      <c r="AZ34" s="529"/>
      <c r="BA34" s="529"/>
      <c r="BB34" s="529"/>
      <c r="BC34" s="529"/>
      <c r="BD34" s="529"/>
      <c r="BE34" s="529"/>
      <c r="BF34" s="529"/>
      <c r="BG34" s="529"/>
      <c r="BH34" s="529"/>
      <c r="BI34" s="529"/>
      <c r="BJ34" s="529"/>
      <c r="BK34" s="529"/>
      <c r="BL34" s="529"/>
      <c r="BM34" s="529"/>
      <c r="BN34" s="529"/>
      <c r="BO34" s="529"/>
      <c r="BP34" s="529"/>
      <c r="BQ34" s="529"/>
      <c r="BR34" s="529"/>
      <c r="BS34" s="529"/>
      <c r="BT34" s="529"/>
      <c r="BU34" s="529"/>
      <c r="BV34" s="529"/>
      <c r="BW34" s="529"/>
      <c r="BX34" s="529"/>
      <c r="BY34" s="529"/>
      <c r="BZ34" s="529"/>
      <c r="CA34" s="529"/>
      <c r="CB34" s="529"/>
      <c r="CC34" s="529"/>
      <c r="CD34" s="529"/>
      <c r="CE34" s="529"/>
      <c r="CF34" s="529"/>
      <c r="CG34" s="529"/>
      <c r="CH34" s="529"/>
      <c r="CI34" s="529"/>
      <c r="CJ34" s="529"/>
      <c r="CK34" s="529"/>
      <c r="CL34" s="529"/>
      <c r="CM34" s="529"/>
    </row>
  </sheetData>
  <autoFilter ref="$H$1:$K$34"/>
  <mergeCells count="24">
    <mergeCell ref="C7:C8"/>
    <mergeCell ref="D7:D8"/>
    <mergeCell ref="E7:E8"/>
    <mergeCell ref="F7:F8"/>
    <mergeCell ref="G7:G8"/>
    <mergeCell ref="H7:K7"/>
    <mergeCell ref="L7:O7"/>
    <mergeCell ref="P7:S7"/>
    <mergeCell ref="T7:W7"/>
    <mergeCell ref="A9:G9"/>
    <mergeCell ref="A12:G12"/>
    <mergeCell ref="C13:G13"/>
    <mergeCell ref="C15:G15"/>
    <mergeCell ref="C17:G17"/>
    <mergeCell ref="C20:G20"/>
    <mergeCell ref="C22:G22"/>
    <mergeCell ref="B26:G26"/>
    <mergeCell ref="C2:F2"/>
    <mergeCell ref="B3:C3"/>
    <mergeCell ref="D3:E3"/>
    <mergeCell ref="B4:C4"/>
    <mergeCell ref="D4:E4"/>
    <mergeCell ref="A7:A8"/>
    <mergeCell ref="B7:B8"/>
  </mergeCells>
  <conditionalFormatting sqref="H9:H34 L9:L34 P9:P34 T9:T34 X11:X34 AB11:AB34 AF11:AF34 AJ11:AJ34 AN11:AN34 AR11:AR34 AV11:AV34 AZ11:AZ34">
    <cfRule type="cellIs" dxfId="0" priority="1" operator="equal">
      <formula>"Block"</formula>
    </cfRule>
  </conditionalFormatting>
  <conditionalFormatting sqref="H9:H34 L9:L34 P9:P34 T9:T34 X11:X34 AB11:AB34 AF11:AF34 AJ11:AJ34 AN11:AN34 AR11:AR34 AV11:AV34 AZ11:AZ34">
    <cfRule type="cellIs" dxfId="1" priority="2" operator="equal">
      <formula>"Fail"</formula>
    </cfRule>
  </conditionalFormatting>
  <conditionalFormatting sqref="H9:H34 L9:L34 P9:P34 T9:T34 X11:X34 AB11:AB34 AF11:AF34 AJ11:AJ34 AN11:AN34 AR11:AR34 AV11:AV34 AZ11:AZ34">
    <cfRule type="cellIs" dxfId="2" priority="3" operator="equal">
      <formula>"Pass"</formula>
    </cfRule>
  </conditionalFormatting>
  <conditionalFormatting sqref="H9:H34 L9:L34 P9:P34 T9:T34 X11:X34 AB11:AB34 AF11:AF34 AJ11:AJ34 AN11:AN34 AR11:AR34 AV11:AV34 AZ11:AZ34">
    <cfRule type="cellIs" dxfId="3" priority="4" operator="equal">
      <formula>"N/A"</formula>
    </cfRule>
  </conditionalFormatting>
  <conditionalFormatting sqref="H9:H34 L9:L34 P9:P34 T9:T34">
    <cfRule type="cellIs" dxfId="4" priority="5" operator="equal">
      <formula>"Block"</formula>
    </cfRule>
  </conditionalFormatting>
  <conditionalFormatting sqref="H9:H34 L9:L34 P9:P34 T9:T34">
    <cfRule type="cellIs" dxfId="5" priority="6" operator="equal">
      <formula>"Fail"</formula>
    </cfRule>
  </conditionalFormatting>
  <conditionalFormatting sqref="H9:H34 L9:L34 P9:P34 T9:T34">
    <cfRule type="cellIs" dxfId="6" priority="7" operator="equal">
      <formula>"Pass"</formula>
    </cfRule>
  </conditionalFormatting>
  <conditionalFormatting sqref="H9:H34 L9:L34 P9:P34 T9:T34">
    <cfRule type="cellIs" dxfId="7" priority="8" operator="equal">
      <formula>"N/A"</formula>
    </cfRule>
  </conditionalFormatting>
  <conditionalFormatting sqref="H9:H34 L9:L34 P9:P34 T9:T34">
    <cfRule type="cellIs" dxfId="0" priority="9" operator="equal">
      <formula>"Block"</formula>
    </cfRule>
  </conditionalFormatting>
  <conditionalFormatting sqref="H9:H34 L9:L34 P9:P34 T9:T34">
    <cfRule type="cellIs" dxfId="1" priority="10" operator="equal">
      <formula>"Fail"</formula>
    </cfRule>
  </conditionalFormatting>
  <conditionalFormatting sqref="H9:H34 L9:L34 P9:P34 T9:T34">
    <cfRule type="cellIs" dxfId="2" priority="11" operator="equal">
      <formula>"Pass"</formula>
    </cfRule>
  </conditionalFormatting>
  <conditionalFormatting sqref="H9:H34 L9:L34 P9:P34 T9:T34">
    <cfRule type="cellIs" dxfId="3" priority="12" operator="equal">
      <formula>"N/A"</formula>
    </cfRule>
  </conditionalFormatting>
  <dataValidations>
    <dataValidation type="list" allowBlank="1" showErrorMessage="1" sqref="X14 AB14 AF14 AJ14 AN14 X16 AB16 AF16 AJ16 AN16 AR16 AV16 AZ16 X22 AB22 AF22 AJ22 AN22 X25:X28 AB25:AB28 AF25:AF28 AJ25:AJ28 AN25:AN28 AR25:AR28 AV25:AV28 AZ25:AZ28 H9:H34 L9:L34 P9:P34 T9:T34">
      <formula1>"Pass,Fail,Block,N/A"</formula1>
    </dataValidation>
    <dataValidation type="list" allowBlank="1" showErrorMessage="1" sqref="A10:A11 A14:A30 A32:A34">
      <formula1>"QC,AI"</formula1>
    </dataValidation>
    <dataValidation type="list" allowBlank="1" showErrorMessage="1" sqref="C10:C11 C14 C16 C20:C25 C27:C34">
      <formula1>"High,Medium,Low"</formula1>
    </dataValidation>
  </dataValidations>
  <hyperlinks>
    <hyperlink display="Block hiển thị thông tin gồm:&#10;- Title Sản phẩm dịch vụ đã chọn (Số lượng)&#10;- Icon/Hình ảnh sản phẩm&#10;- Tên sản phẩm: thiết bị AP&#10;- Số lượng: x1&#10;- Giá gốc: &lt;giá gốc&gt; (gạch ngang)&#10;- Giá ưu đãi: &lt;giá ưu đãi&gt; (màu xanh nổi bật)&#10;Không có nút chỉnh sửa số lượng tại màn hình này." location="'Thông tin chung'!A1" ref="G14"/>
    <hyperlink display="Hiển thị các trường thông tin gồm:&#10;- Họ và tên&#10;- Số điện thoại&#10;- Địa chỉ (Số nhà + Tên đường + Phường/Xã + Tỉnh/TP)&#10;- Icon collapse (mặc định)" location="'Thông tin chung'!A1" ref="G21"/>
  </hyperlink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2" width="11.38"/>
    <col customWidth="1" min="3" max="3" width="10.88"/>
    <col customWidth="1" min="4" max="4" width="35.5"/>
    <col customWidth="1" min="5" max="5" width="17.63"/>
    <col customWidth="1" min="6" max="6" width="40.38"/>
    <col customWidth="1" min="7" max="7" width="53.38"/>
    <col customWidth="1" min="8" max="8" width="12.0"/>
    <col customWidth="1" min="9" max="9" width="33.88"/>
    <col customWidth="1" min="10" max="10" width="13.5"/>
    <col customWidth="1" min="11" max="11" width="14.88"/>
    <col customWidth="1" min="12" max="91" width="8.38"/>
  </cols>
  <sheetData>
    <row r="1" outlineLevel="1">
      <c r="A1" s="232"/>
      <c r="B1" s="528"/>
      <c r="C1" s="529"/>
      <c r="D1" s="528"/>
      <c r="E1" s="528"/>
      <c r="F1" s="530"/>
      <c r="G1" s="232"/>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529"/>
      <c r="AZ1" s="529"/>
      <c r="BA1" s="529"/>
      <c r="BB1" s="529"/>
      <c r="BC1" s="529"/>
      <c r="BD1" s="529"/>
      <c r="BE1" s="529"/>
      <c r="BF1" s="529"/>
      <c r="BG1" s="529"/>
      <c r="BH1" s="529"/>
      <c r="BI1" s="529"/>
      <c r="BJ1" s="529"/>
      <c r="BK1" s="529"/>
      <c r="BL1" s="529"/>
      <c r="BM1" s="529"/>
      <c r="BN1" s="529"/>
      <c r="BO1" s="529"/>
      <c r="BP1" s="529"/>
      <c r="BQ1" s="529"/>
      <c r="BR1" s="529"/>
      <c r="BS1" s="529"/>
      <c r="BT1" s="529"/>
      <c r="BU1" s="529"/>
      <c r="BV1" s="529"/>
      <c r="BW1" s="529"/>
      <c r="BX1" s="529"/>
      <c r="BY1" s="529"/>
      <c r="BZ1" s="529"/>
      <c r="CA1" s="529"/>
      <c r="CB1" s="529"/>
      <c r="CC1" s="529"/>
      <c r="CD1" s="529"/>
      <c r="CE1" s="529"/>
      <c r="CF1" s="529"/>
      <c r="CG1" s="529"/>
      <c r="CH1" s="529"/>
      <c r="CI1" s="529"/>
      <c r="CJ1" s="529"/>
      <c r="CK1" s="529"/>
      <c r="CL1" s="529"/>
      <c r="CM1" s="529"/>
    </row>
    <row r="2" outlineLevel="1">
      <c r="A2" s="232"/>
      <c r="B2" s="531"/>
      <c r="C2" s="532"/>
      <c r="D2" s="182"/>
      <c r="E2" s="182"/>
      <c r="F2" s="182"/>
      <c r="G2" s="232"/>
      <c r="H2" s="529"/>
      <c r="I2" s="529"/>
      <c r="J2" s="529"/>
      <c r="K2" s="529"/>
      <c r="L2" s="529"/>
      <c r="M2" s="529"/>
      <c r="N2" s="529"/>
      <c r="O2" s="529"/>
      <c r="P2" s="529"/>
      <c r="Q2" s="529"/>
      <c r="R2" s="529"/>
      <c r="S2" s="529"/>
      <c r="T2" s="529"/>
      <c r="U2" s="529"/>
      <c r="V2" s="529"/>
      <c r="W2" s="529"/>
      <c r="X2" s="529"/>
      <c r="Y2" s="529"/>
      <c r="Z2" s="529"/>
      <c r="AA2" s="529"/>
      <c r="AB2" s="529"/>
      <c r="AC2" s="529"/>
      <c r="AD2" s="529"/>
      <c r="AE2" s="529"/>
      <c r="AF2" s="529"/>
      <c r="AG2" s="529"/>
      <c r="AH2" s="529"/>
      <c r="AI2" s="529"/>
      <c r="AJ2" s="529"/>
      <c r="AK2" s="529"/>
      <c r="AL2" s="529"/>
      <c r="AM2" s="529"/>
      <c r="AN2" s="529"/>
      <c r="AO2" s="529"/>
      <c r="AP2" s="529"/>
      <c r="AQ2" s="529"/>
      <c r="AR2" s="529"/>
      <c r="AS2" s="529"/>
      <c r="AT2" s="529"/>
      <c r="AU2" s="529"/>
      <c r="AV2" s="529"/>
      <c r="AW2" s="529"/>
      <c r="AX2" s="529"/>
      <c r="AY2" s="529"/>
      <c r="AZ2" s="529"/>
      <c r="BA2" s="529"/>
      <c r="BB2" s="529"/>
      <c r="BC2" s="529"/>
      <c r="BD2" s="529"/>
      <c r="BE2" s="529"/>
      <c r="BF2" s="529"/>
      <c r="BG2" s="529"/>
      <c r="BH2" s="529"/>
      <c r="BI2" s="529"/>
      <c r="BJ2" s="529"/>
      <c r="BK2" s="529"/>
      <c r="BL2" s="529"/>
      <c r="BM2" s="529"/>
      <c r="BN2" s="529"/>
      <c r="BO2" s="529"/>
      <c r="BP2" s="529"/>
      <c r="BQ2" s="529"/>
      <c r="BR2" s="529"/>
      <c r="BS2" s="529"/>
      <c r="BT2" s="529"/>
      <c r="BU2" s="529"/>
      <c r="BV2" s="529"/>
      <c r="BW2" s="529"/>
      <c r="BX2" s="529"/>
      <c r="BY2" s="529"/>
      <c r="BZ2" s="529"/>
      <c r="CA2" s="529"/>
      <c r="CB2" s="529"/>
      <c r="CC2" s="529"/>
      <c r="CD2" s="529"/>
      <c r="CE2" s="529"/>
      <c r="CF2" s="529"/>
      <c r="CG2" s="529"/>
      <c r="CH2" s="529"/>
      <c r="CI2" s="529"/>
      <c r="CJ2" s="529"/>
      <c r="CK2" s="529"/>
      <c r="CL2" s="529"/>
      <c r="CM2" s="529"/>
    </row>
    <row r="3" outlineLevel="1">
      <c r="A3" s="533"/>
      <c r="B3" s="246" t="s">
        <v>122</v>
      </c>
      <c r="C3" s="122"/>
      <c r="D3" s="534" t="s">
        <v>118</v>
      </c>
      <c r="E3" s="122"/>
      <c r="F3" s="529"/>
      <c r="G3" s="529"/>
      <c r="H3" s="529"/>
      <c r="I3" s="529"/>
      <c r="J3" s="529"/>
      <c r="K3" s="529"/>
      <c r="L3" s="529"/>
      <c r="M3" s="529"/>
      <c r="N3" s="529"/>
      <c r="O3" s="529"/>
      <c r="P3" s="529"/>
      <c r="Q3" s="529"/>
      <c r="R3" s="529"/>
      <c r="S3" s="529"/>
      <c r="T3" s="529"/>
      <c r="U3" s="529"/>
      <c r="V3" s="529"/>
      <c r="W3" s="529"/>
      <c r="X3" s="529"/>
      <c r="Y3" s="529"/>
      <c r="Z3" s="529"/>
      <c r="AA3" s="529"/>
      <c r="AB3" s="529"/>
      <c r="AC3" s="529"/>
      <c r="AD3" s="529"/>
      <c r="AE3" s="529"/>
      <c r="AF3" s="529"/>
      <c r="AG3" s="529"/>
      <c r="AH3" s="529"/>
      <c r="AI3" s="529"/>
      <c r="AJ3" s="529"/>
      <c r="AK3" s="529"/>
      <c r="AL3" s="529"/>
      <c r="AM3" s="529"/>
      <c r="AN3" s="529"/>
      <c r="AO3" s="529"/>
      <c r="AP3" s="529"/>
      <c r="AQ3" s="529"/>
      <c r="AR3" s="529"/>
      <c r="AS3" s="529"/>
      <c r="AT3" s="529"/>
      <c r="AU3" s="529"/>
      <c r="AV3" s="529"/>
      <c r="AW3" s="529"/>
      <c r="AX3" s="529"/>
      <c r="AY3" s="529"/>
      <c r="AZ3" s="529"/>
      <c r="BA3" s="529"/>
      <c r="BB3" s="529"/>
      <c r="BC3" s="529"/>
      <c r="BD3" s="529"/>
      <c r="BE3" s="529"/>
      <c r="BF3" s="529"/>
      <c r="BG3" s="529"/>
      <c r="BH3" s="529"/>
      <c r="BI3" s="529"/>
      <c r="BJ3" s="529"/>
      <c r="BK3" s="529"/>
      <c r="BL3" s="529"/>
      <c r="BM3" s="529"/>
      <c r="BN3" s="529"/>
      <c r="BO3" s="529"/>
      <c r="BP3" s="529"/>
      <c r="BQ3" s="529"/>
      <c r="BR3" s="529"/>
      <c r="BS3" s="529"/>
      <c r="BT3" s="529"/>
      <c r="BU3" s="529"/>
      <c r="BV3" s="529"/>
      <c r="BW3" s="529"/>
      <c r="BX3" s="529"/>
      <c r="BY3" s="529"/>
      <c r="BZ3" s="529"/>
      <c r="CA3" s="529"/>
      <c r="CB3" s="529"/>
      <c r="CC3" s="529"/>
      <c r="CD3" s="529"/>
      <c r="CE3" s="529"/>
      <c r="CF3" s="529"/>
      <c r="CG3" s="529"/>
      <c r="CH3" s="529"/>
      <c r="CI3" s="529"/>
      <c r="CJ3" s="529"/>
      <c r="CK3" s="529"/>
      <c r="CL3" s="529"/>
      <c r="CM3" s="529"/>
    </row>
    <row r="4" outlineLevel="1">
      <c r="A4" s="533"/>
      <c r="B4" s="246" t="s">
        <v>123</v>
      </c>
      <c r="C4" s="122"/>
      <c r="D4" s="250" t="s">
        <v>2112</v>
      </c>
      <c r="E4" s="122"/>
      <c r="F4" s="529"/>
      <c r="G4" s="529"/>
      <c r="H4" s="529"/>
      <c r="I4" s="529"/>
      <c r="J4" s="529"/>
      <c r="K4" s="529"/>
      <c r="L4" s="529"/>
      <c r="M4" s="529"/>
      <c r="N4" s="529"/>
      <c r="O4" s="529"/>
      <c r="P4" s="529"/>
      <c r="Q4" s="529"/>
      <c r="R4" s="529"/>
      <c r="S4" s="529"/>
      <c r="T4" s="529"/>
      <c r="U4" s="529"/>
      <c r="V4" s="529"/>
      <c r="W4" s="529"/>
      <c r="X4" s="529"/>
      <c r="Y4" s="529"/>
      <c r="Z4" s="529"/>
      <c r="AA4" s="529"/>
      <c r="AB4" s="529"/>
      <c r="AC4" s="529"/>
      <c r="AD4" s="529"/>
      <c r="AE4" s="529"/>
      <c r="AF4" s="529"/>
      <c r="AG4" s="529"/>
      <c r="AH4" s="529"/>
      <c r="AI4" s="529"/>
      <c r="AJ4" s="529"/>
      <c r="AK4" s="529"/>
      <c r="AL4" s="529"/>
      <c r="AM4" s="529"/>
      <c r="AN4" s="529"/>
      <c r="AO4" s="529"/>
      <c r="AP4" s="529"/>
      <c r="AQ4" s="529"/>
      <c r="AR4" s="529"/>
      <c r="AS4" s="529"/>
      <c r="AT4" s="529"/>
      <c r="AU4" s="529"/>
      <c r="AV4" s="529"/>
      <c r="AW4" s="529"/>
      <c r="AX4" s="529"/>
      <c r="AY4" s="529"/>
      <c r="AZ4" s="529"/>
      <c r="BA4" s="529"/>
      <c r="BB4" s="529"/>
      <c r="BC4" s="529"/>
      <c r="BD4" s="529"/>
      <c r="BE4" s="529"/>
      <c r="BF4" s="529"/>
      <c r="BG4" s="529"/>
      <c r="BH4" s="529"/>
      <c r="BI4" s="529"/>
      <c r="BJ4" s="529"/>
      <c r="BK4" s="529"/>
      <c r="BL4" s="529"/>
      <c r="BM4" s="529"/>
      <c r="BN4" s="529"/>
      <c r="BO4" s="529"/>
      <c r="BP4" s="529"/>
      <c r="BQ4" s="529"/>
      <c r="BR4" s="529"/>
      <c r="BS4" s="529"/>
      <c r="BT4" s="529"/>
      <c r="BU4" s="529"/>
      <c r="BV4" s="529"/>
      <c r="BW4" s="529"/>
      <c r="BX4" s="529"/>
      <c r="BY4" s="529"/>
      <c r="BZ4" s="529"/>
      <c r="CA4" s="529"/>
      <c r="CB4" s="529"/>
      <c r="CC4" s="529"/>
      <c r="CD4" s="529"/>
      <c r="CE4" s="529"/>
      <c r="CF4" s="529"/>
      <c r="CG4" s="529"/>
      <c r="CH4" s="529"/>
      <c r="CI4" s="529"/>
      <c r="CJ4" s="529"/>
      <c r="CK4" s="529"/>
      <c r="CL4" s="529"/>
      <c r="CM4" s="529"/>
    </row>
    <row r="5" outlineLevel="1">
      <c r="A5" s="232"/>
      <c r="B5" s="535"/>
      <c r="C5" s="535"/>
      <c r="D5" s="535"/>
      <c r="E5" s="535"/>
      <c r="F5" s="530"/>
      <c r="G5" s="232"/>
      <c r="H5" s="529"/>
      <c r="I5" s="529"/>
      <c r="J5" s="529"/>
      <c r="K5" s="529"/>
      <c r="L5" s="529"/>
      <c r="M5" s="529"/>
      <c r="N5" s="529"/>
      <c r="O5" s="529"/>
      <c r="P5" s="529"/>
      <c r="Q5" s="529"/>
      <c r="R5" s="529"/>
      <c r="S5" s="529"/>
      <c r="T5" s="529"/>
      <c r="U5" s="529"/>
      <c r="V5" s="529"/>
      <c r="W5" s="529"/>
      <c r="X5" s="529"/>
      <c r="Y5" s="529"/>
      <c r="Z5" s="529"/>
      <c r="AA5" s="529"/>
      <c r="AB5" s="529"/>
      <c r="AC5" s="529"/>
      <c r="AD5" s="529"/>
      <c r="AE5" s="529"/>
      <c r="AF5" s="529"/>
      <c r="AG5" s="529"/>
      <c r="AH5" s="529"/>
      <c r="AI5" s="529"/>
      <c r="AJ5" s="529"/>
      <c r="AK5" s="529"/>
      <c r="AL5" s="529"/>
      <c r="AM5" s="529"/>
      <c r="AN5" s="529"/>
      <c r="AO5" s="529"/>
      <c r="AP5" s="529"/>
      <c r="AQ5" s="529"/>
      <c r="AR5" s="529"/>
      <c r="AS5" s="529"/>
      <c r="AT5" s="529"/>
      <c r="AU5" s="529"/>
      <c r="AV5" s="529"/>
      <c r="AW5" s="529"/>
      <c r="AX5" s="529"/>
      <c r="AY5" s="529"/>
      <c r="AZ5" s="529"/>
      <c r="BA5" s="529"/>
      <c r="BB5" s="529"/>
      <c r="BC5" s="529"/>
      <c r="BD5" s="529"/>
      <c r="BE5" s="529"/>
      <c r="BF5" s="529"/>
      <c r="BG5" s="529"/>
      <c r="BH5" s="529"/>
      <c r="BI5" s="529"/>
      <c r="BJ5" s="529"/>
      <c r="BK5" s="529"/>
      <c r="BL5" s="529"/>
      <c r="BM5" s="529"/>
      <c r="BN5" s="529"/>
      <c r="BO5" s="529"/>
      <c r="BP5" s="529"/>
      <c r="BQ5" s="529"/>
      <c r="BR5" s="529"/>
      <c r="BS5" s="529"/>
      <c r="BT5" s="529"/>
      <c r="BU5" s="529"/>
      <c r="BV5" s="529"/>
      <c r="BW5" s="529"/>
      <c r="BX5" s="529"/>
      <c r="BY5" s="529"/>
      <c r="BZ5" s="529"/>
      <c r="CA5" s="529"/>
      <c r="CB5" s="529"/>
      <c r="CC5" s="529"/>
      <c r="CD5" s="529"/>
      <c r="CE5" s="529"/>
      <c r="CF5" s="529"/>
      <c r="CG5" s="529"/>
      <c r="CH5" s="529"/>
      <c r="CI5" s="529"/>
      <c r="CJ5" s="529"/>
      <c r="CK5" s="529"/>
      <c r="CL5" s="529"/>
      <c r="CM5" s="529"/>
    </row>
    <row r="6" outlineLevel="1">
      <c r="A6" s="232"/>
      <c r="B6" s="531"/>
      <c r="C6" s="531"/>
      <c r="D6" s="531"/>
      <c r="E6" s="531"/>
      <c r="F6" s="532"/>
      <c r="G6" s="232"/>
      <c r="H6" s="529"/>
      <c r="I6" s="529"/>
      <c r="J6" s="529"/>
      <c r="K6" s="529"/>
      <c r="L6" s="529"/>
      <c r="M6" s="529"/>
      <c r="N6" s="529"/>
      <c r="O6" s="529"/>
      <c r="P6" s="529"/>
      <c r="Q6" s="529"/>
      <c r="R6" s="529"/>
      <c r="S6" s="529"/>
      <c r="T6" s="529"/>
      <c r="U6" s="529"/>
      <c r="V6" s="529"/>
      <c r="W6" s="529"/>
      <c r="X6" s="529"/>
      <c r="Y6" s="529"/>
      <c r="Z6" s="529"/>
      <c r="AA6" s="529"/>
      <c r="AB6" s="529"/>
      <c r="AC6" s="529"/>
      <c r="AD6" s="529"/>
      <c r="AE6" s="529"/>
      <c r="AF6" s="529"/>
      <c r="AG6" s="529"/>
      <c r="AH6" s="529"/>
      <c r="AI6" s="529"/>
      <c r="AJ6" s="529"/>
      <c r="AK6" s="529"/>
      <c r="AL6" s="529"/>
      <c r="AM6" s="529"/>
      <c r="AN6" s="529"/>
      <c r="AO6" s="529"/>
      <c r="AP6" s="529"/>
      <c r="AQ6" s="529"/>
      <c r="AR6" s="529"/>
      <c r="AS6" s="529"/>
      <c r="AT6" s="529"/>
      <c r="AU6" s="529"/>
      <c r="AV6" s="529"/>
      <c r="AW6" s="529"/>
      <c r="AX6" s="529"/>
      <c r="AY6" s="529"/>
      <c r="AZ6" s="529"/>
      <c r="BA6" s="529"/>
      <c r="BB6" s="529"/>
      <c r="BC6" s="529"/>
      <c r="BD6" s="529"/>
      <c r="BE6" s="529"/>
      <c r="BF6" s="529"/>
      <c r="BG6" s="529"/>
      <c r="BH6" s="529"/>
      <c r="BI6" s="529"/>
      <c r="BJ6" s="529"/>
      <c r="BK6" s="529"/>
      <c r="BL6" s="529"/>
      <c r="BM6" s="529"/>
      <c r="BN6" s="529"/>
      <c r="BO6" s="529"/>
      <c r="BP6" s="529"/>
      <c r="BQ6" s="529"/>
      <c r="BR6" s="529"/>
      <c r="BS6" s="529"/>
      <c r="BT6" s="529"/>
      <c r="BU6" s="529"/>
      <c r="BV6" s="529"/>
      <c r="BW6" s="529"/>
      <c r="BX6" s="529"/>
      <c r="BY6" s="529"/>
      <c r="BZ6" s="529"/>
      <c r="CA6" s="529"/>
      <c r="CB6" s="529"/>
      <c r="CC6" s="529"/>
      <c r="CD6" s="529"/>
      <c r="CE6" s="529"/>
      <c r="CF6" s="529"/>
      <c r="CG6" s="529"/>
      <c r="CH6" s="529"/>
      <c r="CI6" s="529"/>
      <c r="CJ6" s="529"/>
      <c r="CK6" s="529"/>
      <c r="CL6" s="529"/>
      <c r="CM6" s="529"/>
    </row>
    <row r="7">
      <c r="A7" s="256" t="s">
        <v>125</v>
      </c>
      <c r="B7" s="146" t="s">
        <v>126</v>
      </c>
      <c r="C7" s="146" t="s">
        <v>127</v>
      </c>
      <c r="D7" s="146" t="s">
        <v>128</v>
      </c>
      <c r="E7" s="146" t="s">
        <v>129</v>
      </c>
      <c r="F7" s="146" t="s">
        <v>130</v>
      </c>
      <c r="G7" s="311" t="s">
        <v>131</v>
      </c>
      <c r="H7" s="312" t="str">
        <f>Summary!G8</f>
        <v>Round 1 (09/04/2026 - 15/04/2026)</v>
      </c>
      <c r="I7" s="313"/>
      <c r="J7" s="313"/>
      <c r="K7" s="314"/>
      <c r="L7" s="312" t="str">
        <f>Summary!L8</f>
        <v>Round 2 (dd/mm/yyyy - dd/mm/yyyy)</v>
      </c>
      <c r="M7" s="313"/>
      <c r="N7" s="313"/>
      <c r="O7" s="314"/>
      <c r="P7" s="315" t="str">
        <f>Summary!Q8</f>
        <v>Round 3(dd/mm/yyyy - dd/mm/yyyy)</v>
      </c>
      <c r="Q7" s="148"/>
      <c r="R7" s="148"/>
      <c r="S7" s="171"/>
      <c r="T7" s="315" t="str">
        <f>Summary!V8</f>
        <v>Round 4 (dd/mm/yyyy - dd/mm/yyyy)</v>
      </c>
      <c r="U7" s="148"/>
      <c r="V7" s="148"/>
      <c r="W7" s="171"/>
      <c r="X7" s="533"/>
      <c r="Y7" s="533"/>
      <c r="Z7" s="533"/>
      <c r="AA7" s="533"/>
      <c r="AB7" s="533"/>
      <c r="AC7" s="533"/>
      <c r="AD7" s="533"/>
      <c r="AE7" s="533"/>
      <c r="AF7" s="533"/>
      <c r="AG7" s="533"/>
      <c r="AH7" s="533"/>
      <c r="AI7" s="533"/>
      <c r="AJ7" s="533"/>
      <c r="AK7" s="533"/>
      <c r="AL7" s="533"/>
      <c r="AM7" s="533"/>
      <c r="AN7" s="533"/>
      <c r="AO7" s="533"/>
      <c r="AP7" s="533"/>
      <c r="AQ7" s="533"/>
      <c r="AR7" s="533"/>
      <c r="AS7" s="533"/>
      <c r="AT7" s="533"/>
      <c r="AU7" s="533"/>
      <c r="AV7" s="533"/>
      <c r="AW7" s="533"/>
      <c r="AX7" s="533"/>
      <c r="AY7" s="533"/>
      <c r="AZ7" s="533"/>
      <c r="BA7" s="533"/>
      <c r="BB7" s="533"/>
      <c r="BC7" s="533"/>
      <c r="BD7" s="533"/>
      <c r="BE7" s="533"/>
      <c r="BF7" s="533"/>
      <c r="BG7" s="533"/>
      <c r="BH7" s="533"/>
      <c r="BI7" s="533"/>
      <c r="BJ7" s="533"/>
      <c r="BK7" s="533"/>
      <c r="BL7" s="533"/>
      <c r="BM7" s="533"/>
      <c r="BN7" s="533"/>
      <c r="BO7" s="533"/>
      <c r="BP7" s="533"/>
      <c r="BQ7" s="533"/>
      <c r="BR7" s="533"/>
      <c r="BS7" s="533"/>
      <c r="BT7" s="533"/>
      <c r="BU7" s="533"/>
      <c r="BV7" s="533"/>
      <c r="BW7" s="533"/>
      <c r="BX7" s="533"/>
      <c r="BY7" s="533"/>
      <c r="BZ7" s="533"/>
      <c r="CA7" s="533"/>
      <c r="CB7" s="533"/>
      <c r="CC7" s="533"/>
      <c r="CD7" s="533"/>
      <c r="CE7" s="533"/>
      <c r="CF7" s="533"/>
      <c r="CG7" s="533"/>
      <c r="CH7" s="533"/>
      <c r="CI7" s="533"/>
      <c r="CJ7" s="533"/>
      <c r="CK7" s="533"/>
      <c r="CL7" s="533"/>
      <c r="CM7" s="533"/>
    </row>
    <row r="8">
      <c r="A8" s="56"/>
      <c r="B8" s="56"/>
      <c r="C8" s="56"/>
      <c r="D8" s="56"/>
      <c r="E8" s="56"/>
      <c r="F8" s="56"/>
      <c r="G8" s="56"/>
      <c r="H8" s="317" t="s">
        <v>132</v>
      </c>
      <c r="I8" s="317" t="s">
        <v>133</v>
      </c>
      <c r="J8" s="317" t="s">
        <v>134</v>
      </c>
      <c r="K8" s="317" t="s">
        <v>135</v>
      </c>
      <c r="L8" s="317" t="s">
        <v>132</v>
      </c>
      <c r="M8" s="317" t="s">
        <v>133</v>
      </c>
      <c r="N8" s="317" t="s">
        <v>134</v>
      </c>
      <c r="O8" s="317" t="s">
        <v>135</v>
      </c>
      <c r="P8" s="317" t="s">
        <v>132</v>
      </c>
      <c r="Q8" s="317" t="s">
        <v>133</v>
      </c>
      <c r="R8" s="317" t="s">
        <v>134</v>
      </c>
      <c r="S8" s="317" t="s">
        <v>135</v>
      </c>
      <c r="T8" s="317" t="s">
        <v>132</v>
      </c>
      <c r="U8" s="317" t="s">
        <v>133</v>
      </c>
      <c r="V8" s="317" t="s">
        <v>134</v>
      </c>
      <c r="W8" s="317" t="s">
        <v>135</v>
      </c>
      <c r="X8" s="533"/>
      <c r="Y8" s="533"/>
      <c r="Z8" s="533"/>
      <c r="AA8" s="533"/>
      <c r="AB8" s="533"/>
      <c r="AC8" s="533"/>
      <c r="AD8" s="533"/>
      <c r="AE8" s="533"/>
      <c r="AF8" s="533"/>
      <c r="AG8" s="533"/>
      <c r="AH8" s="533"/>
      <c r="AI8" s="533"/>
      <c r="AJ8" s="533"/>
      <c r="AK8" s="533"/>
      <c r="AL8" s="533"/>
      <c r="AM8" s="533"/>
      <c r="AN8" s="533"/>
      <c r="AO8" s="533"/>
      <c r="AP8" s="533"/>
      <c r="AQ8" s="533"/>
      <c r="AR8" s="533"/>
      <c r="AS8" s="533"/>
      <c r="AT8" s="533"/>
      <c r="AU8" s="533"/>
      <c r="AV8" s="533"/>
      <c r="AW8" s="533"/>
      <c r="AX8" s="533"/>
      <c r="AY8" s="533"/>
      <c r="AZ8" s="533"/>
      <c r="BA8" s="533"/>
      <c r="BB8" s="533"/>
      <c r="BC8" s="533"/>
      <c r="BD8" s="533"/>
      <c r="BE8" s="533"/>
      <c r="BF8" s="533"/>
      <c r="BG8" s="533"/>
      <c r="BH8" s="533"/>
      <c r="BI8" s="533"/>
      <c r="BJ8" s="533"/>
      <c r="BK8" s="533"/>
      <c r="BL8" s="533"/>
      <c r="BM8" s="533"/>
      <c r="BN8" s="533"/>
      <c r="BO8" s="533"/>
      <c r="BP8" s="533"/>
      <c r="BQ8" s="533"/>
      <c r="BR8" s="533"/>
      <c r="BS8" s="533"/>
      <c r="BT8" s="533"/>
      <c r="BU8" s="533"/>
      <c r="BV8" s="533"/>
      <c r="BW8" s="533"/>
      <c r="BX8" s="533"/>
      <c r="BY8" s="533"/>
      <c r="BZ8" s="533"/>
      <c r="CA8" s="533"/>
      <c r="CB8" s="533"/>
      <c r="CC8" s="533"/>
      <c r="CD8" s="533"/>
      <c r="CE8" s="533"/>
      <c r="CF8" s="533"/>
      <c r="CG8" s="533"/>
      <c r="CH8" s="533"/>
      <c r="CI8" s="533"/>
      <c r="CJ8" s="533"/>
      <c r="CK8" s="533"/>
      <c r="CL8" s="533"/>
      <c r="CM8" s="533"/>
    </row>
    <row r="9">
      <c r="A9" s="536" t="s">
        <v>2058</v>
      </c>
      <c r="B9" s="148"/>
      <c r="C9" s="148"/>
      <c r="D9" s="148"/>
      <c r="E9" s="148"/>
      <c r="F9" s="148"/>
      <c r="G9" s="171"/>
      <c r="H9" s="302"/>
      <c r="I9" s="302"/>
      <c r="J9" s="300"/>
      <c r="K9" s="300"/>
      <c r="L9" s="300"/>
      <c r="M9" s="300"/>
      <c r="N9" s="300"/>
      <c r="O9" s="300"/>
      <c r="P9" s="300"/>
      <c r="Q9" s="300"/>
      <c r="R9" s="300"/>
      <c r="S9" s="300"/>
      <c r="T9" s="302"/>
      <c r="U9" s="300"/>
      <c r="V9" s="300"/>
      <c r="W9" s="300"/>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29"/>
      <c r="BD9" s="529"/>
      <c r="BE9" s="529"/>
      <c r="BF9" s="529"/>
      <c r="BG9" s="529"/>
      <c r="BH9" s="529"/>
      <c r="BI9" s="529"/>
      <c r="BJ9" s="529"/>
      <c r="BK9" s="529"/>
      <c r="BL9" s="529"/>
      <c r="BM9" s="529"/>
      <c r="BN9" s="529"/>
      <c r="BO9" s="529"/>
      <c r="BP9" s="529"/>
      <c r="BQ9" s="529"/>
      <c r="BR9" s="529"/>
      <c r="BS9" s="529"/>
      <c r="BT9" s="529"/>
      <c r="BU9" s="529"/>
      <c r="BV9" s="529"/>
      <c r="BW9" s="529"/>
      <c r="BX9" s="529"/>
      <c r="BY9" s="529"/>
      <c r="BZ9" s="529"/>
      <c r="CA9" s="529"/>
      <c r="CB9" s="529"/>
      <c r="CC9" s="529"/>
      <c r="CD9" s="529"/>
      <c r="CE9" s="529"/>
      <c r="CF9" s="529"/>
      <c r="CG9" s="529"/>
      <c r="CH9" s="529"/>
      <c r="CI9" s="529"/>
      <c r="CJ9" s="529"/>
      <c r="CK9" s="529"/>
      <c r="CL9" s="529"/>
      <c r="CM9" s="529"/>
    </row>
    <row r="10">
      <c r="A10" s="489"/>
      <c r="B10" s="325" t="str">
        <f t="shared" ref="B10:B11" si="1">IF(F10="","",$D$3&amp;"."&amp;COUNTA($F$9:F10)&amp;"")</f>
        <v>TC_05.1</v>
      </c>
      <c r="C10" s="326" t="s">
        <v>73</v>
      </c>
      <c r="D10" s="539" t="s">
        <v>2113</v>
      </c>
      <c r="E10" s="538"/>
      <c r="F10" s="539" t="s">
        <v>2114</v>
      </c>
      <c r="G10" s="539" t="s">
        <v>2115</v>
      </c>
      <c r="H10" s="302"/>
      <c r="I10" s="302"/>
      <c r="J10" s="300"/>
      <c r="K10" s="300"/>
      <c r="L10" s="300"/>
      <c r="M10" s="300"/>
      <c r="N10" s="300"/>
      <c r="O10" s="300"/>
      <c r="P10" s="300"/>
      <c r="Q10" s="300"/>
      <c r="R10" s="300"/>
      <c r="S10" s="300"/>
      <c r="T10" s="302"/>
      <c r="U10" s="300"/>
      <c r="V10" s="300"/>
      <c r="W10" s="300"/>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29"/>
      <c r="BD10" s="529"/>
      <c r="BE10" s="529"/>
      <c r="BF10" s="529"/>
      <c r="BG10" s="529"/>
      <c r="BH10" s="529"/>
      <c r="BI10" s="529"/>
      <c r="BJ10" s="529"/>
      <c r="BK10" s="529"/>
      <c r="BL10" s="529"/>
      <c r="BM10" s="529"/>
      <c r="BN10" s="529"/>
      <c r="BO10" s="529"/>
      <c r="BP10" s="529"/>
      <c r="BQ10" s="529"/>
      <c r="BR10" s="529"/>
      <c r="BS10" s="529"/>
      <c r="BT10" s="529"/>
      <c r="BU10" s="529"/>
      <c r="BV10" s="529"/>
      <c r="BW10" s="529"/>
      <c r="BX10" s="529"/>
      <c r="BY10" s="529"/>
      <c r="BZ10" s="529"/>
      <c r="CA10" s="529"/>
      <c r="CB10" s="529"/>
      <c r="CC10" s="529"/>
      <c r="CD10" s="529"/>
      <c r="CE10" s="529"/>
      <c r="CF10" s="529"/>
      <c r="CG10" s="529"/>
      <c r="CH10" s="529"/>
      <c r="CI10" s="529"/>
      <c r="CJ10" s="529"/>
      <c r="CK10" s="529"/>
      <c r="CL10" s="529"/>
      <c r="CM10" s="529"/>
    </row>
    <row r="11">
      <c r="A11" s="489"/>
      <c r="B11" s="325" t="str">
        <f t="shared" si="1"/>
        <v>TC_05.2</v>
      </c>
      <c r="C11" s="326" t="s">
        <v>73</v>
      </c>
      <c r="D11" s="539" t="s">
        <v>2116</v>
      </c>
      <c r="E11" s="539" t="s">
        <v>2117</v>
      </c>
      <c r="F11" s="539" t="s">
        <v>2118</v>
      </c>
      <c r="G11" s="539" t="s">
        <v>2065</v>
      </c>
      <c r="H11" s="302"/>
      <c r="I11" s="302"/>
      <c r="J11" s="300"/>
      <c r="K11" s="302"/>
      <c r="L11" s="300"/>
      <c r="M11" s="300"/>
      <c r="N11" s="300"/>
      <c r="O11" s="300"/>
      <c r="P11" s="300"/>
      <c r="Q11" s="300"/>
      <c r="R11" s="300"/>
      <c r="S11" s="300"/>
      <c r="T11" s="302"/>
      <c r="U11" s="300"/>
      <c r="V11" s="300"/>
      <c r="W11" s="300"/>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29"/>
      <c r="BD11" s="529"/>
      <c r="BE11" s="529"/>
      <c r="BF11" s="529"/>
      <c r="BG11" s="529"/>
      <c r="BH11" s="529"/>
      <c r="BI11" s="529"/>
      <c r="BJ11" s="529"/>
      <c r="BK11" s="529"/>
      <c r="BL11" s="529"/>
      <c r="BM11" s="529"/>
      <c r="BN11" s="529"/>
      <c r="BO11" s="529"/>
      <c r="BP11" s="529"/>
      <c r="BQ11" s="529"/>
      <c r="BR11" s="529"/>
      <c r="BS11" s="529"/>
      <c r="BT11" s="529"/>
      <c r="BU11" s="529"/>
      <c r="BV11" s="529"/>
      <c r="BW11" s="529"/>
      <c r="BX11" s="529"/>
      <c r="BY11" s="529"/>
      <c r="BZ11" s="529"/>
      <c r="CA11" s="529"/>
      <c r="CB11" s="529"/>
      <c r="CC11" s="529"/>
      <c r="CD11" s="529"/>
      <c r="CE11" s="529"/>
      <c r="CF11" s="529"/>
      <c r="CG11" s="529"/>
      <c r="CH11" s="529"/>
      <c r="CI11" s="529"/>
      <c r="CJ11" s="529"/>
      <c r="CK11" s="529"/>
      <c r="CL11" s="529"/>
      <c r="CM11" s="529"/>
    </row>
    <row r="12">
      <c r="A12" s="536" t="s">
        <v>2066</v>
      </c>
      <c r="B12" s="148"/>
      <c r="C12" s="148"/>
      <c r="D12" s="148"/>
      <c r="E12" s="148"/>
      <c r="F12" s="148"/>
      <c r="G12" s="171"/>
      <c r="H12" s="302"/>
      <c r="I12" s="302"/>
      <c r="J12" s="300"/>
      <c r="K12" s="302"/>
      <c r="L12" s="300"/>
      <c r="M12" s="300"/>
      <c r="N12" s="300"/>
      <c r="O12" s="300"/>
      <c r="P12" s="300"/>
      <c r="Q12" s="300"/>
      <c r="R12" s="300"/>
      <c r="S12" s="300"/>
      <c r="T12" s="302"/>
      <c r="U12" s="300"/>
      <c r="V12" s="300"/>
      <c r="W12" s="300"/>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29"/>
      <c r="BD12" s="529"/>
      <c r="BE12" s="529"/>
      <c r="BF12" s="529"/>
      <c r="BG12" s="529"/>
      <c r="BH12" s="529"/>
      <c r="BI12" s="529"/>
      <c r="BJ12" s="529"/>
      <c r="BK12" s="529"/>
      <c r="BL12" s="529"/>
      <c r="BM12" s="529"/>
      <c r="BN12" s="529"/>
      <c r="BO12" s="529"/>
      <c r="BP12" s="529"/>
      <c r="BQ12" s="529"/>
      <c r="BR12" s="529"/>
      <c r="BS12" s="529"/>
      <c r="BT12" s="529"/>
      <c r="BU12" s="529"/>
      <c r="BV12" s="529"/>
      <c r="BW12" s="529"/>
      <c r="BX12" s="529"/>
      <c r="BY12" s="529"/>
      <c r="BZ12" s="529"/>
      <c r="CA12" s="529"/>
      <c r="CB12" s="529"/>
      <c r="CC12" s="529"/>
      <c r="CD12" s="529"/>
      <c r="CE12" s="529"/>
      <c r="CF12" s="529"/>
      <c r="CG12" s="529"/>
      <c r="CH12" s="529"/>
      <c r="CI12" s="529"/>
      <c r="CJ12" s="529"/>
      <c r="CK12" s="529"/>
      <c r="CL12" s="529"/>
      <c r="CM12" s="529"/>
    </row>
    <row r="13">
      <c r="A13" s="300"/>
      <c r="B13" s="300" t="str">
        <f>IF(D13="","",$D$3&amp;"."&amp;COUNTA($D$9:D13)&amp;"")</f>
        <v/>
      </c>
      <c r="C13" s="540" t="s">
        <v>2067</v>
      </c>
      <c r="D13" s="148"/>
      <c r="E13" s="148"/>
      <c r="F13" s="148"/>
      <c r="G13" s="171"/>
      <c r="H13" s="302"/>
      <c r="I13" s="302"/>
      <c r="J13" s="300"/>
      <c r="K13" s="300"/>
      <c r="L13" s="300"/>
      <c r="M13" s="300"/>
      <c r="N13" s="300"/>
      <c r="O13" s="300"/>
      <c r="P13" s="300"/>
      <c r="Q13" s="300"/>
      <c r="R13" s="300"/>
      <c r="S13" s="300"/>
      <c r="T13" s="302"/>
      <c r="U13" s="300"/>
      <c r="V13" s="300"/>
      <c r="W13" s="300"/>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29"/>
      <c r="BD13" s="529"/>
      <c r="BE13" s="529"/>
      <c r="BF13" s="529"/>
      <c r="BG13" s="529"/>
      <c r="BH13" s="529"/>
      <c r="BI13" s="529"/>
      <c r="BJ13" s="529"/>
      <c r="BK13" s="529"/>
      <c r="BL13" s="529"/>
      <c r="BM13" s="529"/>
      <c r="BN13" s="529"/>
      <c r="BO13" s="529"/>
      <c r="BP13" s="529"/>
      <c r="BQ13" s="529"/>
      <c r="BR13" s="529"/>
      <c r="BS13" s="529"/>
      <c r="BT13" s="529"/>
      <c r="BU13" s="529"/>
      <c r="BV13" s="529"/>
      <c r="BW13" s="529"/>
      <c r="BX13" s="529"/>
      <c r="BY13" s="529"/>
      <c r="BZ13" s="529"/>
      <c r="CA13" s="529"/>
      <c r="CB13" s="529"/>
      <c r="CC13" s="529"/>
      <c r="CD13" s="529"/>
      <c r="CE13" s="529"/>
      <c r="CF13" s="529"/>
      <c r="CG13" s="529"/>
      <c r="CH13" s="529"/>
      <c r="CI13" s="529"/>
      <c r="CJ13" s="529"/>
      <c r="CK13" s="529"/>
      <c r="CL13" s="529"/>
      <c r="CM13" s="529"/>
    </row>
    <row r="14">
      <c r="A14" s="489"/>
      <c r="B14" s="325" t="str">
        <f>IF(F14="","",$D$3&amp;"."&amp;COUNTA($F$9:F14)&amp;"")</f>
        <v>TC_05.3</v>
      </c>
      <c r="C14" s="326" t="s">
        <v>75</v>
      </c>
      <c r="D14" s="541" t="s">
        <v>2068</v>
      </c>
      <c r="E14" s="554" t="s">
        <v>2119</v>
      </c>
      <c r="F14" s="554" t="s">
        <v>2120</v>
      </c>
      <c r="G14" s="554" t="s">
        <v>2121</v>
      </c>
      <c r="H14" s="302"/>
      <c r="I14" s="302"/>
      <c r="J14" s="300"/>
      <c r="K14" s="300"/>
      <c r="L14" s="300"/>
      <c r="M14" s="300"/>
      <c r="N14" s="300"/>
      <c r="O14" s="300"/>
      <c r="P14" s="300"/>
      <c r="Q14" s="300"/>
      <c r="R14" s="300"/>
      <c r="S14" s="300"/>
      <c r="T14" s="302"/>
      <c r="U14" s="300"/>
      <c r="V14" s="300"/>
      <c r="W14" s="300"/>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29"/>
      <c r="BD14" s="529"/>
      <c r="BE14" s="529"/>
      <c r="BF14" s="529"/>
      <c r="BG14" s="529"/>
      <c r="BH14" s="529"/>
      <c r="BI14" s="529"/>
      <c r="BJ14" s="529"/>
      <c r="BK14" s="529"/>
      <c r="BL14" s="529"/>
      <c r="BM14" s="529"/>
      <c r="BN14" s="529"/>
      <c r="BO14" s="529"/>
      <c r="BP14" s="529"/>
      <c r="BQ14" s="529"/>
      <c r="BR14" s="529"/>
      <c r="BS14" s="529"/>
      <c r="BT14" s="529"/>
      <c r="BU14" s="529"/>
      <c r="BV14" s="529"/>
      <c r="BW14" s="529"/>
      <c r="BX14" s="529"/>
      <c r="BY14" s="529"/>
      <c r="BZ14" s="529"/>
      <c r="CA14" s="529"/>
      <c r="CB14" s="529"/>
      <c r="CC14" s="529"/>
      <c r="CD14" s="529"/>
      <c r="CE14" s="529"/>
      <c r="CF14" s="529"/>
      <c r="CG14" s="529"/>
      <c r="CH14" s="529"/>
      <c r="CI14" s="529"/>
      <c r="CJ14" s="529"/>
      <c r="CK14" s="529"/>
      <c r="CL14" s="529"/>
      <c r="CM14" s="529"/>
    </row>
    <row r="15">
      <c r="A15" s="302"/>
      <c r="B15" s="302" t="str">
        <f>IF(D15="","",$D$3&amp;"."&amp;COUNTA($D$9:D15)&amp;"")</f>
        <v/>
      </c>
      <c r="C15" s="540" t="s">
        <v>2072</v>
      </c>
      <c r="D15" s="148"/>
      <c r="E15" s="148"/>
      <c r="F15" s="148"/>
      <c r="G15" s="171"/>
      <c r="H15" s="302"/>
      <c r="I15" s="302"/>
      <c r="J15" s="300"/>
      <c r="K15" s="300"/>
      <c r="L15" s="300"/>
      <c r="M15" s="300"/>
      <c r="N15" s="300"/>
      <c r="O15" s="300"/>
      <c r="P15" s="300"/>
      <c r="Q15" s="300"/>
      <c r="R15" s="300"/>
      <c r="S15" s="300"/>
      <c r="T15" s="302"/>
      <c r="U15" s="300"/>
      <c r="V15" s="300"/>
      <c r="W15" s="300"/>
      <c r="X15" s="529"/>
      <c r="Y15" s="529"/>
      <c r="Z15" s="529"/>
      <c r="AA15" s="529"/>
      <c r="AB15" s="529"/>
      <c r="AC15" s="529"/>
      <c r="AD15" s="529"/>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29"/>
      <c r="BD15" s="529"/>
      <c r="BE15" s="529"/>
      <c r="BF15" s="529"/>
      <c r="BG15" s="529"/>
      <c r="BH15" s="529"/>
      <c r="BI15" s="529"/>
      <c r="BJ15" s="529"/>
      <c r="BK15" s="529"/>
      <c r="BL15" s="529"/>
      <c r="BM15" s="529"/>
      <c r="BN15" s="529"/>
      <c r="BO15" s="529"/>
      <c r="BP15" s="529"/>
      <c r="BQ15" s="529"/>
      <c r="BR15" s="529"/>
      <c r="BS15" s="529"/>
      <c r="BT15" s="529"/>
      <c r="BU15" s="529"/>
      <c r="BV15" s="529"/>
      <c r="BW15" s="529"/>
      <c r="BX15" s="529"/>
      <c r="BY15" s="529"/>
      <c r="BZ15" s="529"/>
      <c r="CA15" s="529"/>
      <c r="CB15" s="529"/>
      <c r="CC15" s="529"/>
      <c r="CD15" s="529"/>
      <c r="CE15" s="529"/>
      <c r="CF15" s="529"/>
      <c r="CG15" s="529"/>
      <c r="CH15" s="529"/>
      <c r="CI15" s="529"/>
      <c r="CJ15" s="529"/>
      <c r="CK15" s="529"/>
      <c r="CL15" s="529"/>
      <c r="CM15" s="529"/>
    </row>
    <row r="16">
      <c r="A16" s="489"/>
      <c r="B16" s="325" t="str">
        <f t="shared" ref="B16:B25" si="2">IF(F16="","",$D$3&amp;"."&amp;COUNTA($F$9:F16)&amp;"")</f>
        <v>TC_05.4</v>
      </c>
      <c r="C16" s="372" t="s">
        <v>75</v>
      </c>
      <c r="D16" s="541" t="s">
        <v>2073</v>
      </c>
      <c r="E16" s="543"/>
      <c r="F16" s="554" t="s">
        <v>2122</v>
      </c>
      <c r="G16" s="541" t="s">
        <v>2075</v>
      </c>
      <c r="H16" s="302"/>
      <c r="I16" s="302"/>
      <c r="J16" s="300"/>
      <c r="K16" s="544"/>
      <c r="L16" s="300"/>
      <c r="M16" s="300"/>
      <c r="N16" s="544"/>
      <c r="O16" s="544"/>
      <c r="P16" s="544"/>
      <c r="Q16" s="300"/>
      <c r="R16" s="544"/>
      <c r="S16" s="544"/>
      <c r="T16" s="545"/>
      <c r="U16" s="300"/>
      <c r="V16" s="544"/>
      <c r="W16" s="544"/>
      <c r="X16" s="544"/>
      <c r="Y16" s="300"/>
      <c r="Z16" s="544"/>
      <c r="AA16" s="544"/>
      <c r="AB16" s="544"/>
      <c r="AC16" s="300"/>
      <c r="AD16" s="544"/>
      <c r="AE16" s="544"/>
      <c r="AF16" s="300"/>
      <c r="AG16" s="300"/>
      <c r="AH16" s="300"/>
      <c r="AI16" s="300"/>
      <c r="AJ16" s="300"/>
      <c r="AK16" s="300"/>
      <c r="AL16" s="300"/>
      <c r="AM16" s="300"/>
      <c r="AN16" s="300"/>
      <c r="AO16" s="300"/>
      <c r="AP16" s="300"/>
      <c r="AQ16" s="300"/>
      <c r="AR16" s="544"/>
      <c r="AS16" s="544"/>
      <c r="AT16" s="544"/>
      <c r="AU16" s="544"/>
      <c r="AV16" s="544"/>
      <c r="AW16" s="544"/>
      <c r="AX16" s="544"/>
      <c r="AY16" s="544"/>
      <c r="AZ16" s="544"/>
      <c r="BA16" s="544"/>
      <c r="BB16" s="544"/>
      <c r="BC16" s="546"/>
      <c r="BD16" s="232"/>
      <c r="BE16" s="232"/>
      <c r="BF16" s="232"/>
      <c r="BG16" s="232"/>
      <c r="BH16" s="232"/>
      <c r="BI16" s="232"/>
      <c r="BJ16" s="232"/>
      <c r="BK16" s="232"/>
      <c r="BL16" s="232"/>
      <c r="BM16" s="232"/>
      <c r="BN16" s="232"/>
      <c r="BO16" s="232"/>
      <c r="BP16" s="232"/>
      <c r="BQ16" s="232"/>
      <c r="BR16" s="232"/>
      <c r="BS16" s="232"/>
      <c r="BT16" s="232"/>
      <c r="BU16" s="232"/>
      <c r="BV16" s="232"/>
      <c r="BW16" s="232"/>
      <c r="BX16" s="232"/>
      <c r="BY16" s="232"/>
      <c r="BZ16" s="232"/>
      <c r="CA16" s="232"/>
      <c r="CB16" s="232"/>
      <c r="CC16" s="232"/>
      <c r="CD16" s="232"/>
      <c r="CE16" s="232"/>
      <c r="CF16" s="232"/>
      <c r="CG16" s="232"/>
      <c r="CH16" s="232"/>
      <c r="CI16" s="232"/>
      <c r="CJ16" s="232"/>
      <c r="CK16" s="232"/>
      <c r="CL16" s="232"/>
      <c r="CM16" s="232"/>
    </row>
    <row r="17">
      <c r="A17" s="302"/>
      <c r="B17" s="325" t="str">
        <f t="shared" si="2"/>
        <v/>
      </c>
      <c r="C17" s="547" t="s">
        <v>2076</v>
      </c>
      <c r="D17" s="148"/>
      <c r="E17" s="148"/>
      <c r="F17" s="148"/>
      <c r="G17" s="171"/>
      <c r="H17" s="302"/>
      <c r="I17" s="302"/>
      <c r="J17" s="300"/>
      <c r="K17" s="300"/>
      <c r="L17" s="300"/>
      <c r="M17" s="300"/>
      <c r="N17" s="300"/>
      <c r="O17" s="300"/>
      <c r="P17" s="300"/>
      <c r="Q17" s="300"/>
      <c r="R17" s="300"/>
      <c r="S17" s="300"/>
      <c r="T17" s="302"/>
      <c r="U17" s="300"/>
      <c r="V17" s="300"/>
      <c r="W17" s="300"/>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29"/>
      <c r="BD17" s="529"/>
      <c r="BE17" s="529"/>
      <c r="BF17" s="529"/>
      <c r="BG17" s="529"/>
      <c r="BH17" s="529"/>
      <c r="BI17" s="529"/>
      <c r="BJ17" s="529"/>
      <c r="BK17" s="529"/>
      <c r="BL17" s="529"/>
      <c r="BM17" s="529"/>
      <c r="BN17" s="529"/>
      <c r="BO17" s="529"/>
      <c r="BP17" s="529"/>
      <c r="BQ17" s="529"/>
      <c r="BR17" s="529"/>
      <c r="BS17" s="529"/>
      <c r="BT17" s="529"/>
      <c r="BU17" s="529"/>
      <c r="BV17" s="529"/>
      <c r="BW17" s="529"/>
      <c r="BX17" s="529"/>
      <c r="BY17" s="529"/>
      <c r="BZ17" s="529"/>
      <c r="CA17" s="529"/>
      <c r="CB17" s="529"/>
      <c r="CC17" s="529"/>
      <c r="CD17" s="529"/>
      <c r="CE17" s="529"/>
      <c r="CF17" s="529"/>
      <c r="CG17" s="529"/>
      <c r="CH17" s="529"/>
      <c r="CI17" s="529"/>
      <c r="CJ17" s="529"/>
      <c r="CK17" s="529"/>
      <c r="CL17" s="529"/>
      <c r="CM17" s="529"/>
    </row>
    <row r="18">
      <c r="A18" s="548"/>
      <c r="B18" s="325" t="str">
        <f t="shared" si="2"/>
        <v>TC_05.5</v>
      </c>
      <c r="C18" s="549" t="s">
        <v>75</v>
      </c>
      <c r="D18" s="537" t="s">
        <v>2077</v>
      </c>
      <c r="E18" s="538"/>
      <c r="F18" s="539" t="s">
        <v>2123</v>
      </c>
      <c r="G18" s="539" t="s">
        <v>2079</v>
      </c>
      <c r="H18" s="302"/>
      <c r="I18" s="302"/>
      <c r="J18" s="300"/>
      <c r="K18" s="300"/>
      <c r="L18" s="300"/>
      <c r="M18" s="300"/>
      <c r="N18" s="300"/>
      <c r="O18" s="300"/>
      <c r="P18" s="300"/>
      <c r="Q18" s="300"/>
      <c r="R18" s="300"/>
      <c r="S18" s="300"/>
      <c r="T18" s="302"/>
      <c r="U18" s="300"/>
      <c r="V18" s="300"/>
      <c r="W18" s="300"/>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29"/>
      <c r="BD18" s="529"/>
      <c r="BE18" s="529"/>
      <c r="BF18" s="529"/>
      <c r="BG18" s="529"/>
      <c r="BH18" s="529"/>
      <c r="BI18" s="529"/>
      <c r="BJ18" s="529"/>
      <c r="BK18" s="529"/>
      <c r="BL18" s="529"/>
      <c r="BM18" s="529"/>
      <c r="BN18" s="529"/>
      <c r="BO18" s="529"/>
      <c r="BP18" s="529"/>
      <c r="BQ18" s="529"/>
      <c r="BR18" s="529"/>
      <c r="BS18" s="529"/>
      <c r="BT18" s="529"/>
      <c r="BU18" s="529"/>
      <c r="BV18" s="529"/>
      <c r="BW18" s="529"/>
      <c r="BX18" s="529"/>
      <c r="BY18" s="529"/>
      <c r="BZ18" s="529"/>
      <c r="CA18" s="529"/>
      <c r="CB18" s="529"/>
      <c r="CC18" s="529"/>
      <c r="CD18" s="529"/>
      <c r="CE18" s="529"/>
      <c r="CF18" s="529"/>
      <c r="CG18" s="529"/>
      <c r="CH18" s="529"/>
      <c r="CI18" s="529"/>
      <c r="CJ18" s="529"/>
      <c r="CK18" s="529"/>
      <c r="CL18" s="529"/>
      <c r="CM18" s="529"/>
    </row>
    <row r="19">
      <c r="A19" s="548"/>
      <c r="B19" s="325" t="str">
        <f t="shared" si="2"/>
        <v>TC_05.6</v>
      </c>
      <c r="C19" s="549"/>
      <c r="D19" s="539" t="s">
        <v>2080</v>
      </c>
      <c r="E19" s="538"/>
      <c r="F19" s="539" t="s">
        <v>2124</v>
      </c>
      <c r="G19" s="539" t="s">
        <v>2082</v>
      </c>
      <c r="H19" s="302"/>
      <c r="I19" s="302"/>
      <c r="J19" s="300"/>
      <c r="K19" s="300"/>
      <c r="L19" s="300"/>
      <c r="M19" s="300"/>
      <c r="N19" s="300"/>
      <c r="O19" s="300"/>
      <c r="P19" s="300"/>
      <c r="Q19" s="300"/>
      <c r="R19" s="300"/>
      <c r="S19" s="300"/>
      <c r="T19" s="302"/>
      <c r="U19" s="300"/>
      <c r="V19" s="300"/>
      <c r="W19" s="300"/>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29"/>
      <c r="BD19" s="529"/>
      <c r="BE19" s="529"/>
      <c r="BF19" s="529"/>
      <c r="BG19" s="529"/>
      <c r="BH19" s="529"/>
      <c r="BI19" s="529"/>
      <c r="BJ19" s="529"/>
      <c r="BK19" s="529"/>
      <c r="BL19" s="529"/>
      <c r="BM19" s="529"/>
      <c r="BN19" s="529"/>
      <c r="BO19" s="529"/>
      <c r="BP19" s="529"/>
      <c r="BQ19" s="529"/>
      <c r="BR19" s="529"/>
      <c r="BS19" s="529"/>
      <c r="BT19" s="529"/>
      <c r="BU19" s="529"/>
      <c r="BV19" s="529"/>
      <c r="BW19" s="529"/>
      <c r="BX19" s="529"/>
      <c r="BY19" s="529"/>
      <c r="BZ19" s="529"/>
      <c r="CA19" s="529"/>
      <c r="CB19" s="529"/>
      <c r="CC19" s="529"/>
      <c r="CD19" s="529"/>
      <c r="CE19" s="529"/>
      <c r="CF19" s="529"/>
      <c r="CG19" s="529"/>
      <c r="CH19" s="529"/>
      <c r="CI19" s="529"/>
      <c r="CJ19" s="529"/>
      <c r="CK19" s="529"/>
      <c r="CL19" s="529"/>
      <c r="CM19" s="529"/>
    </row>
    <row r="20">
      <c r="A20" s="300"/>
      <c r="B20" s="325" t="str">
        <f t="shared" si="2"/>
        <v/>
      </c>
      <c r="C20" s="540" t="s">
        <v>2083</v>
      </c>
      <c r="D20" s="148"/>
      <c r="E20" s="148"/>
      <c r="F20" s="148"/>
      <c r="G20" s="171"/>
      <c r="H20" s="302"/>
      <c r="I20" s="302"/>
      <c r="J20" s="300"/>
      <c r="K20" s="300"/>
      <c r="L20" s="300"/>
      <c r="M20" s="300"/>
      <c r="N20" s="300"/>
      <c r="O20" s="300"/>
      <c r="P20" s="300"/>
      <c r="Q20" s="300"/>
      <c r="R20" s="300"/>
      <c r="S20" s="300"/>
      <c r="T20" s="302"/>
      <c r="U20" s="300"/>
      <c r="V20" s="300"/>
      <c r="W20" s="300"/>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c r="BZ20" s="529"/>
      <c r="CA20" s="529"/>
      <c r="CB20" s="529"/>
      <c r="CC20" s="529"/>
      <c r="CD20" s="529"/>
      <c r="CE20" s="529"/>
      <c r="CF20" s="529"/>
      <c r="CG20" s="529"/>
      <c r="CH20" s="529"/>
      <c r="CI20" s="529"/>
      <c r="CJ20" s="529"/>
      <c r="CK20" s="529"/>
      <c r="CL20" s="529"/>
      <c r="CM20" s="529"/>
    </row>
    <row r="21">
      <c r="A21" s="489"/>
      <c r="B21" s="325" t="str">
        <f t="shared" si="2"/>
        <v>TC_05.7</v>
      </c>
      <c r="C21" s="326" t="s">
        <v>75</v>
      </c>
      <c r="D21" s="541" t="s">
        <v>2084</v>
      </c>
      <c r="E21" s="543"/>
      <c r="F21" s="554" t="s">
        <v>2125</v>
      </c>
      <c r="G21" s="554" t="s">
        <v>2126</v>
      </c>
      <c r="H21" s="302"/>
      <c r="I21" s="302"/>
      <c r="J21" s="300"/>
      <c r="K21" s="300"/>
      <c r="L21" s="300"/>
      <c r="M21" s="300"/>
      <c r="N21" s="300"/>
      <c r="O21" s="300"/>
      <c r="P21" s="300"/>
      <c r="Q21" s="300"/>
      <c r="R21" s="300"/>
      <c r="S21" s="300"/>
      <c r="T21" s="302"/>
      <c r="U21" s="300"/>
      <c r="V21" s="300"/>
      <c r="W21" s="300"/>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c r="BZ21" s="529"/>
      <c r="CA21" s="529"/>
      <c r="CB21" s="529"/>
      <c r="CC21" s="529"/>
      <c r="CD21" s="529"/>
      <c r="CE21" s="529"/>
      <c r="CF21" s="529"/>
      <c r="CG21" s="529"/>
      <c r="CH21" s="529"/>
      <c r="CI21" s="529"/>
      <c r="CJ21" s="529"/>
      <c r="CK21" s="529"/>
      <c r="CL21" s="529"/>
      <c r="CM21" s="529"/>
    </row>
    <row r="22">
      <c r="A22" s="300"/>
      <c r="B22" s="300" t="str">
        <f t="shared" si="2"/>
        <v/>
      </c>
      <c r="C22" s="540" t="s">
        <v>1501</v>
      </c>
      <c r="D22" s="148"/>
      <c r="E22" s="148"/>
      <c r="F22" s="148"/>
      <c r="G22" s="171"/>
      <c r="H22" s="302"/>
      <c r="I22" s="302"/>
      <c r="J22" s="300"/>
      <c r="K22" s="300"/>
      <c r="L22" s="300"/>
      <c r="M22" s="300"/>
      <c r="N22" s="300"/>
      <c r="O22" s="300"/>
      <c r="P22" s="300"/>
      <c r="Q22" s="300"/>
      <c r="R22" s="300"/>
      <c r="S22" s="300"/>
      <c r="T22" s="302"/>
      <c r="U22" s="300"/>
      <c r="V22" s="300"/>
      <c r="W22" s="300"/>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29"/>
      <c r="BD22" s="529"/>
      <c r="BE22" s="529"/>
      <c r="BF22" s="529"/>
      <c r="BG22" s="529"/>
      <c r="BH22" s="529"/>
      <c r="BI22" s="529"/>
      <c r="BJ22" s="529"/>
      <c r="BK22" s="529"/>
      <c r="BL22" s="529"/>
      <c r="BM22" s="529"/>
      <c r="BN22" s="529"/>
      <c r="BO22" s="529"/>
      <c r="BP22" s="529"/>
      <c r="BQ22" s="529"/>
      <c r="BR22" s="529"/>
      <c r="BS22" s="529"/>
      <c r="BT22" s="529"/>
      <c r="BU22" s="529"/>
      <c r="BV22" s="529"/>
      <c r="BW22" s="529"/>
      <c r="BX22" s="529"/>
      <c r="BY22" s="529"/>
      <c r="BZ22" s="529"/>
      <c r="CA22" s="529"/>
      <c r="CB22" s="529"/>
      <c r="CC22" s="529"/>
      <c r="CD22" s="529"/>
      <c r="CE22" s="529"/>
      <c r="CF22" s="529"/>
      <c r="CG22" s="529"/>
      <c r="CH22" s="529"/>
      <c r="CI22" s="529"/>
      <c r="CJ22" s="529"/>
      <c r="CK22" s="529"/>
      <c r="CL22" s="529"/>
      <c r="CM22" s="529"/>
    </row>
    <row r="23">
      <c r="A23" s="300"/>
      <c r="B23" s="325" t="str">
        <f t="shared" si="2"/>
        <v>TC_05.8</v>
      </c>
      <c r="C23" s="326" t="s">
        <v>75</v>
      </c>
      <c r="D23" s="345" t="s">
        <v>2087</v>
      </c>
      <c r="E23" s="545"/>
      <c r="F23" s="550" t="s">
        <v>2088</v>
      </c>
      <c r="G23" s="344" t="s">
        <v>2127</v>
      </c>
      <c r="H23" s="302"/>
      <c r="I23" s="302"/>
      <c r="J23" s="300"/>
      <c r="K23" s="300"/>
      <c r="L23" s="300"/>
      <c r="M23" s="300"/>
      <c r="N23" s="300"/>
      <c r="O23" s="300"/>
      <c r="P23" s="300"/>
      <c r="Q23" s="300"/>
      <c r="R23" s="300"/>
      <c r="S23" s="300"/>
      <c r="T23" s="302"/>
      <c r="U23" s="300"/>
      <c r="V23" s="300"/>
      <c r="W23" s="300"/>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29"/>
      <c r="BD23" s="529"/>
      <c r="BE23" s="529"/>
      <c r="BF23" s="529"/>
      <c r="BG23" s="529"/>
      <c r="BH23" s="529"/>
      <c r="BI23" s="529"/>
      <c r="BJ23" s="529"/>
      <c r="BK23" s="529"/>
      <c r="BL23" s="529"/>
      <c r="BM23" s="529"/>
      <c r="BN23" s="529"/>
      <c r="BO23" s="529"/>
      <c r="BP23" s="529"/>
      <c r="BQ23" s="529"/>
      <c r="BR23" s="529"/>
      <c r="BS23" s="529"/>
      <c r="BT23" s="529"/>
      <c r="BU23" s="529"/>
      <c r="BV23" s="529"/>
      <c r="BW23" s="529"/>
      <c r="BX23" s="529"/>
      <c r="BY23" s="529"/>
      <c r="BZ23" s="529"/>
      <c r="CA23" s="529"/>
      <c r="CB23" s="529"/>
      <c r="CC23" s="529"/>
      <c r="CD23" s="529"/>
      <c r="CE23" s="529"/>
      <c r="CF23" s="529"/>
      <c r="CG23" s="529"/>
      <c r="CH23" s="529"/>
      <c r="CI23" s="529"/>
      <c r="CJ23" s="529"/>
      <c r="CK23" s="529"/>
      <c r="CL23" s="529"/>
      <c r="CM23" s="529"/>
    </row>
    <row r="24">
      <c r="A24" s="302"/>
      <c r="B24" s="326" t="str">
        <f t="shared" si="2"/>
        <v>TC_05.9</v>
      </c>
      <c r="C24" s="347" t="s">
        <v>73</v>
      </c>
      <c r="D24" s="551" t="s">
        <v>2090</v>
      </c>
      <c r="E24" s="276" t="s">
        <v>2091</v>
      </c>
      <c r="F24" s="347" t="s">
        <v>2092</v>
      </c>
      <c r="G24" s="347" t="s">
        <v>2093</v>
      </c>
      <c r="H24" s="302"/>
      <c r="I24" s="300"/>
      <c r="J24" s="300"/>
      <c r="K24" s="300"/>
      <c r="L24" s="300"/>
      <c r="M24" s="300"/>
      <c r="N24" s="300"/>
      <c r="O24" s="300"/>
      <c r="P24" s="300"/>
      <c r="Q24" s="300"/>
      <c r="R24" s="300"/>
      <c r="S24" s="300"/>
      <c r="T24" s="302"/>
      <c r="U24" s="300"/>
      <c r="V24" s="300"/>
      <c r="W24" s="300"/>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29"/>
      <c r="BD24" s="529"/>
      <c r="BE24" s="529"/>
      <c r="BF24" s="529"/>
      <c r="BG24" s="529"/>
      <c r="BH24" s="529"/>
      <c r="BI24" s="529"/>
      <c r="BJ24" s="529"/>
      <c r="BK24" s="529"/>
      <c r="BL24" s="529"/>
      <c r="BM24" s="529"/>
      <c r="BN24" s="529"/>
      <c r="BO24" s="529"/>
      <c r="BP24" s="529"/>
      <c r="BQ24" s="529"/>
      <c r="BR24" s="529"/>
      <c r="BS24" s="529"/>
      <c r="BT24" s="529"/>
      <c r="BU24" s="529"/>
      <c r="BV24" s="529"/>
      <c r="BW24" s="529"/>
      <c r="BX24" s="529"/>
      <c r="BY24" s="529"/>
      <c r="BZ24" s="529"/>
      <c r="CA24" s="529"/>
      <c r="CB24" s="529"/>
      <c r="CC24" s="529"/>
      <c r="CD24" s="529"/>
      <c r="CE24" s="529"/>
      <c r="CF24" s="529"/>
      <c r="CG24" s="529"/>
      <c r="CH24" s="529"/>
      <c r="CI24" s="529"/>
      <c r="CJ24" s="529"/>
      <c r="CK24" s="529"/>
      <c r="CL24" s="529"/>
      <c r="CM24" s="529"/>
    </row>
    <row r="25">
      <c r="A25" s="300"/>
      <c r="B25" s="325" t="str">
        <f t="shared" si="2"/>
        <v>TC_05.10</v>
      </c>
      <c r="C25" s="347" t="s">
        <v>73</v>
      </c>
      <c r="D25" s="551" t="s">
        <v>2094</v>
      </c>
      <c r="E25" s="276" t="s">
        <v>2095</v>
      </c>
      <c r="F25" s="347" t="s">
        <v>2096</v>
      </c>
      <c r="G25" s="347" t="s">
        <v>2097</v>
      </c>
      <c r="H25" s="302"/>
      <c r="I25" s="302"/>
      <c r="J25" s="300"/>
      <c r="K25" s="300"/>
      <c r="L25" s="300"/>
      <c r="M25" s="300"/>
      <c r="N25" s="300"/>
      <c r="O25" s="300"/>
      <c r="P25" s="300"/>
      <c r="Q25" s="300"/>
      <c r="R25" s="300"/>
      <c r="S25" s="300"/>
      <c r="T25" s="302"/>
      <c r="U25" s="300"/>
      <c r="V25" s="300"/>
      <c r="W25" s="300"/>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29"/>
      <c r="BD25" s="529"/>
      <c r="BE25" s="529"/>
      <c r="BF25" s="529"/>
      <c r="BG25" s="529"/>
      <c r="BH25" s="529"/>
      <c r="BI25" s="529"/>
      <c r="BJ25" s="529"/>
      <c r="BK25" s="529"/>
      <c r="BL25" s="529"/>
      <c r="BM25" s="529"/>
      <c r="BN25" s="529"/>
      <c r="BO25" s="529"/>
      <c r="BP25" s="529"/>
      <c r="BQ25" s="529"/>
      <c r="BR25" s="529"/>
      <c r="BS25" s="529"/>
      <c r="BT25" s="529"/>
      <c r="BU25" s="529"/>
      <c r="BV25" s="529"/>
      <c r="BW25" s="529"/>
      <c r="BX25" s="529"/>
      <c r="BY25" s="529"/>
      <c r="BZ25" s="529"/>
      <c r="CA25" s="529"/>
      <c r="CB25" s="529"/>
      <c r="CC25" s="529"/>
      <c r="CD25" s="529"/>
      <c r="CE25" s="529"/>
      <c r="CF25" s="529"/>
      <c r="CG25" s="529"/>
      <c r="CH25" s="529"/>
      <c r="CI25" s="529"/>
      <c r="CJ25" s="529"/>
      <c r="CK25" s="529"/>
      <c r="CL25" s="529"/>
      <c r="CM25" s="529"/>
    </row>
    <row r="26">
      <c r="A26" s="300"/>
      <c r="B26" s="536" t="s">
        <v>1482</v>
      </c>
      <c r="C26" s="148"/>
      <c r="D26" s="148"/>
      <c r="E26" s="148"/>
      <c r="F26" s="148"/>
      <c r="G26" s="171"/>
      <c r="H26" s="302"/>
      <c r="I26" s="302"/>
      <c r="J26" s="300"/>
      <c r="K26" s="300"/>
      <c r="L26" s="300"/>
      <c r="M26" s="300"/>
      <c r="N26" s="300"/>
      <c r="O26" s="300"/>
      <c r="P26" s="300"/>
      <c r="Q26" s="300"/>
      <c r="R26" s="300"/>
      <c r="S26" s="300"/>
      <c r="T26" s="302"/>
      <c r="U26" s="300"/>
      <c r="V26" s="300"/>
      <c r="W26" s="300"/>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29"/>
      <c r="BD26" s="529"/>
      <c r="BE26" s="529"/>
      <c r="BF26" s="529"/>
      <c r="BG26" s="529"/>
      <c r="BH26" s="529"/>
      <c r="BI26" s="529"/>
      <c r="BJ26" s="529"/>
      <c r="BK26" s="529"/>
      <c r="BL26" s="529"/>
      <c r="BM26" s="529"/>
      <c r="BN26" s="529"/>
      <c r="BO26" s="529"/>
      <c r="BP26" s="529"/>
      <c r="BQ26" s="529"/>
      <c r="BR26" s="529"/>
      <c r="BS26" s="529"/>
      <c r="BT26" s="529"/>
      <c r="BU26" s="529"/>
      <c r="BV26" s="529"/>
      <c r="BW26" s="529"/>
      <c r="BX26" s="529"/>
      <c r="BY26" s="529"/>
      <c r="BZ26" s="529"/>
      <c r="CA26" s="529"/>
      <c r="CB26" s="529"/>
      <c r="CC26" s="529"/>
      <c r="CD26" s="529"/>
      <c r="CE26" s="529"/>
      <c r="CF26" s="529"/>
      <c r="CG26" s="529"/>
      <c r="CH26" s="529"/>
      <c r="CI26" s="529"/>
      <c r="CJ26" s="529"/>
      <c r="CK26" s="529"/>
      <c r="CL26" s="529"/>
      <c r="CM26" s="529"/>
    </row>
    <row r="27">
      <c r="A27" s="300"/>
      <c r="B27" s="325"/>
      <c r="C27" s="329" t="s">
        <v>73</v>
      </c>
      <c r="D27" s="347" t="s">
        <v>2098</v>
      </c>
      <c r="E27" s="329" t="s">
        <v>2099</v>
      </c>
      <c r="F27" s="429" t="s">
        <v>2100</v>
      </c>
      <c r="G27" s="329" t="s">
        <v>2101</v>
      </c>
      <c r="H27" s="302"/>
      <c r="I27" s="302"/>
      <c r="J27" s="300"/>
      <c r="K27" s="300"/>
      <c r="L27" s="300"/>
      <c r="M27" s="300"/>
      <c r="N27" s="300"/>
      <c r="O27" s="300"/>
      <c r="P27" s="300"/>
      <c r="Q27" s="300"/>
      <c r="R27" s="300"/>
      <c r="S27" s="300"/>
      <c r="T27" s="302"/>
      <c r="U27" s="300"/>
      <c r="V27" s="300"/>
      <c r="W27" s="300"/>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29"/>
      <c r="BD27" s="529"/>
      <c r="BE27" s="529"/>
      <c r="BF27" s="529"/>
      <c r="BG27" s="529"/>
      <c r="BH27" s="529"/>
      <c r="BI27" s="529"/>
      <c r="BJ27" s="529"/>
      <c r="BK27" s="529"/>
      <c r="BL27" s="529"/>
      <c r="BM27" s="529"/>
      <c r="BN27" s="529"/>
      <c r="BO27" s="529"/>
      <c r="BP27" s="529"/>
      <c r="BQ27" s="529"/>
      <c r="BR27" s="529"/>
      <c r="BS27" s="529"/>
      <c r="BT27" s="529"/>
      <c r="BU27" s="529"/>
      <c r="BV27" s="529"/>
      <c r="BW27" s="529"/>
      <c r="BX27" s="529"/>
      <c r="BY27" s="529"/>
      <c r="BZ27" s="529"/>
      <c r="CA27" s="529"/>
      <c r="CB27" s="529"/>
      <c r="CC27" s="529"/>
      <c r="CD27" s="529"/>
      <c r="CE27" s="529"/>
      <c r="CF27" s="529"/>
      <c r="CG27" s="529"/>
      <c r="CH27" s="529"/>
      <c r="CI27" s="529"/>
      <c r="CJ27" s="529"/>
      <c r="CK27" s="529"/>
      <c r="CL27" s="529"/>
      <c r="CM27" s="529"/>
    </row>
    <row r="28">
      <c r="A28" s="300"/>
      <c r="B28" s="325" t="str">
        <f t="shared" ref="B28:B30" si="3">IF(F28="","",$D$3&amp;"."&amp;COUNTA($F$9:F28)&amp;"")</f>
        <v>TC_05.12</v>
      </c>
      <c r="C28" s="347" t="s">
        <v>73</v>
      </c>
      <c r="D28" s="347" t="s">
        <v>2098</v>
      </c>
      <c r="E28" s="347" t="s">
        <v>2102</v>
      </c>
      <c r="F28" s="550" t="s">
        <v>2103</v>
      </c>
      <c r="G28" s="329" t="s">
        <v>2104</v>
      </c>
      <c r="H28" s="302"/>
      <c r="I28" s="302"/>
      <c r="J28" s="300"/>
      <c r="K28" s="300"/>
      <c r="L28" s="300"/>
      <c r="M28" s="300"/>
      <c r="N28" s="300"/>
      <c r="O28" s="300"/>
      <c r="P28" s="300"/>
      <c r="Q28" s="300"/>
      <c r="R28" s="300"/>
      <c r="S28" s="300"/>
      <c r="T28" s="302"/>
      <c r="U28" s="300"/>
      <c r="V28" s="300"/>
      <c r="W28" s="300"/>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29"/>
      <c r="BD28" s="529"/>
      <c r="BE28" s="529"/>
      <c r="BF28" s="529"/>
      <c r="BG28" s="529"/>
      <c r="BH28" s="529"/>
      <c r="BI28" s="529"/>
      <c r="BJ28" s="529"/>
      <c r="BK28" s="529"/>
      <c r="BL28" s="529"/>
      <c r="BM28" s="529"/>
      <c r="BN28" s="529"/>
      <c r="BO28" s="529"/>
      <c r="BP28" s="529"/>
      <c r="BQ28" s="529"/>
      <c r="BR28" s="529"/>
      <c r="BS28" s="529"/>
      <c r="BT28" s="529"/>
      <c r="BU28" s="529"/>
      <c r="BV28" s="529"/>
      <c r="BW28" s="529"/>
      <c r="BX28" s="529"/>
      <c r="BY28" s="529"/>
      <c r="BZ28" s="529"/>
      <c r="CA28" s="529"/>
      <c r="CB28" s="529"/>
      <c r="CC28" s="529"/>
      <c r="CD28" s="529"/>
      <c r="CE28" s="529"/>
      <c r="CF28" s="529"/>
      <c r="CG28" s="529"/>
      <c r="CH28" s="529"/>
      <c r="CI28" s="529"/>
      <c r="CJ28" s="529"/>
      <c r="CK28" s="529"/>
      <c r="CL28" s="529"/>
      <c r="CM28" s="529"/>
    </row>
    <row r="29">
      <c r="A29" s="300"/>
      <c r="B29" s="325" t="str">
        <f t="shared" si="3"/>
        <v>TC_05.13</v>
      </c>
      <c r="C29" s="267" t="s">
        <v>73</v>
      </c>
      <c r="D29" s="265" t="s">
        <v>2105</v>
      </c>
      <c r="E29" s="552" t="s">
        <v>2106</v>
      </c>
      <c r="F29" s="552" t="s">
        <v>2107</v>
      </c>
      <c r="G29" s="265" t="s">
        <v>2108</v>
      </c>
      <c r="H29" s="302"/>
      <c r="I29" s="302"/>
      <c r="J29" s="300"/>
      <c r="K29" s="300"/>
      <c r="L29" s="300"/>
      <c r="M29" s="300"/>
      <c r="N29" s="300"/>
      <c r="O29" s="300"/>
      <c r="P29" s="300"/>
      <c r="Q29" s="300"/>
      <c r="R29" s="300"/>
      <c r="S29" s="300"/>
      <c r="T29" s="302"/>
      <c r="U29" s="300"/>
      <c r="V29" s="300"/>
      <c r="W29" s="300"/>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c r="BZ29" s="529"/>
      <c r="CA29" s="529"/>
      <c r="CB29" s="529"/>
      <c r="CC29" s="529"/>
      <c r="CD29" s="529"/>
      <c r="CE29" s="529"/>
      <c r="CF29" s="529"/>
      <c r="CG29" s="529"/>
      <c r="CH29" s="529"/>
      <c r="CI29" s="529"/>
      <c r="CJ29" s="529"/>
      <c r="CK29" s="529"/>
      <c r="CL29" s="529"/>
      <c r="CM29" s="529"/>
    </row>
    <row r="30">
      <c r="A30" s="300"/>
      <c r="B30" s="325" t="str">
        <f t="shared" si="3"/>
        <v>TC_05.14</v>
      </c>
      <c r="C30" s="267" t="s">
        <v>73</v>
      </c>
      <c r="D30" s="265" t="s">
        <v>2109</v>
      </c>
      <c r="E30" s="552" t="s">
        <v>2106</v>
      </c>
      <c r="F30" s="552" t="s">
        <v>2110</v>
      </c>
      <c r="G30" s="265" t="s">
        <v>2111</v>
      </c>
      <c r="H30" s="302"/>
      <c r="I30" s="302"/>
      <c r="J30" s="300"/>
      <c r="K30" s="300"/>
      <c r="L30" s="300"/>
      <c r="M30" s="300"/>
      <c r="N30" s="300"/>
      <c r="O30" s="300"/>
      <c r="P30" s="300"/>
      <c r="Q30" s="300"/>
      <c r="R30" s="300"/>
      <c r="S30" s="300"/>
      <c r="T30" s="302"/>
      <c r="U30" s="300"/>
      <c r="V30" s="300"/>
      <c r="W30" s="300"/>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c r="BZ30" s="529"/>
      <c r="CA30" s="529"/>
      <c r="CB30" s="529"/>
      <c r="CC30" s="529"/>
      <c r="CD30" s="529"/>
      <c r="CE30" s="529"/>
      <c r="CF30" s="529"/>
      <c r="CG30" s="529"/>
      <c r="CH30" s="529"/>
      <c r="CI30" s="529"/>
      <c r="CJ30" s="529"/>
      <c r="CK30" s="529"/>
      <c r="CL30" s="529"/>
      <c r="CM30" s="529"/>
    </row>
    <row r="31">
      <c r="A31" s="300"/>
      <c r="B31" s="300"/>
      <c r="C31" s="302"/>
      <c r="D31" s="302"/>
      <c r="E31" s="302"/>
      <c r="F31" s="302"/>
      <c r="G31" s="302"/>
      <c r="H31" s="302"/>
      <c r="I31" s="302"/>
      <c r="J31" s="300"/>
      <c r="K31" s="300"/>
      <c r="L31" s="300"/>
      <c r="M31" s="300"/>
      <c r="N31" s="300"/>
      <c r="O31" s="300"/>
      <c r="P31" s="300"/>
      <c r="Q31" s="300"/>
      <c r="R31" s="300"/>
      <c r="S31" s="300"/>
      <c r="T31" s="302"/>
      <c r="U31" s="300"/>
      <c r="V31" s="300"/>
      <c r="W31" s="300"/>
      <c r="X31" s="529"/>
      <c r="Y31" s="529"/>
      <c r="Z31" s="529"/>
      <c r="AA31" s="529"/>
      <c r="AB31" s="529"/>
      <c r="AC31" s="529"/>
      <c r="AD31" s="529"/>
      <c r="AE31" s="529"/>
      <c r="AF31" s="529"/>
      <c r="AG31" s="529"/>
      <c r="AH31" s="529"/>
      <c r="AI31" s="529"/>
      <c r="AJ31" s="529"/>
      <c r="AK31" s="529"/>
      <c r="AL31" s="529"/>
      <c r="AM31" s="529"/>
      <c r="AN31" s="529"/>
      <c r="AO31" s="529"/>
      <c r="AP31" s="529"/>
      <c r="AQ31" s="529"/>
      <c r="AR31" s="529"/>
      <c r="AS31" s="529"/>
      <c r="AT31" s="529"/>
      <c r="AU31" s="529"/>
      <c r="AV31" s="529"/>
      <c r="AW31" s="529"/>
      <c r="AX31" s="529"/>
      <c r="AY31" s="529"/>
      <c r="AZ31" s="529"/>
      <c r="BA31" s="529"/>
      <c r="BB31" s="529"/>
      <c r="BC31" s="529"/>
      <c r="BD31" s="529"/>
      <c r="BE31" s="529"/>
      <c r="BF31" s="529"/>
      <c r="BG31" s="529"/>
      <c r="BH31" s="529"/>
      <c r="BI31" s="529"/>
      <c r="BJ31" s="529"/>
      <c r="BK31" s="529"/>
      <c r="BL31" s="529"/>
      <c r="BM31" s="529"/>
      <c r="BN31" s="529"/>
      <c r="BO31" s="529"/>
      <c r="BP31" s="529"/>
      <c r="BQ31" s="529"/>
      <c r="BR31" s="529"/>
      <c r="BS31" s="529"/>
      <c r="BT31" s="529"/>
      <c r="BU31" s="529"/>
      <c r="BV31" s="529"/>
      <c r="BW31" s="529"/>
      <c r="BX31" s="529"/>
      <c r="BY31" s="529"/>
      <c r="BZ31" s="529"/>
      <c r="CA31" s="529"/>
      <c r="CB31" s="529"/>
      <c r="CC31" s="529"/>
      <c r="CD31" s="529"/>
      <c r="CE31" s="529"/>
      <c r="CF31" s="529"/>
      <c r="CG31" s="529"/>
      <c r="CH31" s="529"/>
      <c r="CI31" s="529"/>
      <c r="CJ31" s="529"/>
      <c r="CK31" s="529"/>
      <c r="CL31" s="529"/>
      <c r="CM31" s="529"/>
    </row>
    <row r="32">
      <c r="A32" s="300"/>
      <c r="B32" s="529"/>
      <c r="C32" s="553"/>
      <c r="D32" s="553"/>
      <c r="E32" s="553"/>
      <c r="F32" s="553"/>
      <c r="G32" s="553"/>
      <c r="H32" s="553"/>
      <c r="I32" s="553"/>
      <c r="J32" s="529"/>
      <c r="K32" s="529"/>
      <c r="L32" s="529"/>
      <c r="M32" s="529"/>
      <c r="N32" s="529"/>
      <c r="O32" s="529"/>
      <c r="P32" s="529"/>
      <c r="Q32" s="529"/>
      <c r="R32" s="529"/>
      <c r="S32" s="529"/>
      <c r="T32" s="553"/>
      <c r="U32" s="529"/>
      <c r="V32" s="529"/>
      <c r="W32" s="529"/>
      <c r="X32" s="529"/>
      <c r="Y32" s="529"/>
      <c r="Z32" s="529"/>
      <c r="AA32" s="529"/>
      <c r="AB32" s="529"/>
      <c r="AC32" s="529"/>
      <c r="AD32" s="529"/>
      <c r="AE32" s="529"/>
      <c r="AF32" s="529"/>
      <c r="AG32" s="529"/>
      <c r="AH32" s="529"/>
      <c r="AI32" s="529"/>
      <c r="AJ32" s="529"/>
      <c r="AK32" s="529"/>
      <c r="AL32" s="529"/>
      <c r="AM32" s="529"/>
      <c r="AN32" s="529"/>
      <c r="AO32" s="529"/>
      <c r="AP32" s="529"/>
      <c r="AQ32" s="529"/>
      <c r="AR32" s="529"/>
      <c r="AS32" s="529"/>
      <c r="AT32" s="529"/>
      <c r="AU32" s="529"/>
      <c r="AV32" s="529"/>
      <c r="AW32" s="529"/>
      <c r="AX32" s="529"/>
      <c r="AY32" s="529"/>
      <c r="AZ32" s="529"/>
      <c r="BA32" s="529"/>
      <c r="BB32" s="529"/>
      <c r="BC32" s="529"/>
      <c r="BD32" s="529"/>
      <c r="BE32" s="529"/>
      <c r="BF32" s="529"/>
      <c r="BG32" s="529"/>
      <c r="BH32" s="529"/>
      <c r="BI32" s="529"/>
      <c r="BJ32" s="529"/>
      <c r="BK32" s="529"/>
      <c r="BL32" s="529"/>
      <c r="BM32" s="529"/>
      <c r="BN32" s="529"/>
      <c r="BO32" s="529"/>
      <c r="BP32" s="529"/>
      <c r="BQ32" s="529"/>
      <c r="BR32" s="529"/>
      <c r="BS32" s="529"/>
      <c r="BT32" s="529"/>
      <c r="BU32" s="529"/>
      <c r="BV32" s="529"/>
      <c r="BW32" s="529"/>
      <c r="BX32" s="529"/>
      <c r="BY32" s="529"/>
      <c r="BZ32" s="529"/>
      <c r="CA32" s="529"/>
      <c r="CB32" s="529"/>
      <c r="CC32" s="529"/>
      <c r="CD32" s="529"/>
      <c r="CE32" s="529"/>
      <c r="CF32" s="529"/>
      <c r="CG32" s="529"/>
      <c r="CH32" s="529"/>
      <c r="CI32" s="529"/>
      <c r="CJ32" s="529"/>
      <c r="CK32" s="529"/>
      <c r="CL32" s="529"/>
      <c r="CM32" s="529"/>
    </row>
    <row r="33">
      <c r="A33" s="300"/>
      <c r="B33" s="529"/>
      <c r="C33" s="553"/>
      <c r="D33" s="553"/>
      <c r="E33" s="553"/>
      <c r="F33" s="553"/>
      <c r="G33" s="553"/>
      <c r="H33" s="553"/>
      <c r="I33" s="529"/>
      <c r="J33" s="529"/>
      <c r="K33" s="529"/>
      <c r="L33" s="529"/>
      <c r="M33" s="529"/>
      <c r="N33" s="529"/>
      <c r="O33" s="529"/>
      <c r="P33" s="529"/>
      <c r="Q33" s="529"/>
      <c r="R33" s="529"/>
      <c r="S33" s="529"/>
      <c r="T33" s="553"/>
      <c r="U33" s="529"/>
      <c r="V33" s="529"/>
      <c r="W33" s="529"/>
      <c r="X33" s="529"/>
      <c r="Y33" s="529"/>
      <c r="Z33" s="529"/>
      <c r="AA33" s="529"/>
      <c r="AB33" s="529"/>
      <c r="AC33" s="529"/>
      <c r="AD33" s="529"/>
      <c r="AE33" s="529"/>
      <c r="AF33" s="529"/>
      <c r="AG33" s="529"/>
      <c r="AH33" s="529"/>
      <c r="AI33" s="529"/>
      <c r="AJ33" s="529"/>
      <c r="AK33" s="529"/>
      <c r="AL33" s="529"/>
      <c r="AM33" s="529"/>
      <c r="AN33" s="529"/>
      <c r="AO33" s="529"/>
      <c r="AP33" s="529"/>
      <c r="AQ33" s="529"/>
      <c r="AR33" s="529"/>
      <c r="AS33" s="529"/>
      <c r="AT33" s="529"/>
      <c r="AU33" s="529"/>
      <c r="AV33" s="529"/>
      <c r="AW33" s="529"/>
      <c r="AX33" s="529"/>
      <c r="AY33" s="529"/>
      <c r="AZ33" s="529"/>
      <c r="BA33" s="529"/>
      <c r="BB33" s="529"/>
      <c r="BC33" s="529"/>
      <c r="BD33" s="529"/>
      <c r="BE33" s="529"/>
      <c r="BF33" s="529"/>
      <c r="BG33" s="529"/>
      <c r="BH33" s="529"/>
      <c r="BI33" s="529"/>
      <c r="BJ33" s="529"/>
      <c r="BK33" s="529"/>
      <c r="BL33" s="529"/>
      <c r="BM33" s="529"/>
      <c r="BN33" s="529"/>
      <c r="BO33" s="529"/>
      <c r="BP33" s="529"/>
      <c r="BQ33" s="529"/>
      <c r="BR33" s="529"/>
      <c r="BS33" s="529"/>
      <c r="BT33" s="529"/>
      <c r="BU33" s="529"/>
      <c r="BV33" s="529"/>
      <c r="BW33" s="529"/>
      <c r="BX33" s="529"/>
      <c r="BY33" s="529"/>
      <c r="BZ33" s="529"/>
      <c r="CA33" s="529"/>
      <c r="CB33" s="529"/>
      <c r="CC33" s="529"/>
      <c r="CD33" s="529"/>
      <c r="CE33" s="529"/>
      <c r="CF33" s="529"/>
      <c r="CG33" s="529"/>
      <c r="CH33" s="529"/>
      <c r="CI33" s="529"/>
      <c r="CJ33" s="529"/>
      <c r="CK33" s="529"/>
      <c r="CL33" s="529"/>
      <c r="CM33" s="529"/>
    </row>
    <row r="34">
      <c r="A34" s="300"/>
      <c r="B34" s="529"/>
      <c r="C34" s="553"/>
      <c r="D34" s="553"/>
      <c r="E34" s="553"/>
      <c r="F34" s="553"/>
      <c r="G34" s="553"/>
      <c r="H34" s="553"/>
      <c r="I34" s="529"/>
      <c r="J34" s="529"/>
      <c r="K34" s="529"/>
      <c r="L34" s="529"/>
      <c r="M34" s="529"/>
      <c r="N34" s="529"/>
      <c r="O34" s="529"/>
      <c r="P34" s="529"/>
      <c r="Q34" s="529"/>
      <c r="R34" s="529"/>
      <c r="S34" s="529"/>
      <c r="T34" s="553"/>
      <c r="U34" s="529"/>
      <c r="V34" s="529"/>
      <c r="W34" s="529"/>
      <c r="X34" s="529"/>
      <c r="Y34" s="529"/>
      <c r="Z34" s="529"/>
      <c r="AA34" s="529"/>
      <c r="AB34" s="529"/>
      <c r="AC34" s="529"/>
      <c r="AD34" s="529"/>
      <c r="AE34" s="529"/>
      <c r="AF34" s="529"/>
      <c r="AG34" s="529"/>
      <c r="AH34" s="529"/>
      <c r="AI34" s="529"/>
      <c r="AJ34" s="529"/>
      <c r="AK34" s="529"/>
      <c r="AL34" s="529"/>
      <c r="AM34" s="529"/>
      <c r="AN34" s="529"/>
      <c r="AO34" s="529"/>
      <c r="AP34" s="529"/>
      <c r="AQ34" s="529"/>
      <c r="AR34" s="529"/>
      <c r="AS34" s="529"/>
      <c r="AT34" s="529"/>
      <c r="AU34" s="529"/>
      <c r="AV34" s="529"/>
      <c r="AW34" s="529"/>
      <c r="AX34" s="529"/>
      <c r="AY34" s="529"/>
      <c r="AZ34" s="529"/>
      <c r="BA34" s="529"/>
      <c r="BB34" s="529"/>
      <c r="BC34" s="529"/>
      <c r="BD34" s="529"/>
      <c r="BE34" s="529"/>
      <c r="BF34" s="529"/>
      <c r="BG34" s="529"/>
      <c r="BH34" s="529"/>
      <c r="BI34" s="529"/>
      <c r="BJ34" s="529"/>
      <c r="BK34" s="529"/>
      <c r="BL34" s="529"/>
      <c r="BM34" s="529"/>
      <c r="BN34" s="529"/>
      <c r="BO34" s="529"/>
      <c r="BP34" s="529"/>
      <c r="BQ34" s="529"/>
      <c r="BR34" s="529"/>
      <c r="BS34" s="529"/>
      <c r="BT34" s="529"/>
      <c r="BU34" s="529"/>
      <c r="BV34" s="529"/>
      <c r="BW34" s="529"/>
      <c r="BX34" s="529"/>
      <c r="BY34" s="529"/>
      <c r="BZ34" s="529"/>
      <c r="CA34" s="529"/>
      <c r="CB34" s="529"/>
      <c r="CC34" s="529"/>
      <c r="CD34" s="529"/>
      <c r="CE34" s="529"/>
      <c r="CF34" s="529"/>
      <c r="CG34" s="529"/>
      <c r="CH34" s="529"/>
      <c r="CI34" s="529"/>
      <c r="CJ34" s="529"/>
      <c r="CK34" s="529"/>
      <c r="CL34" s="529"/>
      <c r="CM34" s="529"/>
    </row>
  </sheetData>
  <autoFilter ref="$H$1:$K$34"/>
  <mergeCells count="24">
    <mergeCell ref="C7:C8"/>
    <mergeCell ref="D7:D8"/>
    <mergeCell ref="E7:E8"/>
    <mergeCell ref="F7:F8"/>
    <mergeCell ref="G7:G8"/>
    <mergeCell ref="H7:K7"/>
    <mergeCell ref="L7:O7"/>
    <mergeCell ref="P7:S7"/>
    <mergeCell ref="T7:W7"/>
    <mergeCell ref="A9:G9"/>
    <mergeCell ref="A12:G12"/>
    <mergeCell ref="C13:G13"/>
    <mergeCell ref="C15:G15"/>
    <mergeCell ref="C17:G17"/>
    <mergeCell ref="C20:G20"/>
    <mergeCell ref="C22:G22"/>
    <mergeCell ref="B26:G26"/>
    <mergeCell ref="C2:F2"/>
    <mergeCell ref="B3:C3"/>
    <mergeCell ref="D3:E3"/>
    <mergeCell ref="B4:C4"/>
    <mergeCell ref="D4:E4"/>
    <mergeCell ref="A7:A8"/>
    <mergeCell ref="B7:B8"/>
  </mergeCells>
  <conditionalFormatting sqref="H9:H34 L9:L34 P9:P34 T9:T34 X11:X34 AB11:AB34 AF11:AF34 AJ11:AJ34 AN11:AN34 AR11:AR34 AV11:AV34 AZ11:AZ34">
    <cfRule type="cellIs" dxfId="0" priority="1" operator="equal">
      <formula>"Block"</formula>
    </cfRule>
  </conditionalFormatting>
  <conditionalFormatting sqref="H9:H34 L9:L34 P9:P34 T9:T34 X11:X34 AB11:AB34 AF11:AF34 AJ11:AJ34 AN11:AN34 AR11:AR34 AV11:AV34 AZ11:AZ34">
    <cfRule type="cellIs" dxfId="1" priority="2" operator="equal">
      <formula>"Fail"</formula>
    </cfRule>
  </conditionalFormatting>
  <conditionalFormatting sqref="H9:H34 L9:L34 P9:P34 T9:T34 X11:X34 AB11:AB34 AF11:AF34 AJ11:AJ34 AN11:AN34 AR11:AR34 AV11:AV34 AZ11:AZ34">
    <cfRule type="cellIs" dxfId="2" priority="3" operator="equal">
      <formula>"Pass"</formula>
    </cfRule>
  </conditionalFormatting>
  <conditionalFormatting sqref="H9:H34 L9:L34 P9:P34 T9:T34 X11:X34 AB11:AB34 AF11:AF34 AJ11:AJ34 AN11:AN34 AR11:AR34 AV11:AV34 AZ11:AZ34">
    <cfRule type="cellIs" dxfId="3" priority="4" operator="equal">
      <formula>"N/A"</formula>
    </cfRule>
  </conditionalFormatting>
  <conditionalFormatting sqref="H9:H34 L9:L34 P9:P34 T9:T34">
    <cfRule type="cellIs" dxfId="4" priority="5" operator="equal">
      <formula>"Block"</formula>
    </cfRule>
  </conditionalFormatting>
  <conditionalFormatting sqref="H9:H34 L9:L34 P9:P34 T9:T34">
    <cfRule type="cellIs" dxfId="5" priority="6" operator="equal">
      <formula>"Fail"</formula>
    </cfRule>
  </conditionalFormatting>
  <conditionalFormatting sqref="H9:H34 L9:L34 P9:P34 T9:T34">
    <cfRule type="cellIs" dxfId="6" priority="7" operator="equal">
      <formula>"Pass"</formula>
    </cfRule>
  </conditionalFormatting>
  <conditionalFormatting sqref="H9:H34 L9:L34 P9:P34 T9:T34">
    <cfRule type="cellIs" dxfId="7" priority="8" operator="equal">
      <formula>"N/A"</formula>
    </cfRule>
  </conditionalFormatting>
  <conditionalFormatting sqref="H9:H34 L9:L34 P9:P34 T9:T34">
    <cfRule type="cellIs" dxfId="0" priority="9" operator="equal">
      <formula>"Block"</formula>
    </cfRule>
  </conditionalFormatting>
  <conditionalFormatting sqref="H9:H34 L9:L34 P9:P34 T9:T34">
    <cfRule type="cellIs" dxfId="1" priority="10" operator="equal">
      <formula>"Fail"</formula>
    </cfRule>
  </conditionalFormatting>
  <conditionalFormatting sqref="H9:H34 L9:L34 P9:P34 T9:T34">
    <cfRule type="cellIs" dxfId="2" priority="11" operator="equal">
      <formula>"Pass"</formula>
    </cfRule>
  </conditionalFormatting>
  <conditionalFormatting sqref="H9:H34 L9:L34 P9:P34 T9:T34">
    <cfRule type="cellIs" dxfId="3" priority="12" operator="equal">
      <formula>"N/A"</formula>
    </cfRule>
  </conditionalFormatting>
  <dataValidations>
    <dataValidation type="list" allowBlank="1" showErrorMessage="1" sqref="X14 AB14 AF14 AJ14 AN14 X16 AB16 AF16 AJ16 AN16 AR16 AV16 AZ16 X22 AB22 AF22 AJ22 AN22 X25:X28 AB25:AB28 AF25:AF28 AJ25:AJ28 AN25:AN28 AR25:AR28 AV25:AV28 AZ25:AZ28 H9:H34 L9:L34 P9:P34 T9:T34">
      <formula1>"Pass,Fail,Block,N/A"</formula1>
    </dataValidation>
    <dataValidation type="list" allowBlank="1" showErrorMessage="1" sqref="A10:A11 A14:A30 A32:A34">
      <formula1>"QC,AI"</formula1>
    </dataValidation>
    <dataValidation type="list" allowBlank="1" showErrorMessage="1" sqref="C10:C11 C13:C14 C16 C21:C25 C27:C34">
      <formula1>"High,Medium,Low"</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2" width="11.38"/>
    <col customWidth="1" min="3" max="3" width="10.88"/>
    <col customWidth="1" min="4" max="4" width="35.5"/>
    <col customWidth="1" min="5" max="5" width="17.63"/>
    <col customWidth="1" min="6" max="6" width="40.38"/>
    <col customWidth="1" min="7" max="7" width="53.38"/>
    <col customWidth="1" min="8" max="8" width="12.0"/>
    <col customWidth="1" min="9" max="9" width="33.88"/>
    <col customWidth="1" min="10" max="10" width="13.5"/>
    <col customWidth="1" min="11" max="11" width="14.88"/>
    <col customWidth="1" min="12" max="91" width="8.38"/>
  </cols>
  <sheetData>
    <row r="1" outlineLevel="1">
      <c r="A1" s="232"/>
      <c r="B1" s="528"/>
      <c r="C1" s="529"/>
      <c r="D1" s="528"/>
      <c r="E1" s="528"/>
      <c r="F1" s="530"/>
      <c r="G1" s="232"/>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529"/>
      <c r="AZ1" s="529"/>
      <c r="BA1" s="529"/>
      <c r="BB1" s="529"/>
      <c r="BC1" s="529"/>
      <c r="BD1" s="529"/>
      <c r="BE1" s="529"/>
      <c r="BF1" s="529"/>
      <c r="BG1" s="529"/>
      <c r="BH1" s="529"/>
      <c r="BI1" s="529"/>
      <c r="BJ1" s="529"/>
      <c r="BK1" s="529"/>
      <c r="BL1" s="529"/>
      <c r="BM1" s="529"/>
      <c r="BN1" s="529"/>
      <c r="BO1" s="529"/>
      <c r="BP1" s="529"/>
      <c r="BQ1" s="529"/>
      <c r="BR1" s="529"/>
      <c r="BS1" s="529"/>
      <c r="BT1" s="529"/>
      <c r="BU1" s="529"/>
      <c r="BV1" s="529"/>
      <c r="BW1" s="529"/>
      <c r="BX1" s="529"/>
      <c r="BY1" s="529"/>
      <c r="BZ1" s="529"/>
      <c r="CA1" s="529"/>
      <c r="CB1" s="529"/>
      <c r="CC1" s="529"/>
      <c r="CD1" s="529"/>
      <c r="CE1" s="529"/>
      <c r="CF1" s="529"/>
      <c r="CG1" s="529"/>
      <c r="CH1" s="529"/>
      <c r="CI1" s="529"/>
      <c r="CJ1" s="529"/>
      <c r="CK1" s="529"/>
      <c r="CL1" s="529"/>
      <c r="CM1" s="529"/>
    </row>
    <row r="2" outlineLevel="1">
      <c r="A2" s="232"/>
      <c r="B2" s="531"/>
      <c r="C2" s="532"/>
      <c r="D2" s="182"/>
      <c r="E2" s="182"/>
      <c r="F2" s="182"/>
      <c r="G2" s="232"/>
      <c r="H2" s="529"/>
      <c r="I2" s="529"/>
      <c r="J2" s="529"/>
      <c r="K2" s="529"/>
      <c r="L2" s="529"/>
      <c r="M2" s="529"/>
      <c r="N2" s="529"/>
      <c r="O2" s="529"/>
      <c r="P2" s="529"/>
      <c r="Q2" s="529"/>
      <c r="R2" s="529"/>
      <c r="S2" s="529"/>
      <c r="T2" s="529"/>
      <c r="U2" s="529"/>
      <c r="V2" s="529"/>
      <c r="W2" s="529"/>
      <c r="X2" s="529"/>
      <c r="Y2" s="529"/>
      <c r="Z2" s="529"/>
      <c r="AA2" s="529"/>
      <c r="AB2" s="529"/>
      <c r="AC2" s="529"/>
      <c r="AD2" s="529"/>
      <c r="AE2" s="529"/>
      <c r="AF2" s="529"/>
      <c r="AG2" s="529"/>
      <c r="AH2" s="529"/>
      <c r="AI2" s="529"/>
      <c r="AJ2" s="529"/>
      <c r="AK2" s="529"/>
      <c r="AL2" s="529"/>
      <c r="AM2" s="529"/>
      <c r="AN2" s="529"/>
      <c r="AO2" s="529"/>
      <c r="AP2" s="529"/>
      <c r="AQ2" s="529"/>
      <c r="AR2" s="529"/>
      <c r="AS2" s="529"/>
      <c r="AT2" s="529"/>
      <c r="AU2" s="529"/>
      <c r="AV2" s="529"/>
      <c r="AW2" s="529"/>
      <c r="AX2" s="529"/>
      <c r="AY2" s="529"/>
      <c r="AZ2" s="529"/>
      <c r="BA2" s="529"/>
      <c r="BB2" s="529"/>
      <c r="BC2" s="529"/>
      <c r="BD2" s="529"/>
      <c r="BE2" s="529"/>
      <c r="BF2" s="529"/>
      <c r="BG2" s="529"/>
      <c r="BH2" s="529"/>
      <c r="BI2" s="529"/>
      <c r="BJ2" s="529"/>
      <c r="BK2" s="529"/>
      <c r="BL2" s="529"/>
      <c r="BM2" s="529"/>
      <c r="BN2" s="529"/>
      <c r="BO2" s="529"/>
      <c r="BP2" s="529"/>
      <c r="BQ2" s="529"/>
      <c r="BR2" s="529"/>
      <c r="BS2" s="529"/>
      <c r="BT2" s="529"/>
      <c r="BU2" s="529"/>
      <c r="BV2" s="529"/>
      <c r="BW2" s="529"/>
      <c r="BX2" s="529"/>
      <c r="BY2" s="529"/>
      <c r="BZ2" s="529"/>
      <c r="CA2" s="529"/>
      <c r="CB2" s="529"/>
      <c r="CC2" s="529"/>
      <c r="CD2" s="529"/>
      <c r="CE2" s="529"/>
      <c r="CF2" s="529"/>
      <c r="CG2" s="529"/>
      <c r="CH2" s="529"/>
      <c r="CI2" s="529"/>
      <c r="CJ2" s="529"/>
      <c r="CK2" s="529"/>
      <c r="CL2" s="529"/>
      <c r="CM2" s="529"/>
    </row>
    <row r="3" outlineLevel="1">
      <c r="A3" s="533"/>
      <c r="B3" s="246" t="s">
        <v>122</v>
      </c>
      <c r="C3" s="122"/>
      <c r="D3" s="534" t="s">
        <v>118</v>
      </c>
      <c r="E3" s="122"/>
      <c r="F3" s="529"/>
      <c r="G3" s="529"/>
      <c r="H3" s="529"/>
      <c r="I3" s="529"/>
      <c r="J3" s="529"/>
      <c r="K3" s="529"/>
      <c r="L3" s="529"/>
      <c r="M3" s="529"/>
      <c r="N3" s="529"/>
      <c r="O3" s="529"/>
      <c r="P3" s="529"/>
      <c r="Q3" s="529"/>
      <c r="R3" s="529"/>
      <c r="S3" s="529"/>
      <c r="T3" s="529"/>
      <c r="U3" s="529"/>
      <c r="V3" s="529"/>
      <c r="W3" s="529"/>
      <c r="X3" s="529"/>
      <c r="Y3" s="529"/>
      <c r="Z3" s="529"/>
      <c r="AA3" s="529"/>
      <c r="AB3" s="529"/>
      <c r="AC3" s="529"/>
      <c r="AD3" s="529"/>
      <c r="AE3" s="529"/>
      <c r="AF3" s="529"/>
      <c r="AG3" s="529"/>
      <c r="AH3" s="529"/>
      <c r="AI3" s="529"/>
      <c r="AJ3" s="529"/>
      <c r="AK3" s="529"/>
      <c r="AL3" s="529"/>
      <c r="AM3" s="529"/>
      <c r="AN3" s="529"/>
      <c r="AO3" s="529"/>
      <c r="AP3" s="529"/>
      <c r="AQ3" s="529"/>
      <c r="AR3" s="529"/>
      <c r="AS3" s="529"/>
      <c r="AT3" s="529"/>
      <c r="AU3" s="529"/>
      <c r="AV3" s="529"/>
      <c r="AW3" s="529"/>
      <c r="AX3" s="529"/>
      <c r="AY3" s="529"/>
      <c r="AZ3" s="529"/>
      <c r="BA3" s="529"/>
      <c r="BB3" s="529"/>
      <c r="BC3" s="529"/>
      <c r="BD3" s="529"/>
      <c r="BE3" s="529"/>
      <c r="BF3" s="529"/>
      <c r="BG3" s="529"/>
      <c r="BH3" s="529"/>
      <c r="BI3" s="529"/>
      <c r="BJ3" s="529"/>
      <c r="BK3" s="529"/>
      <c r="BL3" s="529"/>
      <c r="BM3" s="529"/>
      <c r="BN3" s="529"/>
      <c r="BO3" s="529"/>
      <c r="BP3" s="529"/>
      <c r="BQ3" s="529"/>
      <c r="BR3" s="529"/>
      <c r="BS3" s="529"/>
      <c r="BT3" s="529"/>
      <c r="BU3" s="529"/>
      <c r="BV3" s="529"/>
      <c r="BW3" s="529"/>
      <c r="BX3" s="529"/>
      <c r="BY3" s="529"/>
      <c r="BZ3" s="529"/>
      <c r="CA3" s="529"/>
      <c r="CB3" s="529"/>
      <c r="CC3" s="529"/>
      <c r="CD3" s="529"/>
      <c r="CE3" s="529"/>
      <c r="CF3" s="529"/>
      <c r="CG3" s="529"/>
      <c r="CH3" s="529"/>
      <c r="CI3" s="529"/>
      <c r="CJ3" s="529"/>
      <c r="CK3" s="529"/>
      <c r="CL3" s="529"/>
      <c r="CM3" s="529"/>
    </row>
    <row r="4" outlineLevel="1">
      <c r="A4" s="533"/>
      <c r="B4" s="246" t="s">
        <v>123</v>
      </c>
      <c r="C4" s="122"/>
      <c r="D4" s="250" t="s">
        <v>2128</v>
      </c>
      <c r="E4" s="122"/>
      <c r="F4" s="529"/>
      <c r="G4" s="529"/>
      <c r="H4" s="529"/>
      <c r="I4" s="529"/>
      <c r="J4" s="529"/>
      <c r="K4" s="529"/>
      <c r="L4" s="529"/>
      <c r="M4" s="529"/>
      <c r="N4" s="529"/>
      <c r="O4" s="529"/>
      <c r="P4" s="529"/>
      <c r="Q4" s="529"/>
      <c r="R4" s="529"/>
      <c r="S4" s="529"/>
      <c r="T4" s="529"/>
      <c r="U4" s="529"/>
      <c r="V4" s="529"/>
      <c r="W4" s="529"/>
      <c r="X4" s="529"/>
      <c r="Y4" s="529"/>
      <c r="Z4" s="529"/>
      <c r="AA4" s="529"/>
      <c r="AB4" s="529"/>
      <c r="AC4" s="529"/>
      <c r="AD4" s="529"/>
      <c r="AE4" s="529"/>
      <c r="AF4" s="529"/>
      <c r="AG4" s="529"/>
      <c r="AH4" s="529"/>
      <c r="AI4" s="529"/>
      <c r="AJ4" s="529"/>
      <c r="AK4" s="529"/>
      <c r="AL4" s="529"/>
      <c r="AM4" s="529"/>
      <c r="AN4" s="529"/>
      <c r="AO4" s="529"/>
      <c r="AP4" s="529"/>
      <c r="AQ4" s="529"/>
      <c r="AR4" s="529"/>
      <c r="AS4" s="529"/>
      <c r="AT4" s="529"/>
      <c r="AU4" s="529"/>
      <c r="AV4" s="529"/>
      <c r="AW4" s="529"/>
      <c r="AX4" s="529"/>
      <c r="AY4" s="529"/>
      <c r="AZ4" s="529"/>
      <c r="BA4" s="529"/>
      <c r="BB4" s="529"/>
      <c r="BC4" s="529"/>
      <c r="BD4" s="529"/>
      <c r="BE4" s="529"/>
      <c r="BF4" s="529"/>
      <c r="BG4" s="529"/>
      <c r="BH4" s="529"/>
      <c r="BI4" s="529"/>
      <c r="BJ4" s="529"/>
      <c r="BK4" s="529"/>
      <c r="BL4" s="529"/>
      <c r="BM4" s="529"/>
      <c r="BN4" s="529"/>
      <c r="BO4" s="529"/>
      <c r="BP4" s="529"/>
      <c r="BQ4" s="529"/>
      <c r="BR4" s="529"/>
      <c r="BS4" s="529"/>
      <c r="BT4" s="529"/>
      <c r="BU4" s="529"/>
      <c r="BV4" s="529"/>
      <c r="BW4" s="529"/>
      <c r="BX4" s="529"/>
      <c r="BY4" s="529"/>
      <c r="BZ4" s="529"/>
      <c r="CA4" s="529"/>
      <c r="CB4" s="529"/>
      <c r="CC4" s="529"/>
      <c r="CD4" s="529"/>
      <c r="CE4" s="529"/>
      <c r="CF4" s="529"/>
      <c r="CG4" s="529"/>
      <c r="CH4" s="529"/>
      <c r="CI4" s="529"/>
      <c r="CJ4" s="529"/>
      <c r="CK4" s="529"/>
      <c r="CL4" s="529"/>
      <c r="CM4" s="529"/>
    </row>
    <row r="5" outlineLevel="1">
      <c r="A5" s="232"/>
      <c r="B5" s="535"/>
      <c r="C5" s="535"/>
      <c r="D5" s="535"/>
      <c r="E5" s="535"/>
      <c r="F5" s="530"/>
      <c r="G5" s="232"/>
      <c r="H5" s="529"/>
      <c r="I5" s="529"/>
      <c r="J5" s="529"/>
      <c r="K5" s="529"/>
      <c r="L5" s="529"/>
      <c r="M5" s="529"/>
      <c r="N5" s="529"/>
      <c r="O5" s="529"/>
      <c r="P5" s="529"/>
      <c r="Q5" s="529"/>
      <c r="R5" s="529"/>
      <c r="S5" s="529"/>
      <c r="T5" s="529"/>
      <c r="U5" s="529"/>
      <c r="V5" s="529"/>
      <c r="W5" s="529"/>
      <c r="X5" s="529"/>
      <c r="Y5" s="529"/>
      <c r="Z5" s="529"/>
      <c r="AA5" s="529"/>
      <c r="AB5" s="529"/>
      <c r="AC5" s="529"/>
      <c r="AD5" s="529"/>
      <c r="AE5" s="529"/>
      <c r="AF5" s="529"/>
      <c r="AG5" s="529"/>
      <c r="AH5" s="529"/>
      <c r="AI5" s="529"/>
      <c r="AJ5" s="529"/>
      <c r="AK5" s="529"/>
      <c r="AL5" s="529"/>
      <c r="AM5" s="529"/>
      <c r="AN5" s="529"/>
      <c r="AO5" s="529"/>
      <c r="AP5" s="529"/>
      <c r="AQ5" s="529"/>
      <c r="AR5" s="529"/>
      <c r="AS5" s="529"/>
      <c r="AT5" s="529"/>
      <c r="AU5" s="529"/>
      <c r="AV5" s="529"/>
      <c r="AW5" s="529"/>
      <c r="AX5" s="529"/>
      <c r="AY5" s="529"/>
      <c r="AZ5" s="529"/>
      <c r="BA5" s="529"/>
      <c r="BB5" s="529"/>
      <c r="BC5" s="529"/>
      <c r="BD5" s="529"/>
      <c r="BE5" s="529"/>
      <c r="BF5" s="529"/>
      <c r="BG5" s="529"/>
      <c r="BH5" s="529"/>
      <c r="BI5" s="529"/>
      <c r="BJ5" s="529"/>
      <c r="BK5" s="529"/>
      <c r="BL5" s="529"/>
      <c r="BM5" s="529"/>
      <c r="BN5" s="529"/>
      <c r="BO5" s="529"/>
      <c r="BP5" s="529"/>
      <c r="BQ5" s="529"/>
      <c r="BR5" s="529"/>
      <c r="BS5" s="529"/>
      <c r="BT5" s="529"/>
      <c r="BU5" s="529"/>
      <c r="BV5" s="529"/>
      <c r="BW5" s="529"/>
      <c r="BX5" s="529"/>
      <c r="BY5" s="529"/>
      <c r="BZ5" s="529"/>
      <c r="CA5" s="529"/>
      <c r="CB5" s="529"/>
      <c r="CC5" s="529"/>
      <c r="CD5" s="529"/>
      <c r="CE5" s="529"/>
      <c r="CF5" s="529"/>
      <c r="CG5" s="529"/>
      <c r="CH5" s="529"/>
      <c r="CI5" s="529"/>
      <c r="CJ5" s="529"/>
      <c r="CK5" s="529"/>
      <c r="CL5" s="529"/>
      <c r="CM5" s="529"/>
    </row>
    <row r="6" outlineLevel="1">
      <c r="A6" s="232"/>
      <c r="B6" s="531"/>
      <c r="C6" s="531"/>
      <c r="D6" s="531"/>
      <c r="E6" s="531"/>
      <c r="F6" s="532"/>
      <c r="G6" s="232"/>
      <c r="H6" s="529"/>
      <c r="I6" s="529"/>
      <c r="J6" s="529"/>
      <c r="K6" s="529"/>
      <c r="L6" s="529"/>
      <c r="M6" s="529"/>
      <c r="N6" s="529"/>
      <c r="O6" s="529"/>
      <c r="P6" s="529"/>
      <c r="Q6" s="529"/>
      <c r="R6" s="529"/>
      <c r="S6" s="529"/>
      <c r="T6" s="529"/>
      <c r="U6" s="529"/>
      <c r="V6" s="529"/>
      <c r="W6" s="529"/>
      <c r="X6" s="529"/>
      <c r="Y6" s="529"/>
      <c r="Z6" s="529"/>
      <c r="AA6" s="529"/>
      <c r="AB6" s="529"/>
      <c r="AC6" s="529"/>
      <c r="AD6" s="529"/>
      <c r="AE6" s="529"/>
      <c r="AF6" s="529"/>
      <c r="AG6" s="529"/>
      <c r="AH6" s="529"/>
      <c r="AI6" s="529"/>
      <c r="AJ6" s="529"/>
      <c r="AK6" s="529"/>
      <c r="AL6" s="529"/>
      <c r="AM6" s="529"/>
      <c r="AN6" s="529"/>
      <c r="AO6" s="529"/>
      <c r="AP6" s="529"/>
      <c r="AQ6" s="529"/>
      <c r="AR6" s="529"/>
      <c r="AS6" s="529"/>
      <c r="AT6" s="529"/>
      <c r="AU6" s="529"/>
      <c r="AV6" s="529"/>
      <c r="AW6" s="529"/>
      <c r="AX6" s="529"/>
      <c r="AY6" s="529"/>
      <c r="AZ6" s="529"/>
      <c r="BA6" s="529"/>
      <c r="BB6" s="529"/>
      <c r="BC6" s="529"/>
      <c r="BD6" s="529"/>
      <c r="BE6" s="529"/>
      <c r="BF6" s="529"/>
      <c r="BG6" s="529"/>
      <c r="BH6" s="529"/>
      <c r="BI6" s="529"/>
      <c r="BJ6" s="529"/>
      <c r="BK6" s="529"/>
      <c r="BL6" s="529"/>
      <c r="BM6" s="529"/>
      <c r="BN6" s="529"/>
      <c r="BO6" s="529"/>
      <c r="BP6" s="529"/>
      <c r="BQ6" s="529"/>
      <c r="BR6" s="529"/>
      <c r="BS6" s="529"/>
      <c r="BT6" s="529"/>
      <c r="BU6" s="529"/>
      <c r="BV6" s="529"/>
      <c r="BW6" s="529"/>
      <c r="BX6" s="529"/>
      <c r="BY6" s="529"/>
      <c r="BZ6" s="529"/>
      <c r="CA6" s="529"/>
      <c r="CB6" s="529"/>
      <c r="CC6" s="529"/>
      <c r="CD6" s="529"/>
      <c r="CE6" s="529"/>
      <c r="CF6" s="529"/>
      <c r="CG6" s="529"/>
      <c r="CH6" s="529"/>
      <c r="CI6" s="529"/>
      <c r="CJ6" s="529"/>
      <c r="CK6" s="529"/>
      <c r="CL6" s="529"/>
      <c r="CM6" s="529"/>
    </row>
    <row r="7">
      <c r="A7" s="256" t="s">
        <v>125</v>
      </c>
      <c r="B7" s="146" t="s">
        <v>126</v>
      </c>
      <c r="C7" s="146" t="s">
        <v>127</v>
      </c>
      <c r="D7" s="146" t="s">
        <v>128</v>
      </c>
      <c r="E7" s="146" t="s">
        <v>129</v>
      </c>
      <c r="F7" s="146" t="s">
        <v>130</v>
      </c>
      <c r="G7" s="311" t="s">
        <v>131</v>
      </c>
      <c r="H7" s="312" t="str">
        <f>Summary!G8</f>
        <v>Round 1 (09/04/2026 - 15/04/2026)</v>
      </c>
      <c r="I7" s="313"/>
      <c r="J7" s="313"/>
      <c r="K7" s="314"/>
      <c r="L7" s="312" t="str">
        <f>Summary!L8</f>
        <v>Round 2 (dd/mm/yyyy - dd/mm/yyyy)</v>
      </c>
      <c r="M7" s="313"/>
      <c r="N7" s="313"/>
      <c r="O7" s="314"/>
      <c r="P7" s="315" t="str">
        <f>Summary!Q8</f>
        <v>Round 3(dd/mm/yyyy - dd/mm/yyyy)</v>
      </c>
      <c r="Q7" s="148"/>
      <c r="R7" s="148"/>
      <c r="S7" s="171"/>
      <c r="T7" s="315" t="str">
        <f>Summary!V8</f>
        <v>Round 4 (dd/mm/yyyy - dd/mm/yyyy)</v>
      </c>
      <c r="U7" s="148"/>
      <c r="V7" s="148"/>
      <c r="W7" s="171"/>
      <c r="X7" s="533"/>
      <c r="Y7" s="533"/>
      <c r="Z7" s="533"/>
      <c r="AA7" s="533"/>
      <c r="AB7" s="533"/>
      <c r="AC7" s="533"/>
      <c r="AD7" s="533"/>
      <c r="AE7" s="533"/>
      <c r="AF7" s="533"/>
      <c r="AG7" s="533"/>
      <c r="AH7" s="533"/>
      <c r="AI7" s="533"/>
      <c r="AJ7" s="533"/>
      <c r="AK7" s="533"/>
      <c r="AL7" s="533"/>
      <c r="AM7" s="533"/>
      <c r="AN7" s="533"/>
      <c r="AO7" s="533"/>
      <c r="AP7" s="533"/>
      <c r="AQ7" s="533"/>
      <c r="AR7" s="533"/>
      <c r="AS7" s="533"/>
      <c r="AT7" s="533"/>
      <c r="AU7" s="533"/>
      <c r="AV7" s="533"/>
      <c r="AW7" s="533"/>
      <c r="AX7" s="533"/>
      <c r="AY7" s="533"/>
      <c r="AZ7" s="533"/>
      <c r="BA7" s="533"/>
      <c r="BB7" s="533"/>
      <c r="BC7" s="533"/>
      <c r="BD7" s="533"/>
      <c r="BE7" s="533"/>
      <c r="BF7" s="533"/>
      <c r="BG7" s="533"/>
      <c r="BH7" s="533"/>
      <c r="BI7" s="533"/>
      <c r="BJ7" s="533"/>
      <c r="BK7" s="533"/>
      <c r="BL7" s="533"/>
      <c r="BM7" s="533"/>
      <c r="BN7" s="533"/>
      <c r="BO7" s="533"/>
      <c r="BP7" s="533"/>
      <c r="BQ7" s="533"/>
      <c r="BR7" s="533"/>
      <c r="BS7" s="533"/>
      <c r="BT7" s="533"/>
      <c r="BU7" s="533"/>
      <c r="BV7" s="533"/>
      <c r="BW7" s="533"/>
      <c r="BX7" s="533"/>
      <c r="BY7" s="533"/>
      <c r="BZ7" s="533"/>
      <c r="CA7" s="533"/>
      <c r="CB7" s="533"/>
      <c r="CC7" s="533"/>
      <c r="CD7" s="533"/>
      <c r="CE7" s="533"/>
      <c r="CF7" s="533"/>
      <c r="CG7" s="533"/>
      <c r="CH7" s="533"/>
      <c r="CI7" s="533"/>
      <c r="CJ7" s="533"/>
      <c r="CK7" s="533"/>
      <c r="CL7" s="533"/>
      <c r="CM7" s="533"/>
    </row>
    <row r="8">
      <c r="A8" s="56"/>
      <c r="B8" s="56"/>
      <c r="C8" s="56"/>
      <c r="D8" s="56"/>
      <c r="E8" s="56"/>
      <c r="F8" s="56"/>
      <c r="G8" s="56"/>
      <c r="H8" s="317" t="s">
        <v>132</v>
      </c>
      <c r="I8" s="317" t="s">
        <v>133</v>
      </c>
      <c r="J8" s="317" t="s">
        <v>134</v>
      </c>
      <c r="K8" s="317" t="s">
        <v>135</v>
      </c>
      <c r="L8" s="317" t="s">
        <v>132</v>
      </c>
      <c r="M8" s="317" t="s">
        <v>133</v>
      </c>
      <c r="N8" s="317" t="s">
        <v>134</v>
      </c>
      <c r="O8" s="317" t="s">
        <v>135</v>
      </c>
      <c r="P8" s="317" t="s">
        <v>132</v>
      </c>
      <c r="Q8" s="317" t="s">
        <v>133</v>
      </c>
      <c r="R8" s="317" t="s">
        <v>134</v>
      </c>
      <c r="S8" s="317" t="s">
        <v>135</v>
      </c>
      <c r="T8" s="317" t="s">
        <v>132</v>
      </c>
      <c r="U8" s="317" t="s">
        <v>133</v>
      </c>
      <c r="V8" s="317" t="s">
        <v>134</v>
      </c>
      <c r="W8" s="317" t="s">
        <v>135</v>
      </c>
      <c r="X8" s="533"/>
      <c r="Y8" s="533"/>
      <c r="Z8" s="533"/>
      <c r="AA8" s="533"/>
      <c r="AB8" s="533"/>
      <c r="AC8" s="533"/>
      <c r="AD8" s="533"/>
      <c r="AE8" s="533"/>
      <c r="AF8" s="533"/>
      <c r="AG8" s="533"/>
      <c r="AH8" s="533"/>
      <c r="AI8" s="533"/>
      <c r="AJ8" s="533"/>
      <c r="AK8" s="533"/>
      <c r="AL8" s="533"/>
      <c r="AM8" s="533"/>
      <c r="AN8" s="533"/>
      <c r="AO8" s="533"/>
      <c r="AP8" s="533"/>
      <c r="AQ8" s="533"/>
      <c r="AR8" s="533"/>
      <c r="AS8" s="533"/>
      <c r="AT8" s="533"/>
      <c r="AU8" s="533"/>
      <c r="AV8" s="533"/>
      <c r="AW8" s="533"/>
      <c r="AX8" s="533"/>
      <c r="AY8" s="533"/>
      <c r="AZ8" s="533"/>
      <c r="BA8" s="533"/>
      <c r="BB8" s="533"/>
      <c r="BC8" s="533"/>
      <c r="BD8" s="533"/>
      <c r="BE8" s="533"/>
      <c r="BF8" s="533"/>
      <c r="BG8" s="533"/>
      <c r="BH8" s="533"/>
      <c r="BI8" s="533"/>
      <c r="BJ8" s="533"/>
      <c r="BK8" s="533"/>
      <c r="BL8" s="533"/>
      <c r="BM8" s="533"/>
      <c r="BN8" s="533"/>
      <c r="BO8" s="533"/>
      <c r="BP8" s="533"/>
      <c r="BQ8" s="533"/>
      <c r="BR8" s="533"/>
      <c r="BS8" s="533"/>
      <c r="BT8" s="533"/>
      <c r="BU8" s="533"/>
      <c r="BV8" s="533"/>
      <c r="BW8" s="533"/>
      <c r="BX8" s="533"/>
      <c r="BY8" s="533"/>
      <c r="BZ8" s="533"/>
      <c r="CA8" s="533"/>
      <c r="CB8" s="533"/>
      <c r="CC8" s="533"/>
      <c r="CD8" s="533"/>
      <c r="CE8" s="533"/>
      <c r="CF8" s="533"/>
      <c r="CG8" s="533"/>
      <c r="CH8" s="533"/>
      <c r="CI8" s="533"/>
      <c r="CJ8" s="533"/>
      <c r="CK8" s="533"/>
      <c r="CL8" s="533"/>
      <c r="CM8" s="533"/>
    </row>
    <row r="9">
      <c r="A9" s="536" t="s">
        <v>2058</v>
      </c>
      <c r="B9" s="148"/>
      <c r="C9" s="148"/>
      <c r="D9" s="148"/>
      <c r="E9" s="148"/>
      <c r="F9" s="148"/>
      <c r="G9" s="171"/>
      <c r="H9" s="302"/>
      <c r="I9" s="302"/>
      <c r="J9" s="300"/>
      <c r="K9" s="300"/>
      <c r="L9" s="300"/>
      <c r="M9" s="300"/>
      <c r="N9" s="300"/>
      <c r="O9" s="300"/>
      <c r="P9" s="300"/>
      <c r="Q9" s="300"/>
      <c r="R9" s="300"/>
      <c r="S9" s="300"/>
      <c r="T9" s="302"/>
      <c r="U9" s="300"/>
      <c r="V9" s="300"/>
      <c r="W9" s="300"/>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29"/>
      <c r="BD9" s="529"/>
      <c r="BE9" s="529"/>
      <c r="BF9" s="529"/>
      <c r="BG9" s="529"/>
      <c r="BH9" s="529"/>
      <c r="BI9" s="529"/>
      <c r="BJ9" s="529"/>
      <c r="BK9" s="529"/>
      <c r="BL9" s="529"/>
      <c r="BM9" s="529"/>
      <c r="BN9" s="529"/>
      <c r="BO9" s="529"/>
      <c r="BP9" s="529"/>
      <c r="BQ9" s="529"/>
      <c r="BR9" s="529"/>
      <c r="BS9" s="529"/>
      <c r="BT9" s="529"/>
      <c r="BU9" s="529"/>
      <c r="BV9" s="529"/>
      <c r="BW9" s="529"/>
      <c r="BX9" s="529"/>
      <c r="BY9" s="529"/>
      <c r="BZ9" s="529"/>
      <c r="CA9" s="529"/>
      <c r="CB9" s="529"/>
      <c r="CC9" s="529"/>
      <c r="CD9" s="529"/>
      <c r="CE9" s="529"/>
      <c r="CF9" s="529"/>
      <c r="CG9" s="529"/>
      <c r="CH9" s="529"/>
      <c r="CI9" s="529"/>
      <c r="CJ9" s="529"/>
      <c r="CK9" s="529"/>
      <c r="CL9" s="529"/>
      <c r="CM9" s="529"/>
    </row>
    <row r="10">
      <c r="A10" s="489"/>
      <c r="B10" s="325" t="str">
        <f t="shared" ref="B10:B11" si="1">IF(F10="","",$D$3&amp;"."&amp;COUNTA($F$9:F10)&amp;"")</f>
        <v>TC_05.1</v>
      </c>
      <c r="C10" s="326" t="s">
        <v>73</v>
      </c>
      <c r="D10" s="539" t="s">
        <v>2129</v>
      </c>
      <c r="E10" s="538"/>
      <c r="F10" s="539" t="s">
        <v>2130</v>
      </c>
      <c r="G10" s="539" t="s">
        <v>2131</v>
      </c>
      <c r="H10" s="302"/>
      <c r="I10" s="302"/>
      <c r="J10" s="300"/>
      <c r="K10" s="300"/>
      <c r="L10" s="300"/>
      <c r="M10" s="300"/>
      <c r="N10" s="300"/>
      <c r="O10" s="300"/>
      <c r="P10" s="300"/>
      <c r="Q10" s="300"/>
      <c r="R10" s="300"/>
      <c r="S10" s="300"/>
      <c r="T10" s="302"/>
      <c r="U10" s="300"/>
      <c r="V10" s="300"/>
      <c r="W10" s="300"/>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29"/>
      <c r="BD10" s="529"/>
      <c r="BE10" s="529"/>
      <c r="BF10" s="529"/>
      <c r="BG10" s="529"/>
      <c r="BH10" s="529"/>
      <c r="BI10" s="529"/>
      <c r="BJ10" s="529"/>
      <c r="BK10" s="529"/>
      <c r="BL10" s="529"/>
      <c r="BM10" s="529"/>
      <c r="BN10" s="529"/>
      <c r="BO10" s="529"/>
      <c r="BP10" s="529"/>
      <c r="BQ10" s="529"/>
      <c r="BR10" s="529"/>
      <c r="BS10" s="529"/>
      <c r="BT10" s="529"/>
      <c r="BU10" s="529"/>
      <c r="BV10" s="529"/>
      <c r="BW10" s="529"/>
      <c r="BX10" s="529"/>
      <c r="BY10" s="529"/>
      <c r="BZ10" s="529"/>
      <c r="CA10" s="529"/>
      <c r="CB10" s="529"/>
      <c r="CC10" s="529"/>
      <c r="CD10" s="529"/>
      <c r="CE10" s="529"/>
      <c r="CF10" s="529"/>
      <c r="CG10" s="529"/>
      <c r="CH10" s="529"/>
      <c r="CI10" s="529"/>
      <c r="CJ10" s="529"/>
      <c r="CK10" s="529"/>
      <c r="CL10" s="529"/>
      <c r="CM10" s="529"/>
    </row>
    <row r="11">
      <c r="A11" s="489"/>
      <c r="B11" s="325" t="str">
        <f t="shared" si="1"/>
        <v>TC_05.2</v>
      </c>
      <c r="C11" s="326" t="s">
        <v>73</v>
      </c>
      <c r="D11" s="539" t="s">
        <v>2132</v>
      </c>
      <c r="E11" s="539" t="s">
        <v>2133</v>
      </c>
      <c r="F11" s="539" t="s">
        <v>2134</v>
      </c>
      <c r="G11" s="539" t="s">
        <v>2065</v>
      </c>
      <c r="H11" s="302"/>
      <c r="I11" s="302"/>
      <c r="J11" s="300"/>
      <c r="K11" s="302"/>
      <c r="L11" s="300"/>
      <c r="M11" s="300"/>
      <c r="N11" s="300"/>
      <c r="O11" s="300"/>
      <c r="P11" s="300"/>
      <c r="Q11" s="300"/>
      <c r="R11" s="300"/>
      <c r="S11" s="300"/>
      <c r="T11" s="302"/>
      <c r="U11" s="300"/>
      <c r="V11" s="300"/>
      <c r="W11" s="300"/>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29"/>
      <c r="BD11" s="529"/>
      <c r="BE11" s="529"/>
      <c r="BF11" s="529"/>
      <c r="BG11" s="529"/>
      <c r="BH11" s="529"/>
      <c r="BI11" s="529"/>
      <c r="BJ11" s="529"/>
      <c r="BK11" s="529"/>
      <c r="BL11" s="529"/>
      <c r="BM11" s="529"/>
      <c r="BN11" s="529"/>
      <c r="BO11" s="529"/>
      <c r="BP11" s="529"/>
      <c r="BQ11" s="529"/>
      <c r="BR11" s="529"/>
      <c r="BS11" s="529"/>
      <c r="BT11" s="529"/>
      <c r="BU11" s="529"/>
      <c r="BV11" s="529"/>
      <c r="BW11" s="529"/>
      <c r="BX11" s="529"/>
      <c r="BY11" s="529"/>
      <c r="BZ11" s="529"/>
      <c r="CA11" s="529"/>
      <c r="CB11" s="529"/>
      <c r="CC11" s="529"/>
      <c r="CD11" s="529"/>
      <c r="CE11" s="529"/>
      <c r="CF11" s="529"/>
      <c r="CG11" s="529"/>
      <c r="CH11" s="529"/>
      <c r="CI11" s="529"/>
      <c r="CJ11" s="529"/>
      <c r="CK11" s="529"/>
      <c r="CL11" s="529"/>
      <c r="CM11" s="529"/>
    </row>
    <row r="12">
      <c r="A12" s="536" t="s">
        <v>2066</v>
      </c>
      <c r="B12" s="148"/>
      <c r="C12" s="148"/>
      <c r="D12" s="148"/>
      <c r="E12" s="148"/>
      <c r="F12" s="148"/>
      <c r="G12" s="171"/>
      <c r="H12" s="302"/>
      <c r="I12" s="302"/>
      <c r="J12" s="300"/>
      <c r="K12" s="302"/>
      <c r="L12" s="300"/>
      <c r="M12" s="300"/>
      <c r="N12" s="300"/>
      <c r="O12" s="300"/>
      <c r="P12" s="300"/>
      <c r="Q12" s="300"/>
      <c r="R12" s="300"/>
      <c r="S12" s="300"/>
      <c r="T12" s="302"/>
      <c r="U12" s="300"/>
      <c r="V12" s="300"/>
      <c r="W12" s="300"/>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29"/>
      <c r="BD12" s="529"/>
      <c r="BE12" s="529"/>
      <c r="BF12" s="529"/>
      <c r="BG12" s="529"/>
      <c r="BH12" s="529"/>
      <c r="BI12" s="529"/>
      <c r="BJ12" s="529"/>
      <c r="BK12" s="529"/>
      <c r="BL12" s="529"/>
      <c r="BM12" s="529"/>
      <c r="BN12" s="529"/>
      <c r="BO12" s="529"/>
      <c r="BP12" s="529"/>
      <c r="BQ12" s="529"/>
      <c r="BR12" s="529"/>
      <c r="BS12" s="529"/>
      <c r="BT12" s="529"/>
      <c r="BU12" s="529"/>
      <c r="BV12" s="529"/>
      <c r="BW12" s="529"/>
      <c r="BX12" s="529"/>
      <c r="BY12" s="529"/>
      <c r="BZ12" s="529"/>
      <c r="CA12" s="529"/>
      <c r="CB12" s="529"/>
      <c r="CC12" s="529"/>
      <c r="CD12" s="529"/>
      <c r="CE12" s="529"/>
      <c r="CF12" s="529"/>
      <c r="CG12" s="529"/>
      <c r="CH12" s="529"/>
      <c r="CI12" s="529"/>
      <c r="CJ12" s="529"/>
      <c r="CK12" s="529"/>
      <c r="CL12" s="529"/>
      <c r="CM12" s="529"/>
    </row>
    <row r="13">
      <c r="A13" s="300"/>
      <c r="B13" s="300" t="str">
        <f>IF(D13="","",$D$3&amp;"."&amp;COUNTA($D$9:D13)&amp;"")</f>
        <v/>
      </c>
      <c r="C13" s="540" t="s">
        <v>2067</v>
      </c>
      <c r="D13" s="148"/>
      <c r="E13" s="148"/>
      <c r="F13" s="148"/>
      <c r="G13" s="171"/>
      <c r="H13" s="302"/>
      <c r="I13" s="302"/>
      <c r="J13" s="300"/>
      <c r="K13" s="300"/>
      <c r="L13" s="300"/>
      <c r="M13" s="300"/>
      <c r="N13" s="300"/>
      <c r="O13" s="300"/>
      <c r="P13" s="300"/>
      <c r="Q13" s="300"/>
      <c r="R13" s="300"/>
      <c r="S13" s="300"/>
      <c r="T13" s="302"/>
      <c r="U13" s="300"/>
      <c r="V13" s="300"/>
      <c r="W13" s="300"/>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29"/>
      <c r="BD13" s="529"/>
      <c r="BE13" s="529"/>
      <c r="BF13" s="529"/>
      <c r="BG13" s="529"/>
      <c r="BH13" s="529"/>
      <c r="BI13" s="529"/>
      <c r="BJ13" s="529"/>
      <c r="BK13" s="529"/>
      <c r="BL13" s="529"/>
      <c r="BM13" s="529"/>
      <c r="BN13" s="529"/>
      <c r="BO13" s="529"/>
      <c r="BP13" s="529"/>
      <c r="BQ13" s="529"/>
      <c r="BR13" s="529"/>
      <c r="BS13" s="529"/>
      <c r="BT13" s="529"/>
      <c r="BU13" s="529"/>
      <c r="BV13" s="529"/>
      <c r="BW13" s="529"/>
      <c r="BX13" s="529"/>
      <c r="BY13" s="529"/>
      <c r="BZ13" s="529"/>
      <c r="CA13" s="529"/>
      <c r="CB13" s="529"/>
      <c r="CC13" s="529"/>
      <c r="CD13" s="529"/>
      <c r="CE13" s="529"/>
      <c r="CF13" s="529"/>
      <c r="CG13" s="529"/>
      <c r="CH13" s="529"/>
      <c r="CI13" s="529"/>
      <c r="CJ13" s="529"/>
      <c r="CK13" s="529"/>
      <c r="CL13" s="529"/>
      <c r="CM13" s="529"/>
    </row>
    <row r="14">
      <c r="A14" s="489"/>
      <c r="B14" s="325" t="str">
        <f>IF(F14="","",$D$3&amp;"."&amp;COUNTA($F$9:F14)&amp;"")</f>
        <v>TC_05.3</v>
      </c>
      <c r="C14" s="326" t="s">
        <v>75</v>
      </c>
      <c r="D14" s="537" t="s">
        <v>2068</v>
      </c>
      <c r="E14" s="539" t="s">
        <v>2135</v>
      </c>
      <c r="F14" s="539" t="s">
        <v>2136</v>
      </c>
      <c r="G14" s="539" t="s">
        <v>2137</v>
      </c>
      <c r="H14" s="302"/>
      <c r="I14" s="302"/>
      <c r="J14" s="300"/>
      <c r="K14" s="300"/>
      <c r="L14" s="300"/>
      <c r="M14" s="300"/>
      <c r="N14" s="300"/>
      <c r="O14" s="300"/>
      <c r="P14" s="300"/>
      <c r="Q14" s="300"/>
      <c r="R14" s="300"/>
      <c r="S14" s="300"/>
      <c r="T14" s="302"/>
      <c r="U14" s="300"/>
      <c r="V14" s="300"/>
      <c r="W14" s="300"/>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29"/>
      <c r="BD14" s="529"/>
      <c r="BE14" s="529"/>
      <c r="BF14" s="529"/>
      <c r="BG14" s="529"/>
      <c r="BH14" s="529"/>
      <c r="BI14" s="529"/>
      <c r="BJ14" s="529"/>
      <c r="BK14" s="529"/>
      <c r="BL14" s="529"/>
      <c r="BM14" s="529"/>
      <c r="BN14" s="529"/>
      <c r="BO14" s="529"/>
      <c r="BP14" s="529"/>
      <c r="BQ14" s="529"/>
      <c r="BR14" s="529"/>
      <c r="BS14" s="529"/>
      <c r="BT14" s="529"/>
      <c r="BU14" s="529"/>
      <c r="BV14" s="529"/>
      <c r="BW14" s="529"/>
      <c r="BX14" s="529"/>
      <c r="BY14" s="529"/>
      <c r="BZ14" s="529"/>
      <c r="CA14" s="529"/>
      <c r="CB14" s="529"/>
      <c r="CC14" s="529"/>
      <c r="CD14" s="529"/>
      <c r="CE14" s="529"/>
      <c r="CF14" s="529"/>
      <c r="CG14" s="529"/>
      <c r="CH14" s="529"/>
      <c r="CI14" s="529"/>
      <c r="CJ14" s="529"/>
      <c r="CK14" s="529"/>
      <c r="CL14" s="529"/>
      <c r="CM14" s="529"/>
    </row>
    <row r="15">
      <c r="A15" s="302"/>
      <c r="B15" s="302" t="str">
        <f>IF(D15="","",$D$3&amp;"."&amp;COUNTA($D$9:D15)&amp;"")</f>
        <v/>
      </c>
      <c r="C15" s="540" t="s">
        <v>2072</v>
      </c>
      <c r="D15" s="148"/>
      <c r="E15" s="148"/>
      <c r="F15" s="148"/>
      <c r="G15" s="171"/>
      <c r="H15" s="302"/>
      <c r="I15" s="302"/>
      <c r="J15" s="300"/>
      <c r="K15" s="300"/>
      <c r="L15" s="300"/>
      <c r="M15" s="300"/>
      <c r="N15" s="300"/>
      <c r="O15" s="300"/>
      <c r="P15" s="300"/>
      <c r="Q15" s="300"/>
      <c r="R15" s="300"/>
      <c r="S15" s="300"/>
      <c r="T15" s="302"/>
      <c r="U15" s="300"/>
      <c r="V15" s="300"/>
      <c r="W15" s="300"/>
      <c r="X15" s="529"/>
      <c r="Y15" s="529"/>
      <c r="Z15" s="529"/>
      <c r="AA15" s="529"/>
      <c r="AB15" s="529"/>
      <c r="AC15" s="529"/>
      <c r="AD15" s="529"/>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29"/>
      <c r="BD15" s="529"/>
      <c r="BE15" s="529"/>
      <c r="BF15" s="529"/>
      <c r="BG15" s="529"/>
      <c r="BH15" s="529"/>
      <c r="BI15" s="529"/>
      <c r="BJ15" s="529"/>
      <c r="BK15" s="529"/>
      <c r="BL15" s="529"/>
      <c r="BM15" s="529"/>
      <c r="BN15" s="529"/>
      <c r="BO15" s="529"/>
      <c r="BP15" s="529"/>
      <c r="BQ15" s="529"/>
      <c r="BR15" s="529"/>
      <c r="BS15" s="529"/>
      <c r="BT15" s="529"/>
      <c r="BU15" s="529"/>
      <c r="BV15" s="529"/>
      <c r="BW15" s="529"/>
      <c r="BX15" s="529"/>
      <c r="BY15" s="529"/>
      <c r="BZ15" s="529"/>
      <c r="CA15" s="529"/>
      <c r="CB15" s="529"/>
      <c r="CC15" s="529"/>
      <c r="CD15" s="529"/>
      <c r="CE15" s="529"/>
      <c r="CF15" s="529"/>
      <c r="CG15" s="529"/>
      <c r="CH15" s="529"/>
      <c r="CI15" s="529"/>
      <c r="CJ15" s="529"/>
      <c r="CK15" s="529"/>
      <c r="CL15" s="529"/>
      <c r="CM15" s="529"/>
    </row>
    <row r="16">
      <c r="A16" s="489"/>
      <c r="B16" s="325" t="str">
        <f t="shared" ref="B16:B25" si="2">IF(F16="","",$D$3&amp;"."&amp;COUNTA($F$9:F16)&amp;"")</f>
        <v>TC_05.4</v>
      </c>
      <c r="C16" s="372" t="s">
        <v>75</v>
      </c>
      <c r="D16" s="537" t="s">
        <v>2073</v>
      </c>
      <c r="E16" s="538"/>
      <c r="F16" s="539" t="s">
        <v>2138</v>
      </c>
      <c r="G16" s="537" t="s">
        <v>2075</v>
      </c>
      <c r="H16" s="302"/>
      <c r="I16" s="302"/>
      <c r="J16" s="300"/>
      <c r="K16" s="544"/>
      <c r="L16" s="300"/>
      <c r="M16" s="300"/>
      <c r="N16" s="544"/>
      <c r="O16" s="544"/>
      <c r="P16" s="544"/>
      <c r="Q16" s="300"/>
      <c r="R16" s="544"/>
      <c r="S16" s="544"/>
      <c r="T16" s="545"/>
      <c r="U16" s="300"/>
      <c r="V16" s="544"/>
      <c r="W16" s="544"/>
      <c r="X16" s="544"/>
      <c r="Y16" s="300"/>
      <c r="Z16" s="544"/>
      <c r="AA16" s="544"/>
      <c r="AB16" s="544"/>
      <c r="AC16" s="300"/>
      <c r="AD16" s="544"/>
      <c r="AE16" s="544"/>
      <c r="AF16" s="300"/>
      <c r="AG16" s="300"/>
      <c r="AH16" s="300"/>
      <c r="AI16" s="300"/>
      <c r="AJ16" s="300"/>
      <c r="AK16" s="300"/>
      <c r="AL16" s="300"/>
      <c r="AM16" s="300"/>
      <c r="AN16" s="300"/>
      <c r="AO16" s="300"/>
      <c r="AP16" s="300"/>
      <c r="AQ16" s="300"/>
      <c r="AR16" s="544"/>
      <c r="AS16" s="544"/>
      <c r="AT16" s="544"/>
      <c r="AU16" s="544"/>
      <c r="AV16" s="544"/>
      <c r="AW16" s="544"/>
      <c r="AX16" s="544"/>
      <c r="AY16" s="544"/>
      <c r="AZ16" s="544"/>
      <c r="BA16" s="544"/>
      <c r="BB16" s="544"/>
      <c r="BC16" s="546"/>
      <c r="BD16" s="232"/>
      <c r="BE16" s="232"/>
      <c r="BF16" s="232"/>
      <c r="BG16" s="232"/>
      <c r="BH16" s="232"/>
      <c r="BI16" s="232"/>
      <c r="BJ16" s="232"/>
      <c r="BK16" s="232"/>
      <c r="BL16" s="232"/>
      <c r="BM16" s="232"/>
      <c r="BN16" s="232"/>
      <c r="BO16" s="232"/>
      <c r="BP16" s="232"/>
      <c r="BQ16" s="232"/>
      <c r="BR16" s="232"/>
      <c r="BS16" s="232"/>
      <c r="BT16" s="232"/>
      <c r="BU16" s="232"/>
      <c r="BV16" s="232"/>
      <c r="BW16" s="232"/>
      <c r="BX16" s="232"/>
      <c r="BY16" s="232"/>
      <c r="BZ16" s="232"/>
      <c r="CA16" s="232"/>
      <c r="CB16" s="232"/>
      <c r="CC16" s="232"/>
      <c r="CD16" s="232"/>
      <c r="CE16" s="232"/>
      <c r="CF16" s="232"/>
      <c r="CG16" s="232"/>
      <c r="CH16" s="232"/>
      <c r="CI16" s="232"/>
      <c r="CJ16" s="232"/>
      <c r="CK16" s="232"/>
      <c r="CL16" s="232"/>
      <c r="CM16" s="232"/>
    </row>
    <row r="17">
      <c r="A17" s="302"/>
      <c r="B17" s="325" t="str">
        <f t="shared" si="2"/>
        <v/>
      </c>
      <c r="C17" s="547" t="s">
        <v>2076</v>
      </c>
      <c r="D17" s="148"/>
      <c r="E17" s="148"/>
      <c r="F17" s="148"/>
      <c r="G17" s="171"/>
      <c r="H17" s="302"/>
      <c r="I17" s="302"/>
      <c r="J17" s="300"/>
      <c r="K17" s="300"/>
      <c r="L17" s="300"/>
      <c r="M17" s="300"/>
      <c r="N17" s="300"/>
      <c r="O17" s="300"/>
      <c r="P17" s="300"/>
      <c r="Q17" s="300"/>
      <c r="R17" s="300"/>
      <c r="S17" s="300"/>
      <c r="T17" s="302"/>
      <c r="U17" s="300"/>
      <c r="V17" s="300"/>
      <c r="W17" s="300"/>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29"/>
      <c r="BD17" s="529"/>
      <c r="BE17" s="529"/>
      <c r="BF17" s="529"/>
      <c r="BG17" s="529"/>
      <c r="BH17" s="529"/>
      <c r="BI17" s="529"/>
      <c r="BJ17" s="529"/>
      <c r="BK17" s="529"/>
      <c r="BL17" s="529"/>
      <c r="BM17" s="529"/>
      <c r="BN17" s="529"/>
      <c r="BO17" s="529"/>
      <c r="BP17" s="529"/>
      <c r="BQ17" s="529"/>
      <c r="BR17" s="529"/>
      <c r="BS17" s="529"/>
      <c r="BT17" s="529"/>
      <c r="BU17" s="529"/>
      <c r="BV17" s="529"/>
      <c r="BW17" s="529"/>
      <c r="BX17" s="529"/>
      <c r="BY17" s="529"/>
      <c r="BZ17" s="529"/>
      <c r="CA17" s="529"/>
      <c r="CB17" s="529"/>
      <c r="CC17" s="529"/>
      <c r="CD17" s="529"/>
      <c r="CE17" s="529"/>
      <c r="CF17" s="529"/>
      <c r="CG17" s="529"/>
      <c r="CH17" s="529"/>
      <c r="CI17" s="529"/>
      <c r="CJ17" s="529"/>
      <c r="CK17" s="529"/>
      <c r="CL17" s="529"/>
      <c r="CM17" s="529"/>
    </row>
    <row r="18">
      <c r="A18" s="548"/>
      <c r="B18" s="325" t="str">
        <f t="shared" si="2"/>
        <v>TC_05.5</v>
      </c>
      <c r="C18" s="549" t="s">
        <v>75</v>
      </c>
      <c r="D18" s="537" t="s">
        <v>2077</v>
      </c>
      <c r="E18" s="538"/>
      <c r="F18" s="539" t="s">
        <v>2139</v>
      </c>
      <c r="G18" s="539" t="s">
        <v>2079</v>
      </c>
      <c r="H18" s="302"/>
      <c r="I18" s="302"/>
      <c r="J18" s="300"/>
      <c r="K18" s="300"/>
      <c r="L18" s="300"/>
      <c r="M18" s="300"/>
      <c r="N18" s="300"/>
      <c r="O18" s="300"/>
      <c r="P18" s="300"/>
      <c r="Q18" s="300"/>
      <c r="R18" s="300"/>
      <c r="S18" s="300"/>
      <c r="T18" s="302"/>
      <c r="U18" s="300"/>
      <c r="V18" s="300"/>
      <c r="W18" s="300"/>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29"/>
      <c r="BD18" s="529"/>
      <c r="BE18" s="529"/>
      <c r="BF18" s="529"/>
      <c r="BG18" s="529"/>
      <c r="BH18" s="529"/>
      <c r="BI18" s="529"/>
      <c r="BJ18" s="529"/>
      <c r="BK18" s="529"/>
      <c r="BL18" s="529"/>
      <c r="BM18" s="529"/>
      <c r="BN18" s="529"/>
      <c r="BO18" s="529"/>
      <c r="BP18" s="529"/>
      <c r="BQ18" s="529"/>
      <c r="BR18" s="529"/>
      <c r="BS18" s="529"/>
      <c r="BT18" s="529"/>
      <c r="BU18" s="529"/>
      <c r="BV18" s="529"/>
      <c r="BW18" s="529"/>
      <c r="BX18" s="529"/>
      <c r="BY18" s="529"/>
      <c r="BZ18" s="529"/>
      <c r="CA18" s="529"/>
      <c r="CB18" s="529"/>
      <c r="CC18" s="529"/>
      <c r="CD18" s="529"/>
      <c r="CE18" s="529"/>
      <c r="CF18" s="529"/>
      <c r="CG18" s="529"/>
      <c r="CH18" s="529"/>
      <c r="CI18" s="529"/>
      <c r="CJ18" s="529"/>
      <c r="CK18" s="529"/>
      <c r="CL18" s="529"/>
      <c r="CM18" s="529"/>
    </row>
    <row r="19">
      <c r="A19" s="548"/>
      <c r="B19" s="325" t="str">
        <f t="shared" si="2"/>
        <v>TC_05.6</v>
      </c>
      <c r="C19" s="549"/>
      <c r="D19" s="539" t="s">
        <v>2080</v>
      </c>
      <c r="E19" s="538"/>
      <c r="F19" s="539" t="s">
        <v>2140</v>
      </c>
      <c r="G19" s="539" t="s">
        <v>2082</v>
      </c>
      <c r="H19" s="302"/>
      <c r="I19" s="302"/>
      <c r="J19" s="300"/>
      <c r="K19" s="300"/>
      <c r="L19" s="300"/>
      <c r="M19" s="300"/>
      <c r="N19" s="300"/>
      <c r="O19" s="300"/>
      <c r="P19" s="300"/>
      <c r="Q19" s="300"/>
      <c r="R19" s="300"/>
      <c r="S19" s="300"/>
      <c r="T19" s="302"/>
      <c r="U19" s="300"/>
      <c r="V19" s="300"/>
      <c r="W19" s="300"/>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29"/>
      <c r="BD19" s="529"/>
      <c r="BE19" s="529"/>
      <c r="BF19" s="529"/>
      <c r="BG19" s="529"/>
      <c r="BH19" s="529"/>
      <c r="BI19" s="529"/>
      <c r="BJ19" s="529"/>
      <c r="BK19" s="529"/>
      <c r="BL19" s="529"/>
      <c r="BM19" s="529"/>
      <c r="BN19" s="529"/>
      <c r="BO19" s="529"/>
      <c r="BP19" s="529"/>
      <c r="BQ19" s="529"/>
      <c r="BR19" s="529"/>
      <c r="BS19" s="529"/>
      <c r="BT19" s="529"/>
      <c r="BU19" s="529"/>
      <c r="BV19" s="529"/>
      <c r="BW19" s="529"/>
      <c r="BX19" s="529"/>
      <c r="BY19" s="529"/>
      <c r="BZ19" s="529"/>
      <c r="CA19" s="529"/>
      <c r="CB19" s="529"/>
      <c r="CC19" s="529"/>
      <c r="CD19" s="529"/>
      <c r="CE19" s="529"/>
      <c r="CF19" s="529"/>
      <c r="CG19" s="529"/>
      <c r="CH19" s="529"/>
      <c r="CI19" s="529"/>
      <c r="CJ19" s="529"/>
      <c r="CK19" s="529"/>
      <c r="CL19" s="529"/>
      <c r="CM19" s="529"/>
    </row>
    <row r="20">
      <c r="A20" s="300"/>
      <c r="B20" s="325" t="str">
        <f t="shared" si="2"/>
        <v/>
      </c>
      <c r="C20" s="540" t="s">
        <v>2083</v>
      </c>
      <c r="D20" s="148"/>
      <c r="E20" s="148"/>
      <c r="F20" s="148"/>
      <c r="G20" s="171"/>
      <c r="H20" s="302"/>
      <c r="I20" s="302"/>
      <c r="J20" s="300"/>
      <c r="K20" s="300"/>
      <c r="L20" s="300"/>
      <c r="M20" s="300"/>
      <c r="N20" s="300"/>
      <c r="O20" s="300"/>
      <c r="P20" s="300"/>
      <c r="Q20" s="300"/>
      <c r="R20" s="300"/>
      <c r="S20" s="300"/>
      <c r="T20" s="302"/>
      <c r="U20" s="300"/>
      <c r="V20" s="300"/>
      <c r="W20" s="300"/>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529"/>
      <c r="BK20" s="529"/>
      <c r="BL20" s="529"/>
      <c r="BM20" s="529"/>
      <c r="BN20" s="529"/>
      <c r="BO20" s="529"/>
      <c r="BP20" s="529"/>
      <c r="BQ20" s="529"/>
      <c r="BR20" s="529"/>
      <c r="BS20" s="529"/>
      <c r="BT20" s="529"/>
      <c r="BU20" s="529"/>
      <c r="BV20" s="529"/>
      <c r="BW20" s="529"/>
      <c r="BX20" s="529"/>
      <c r="BY20" s="529"/>
      <c r="BZ20" s="529"/>
      <c r="CA20" s="529"/>
      <c r="CB20" s="529"/>
      <c r="CC20" s="529"/>
      <c r="CD20" s="529"/>
      <c r="CE20" s="529"/>
      <c r="CF20" s="529"/>
      <c r="CG20" s="529"/>
      <c r="CH20" s="529"/>
      <c r="CI20" s="529"/>
      <c r="CJ20" s="529"/>
      <c r="CK20" s="529"/>
      <c r="CL20" s="529"/>
      <c r="CM20" s="529"/>
    </row>
    <row r="21">
      <c r="A21" s="489"/>
      <c r="B21" s="325" t="str">
        <f t="shared" si="2"/>
        <v>TC_05.7</v>
      </c>
      <c r="C21" s="326" t="s">
        <v>75</v>
      </c>
      <c r="D21" s="537" t="s">
        <v>2084</v>
      </c>
      <c r="E21" s="538"/>
      <c r="F21" s="539" t="s">
        <v>2141</v>
      </c>
      <c r="G21" s="539" t="s">
        <v>2142</v>
      </c>
      <c r="H21" s="302"/>
      <c r="I21" s="302"/>
      <c r="J21" s="300"/>
      <c r="K21" s="300"/>
      <c r="L21" s="300"/>
      <c r="M21" s="300"/>
      <c r="N21" s="300"/>
      <c r="O21" s="300"/>
      <c r="P21" s="300"/>
      <c r="Q21" s="300"/>
      <c r="R21" s="300"/>
      <c r="S21" s="300"/>
      <c r="T21" s="302"/>
      <c r="U21" s="300"/>
      <c r="V21" s="300"/>
      <c r="W21" s="300"/>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c r="BU21" s="529"/>
      <c r="BV21" s="529"/>
      <c r="BW21" s="529"/>
      <c r="BX21" s="529"/>
      <c r="BY21" s="529"/>
      <c r="BZ21" s="529"/>
      <c r="CA21" s="529"/>
      <c r="CB21" s="529"/>
      <c r="CC21" s="529"/>
      <c r="CD21" s="529"/>
      <c r="CE21" s="529"/>
      <c r="CF21" s="529"/>
      <c r="CG21" s="529"/>
      <c r="CH21" s="529"/>
      <c r="CI21" s="529"/>
      <c r="CJ21" s="529"/>
      <c r="CK21" s="529"/>
      <c r="CL21" s="529"/>
      <c r="CM21" s="529"/>
    </row>
    <row r="22">
      <c r="A22" s="300"/>
      <c r="B22" s="300" t="str">
        <f t="shared" si="2"/>
        <v/>
      </c>
      <c r="C22" s="540" t="s">
        <v>1501</v>
      </c>
      <c r="D22" s="148"/>
      <c r="E22" s="148"/>
      <c r="F22" s="148"/>
      <c r="G22" s="171"/>
      <c r="H22" s="302"/>
      <c r="I22" s="302"/>
      <c r="J22" s="300"/>
      <c r="K22" s="300"/>
      <c r="L22" s="300"/>
      <c r="M22" s="300"/>
      <c r="N22" s="300"/>
      <c r="O22" s="300"/>
      <c r="P22" s="300"/>
      <c r="Q22" s="300"/>
      <c r="R22" s="300"/>
      <c r="S22" s="300"/>
      <c r="T22" s="302"/>
      <c r="U22" s="300"/>
      <c r="V22" s="300"/>
      <c r="W22" s="300"/>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29"/>
      <c r="BD22" s="529"/>
      <c r="BE22" s="529"/>
      <c r="BF22" s="529"/>
      <c r="BG22" s="529"/>
      <c r="BH22" s="529"/>
      <c r="BI22" s="529"/>
      <c r="BJ22" s="529"/>
      <c r="BK22" s="529"/>
      <c r="BL22" s="529"/>
      <c r="BM22" s="529"/>
      <c r="BN22" s="529"/>
      <c r="BO22" s="529"/>
      <c r="BP22" s="529"/>
      <c r="BQ22" s="529"/>
      <c r="BR22" s="529"/>
      <c r="BS22" s="529"/>
      <c r="BT22" s="529"/>
      <c r="BU22" s="529"/>
      <c r="BV22" s="529"/>
      <c r="BW22" s="529"/>
      <c r="BX22" s="529"/>
      <c r="BY22" s="529"/>
      <c r="BZ22" s="529"/>
      <c r="CA22" s="529"/>
      <c r="CB22" s="529"/>
      <c r="CC22" s="529"/>
      <c r="CD22" s="529"/>
      <c r="CE22" s="529"/>
      <c r="CF22" s="529"/>
      <c r="CG22" s="529"/>
      <c r="CH22" s="529"/>
      <c r="CI22" s="529"/>
      <c r="CJ22" s="529"/>
      <c r="CK22" s="529"/>
      <c r="CL22" s="529"/>
      <c r="CM22" s="529"/>
    </row>
    <row r="23">
      <c r="A23" s="300"/>
      <c r="B23" s="325" t="str">
        <f t="shared" si="2"/>
        <v>TC_05.8</v>
      </c>
      <c r="C23" s="326" t="s">
        <v>75</v>
      </c>
      <c r="D23" s="345" t="s">
        <v>2087</v>
      </c>
      <c r="E23" s="545"/>
      <c r="F23" s="550" t="s">
        <v>2088</v>
      </c>
      <c r="G23" s="344" t="s">
        <v>2143</v>
      </c>
      <c r="H23" s="302"/>
      <c r="I23" s="302"/>
      <c r="J23" s="300"/>
      <c r="K23" s="300"/>
      <c r="L23" s="300"/>
      <c r="M23" s="300"/>
      <c r="N23" s="300"/>
      <c r="O23" s="300"/>
      <c r="P23" s="300"/>
      <c r="Q23" s="300"/>
      <c r="R23" s="300"/>
      <c r="S23" s="300"/>
      <c r="T23" s="302"/>
      <c r="U23" s="300"/>
      <c r="V23" s="300"/>
      <c r="W23" s="300"/>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29"/>
      <c r="BD23" s="529"/>
      <c r="BE23" s="529"/>
      <c r="BF23" s="529"/>
      <c r="BG23" s="529"/>
      <c r="BH23" s="529"/>
      <c r="BI23" s="529"/>
      <c r="BJ23" s="529"/>
      <c r="BK23" s="529"/>
      <c r="BL23" s="529"/>
      <c r="BM23" s="529"/>
      <c r="BN23" s="529"/>
      <c r="BO23" s="529"/>
      <c r="BP23" s="529"/>
      <c r="BQ23" s="529"/>
      <c r="BR23" s="529"/>
      <c r="BS23" s="529"/>
      <c r="BT23" s="529"/>
      <c r="BU23" s="529"/>
      <c r="BV23" s="529"/>
      <c r="BW23" s="529"/>
      <c r="BX23" s="529"/>
      <c r="BY23" s="529"/>
      <c r="BZ23" s="529"/>
      <c r="CA23" s="529"/>
      <c r="CB23" s="529"/>
      <c r="CC23" s="529"/>
      <c r="CD23" s="529"/>
      <c r="CE23" s="529"/>
      <c r="CF23" s="529"/>
      <c r="CG23" s="529"/>
      <c r="CH23" s="529"/>
      <c r="CI23" s="529"/>
      <c r="CJ23" s="529"/>
      <c r="CK23" s="529"/>
      <c r="CL23" s="529"/>
      <c r="CM23" s="529"/>
    </row>
    <row r="24">
      <c r="A24" s="302"/>
      <c r="B24" s="326" t="str">
        <f t="shared" si="2"/>
        <v>TC_05.9</v>
      </c>
      <c r="C24" s="347" t="s">
        <v>73</v>
      </c>
      <c r="D24" s="551" t="s">
        <v>2090</v>
      </c>
      <c r="E24" s="276" t="s">
        <v>2091</v>
      </c>
      <c r="F24" s="347" t="s">
        <v>2092</v>
      </c>
      <c r="G24" s="347" t="s">
        <v>2093</v>
      </c>
      <c r="H24" s="302"/>
      <c r="I24" s="300"/>
      <c r="J24" s="300"/>
      <c r="K24" s="300"/>
      <c r="L24" s="300"/>
      <c r="M24" s="300"/>
      <c r="N24" s="300"/>
      <c r="O24" s="300"/>
      <c r="P24" s="300"/>
      <c r="Q24" s="300"/>
      <c r="R24" s="300"/>
      <c r="S24" s="300"/>
      <c r="T24" s="302"/>
      <c r="U24" s="300"/>
      <c r="V24" s="300"/>
      <c r="W24" s="300"/>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29"/>
      <c r="BD24" s="529"/>
      <c r="BE24" s="529"/>
      <c r="BF24" s="529"/>
      <c r="BG24" s="529"/>
      <c r="BH24" s="529"/>
      <c r="BI24" s="529"/>
      <c r="BJ24" s="529"/>
      <c r="BK24" s="529"/>
      <c r="BL24" s="529"/>
      <c r="BM24" s="529"/>
      <c r="BN24" s="529"/>
      <c r="BO24" s="529"/>
      <c r="BP24" s="529"/>
      <c r="BQ24" s="529"/>
      <c r="BR24" s="529"/>
      <c r="BS24" s="529"/>
      <c r="BT24" s="529"/>
      <c r="BU24" s="529"/>
      <c r="BV24" s="529"/>
      <c r="BW24" s="529"/>
      <c r="BX24" s="529"/>
      <c r="BY24" s="529"/>
      <c r="BZ24" s="529"/>
      <c r="CA24" s="529"/>
      <c r="CB24" s="529"/>
      <c r="CC24" s="529"/>
      <c r="CD24" s="529"/>
      <c r="CE24" s="529"/>
      <c r="CF24" s="529"/>
      <c r="CG24" s="529"/>
      <c r="CH24" s="529"/>
      <c r="CI24" s="529"/>
      <c r="CJ24" s="529"/>
      <c r="CK24" s="529"/>
      <c r="CL24" s="529"/>
      <c r="CM24" s="529"/>
    </row>
    <row r="25">
      <c r="A25" s="300"/>
      <c r="B25" s="325" t="str">
        <f t="shared" si="2"/>
        <v>TC_05.10</v>
      </c>
      <c r="C25" s="347" t="s">
        <v>73</v>
      </c>
      <c r="D25" s="551" t="s">
        <v>2094</v>
      </c>
      <c r="E25" s="276" t="s">
        <v>2095</v>
      </c>
      <c r="F25" s="347" t="s">
        <v>2096</v>
      </c>
      <c r="G25" s="347" t="s">
        <v>2097</v>
      </c>
      <c r="H25" s="302"/>
      <c r="I25" s="302"/>
      <c r="J25" s="300"/>
      <c r="K25" s="300"/>
      <c r="L25" s="300"/>
      <c r="M25" s="300"/>
      <c r="N25" s="300"/>
      <c r="O25" s="300"/>
      <c r="P25" s="300"/>
      <c r="Q25" s="300"/>
      <c r="R25" s="300"/>
      <c r="S25" s="300"/>
      <c r="T25" s="302"/>
      <c r="U25" s="300"/>
      <c r="V25" s="300"/>
      <c r="W25" s="300"/>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29"/>
      <c r="BD25" s="529"/>
      <c r="BE25" s="529"/>
      <c r="BF25" s="529"/>
      <c r="BG25" s="529"/>
      <c r="BH25" s="529"/>
      <c r="BI25" s="529"/>
      <c r="BJ25" s="529"/>
      <c r="BK25" s="529"/>
      <c r="BL25" s="529"/>
      <c r="BM25" s="529"/>
      <c r="BN25" s="529"/>
      <c r="BO25" s="529"/>
      <c r="BP25" s="529"/>
      <c r="BQ25" s="529"/>
      <c r="BR25" s="529"/>
      <c r="BS25" s="529"/>
      <c r="BT25" s="529"/>
      <c r="BU25" s="529"/>
      <c r="BV25" s="529"/>
      <c r="BW25" s="529"/>
      <c r="BX25" s="529"/>
      <c r="BY25" s="529"/>
      <c r="BZ25" s="529"/>
      <c r="CA25" s="529"/>
      <c r="CB25" s="529"/>
      <c r="CC25" s="529"/>
      <c r="CD25" s="529"/>
      <c r="CE25" s="529"/>
      <c r="CF25" s="529"/>
      <c r="CG25" s="529"/>
      <c r="CH25" s="529"/>
      <c r="CI25" s="529"/>
      <c r="CJ25" s="529"/>
      <c r="CK25" s="529"/>
      <c r="CL25" s="529"/>
      <c r="CM25" s="529"/>
    </row>
    <row r="26">
      <c r="A26" s="300"/>
      <c r="B26" s="536" t="s">
        <v>1482</v>
      </c>
      <c r="C26" s="148"/>
      <c r="D26" s="148"/>
      <c r="E26" s="148"/>
      <c r="F26" s="148"/>
      <c r="G26" s="171"/>
      <c r="H26" s="302"/>
      <c r="I26" s="302"/>
      <c r="J26" s="300"/>
      <c r="K26" s="300"/>
      <c r="L26" s="300"/>
      <c r="M26" s="300"/>
      <c r="N26" s="300"/>
      <c r="O26" s="300"/>
      <c r="P26" s="300"/>
      <c r="Q26" s="300"/>
      <c r="R26" s="300"/>
      <c r="S26" s="300"/>
      <c r="T26" s="302"/>
      <c r="U26" s="300"/>
      <c r="V26" s="300"/>
      <c r="W26" s="300"/>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29"/>
      <c r="BD26" s="529"/>
      <c r="BE26" s="529"/>
      <c r="BF26" s="529"/>
      <c r="BG26" s="529"/>
      <c r="BH26" s="529"/>
      <c r="BI26" s="529"/>
      <c r="BJ26" s="529"/>
      <c r="BK26" s="529"/>
      <c r="BL26" s="529"/>
      <c r="BM26" s="529"/>
      <c r="BN26" s="529"/>
      <c r="BO26" s="529"/>
      <c r="BP26" s="529"/>
      <c r="BQ26" s="529"/>
      <c r="BR26" s="529"/>
      <c r="BS26" s="529"/>
      <c r="BT26" s="529"/>
      <c r="BU26" s="529"/>
      <c r="BV26" s="529"/>
      <c r="BW26" s="529"/>
      <c r="BX26" s="529"/>
      <c r="BY26" s="529"/>
      <c r="BZ26" s="529"/>
      <c r="CA26" s="529"/>
      <c r="CB26" s="529"/>
      <c r="CC26" s="529"/>
      <c r="CD26" s="529"/>
      <c r="CE26" s="529"/>
      <c r="CF26" s="529"/>
      <c r="CG26" s="529"/>
      <c r="CH26" s="529"/>
      <c r="CI26" s="529"/>
      <c r="CJ26" s="529"/>
      <c r="CK26" s="529"/>
      <c r="CL26" s="529"/>
      <c r="CM26" s="529"/>
    </row>
    <row r="27">
      <c r="A27" s="300"/>
      <c r="B27" s="325"/>
      <c r="C27" s="329" t="s">
        <v>73</v>
      </c>
      <c r="D27" s="347" t="s">
        <v>2098</v>
      </c>
      <c r="E27" s="329" t="s">
        <v>2099</v>
      </c>
      <c r="F27" s="429" t="s">
        <v>2100</v>
      </c>
      <c r="G27" s="329" t="s">
        <v>2101</v>
      </c>
      <c r="H27" s="302"/>
      <c r="I27" s="302"/>
      <c r="J27" s="300"/>
      <c r="K27" s="300"/>
      <c r="L27" s="300"/>
      <c r="M27" s="300"/>
      <c r="N27" s="300"/>
      <c r="O27" s="300"/>
      <c r="P27" s="300"/>
      <c r="Q27" s="300"/>
      <c r="R27" s="300"/>
      <c r="S27" s="300"/>
      <c r="T27" s="302"/>
      <c r="U27" s="300"/>
      <c r="V27" s="300"/>
      <c r="W27" s="300"/>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29"/>
      <c r="BD27" s="529"/>
      <c r="BE27" s="529"/>
      <c r="BF27" s="529"/>
      <c r="BG27" s="529"/>
      <c r="BH27" s="529"/>
      <c r="BI27" s="529"/>
      <c r="BJ27" s="529"/>
      <c r="BK27" s="529"/>
      <c r="BL27" s="529"/>
      <c r="BM27" s="529"/>
      <c r="BN27" s="529"/>
      <c r="BO27" s="529"/>
      <c r="BP27" s="529"/>
      <c r="BQ27" s="529"/>
      <c r="BR27" s="529"/>
      <c r="BS27" s="529"/>
      <c r="BT27" s="529"/>
      <c r="BU27" s="529"/>
      <c r="BV27" s="529"/>
      <c r="BW27" s="529"/>
      <c r="BX27" s="529"/>
      <c r="BY27" s="529"/>
      <c r="BZ27" s="529"/>
      <c r="CA27" s="529"/>
      <c r="CB27" s="529"/>
      <c r="CC27" s="529"/>
      <c r="CD27" s="529"/>
      <c r="CE27" s="529"/>
      <c r="CF27" s="529"/>
      <c r="CG27" s="529"/>
      <c r="CH27" s="529"/>
      <c r="CI27" s="529"/>
      <c r="CJ27" s="529"/>
      <c r="CK27" s="529"/>
      <c r="CL27" s="529"/>
      <c r="CM27" s="529"/>
    </row>
    <row r="28">
      <c r="A28" s="300"/>
      <c r="B28" s="325" t="str">
        <f t="shared" ref="B28:B30" si="3">IF(F28="","",$D$3&amp;"."&amp;COUNTA($F$9:F28)&amp;"")</f>
        <v>TC_05.12</v>
      </c>
      <c r="C28" s="347" t="s">
        <v>73</v>
      </c>
      <c r="D28" s="347" t="s">
        <v>2098</v>
      </c>
      <c r="E28" s="347" t="s">
        <v>2102</v>
      </c>
      <c r="F28" s="550" t="s">
        <v>2103</v>
      </c>
      <c r="G28" s="329" t="s">
        <v>2104</v>
      </c>
      <c r="H28" s="302"/>
      <c r="I28" s="302"/>
      <c r="J28" s="300"/>
      <c r="K28" s="300"/>
      <c r="L28" s="300"/>
      <c r="M28" s="300"/>
      <c r="N28" s="300"/>
      <c r="O28" s="300"/>
      <c r="P28" s="300"/>
      <c r="Q28" s="300"/>
      <c r="R28" s="300"/>
      <c r="S28" s="300"/>
      <c r="T28" s="302"/>
      <c r="U28" s="300"/>
      <c r="V28" s="300"/>
      <c r="W28" s="300"/>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29"/>
      <c r="BD28" s="529"/>
      <c r="BE28" s="529"/>
      <c r="BF28" s="529"/>
      <c r="BG28" s="529"/>
      <c r="BH28" s="529"/>
      <c r="BI28" s="529"/>
      <c r="BJ28" s="529"/>
      <c r="BK28" s="529"/>
      <c r="BL28" s="529"/>
      <c r="BM28" s="529"/>
      <c r="BN28" s="529"/>
      <c r="BO28" s="529"/>
      <c r="BP28" s="529"/>
      <c r="BQ28" s="529"/>
      <c r="BR28" s="529"/>
      <c r="BS28" s="529"/>
      <c r="BT28" s="529"/>
      <c r="BU28" s="529"/>
      <c r="BV28" s="529"/>
      <c r="BW28" s="529"/>
      <c r="BX28" s="529"/>
      <c r="BY28" s="529"/>
      <c r="BZ28" s="529"/>
      <c r="CA28" s="529"/>
      <c r="CB28" s="529"/>
      <c r="CC28" s="529"/>
      <c r="CD28" s="529"/>
      <c r="CE28" s="529"/>
      <c r="CF28" s="529"/>
      <c r="CG28" s="529"/>
      <c r="CH28" s="529"/>
      <c r="CI28" s="529"/>
      <c r="CJ28" s="529"/>
      <c r="CK28" s="529"/>
      <c r="CL28" s="529"/>
      <c r="CM28" s="529"/>
    </row>
    <row r="29">
      <c r="A29" s="300"/>
      <c r="B29" s="325" t="str">
        <f t="shared" si="3"/>
        <v>TC_05.13</v>
      </c>
      <c r="C29" s="267" t="s">
        <v>73</v>
      </c>
      <c r="D29" s="265" t="s">
        <v>2105</v>
      </c>
      <c r="E29" s="552" t="s">
        <v>2106</v>
      </c>
      <c r="F29" s="552" t="s">
        <v>2107</v>
      </c>
      <c r="G29" s="265" t="s">
        <v>2108</v>
      </c>
      <c r="H29" s="302"/>
      <c r="I29" s="302"/>
      <c r="J29" s="300"/>
      <c r="K29" s="300"/>
      <c r="L29" s="300"/>
      <c r="M29" s="300"/>
      <c r="N29" s="300"/>
      <c r="O29" s="300"/>
      <c r="P29" s="300"/>
      <c r="Q29" s="300"/>
      <c r="R29" s="300"/>
      <c r="S29" s="300"/>
      <c r="T29" s="302"/>
      <c r="U29" s="300"/>
      <c r="V29" s="300"/>
      <c r="W29" s="300"/>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c r="BU29" s="529"/>
      <c r="BV29" s="529"/>
      <c r="BW29" s="529"/>
      <c r="BX29" s="529"/>
      <c r="BY29" s="529"/>
      <c r="BZ29" s="529"/>
      <c r="CA29" s="529"/>
      <c r="CB29" s="529"/>
      <c r="CC29" s="529"/>
      <c r="CD29" s="529"/>
      <c r="CE29" s="529"/>
      <c r="CF29" s="529"/>
      <c r="CG29" s="529"/>
      <c r="CH29" s="529"/>
      <c r="CI29" s="529"/>
      <c r="CJ29" s="529"/>
      <c r="CK29" s="529"/>
      <c r="CL29" s="529"/>
      <c r="CM29" s="529"/>
    </row>
    <row r="30">
      <c r="A30" s="300"/>
      <c r="B30" s="325" t="str">
        <f t="shared" si="3"/>
        <v>TC_05.14</v>
      </c>
      <c r="C30" s="267" t="s">
        <v>73</v>
      </c>
      <c r="D30" s="265" t="s">
        <v>2109</v>
      </c>
      <c r="E30" s="552" t="s">
        <v>2106</v>
      </c>
      <c r="F30" s="552" t="s">
        <v>2110</v>
      </c>
      <c r="G30" s="265" t="s">
        <v>2111</v>
      </c>
      <c r="H30" s="302"/>
      <c r="I30" s="302"/>
      <c r="J30" s="300"/>
      <c r="K30" s="300"/>
      <c r="L30" s="300"/>
      <c r="M30" s="300"/>
      <c r="N30" s="300"/>
      <c r="O30" s="300"/>
      <c r="P30" s="300"/>
      <c r="Q30" s="300"/>
      <c r="R30" s="300"/>
      <c r="S30" s="300"/>
      <c r="T30" s="302"/>
      <c r="U30" s="300"/>
      <c r="V30" s="300"/>
      <c r="W30" s="300"/>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c r="BU30" s="529"/>
      <c r="BV30" s="529"/>
      <c r="BW30" s="529"/>
      <c r="BX30" s="529"/>
      <c r="BY30" s="529"/>
      <c r="BZ30" s="529"/>
      <c r="CA30" s="529"/>
      <c r="CB30" s="529"/>
      <c r="CC30" s="529"/>
      <c r="CD30" s="529"/>
      <c r="CE30" s="529"/>
      <c r="CF30" s="529"/>
      <c r="CG30" s="529"/>
      <c r="CH30" s="529"/>
      <c r="CI30" s="529"/>
      <c r="CJ30" s="529"/>
      <c r="CK30" s="529"/>
      <c r="CL30" s="529"/>
      <c r="CM30" s="529"/>
    </row>
    <row r="31">
      <c r="A31" s="300"/>
      <c r="B31" s="300"/>
      <c r="C31" s="302"/>
      <c r="D31" s="302"/>
      <c r="E31" s="302"/>
      <c r="F31" s="302"/>
      <c r="G31" s="302"/>
      <c r="H31" s="302"/>
      <c r="I31" s="302"/>
      <c r="J31" s="300"/>
      <c r="K31" s="300"/>
      <c r="L31" s="300"/>
      <c r="M31" s="300"/>
      <c r="N31" s="300"/>
      <c r="O31" s="300"/>
      <c r="P31" s="300"/>
      <c r="Q31" s="300"/>
      <c r="R31" s="300"/>
      <c r="S31" s="300"/>
      <c r="T31" s="302"/>
      <c r="U31" s="300"/>
      <c r="V31" s="300"/>
      <c r="W31" s="300"/>
      <c r="X31" s="529"/>
      <c r="Y31" s="529"/>
      <c r="Z31" s="529"/>
      <c r="AA31" s="529"/>
      <c r="AB31" s="529"/>
      <c r="AC31" s="529"/>
      <c r="AD31" s="529"/>
      <c r="AE31" s="529"/>
      <c r="AF31" s="529"/>
      <c r="AG31" s="529"/>
      <c r="AH31" s="529"/>
      <c r="AI31" s="529"/>
      <c r="AJ31" s="529"/>
      <c r="AK31" s="529"/>
      <c r="AL31" s="529"/>
      <c r="AM31" s="529"/>
      <c r="AN31" s="529"/>
      <c r="AO31" s="529"/>
      <c r="AP31" s="529"/>
      <c r="AQ31" s="529"/>
      <c r="AR31" s="529"/>
      <c r="AS31" s="529"/>
      <c r="AT31" s="529"/>
      <c r="AU31" s="529"/>
      <c r="AV31" s="529"/>
      <c r="AW31" s="529"/>
      <c r="AX31" s="529"/>
      <c r="AY31" s="529"/>
      <c r="AZ31" s="529"/>
      <c r="BA31" s="529"/>
      <c r="BB31" s="529"/>
      <c r="BC31" s="529"/>
      <c r="BD31" s="529"/>
      <c r="BE31" s="529"/>
      <c r="BF31" s="529"/>
      <c r="BG31" s="529"/>
      <c r="BH31" s="529"/>
      <c r="BI31" s="529"/>
      <c r="BJ31" s="529"/>
      <c r="BK31" s="529"/>
      <c r="BL31" s="529"/>
      <c r="BM31" s="529"/>
      <c r="BN31" s="529"/>
      <c r="BO31" s="529"/>
      <c r="BP31" s="529"/>
      <c r="BQ31" s="529"/>
      <c r="BR31" s="529"/>
      <c r="BS31" s="529"/>
      <c r="BT31" s="529"/>
      <c r="BU31" s="529"/>
      <c r="BV31" s="529"/>
      <c r="BW31" s="529"/>
      <c r="BX31" s="529"/>
      <c r="BY31" s="529"/>
      <c r="BZ31" s="529"/>
      <c r="CA31" s="529"/>
      <c r="CB31" s="529"/>
      <c r="CC31" s="529"/>
      <c r="CD31" s="529"/>
      <c r="CE31" s="529"/>
      <c r="CF31" s="529"/>
      <c r="CG31" s="529"/>
      <c r="CH31" s="529"/>
      <c r="CI31" s="529"/>
      <c r="CJ31" s="529"/>
      <c r="CK31" s="529"/>
      <c r="CL31" s="529"/>
      <c r="CM31" s="529"/>
    </row>
    <row r="32">
      <c r="A32" s="300"/>
      <c r="B32" s="529"/>
      <c r="C32" s="553"/>
      <c r="D32" s="553"/>
      <c r="E32" s="553"/>
      <c r="F32" s="553"/>
      <c r="G32" s="553"/>
      <c r="H32" s="553"/>
      <c r="I32" s="553"/>
      <c r="J32" s="529"/>
      <c r="K32" s="529"/>
      <c r="L32" s="529"/>
      <c r="M32" s="529"/>
      <c r="N32" s="529"/>
      <c r="O32" s="529"/>
      <c r="P32" s="529"/>
      <c r="Q32" s="529"/>
      <c r="R32" s="529"/>
      <c r="S32" s="529"/>
      <c r="T32" s="553"/>
      <c r="U32" s="529"/>
      <c r="V32" s="529"/>
      <c r="W32" s="529"/>
      <c r="X32" s="529"/>
      <c r="Y32" s="529"/>
      <c r="Z32" s="529"/>
      <c r="AA32" s="529"/>
      <c r="AB32" s="529"/>
      <c r="AC32" s="529"/>
      <c r="AD32" s="529"/>
      <c r="AE32" s="529"/>
      <c r="AF32" s="529"/>
      <c r="AG32" s="529"/>
      <c r="AH32" s="529"/>
      <c r="AI32" s="529"/>
      <c r="AJ32" s="529"/>
      <c r="AK32" s="529"/>
      <c r="AL32" s="529"/>
      <c r="AM32" s="529"/>
      <c r="AN32" s="529"/>
      <c r="AO32" s="529"/>
      <c r="AP32" s="529"/>
      <c r="AQ32" s="529"/>
      <c r="AR32" s="529"/>
      <c r="AS32" s="529"/>
      <c r="AT32" s="529"/>
      <c r="AU32" s="529"/>
      <c r="AV32" s="529"/>
      <c r="AW32" s="529"/>
      <c r="AX32" s="529"/>
      <c r="AY32" s="529"/>
      <c r="AZ32" s="529"/>
      <c r="BA32" s="529"/>
      <c r="BB32" s="529"/>
      <c r="BC32" s="529"/>
      <c r="BD32" s="529"/>
      <c r="BE32" s="529"/>
      <c r="BF32" s="529"/>
      <c r="BG32" s="529"/>
      <c r="BH32" s="529"/>
      <c r="BI32" s="529"/>
      <c r="BJ32" s="529"/>
      <c r="BK32" s="529"/>
      <c r="BL32" s="529"/>
      <c r="BM32" s="529"/>
      <c r="BN32" s="529"/>
      <c r="BO32" s="529"/>
      <c r="BP32" s="529"/>
      <c r="BQ32" s="529"/>
      <c r="BR32" s="529"/>
      <c r="BS32" s="529"/>
      <c r="BT32" s="529"/>
      <c r="BU32" s="529"/>
      <c r="BV32" s="529"/>
      <c r="BW32" s="529"/>
      <c r="BX32" s="529"/>
      <c r="BY32" s="529"/>
      <c r="BZ32" s="529"/>
      <c r="CA32" s="529"/>
      <c r="CB32" s="529"/>
      <c r="CC32" s="529"/>
      <c r="CD32" s="529"/>
      <c r="CE32" s="529"/>
      <c r="CF32" s="529"/>
      <c r="CG32" s="529"/>
      <c r="CH32" s="529"/>
      <c r="CI32" s="529"/>
      <c r="CJ32" s="529"/>
      <c r="CK32" s="529"/>
      <c r="CL32" s="529"/>
      <c r="CM32" s="529"/>
    </row>
    <row r="33">
      <c r="A33" s="300"/>
      <c r="B33" s="529"/>
      <c r="C33" s="553"/>
      <c r="D33" s="553"/>
      <c r="E33" s="553"/>
      <c r="F33" s="553"/>
      <c r="G33" s="553"/>
      <c r="H33" s="553"/>
      <c r="I33" s="529"/>
      <c r="J33" s="529"/>
      <c r="K33" s="529"/>
      <c r="L33" s="529"/>
      <c r="M33" s="529"/>
      <c r="N33" s="529"/>
      <c r="O33" s="529"/>
      <c r="P33" s="529"/>
      <c r="Q33" s="529"/>
      <c r="R33" s="529"/>
      <c r="S33" s="529"/>
      <c r="T33" s="553"/>
      <c r="U33" s="529"/>
      <c r="V33" s="529"/>
      <c r="W33" s="529"/>
      <c r="X33" s="529"/>
      <c r="Y33" s="529"/>
      <c r="Z33" s="529"/>
      <c r="AA33" s="529"/>
      <c r="AB33" s="529"/>
      <c r="AC33" s="529"/>
      <c r="AD33" s="529"/>
      <c r="AE33" s="529"/>
      <c r="AF33" s="529"/>
      <c r="AG33" s="529"/>
      <c r="AH33" s="529"/>
      <c r="AI33" s="529"/>
      <c r="AJ33" s="529"/>
      <c r="AK33" s="529"/>
      <c r="AL33" s="529"/>
      <c r="AM33" s="529"/>
      <c r="AN33" s="529"/>
      <c r="AO33" s="529"/>
      <c r="AP33" s="529"/>
      <c r="AQ33" s="529"/>
      <c r="AR33" s="529"/>
      <c r="AS33" s="529"/>
      <c r="AT33" s="529"/>
      <c r="AU33" s="529"/>
      <c r="AV33" s="529"/>
      <c r="AW33" s="529"/>
      <c r="AX33" s="529"/>
      <c r="AY33" s="529"/>
      <c r="AZ33" s="529"/>
      <c r="BA33" s="529"/>
      <c r="BB33" s="529"/>
      <c r="BC33" s="529"/>
      <c r="BD33" s="529"/>
      <c r="BE33" s="529"/>
      <c r="BF33" s="529"/>
      <c r="BG33" s="529"/>
      <c r="BH33" s="529"/>
      <c r="BI33" s="529"/>
      <c r="BJ33" s="529"/>
      <c r="BK33" s="529"/>
      <c r="BL33" s="529"/>
      <c r="BM33" s="529"/>
      <c r="BN33" s="529"/>
      <c r="BO33" s="529"/>
      <c r="BP33" s="529"/>
      <c r="BQ33" s="529"/>
      <c r="BR33" s="529"/>
      <c r="BS33" s="529"/>
      <c r="BT33" s="529"/>
      <c r="BU33" s="529"/>
      <c r="BV33" s="529"/>
      <c r="BW33" s="529"/>
      <c r="BX33" s="529"/>
      <c r="BY33" s="529"/>
      <c r="BZ33" s="529"/>
      <c r="CA33" s="529"/>
      <c r="CB33" s="529"/>
      <c r="CC33" s="529"/>
      <c r="CD33" s="529"/>
      <c r="CE33" s="529"/>
      <c r="CF33" s="529"/>
      <c r="CG33" s="529"/>
      <c r="CH33" s="529"/>
      <c r="CI33" s="529"/>
      <c r="CJ33" s="529"/>
      <c r="CK33" s="529"/>
      <c r="CL33" s="529"/>
      <c r="CM33" s="529"/>
    </row>
    <row r="34">
      <c r="A34" s="300"/>
      <c r="B34" s="529"/>
      <c r="C34" s="553"/>
      <c r="D34" s="553"/>
      <c r="E34" s="553"/>
      <c r="F34" s="553"/>
      <c r="G34" s="553"/>
      <c r="H34" s="553"/>
      <c r="I34" s="529"/>
      <c r="J34" s="529"/>
      <c r="K34" s="529"/>
      <c r="L34" s="529"/>
      <c r="M34" s="529"/>
      <c r="N34" s="529"/>
      <c r="O34" s="529"/>
      <c r="P34" s="529"/>
      <c r="Q34" s="529"/>
      <c r="R34" s="529"/>
      <c r="S34" s="529"/>
      <c r="T34" s="553"/>
      <c r="U34" s="529"/>
      <c r="V34" s="529"/>
      <c r="W34" s="529"/>
      <c r="X34" s="529"/>
      <c r="Y34" s="529"/>
      <c r="Z34" s="529"/>
      <c r="AA34" s="529"/>
      <c r="AB34" s="529"/>
      <c r="AC34" s="529"/>
      <c r="AD34" s="529"/>
      <c r="AE34" s="529"/>
      <c r="AF34" s="529"/>
      <c r="AG34" s="529"/>
      <c r="AH34" s="529"/>
      <c r="AI34" s="529"/>
      <c r="AJ34" s="529"/>
      <c r="AK34" s="529"/>
      <c r="AL34" s="529"/>
      <c r="AM34" s="529"/>
      <c r="AN34" s="529"/>
      <c r="AO34" s="529"/>
      <c r="AP34" s="529"/>
      <c r="AQ34" s="529"/>
      <c r="AR34" s="529"/>
      <c r="AS34" s="529"/>
      <c r="AT34" s="529"/>
      <c r="AU34" s="529"/>
      <c r="AV34" s="529"/>
      <c r="AW34" s="529"/>
      <c r="AX34" s="529"/>
      <c r="AY34" s="529"/>
      <c r="AZ34" s="529"/>
      <c r="BA34" s="529"/>
      <c r="BB34" s="529"/>
      <c r="BC34" s="529"/>
      <c r="BD34" s="529"/>
      <c r="BE34" s="529"/>
      <c r="BF34" s="529"/>
      <c r="BG34" s="529"/>
      <c r="BH34" s="529"/>
      <c r="BI34" s="529"/>
      <c r="BJ34" s="529"/>
      <c r="BK34" s="529"/>
      <c r="BL34" s="529"/>
      <c r="BM34" s="529"/>
      <c r="BN34" s="529"/>
      <c r="BO34" s="529"/>
      <c r="BP34" s="529"/>
      <c r="BQ34" s="529"/>
      <c r="BR34" s="529"/>
      <c r="BS34" s="529"/>
      <c r="BT34" s="529"/>
      <c r="BU34" s="529"/>
      <c r="BV34" s="529"/>
      <c r="BW34" s="529"/>
      <c r="BX34" s="529"/>
      <c r="BY34" s="529"/>
      <c r="BZ34" s="529"/>
      <c r="CA34" s="529"/>
      <c r="CB34" s="529"/>
      <c r="CC34" s="529"/>
      <c r="CD34" s="529"/>
      <c r="CE34" s="529"/>
      <c r="CF34" s="529"/>
      <c r="CG34" s="529"/>
      <c r="CH34" s="529"/>
      <c r="CI34" s="529"/>
      <c r="CJ34" s="529"/>
      <c r="CK34" s="529"/>
      <c r="CL34" s="529"/>
      <c r="CM34" s="529"/>
    </row>
  </sheetData>
  <autoFilter ref="$H$1:$K$34"/>
  <mergeCells count="24">
    <mergeCell ref="C7:C8"/>
    <mergeCell ref="D7:D8"/>
    <mergeCell ref="E7:E8"/>
    <mergeCell ref="F7:F8"/>
    <mergeCell ref="G7:G8"/>
    <mergeCell ref="H7:K7"/>
    <mergeCell ref="L7:O7"/>
    <mergeCell ref="P7:S7"/>
    <mergeCell ref="T7:W7"/>
    <mergeCell ref="A9:G9"/>
    <mergeCell ref="A12:G12"/>
    <mergeCell ref="C13:G13"/>
    <mergeCell ref="C15:G15"/>
    <mergeCell ref="C17:G17"/>
    <mergeCell ref="C20:G20"/>
    <mergeCell ref="C22:G22"/>
    <mergeCell ref="B26:G26"/>
    <mergeCell ref="C2:F2"/>
    <mergeCell ref="B3:C3"/>
    <mergeCell ref="D3:E3"/>
    <mergeCell ref="B4:C4"/>
    <mergeCell ref="D4:E4"/>
    <mergeCell ref="A7:A8"/>
    <mergeCell ref="B7:B8"/>
  </mergeCells>
  <conditionalFormatting sqref="H9:H34 L9:L34 P9:P34 T9:T34 X11:X34 AB11:AB34 AF11:AF34 AJ11:AJ34 AN11:AN34 AR11:AR34 AV11:AV34 AZ11:AZ34">
    <cfRule type="cellIs" dxfId="0" priority="1" operator="equal">
      <formula>"Block"</formula>
    </cfRule>
  </conditionalFormatting>
  <conditionalFormatting sqref="H9:H34 L9:L34 P9:P34 T9:T34 X11:X34 AB11:AB34 AF11:AF34 AJ11:AJ34 AN11:AN34 AR11:AR34 AV11:AV34 AZ11:AZ34">
    <cfRule type="cellIs" dxfId="1" priority="2" operator="equal">
      <formula>"Fail"</formula>
    </cfRule>
  </conditionalFormatting>
  <conditionalFormatting sqref="H9:H34 L9:L34 P9:P34 T9:T34 X11:X34 AB11:AB34 AF11:AF34 AJ11:AJ34 AN11:AN34 AR11:AR34 AV11:AV34 AZ11:AZ34">
    <cfRule type="cellIs" dxfId="2" priority="3" operator="equal">
      <formula>"Pass"</formula>
    </cfRule>
  </conditionalFormatting>
  <conditionalFormatting sqref="H9:H34 L9:L34 P9:P34 T9:T34 X11:X34 AB11:AB34 AF11:AF34 AJ11:AJ34 AN11:AN34 AR11:AR34 AV11:AV34 AZ11:AZ34">
    <cfRule type="cellIs" dxfId="3" priority="4" operator="equal">
      <formula>"N/A"</formula>
    </cfRule>
  </conditionalFormatting>
  <conditionalFormatting sqref="H9:H34 L9:L34 P9:P34 T9:T34">
    <cfRule type="cellIs" dxfId="4" priority="5" operator="equal">
      <formula>"Block"</formula>
    </cfRule>
  </conditionalFormatting>
  <conditionalFormatting sqref="H9:H34 L9:L34 P9:P34 T9:T34">
    <cfRule type="cellIs" dxfId="5" priority="6" operator="equal">
      <formula>"Fail"</formula>
    </cfRule>
  </conditionalFormatting>
  <conditionalFormatting sqref="H9:H34 L9:L34 P9:P34 T9:T34">
    <cfRule type="cellIs" dxfId="6" priority="7" operator="equal">
      <formula>"Pass"</formula>
    </cfRule>
  </conditionalFormatting>
  <conditionalFormatting sqref="H9:H34 L9:L34 P9:P34 T9:T34">
    <cfRule type="cellIs" dxfId="7" priority="8" operator="equal">
      <formula>"N/A"</formula>
    </cfRule>
  </conditionalFormatting>
  <conditionalFormatting sqref="H9:H34 L9:L34 P9:P34 T9:T34">
    <cfRule type="cellIs" dxfId="0" priority="9" operator="equal">
      <formula>"Block"</formula>
    </cfRule>
  </conditionalFormatting>
  <conditionalFormatting sqref="H9:H34 L9:L34 P9:P34 T9:T34">
    <cfRule type="cellIs" dxfId="1" priority="10" operator="equal">
      <formula>"Fail"</formula>
    </cfRule>
  </conditionalFormatting>
  <conditionalFormatting sqref="H9:H34 L9:L34 P9:P34 T9:T34">
    <cfRule type="cellIs" dxfId="2" priority="11" operator="equal">
      <formula>"Pass"</formula>
    </cfRule>
  </conditionalFormatting>
  <conditionalFormatting sqref="H9:H34 L9:L34 P9:P34 T9:T34">
    <cfRule type="cellIs" dxfId="3" priority="12" operator="equal">
      <formula>"N/A"</formula>
    </cfRule>
  </conditionalFormatting>
  <dataValidations>
    <dataValidation type="list" allowBlank="1" showErrorMessage="1" sqref="X14 AB14 AF14 AJ14 AN14 X16 AB16 AF16 AJ16 AN16 AR16 AV16 AZ16 X22 AB22 AF22 AJ22 AN22 X25:X28 AB25:AB28 AF25:AF28 AJ25:AJ28 AN25:AN28 AR25:AR28 AV25:AV28 AZ25:AZ28 H9:H34 L9:L34 P9:P34 T9:T34">
      <formula1>"Pass,Fail,Block,N/A"</formula1>
    </dataValidation>
    <dataValidation type="list" allowBlank="1" showErrorMessage="1" sqref="A10:A11 A14:A30 A32:A34">
      <formula1>"QC,AI"</formula1>
    </dataValidation>
    <dataValidation type="list" allowBlank="1" showErrorMessage="1" sqref="C10:C11 C13:C14 C16 C21:C25 C27:C34">
      <formula1>"High,Medium,Low"</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17.63"/>
    <col customWidth="1" min="5" max="5" width="40.38"/>
    <col customWidth="1" min="6" max="6" width="53.38"/>
    <col customWidth="1" min="7" max="7" width="12.0"/>
    <col customWidth="1" min="8" max="8" width="33.88"/>
    <col customWidth="1" min="9" max="9" width="13.5"/>
    <col customWidth="1" min="10" max="10" width="14.88"/>
    <col customWidth="1" min="11" max="90" width="8.38"/>
  </cols>
  <sheetData>
    <row r="1" hidden="1" outlineLevel="1">
      <c r="A1" s="233"/>
      <c r="B1" s="234"/>
      <c r="C1" s="235"/>
      <c r="D1" s="235"/>
      <c r="E1" s="236"/>
      <c r="F1" s="237"/>
      <c r="G1" s="238"/>
      <c r="H1" s="239"/>
      <c r="I1" s="240"/>
      <c r="J1" s="241"/>
      <c r="K1" s="457"/>
      <c r="L1" s="239"/>
      <c r="M1" s="239"/>
      <c r="N1" s="456"/>
      <c r="O1" s="457"/>
      <c r="P1" s="239"/>
      <c r="Q1" s="239"/>
      <c r="R1" s="456"/>
      <c r="S1" s="457"/>
      <c r="T1" s="239"/>
      <c r="U1" s="239"/>
      <c r="V1" s="456"/>
      <c r="W1" s="456"/>
      <c r="X1" s="456"/>
      <c r="Y1" s="456"/>
      <c r="Z1" s="456"/>
      <c r="AA1" s="456"/>
      <c r="AB1" s="456"/>
      <c r="AC1" s="456"/>
      <c r="AD1" s="456"/>
      <c r="AE1" s="456"/>
      <c r="AF1" s="456"/>
      <c r="AG1" s="456"/>
      <c r="AH1" s="456"/>
      <c r="AI1" s="456"/>
      <c r="AJ1" s="456"/>
      <c r="AK1" s="456"/>
      <c r="AL1" s="456"/>
      <c r="AM1" s="456"/>
      <c r="AN1" s="456"/>
      <c r="AO1" s="456"/>
      <c r="AP1" s="456"/>
      <c r="AQ1" s="456"/>
      <c r="AR1" s="456"/>
      <c r="AS1" s="456"/>
      <c r="AT1" s="456"/>
      <c r="AU1" s="456"/>
      <c r="AV1" s="456"/>
      <c r="AW1" s="456"/>
      <c r="AX1" s="456"/>
      <c r="AY1" s="456"/>
      <c r="AZ1" s="456"/>
      <c r="BA1" s="456"/>
      <c r="BB1" s="456"/>
      <c r="BC1" s="456"/>
      <c r="BD1" s="456"/>
      <c r="BE1" s="456"/>
      <c r="BF1" s="456"/>
      <c r="BG1" s="456"/>
      <c r="BH1" s="456"/>
      <c r="BI1" s="456"/>
      <c r="BJ1" s="456"/>
      <c r="BK1" s="456"/>
      <c r="BL1" s="456"/>
      <c r="BM1" s="456"/>
      <c r="BN1" s="456"/>
      <c r="BO1" s="456"/>
      <c r="BP1" s="456"/>
      <c r="BQ1" s="456"/>
      <c r="BR1" s="456"/>
      <c r="BS1" s="456"/>
      <c r="BT1" s="456"/>
      <c r="BU1" s="456"/>
      <c r="BV1" s="456"/>
      <c r="BW1" s="456"/>
      <c r="BX1" s="456"/>
      <c r="BY1" s="456"/>
      <c r="BZ1" s="456"/>
      <c r="CA1" s="456"/>
      <c r="CB1" s="456"/>
      <c r="CC1" s="456"/>
      <c r="CD1" s="456"/>
      <c r="CE1" s="456"/>
      <c r="CF1" s="456"/>
      <c r="CG1" s="456"/>
      <c r="CH1" s="456"/>
      <c r="CI1" s="456"/>
      <c r="CJ1" s="456"/>
      <c r="CK1" s="456"/>
      <c r="CL1" s="456"/>
    </row>
    <row r="2" hidden="1" outlineLevel="1">
      <c r="A2" s="242"/>
      <c r="B2" s="243"/>
      <c r="C2" s="182"/>
      <c r="D2" s="182"/>
      <c r="E2" s="182"/>
      <c r="F2" s="244"/>
      <c r="G2" s="238"/>
      <c r="H2" s="239"/>
      <c r="I2" s="240"/>
      <c r="J2" s="241"/>
      <c r="K2" s="457"/>
      <c r="L2" s="239"/>
      <c r="M2" s="239"/>
      <c r="N2" s="456"/>
      <c r="O2" s="457"/>
      <c r="P2" s="239"/>
      <c r="Q2" s="239"/>
      <c r="R2" s="456"/>
      <c r="S2" s="457"/>
      <c r="T2" s="239"/>
      <c r="U2" s="239"/>
      <c r="V2" s="456"/>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c r="CG2" s="456"/>
      <c r="CH2" s="456"/>
      <c r="CI2" s="456"/>
      <c r="CJ2" s="456"/>
      <c r="CK2" s="456"/>
      <c r="CL2" s="456"/>
    </row>
    <row r="3" hidden="1" outlineLevel="1">
      <c r="A3" s="246" t="s">
        <v>122</v>
      </c>
      <c r="B3" s="122"/>
      <c r="C3" s="247" t="s">
        <v>119</v>
      </c>
      <c r="D3" s="122"/>
      <c r="E3" s="248"/>
      <c r="F3" s="249"/>
      <c r="G3" s="238"/>
      <c r="H3" s="239"/>
      <c r="I3" s="240"/>
      <c r="J3" s="248"/>
      <c r="K3" s="457"/>
      <c r="L3" s="239"/>
      <c r="M3" s="239"/>
      <c r="N3" s="458"/>
      <c r="O3" s="457"/>
      <c r="P3" s="239"/>
      <c r="Q3" s="239"/>
      <c r="R3" s="458"/>
      <c r="S3" s="457"/>
      <c r="T3" s="239"/>
      <c r="U3" s="239"/>
      <c r="V3" s="458"/>
      <c r="W3" s="458"/>
      <c r="X3" s="458"/>
      <c r="Y3" s="458"/>
      <c r="Z3" s="458"/>
      <c r="AA3" s="458"/>
      <c r="AB3" s="458"/>
      <c r="AC3" s="458"/>
      <c r="AD3" s="458"/>
      <c r="AE3" s="458"/>
      <c r="AF3" s="458"/>
      <c r="AG3" s="458"/>
      <c r="AH3" s="458"/>
      <c r="AI3" s="458"/>
      <c r="AJ3" s="458"/>
      <c r="AK3" s="458"/>
      <c r="AL3" s="458"/>
      <c r="AM3" s="458"/>
      <c r="AN3" s="458"/>
      <c r="AO3" s="458"/>
      <c r="AP3" s="458"/>
      <c r="AQ3" s="458"/>
      <c r="AR3" s="458"/>
      <c r="AS3" s="458"/>
      <c r="AT3" s="458"/>
      <c r="AU3" s="458"/>
      <c r="AV3" s="458"/>
      <c r="AW3" s="458"/>
      <c r="AX3" s="458"/>
      <c r="AY3" s="458"/>
      <c r="AZ3" s="458"/>
      <c r="BA3" s="458"/>
      <c r="BB3" s="458"/>
      <c r="BC3" s="458"/>
      <c r="BD3" s="458"/>
      <c r="BE3" s="458"/>
      <c r="BF3" s="458"/>
      <c r="BG3" s="458"/>
      <c r="BH3" s="458"/>
      <c r="BI3" s="458"/>
      <c r="BJ3" s="458"/>
      <c r="BK3" s="458"/>
      <c r="BL3" s="458"/>
      <c r="BM3" s="458"/>
      <c r="BN3" s="458"/>
      <c r="BO3" s="458"/>
      <c r="BP3" s="458"/>
      <c r="BQ3" s="458"/>
      <c r="BR3" s="458"/>
      <c r="BS3" s="458"/>
      <c r="BT3" s="458"/>
      <c r="BU3" s="458"/>
      <c r="BV3" s="458"/>
      <c r="BW3" s="458"/>
      <c r="BX3" s="458"/>
      <c r="BY3" s="458"/>
      <c r="BZ3" s="458"/>
      <c r="CA3" s="458"/>
      <c r="CB3" s="458"/>
      <c r="CC3" s="458"/>
      <c r="CD3" s="458"/>
      <c r="CE3" s="458"/>
      <c r="CF3" s="458"/>
      <c r="CG3" s="458"/>
      <c r="CH3" s="458"/>
      <c r="CI3" s="458"/>
      <c r="CJ3" s="458"/>
      <c r="CK3" s="458"/>
      <c r="CL3" s="458"/>
    </row>
    <row r="4" hidden="1" outlineLevel="1">
      <c r="A4" s="246" t="s">
        <v>123</v>
      </c>
      <c r="B4" s="122"/>
      <c r="C4" s="250" t="s">
        <v>32</v>
      </c>
      <c r="D4" s="122"/>
      <c r="E4" s="248"/>
      <c r="F4" s="249"/>
      <c r="G4" s="238"/>
      <c r="H4" s="239"/>
      <c r="I4" s="240"/>
      <c r="J4" s="248"/>
      <c r="K4" s="457"/>
      <c r="L4" s="239"/>
      <c r="M4" s="239"/>
      <c r="N4" s="458"/>
      <c r="O4" s="457"/>
      <c r="P4" s="239"/>
      <c r="Q4" s="239"/>
      <c r="R4" s="458"/>
      <c r="S4" s="457"/>
      <c r="T4" s="239"/>
      <c r="U4" s="239"/>
      <c r="V4" s="458"/>
      <c r="W4" s="458"/>
      <c r="X4" s="458"/>
      <c r="Y4" s="458"/>
      <c r="Z4" s="458"/>
      <c r="AA4" s="458"/>
      <c r="AB4" s="458"/>
      <c r="AC4" s="458"/>
      <c r="AD4" s="458"/>
      <c r="AE4" s="458"/>
      <c r="AF4" s="458"/>
      <c r="AG4" s="458"/>
      <c r="AH4" s="458"/>
      <c r="AI4" s="458"/>
      <c r="AJ4" s="458"/>
      <c r="AK4" s="458"/>
      <c r="AL4" s="458"/>
      <c r="AM4" s="458"/>
      <c r="AN4" s="458"/>
      <c r="AO4" s="458"/>
      <c r="AP4" s="458"/>
      <c r="AQ4" s="458"/>
      <c r="AR4" s="458"/>
      <c r="AS4" s="458"/>
      <c r="AT4" s="458"/>
      <c r="AU4" s="458"/>
      <c r="AV4" s="458"/>
      <c r="AW4" s="458"/>
      <c r="AX4" s="458"/>
      <c r="AY4" s="458"/>
      <c r="AZ4" s="458"/>
      <c r="BA4" s="458"/>
      <c r="BB4" s="458"/>
      <c r="BC4" s="458"/>
      <c r="BD4" s="458"/>
      <c r="BE4" s="458"/>
      <c r="BF4" s="458"/>
      <c r="BG4" s="458"/>
      <c r="BH4" s="458"/>
      <c r="BI4" s="458"/>
      <c r="BJ4" s="458"/>
      <c r="BK4" s="458"/>
      <c r="BL4" s="458"/>
      <c r="BM4" s="458"/>
      <c r="BN4" s="458"/>
      <c r="BO4" s="458"/>
      <c r="BP4" s="458"/>
      <c r="BQ4" s="458"/>
      <c r="BR4" s="458"/>
      <c r="BS4" s="458"/>
      <c r="BT4" s="458"/>
      <c r="BU4" s="458"/>
      <c r="BV4" s="458"/>
      <c r="BW4" s="458"/>
      <c r="BX4" s="458"/>
      <c r="BY4" s="458"/>
      <c r="BZ4" s="458"/>
      <c r="CA4" s="458"/>
      <c r="CB4" s="458"/>
      <c r="CC4" s="458"/>
      <c r="CD4" s="458"/>
      <c r="CE4" s="458"/>
      <c r="CF4" s="458"/>
      <c r="CG4" s="458"/>
      <c r="CH4" s="458"/>
      <c r="CI4" s="458"/>
      <c r="CJ4" s="458"/>
      <c r="CK4" s="458"/>
      <c r="CL4" s="458"/>
    </row>
    <row r="5" hidden="1" outlineLevel="1">
      <c r="A5" s="251"/>
      <c r="B5" s="251"/>
      <c r="C5" s="251"/>
      <c r="D5" s="251"/>
      <c r="E5" s="252"/>
      <c r="F5" s="253"/>
      <c r="G5" s="238"/>
      <c r="H5" s="239"/>
      <c r="I5" s="240"/>
      <c r="J5" s="241"/>
      <c r="K5" s="457"/>
      <c r="L5" s="239"/>
      <c r="M5" s="239"/>
      <c r="N5" s="456"/>
      <c r="O5" s="457"/>
      <c r="P5" s="239"/>
      <c r="Q5" s="239"/>
      <c r="R5" s="456"/>
      <c r="S5" s="457"/>
      <c r="T5" s="239"/>
      <c r="U5" s="239"/>
      <c r="V5" s="456"/>
      <c r="W5" s="456"/>
      <c r="X5" s="456"/>
      <c r="Y5" s="456"/>
      <c r="Z5" s="456"/>
      <c r="AA5" s="456"/>
      <c r="AB5" s="456"/>
      <c r="AC5" s="456"/>
      <c r="AD5" s="456"/>
      <c r="AE5" s="456"/>
      <c r="AF5" s="456"/>
      <c r="AG5" s="456"/>
      <c r="AH5" s="456"/>
      <c r="AI5" s="456"/>
      <c r="AJ5" s="456"/>
      <c r="AK5" s="456"/>
      <c r="AL5" s="456"/>
      <c r="AM5" s="456"/>
      <c r="AN5" s="456"/>
      <c r="AO5" s="456"/>
      <c r="AP5" s="456"/>
      <c r="AQ5" s="456"/>
      <c r="AR5" s="456"/>
      <c r="AS5" s="456"/>
      <c r="AT5" s="456"/>
      <c r="AU5" s="456"/>
      <c r="AV5" s="456"/>
      <c r="AW5" s="456"/>
      <c r="AX5" s="456"/>
      <c r="AY5" s="456"/>
      <c r="AZ5" s="456"/>
      <c r="BA5" s="456"/>
      <c r="BB5" s="456"/>
      <c r="BC5" s="456"/>
      <c r="BD5" s="456"/>
      <c r="BE5" s="456"/>
      <c r="BF5" s="456"/>
      <c r="BG5" s="456"/>
      <c r="BH5" s="456"/>
      <c r="BI5" s="456"/>
      <c r="BJ5" s="456"/>
      <c r="BK5" s="456"/>
      <c r="BL5" s="456"/>
      <c r="BM5" s="456"/>
      <c r="BN5" s="456"/>
      <c r="BO5" s="456"/>
      <c r="BP5" s="456"/>
      <c r="BQ5" s="456"/>
      <c r="BR5" s="456"/>
      <c r="BS5" s="456"/>
      <c r="BT5" s="456"/>
      <c r="BU5" s="456"/>
      <c r="BV5" s="456"/>
      <c r="BW5" s="456"/>
      <c r="BX5" s="456"/>
      <c r="BY5" s="456"/>
      <c r="BZ5" s="456"/>
      <c r="CA5" s="456"/>
      <c r="CB5" s="456"/>
      <c r="CC5" s="456"/>
      <c r="CD5" s="456"/>
      <c r="CE5" s="456"/>
      <c r="CF5" s="456"/>
      <c r="CG5" s="456"/>
      <c r="CH5" s="456"/>
      <c r="CI5" s="456"/>
      <c r="CJ5" s="456"/>
      <c r="CK5" s="456"/>
      <c r="CL5" s="456"/>
    </row>
    <row r="6" hidden="1" outlineLevel="1">
      <c r="A6" s="254"/>
      <c r="B6" s="254"/>
      <c r="C6" s="254"/>
      <c r="D6" s="254"/>
      <c r="E6" s="255"/>
      <c r="F6" s="253"/>
      <c r="G6" s="238"/>
      <c r="H6" s="239"/>
      <c r="I6" s="240"/>
      <c r="J6" s="241"/>
      <c r="K6" s="457"/>
      <c r="L6" s="239"/>
      <c r="M6" s="239"/>
      <c r="N6" s="456"/>
      <c r="O6" s="457"/>
      <c r="P6" s="239"/>
      <c r="Q6" s="239"/>
      <c r="R6" s="456"/>
      <c r="S6" s="457"/>
      <c r="T6" s="239"/>
      <c r="U6" s="239"/>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row>
    <row r="7">
      <c r="A7" s="146" t="s">
        <v>126</v>
      </c>
      <c r="B7" s="146" t="s">
        <v>127</v>
      </c>
      <c r="C7" s="146" t="s">
        <v>128</v>
      </c>
      <c r="D7" s="146" t="s">
        <v>129</v>
      </c>
      <c r="E7" s="146" t="s">
        <v>130</v>
      </c>
      <c r="F7" s="311" t="s">
        <v>131</v>
      </c>
      <c r="G7" s="312" t="str">
        <f>Summary!G8</f>
        <v>Round 1 (09/04/2026 - 15/04/2026)</v>
      </c>
      <c r="H7" s="313"/>
      <c r="I7" s="313"/>
      <c r="J7" s="314"/>
      <c r="K7" s="312" t="str">
        <f>Summary!L8</f>
        <v>Round 2 (dd/mm/yyyy - dd/mm/yyyy)</v>
      </c>
      <c r="L7" s="313"/>
      <c r="M7" s="313"/>
      <c r="N7" s="314"/>
      <c r="O7" s="315" t="str">
        <f>Summary!Q8</f>
        <v>Round 3(dd/mm/yyyy - dd/mm/yyyy)</v>
      </c>
      <c r="P7" s="148"/>
      <c r="Q7" s="148"/>
      <c r="R7" s="171"/>
      <c r="S7" s="315" t="str">
        <f>Summary!V8</f>
        <v>Round 4 (dd/mm/yyyy - dd/mm/yyyy)</v>
      </c>
      <c r="T7" s="148"/>
      <c r="U7" s="148"/>
      <c r="V7" s="171"/>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c r="BO7" s="316"/>
      <c r="BP7" s="316"/>
      <c r="BQ7" s="316"/>
      <c r="BR7" s="316"/>
      <c r="BS7" s="316"/>
      <c r="BT7" s="316"/>
      <c r="BU7" s="316"/>
      <c r="BV7" s="316"/>
      <c r="BW7" s="316"/>
      <c r="BX7" s="316"/>
      <c r="BY7" s="316"/>
      <c r="BZ7" s="316"/>
      <c r="CA7" s="316"/>
      <c r="CB7" s="316"/>
      <c r="CC7" s="316"/>
      <c r="CD7" s="316"/>
      <c r="CE7" s="316"/>
      <c r="CF7" s="316"/>
      <c r="CG7" s="316"/>
      <c r="CH7" s="316"/>
      <c r="CI7" s="316"/>
      <c r="CJ7" s="316"/>
      <c r="CK7" s="316"/>
      <c r="CL7" s="316"/>
    </row>
    <row r="8">
      <c r="A8" s="56"/>
      <c r="B8" s="56"/>
      <c r="C8" s="56"/>
      <c r="D8" s="56"/>
      <c r="E8" s="56"/>
      <c r="F8" s="56"/>
      <c r="G8" s="317" t="s">
        <v>132</v>
      </c>
      <c r="H8" s="317" t="s">
        <v>133</v>
      </c>
      <c r="I8" s="317" t="s">
        <v>134</v>
      </c>
      <c r="J8" s="317" t="s">
        <v>135</v>
      </c>
      <c r="K8" s="317" t="s">
        <v>132</v>
      </c>
      <c r="L8" s="317" t="s">
        <v>133</v>
      </c>
      <c r="M8" s="317" t="s">
        <v>134</v>
      </c>
      <c r="N8" s="317" t="s">
        <v>135</v>
      </c>
      <c r="O8" s="317" t="s">
        <v>132</v>
      </c>
      <c r="P8" s="317" t="s">
        <v>133</v>
      </c>
      <c r="Q8" s="317" t="s">
        <v>134</v>
      </c>
      <c r="R8" s="317" t="s">
        <v>135</v>
      </c>
      <c r="S8" s="317" t="s">
        <v>132</v>
      </c>
      <c r="T8" s="317" t="s">
        <v>133</v>
      </c>
      <c r="U8" s="317" t="s">
        <v>134</v>
      </c>
      <c r="V8" s="317" t="s">
        <v>135</v>
      </c>
      <c r="W8" s="316"/>
      <c r="X8" s="316"/>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6"/>
      <c r="BK8" s="316"/>
      <c r="BL8" s="316"/>
      <c r="BM8" s="316"/>
      <c r="BN8" s="316"/>
      <c r="BO8" s="316"/>
      <c r="BP8" s="316"/>
      <c r="BQ8" s="316"/>
      <c r="BR8" s="316"/>
      <c r="BS8" s="316"/>
      <c r="BT8" s="316"/>
      <c r="BU8" s="316"/>
      <c r="BV8" s="316"/>
      <c r="BW8" s="316"/>
      <c r="BX8" s="316"/>
      <c r="BY8" s="316"/>
      <c r="BZ8" s="316"/>
      <c r="CA8" s="316"/>
      <c r="CB8" s="316"/>
      <c r="CC8" s="316"/>
      <c r="CD8" s="316"/>
      <c r="CE8" s="316"/>
      <c r="CF8" s="316"/>
      <c r="CG8" s="316"/>
      <c r="CH8" s="316"/>
      <c r="CI8" s="316"/>
      <c r="CJ8" s="316"/>
      <c r="CK8" s="316"/>
      <c r="CL8" s="316"/>
    </row>
    <row r="9">
      <c r="A9" s="555" t="s">
        <v>2144</v>
      </c>
      <c r="B9" s="148"/>
      <c r="C9" s="148"/>
      <c r="D9" s="148"/>
      <c r="E9" s="148"/>
      <c r="F9" s="171"/>
      <c r="G9" s="263"/>
      <c r="H9" s="266"/>
      <c r="I9" s="266"/>
      <c r="J9" s="266"/>
      <c r="K9" s="266"/>
      <c r="L9" s="266"/>
      <c r="M9" s="266"/>
      <c r="N9" s="266"/>
      <c r="O9" s="266"/>
      <c r="P9" s="266"/>
      <c r="Q9" s="266"/>
      <c r="R9" s="266"/>
      <c r="S9" s="263"/>
      <c r="T9" s="266"/>
      <c r="U9" s="266"/>
      <c r="V9" s="266"/>
      <c r="W9" s="266"/>
      <c r="X9" s="266"/>
      <c r="Y9" s="266"/>
      <c r="Z9" s="266"/>
      <c r="AA9" s="556"/>
      <c r="AB9" s="556"/>
      <c r="AC9" s="556"/>
      <c r="AD9" s="556"/>
      <c r="AE9" s="556"/>
      <c r="AF9" s="556"/>
      <c r="AG9" s="556"/>
      <c r="AH9" s="556"/>
      <c r="AI9" s="556"/>
      <c r="AJ9" s="556"/>
      <c r="AK9" s="556"/>
      <c r="AL9" s="556"/>
      <c r="AM9" s="556"/>
      <c r="AN9" s="556"/>
      <c r="AO9" s="556"/>
      <c r="AP9" s="556"/>
      <c r="AQ9" s="355"/>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row>
    <row r="10" outlineLevel="1">
      <c r="A10" s="158" t="str">
        <f t="shared" ref="A10:A14" si="1">IF(E10="","",$C$3&amp;"."&amp;COUNTA($E$8:E10)&amp;"")</f>
        <v>TC_06.1</v>
      </c>
      <c r="B10" s="557" t="s">
        <v>75</v>
      </c>
      <c r="C10" s="558" t="s">
        <v>2145</v>
      </c>
      <c r="D10" s="559" t="s">
        <v>2146</v>
      </c>
      <c r="E10" s="559" t="s">
        <v>2147</v>
      </c>
      <c r="F10" s="559" t="s">
        <v>2148</v>
      </c>
      <c r="G10" s="560"/>
      <c r="H10" s="265"/>
      <c r="I10" s="273"/>
      <c r="J10" s="273"/>
      <c r="K10" s="273"/>
      <c r="L10" s="273"/>
      <c r="M10" s="273"/>
      <c r="N10" s="273"/>
      <c r="O10" s="273"/>
      <c r="P10" s="273"/>
      <c r="Q10" s="273"/>
      <c r="R10" s="273"/>
      <c r="S10" s="265"/>
      <c r="T10" s="273"/>
      <c r="U10" s="273"/>
      <c r="V10" s="273"/>
      <c r="W10" s="273"/>
      <c r="X10" s="273"/>
      <c r="Y10" s="273"/>
      <c r="Z10" s="273"/>
      <c r="AA10" s="556"/>
      <c r="AB10" s="556"/>
      <c r="AC10" s="556"/>
      <c r="AD10" s="556"/>
      <c r="AE10" s="556"/>
      <c r="AF10" s="556"/>
      <c r="AG10" s="556"/>
      <c r="AH10" s="556"/>
      <c r="AI10" s="556"/>
      <c r="AJ10" s="556"/>
      <c r="AK10" s="556"/>
      <c r="AL10" s="556"/>
      <c r="AM10" s="556"/>
      <c r="AN10" s="556"/>
      <c r="AO10" s="556"/>
      <c r="AP10" s="556"/>
      <c r="AQ10" s="355"/>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row>
    <row r="11" outlineLevel="1">
      <c r="A11" s="158" t="str">
        <f t="shared" si="1"/>
        <v>TC_06.2</v>
      </c>
      <c r="B11" s="557" t="s">
        <v>73</v>
      </c>
      <c r="C11" s="558" t="s">
        <v>2149</v>
      </c>
      <c r="D11" s="559" t="s">
        <v>2150</v>
      </c>
      <c r="E11" s="558" t="s">
        <v>2151</v>
      </c>
      <c r="F11" s="558" t="s">
        <v>2152</v>
      </c>
      <c r="G11" s="560"/>
      <c r="H11" s="265"/>
      <c r="I11" s="273"/>
      <c r="J11" s="273"/>
      <c r="K11" s="273"/>
      <c r="L11" s="273"/>
      <c r="M11" s="273"/>
      <c r="N11" s="273"/>
      <c r="O11" s="273"/>
      <c r="P11" s="273"/>
      <c r="Q11" s="273"/>
      <c r="R11" s="273"/>
      <c r="S11" s="265"/>
      <c r="T11" s="273"/>
      <c r="U11" s="273"/>
      <c r="V11" s="273"/>
      <c r="W11" s="273"/>
      <c r="X11" s="273"/>
      <c r="Y11" s="273"/>
      <c r="Z11" s="273"/>
      <c r="AA11" s="556"/>
      <c r="AB11" s="556"/>
      <c r="AC11" s="556"/>
      <c r="AD11" s="556"/>
      <c r="AE11" s="556"/>
      <c r="AF11" s="556"/>
      <c r="AG11" s="556"/>
      <c r="AH11" s="556"/>
      <c r="AI11" s="556"/>
      <c r="AJ11" s="556"/>
      <c r="AK11" s="556"/>
      <c r="AL11" s="556"/>
      <c r="AM11" s="556"/>
      <c r="AN11" s="556"/>
      <c r="AO11" s="556"/>
      <c r="AP11" s="556"/>
      <c r="AQ11" s="355"/>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row>
    <row r="12" outlineLevel="1">
      <c r="A12" s="158" t="str">
        <f t="shared" si="1"/>
        <v>TC_06.3</v>
      </c>
      <c r="B12" s="557" t="s">
        <v>75</v>
      </c>
      <c r="C12" s="558" t="s">
        <v>2153</v>
      </c>
      <c r="D12" s="558" t="s">
        <v>2154</v>
      </c>
      <c r="E12" s="559" t="s">
        <v>2155</v>
      </c>
      <c r="F12" s="561" t="s">
        <v>2156</v>
      </c>
      <c r="G12" s="560"/>
      <c r="H12" s="265"/>
      <c r="I12" s="273"/>
      <c r="J12" s="265"/>
      <c r="K12" s="273"/>
      <c r="L12" s="273"/>
      <c r="M12" s="273"/>
      <c r="N12" s="273"/>
      <c r="O12" s="273"/>
      <c r="P12" s="273"/>
      <c r="Q12" s="273"/>
      <c r="R12" s="273"/>
      <c r="S12" s="265"/>
      <c r="T12" s="273"/>
      <c r="U12" s="273"/>
      <c r="V12" s="273"/>
      <c r="W12" s="273"/>
      <c r="X12" s="273"/>
      <c r="Y12" s="273"/>
      <c r="Z12" s="273"/>
      <c r="AA12" s="332"/>
      <c r="AB12" s="332"/>
      <c r="AC12" s="332"/>
      <c r="AD12" s="332"/>
      <c r="AE12" s="332"/>
      <c r="AF12" s="332"/>
      <c r="AG12" s="332"/>
      <c r="AH12" s="332"/>
      <c r="AI12" s="332"/>
      <c r="AJ12" s="332"/>
      <c r="AK12" s="332"/>
      <c r="AL12" s="332"/>
      <c r="AM12" s="332"/>
      <c r="AN12" s="332"/>
      <c r="AO12" s="332"/>
      <c r="AP12" s="332"/>
      <c r="AQ12" s="332"/>
      <c r="AR12" s="332"/>
      <c r="AS12" s="332"/>
      <c r="AT12" s="332"/>
      <c r="AU12" s="332"/>
      <c r="AV12" s="332"/>
      <c r="AW12" s="332"/>
      <c r="AX12" s="332"/>
      <c r="AY12" s="332"/>
      <c r="AZ12" s="332"/>
      <c r="BA12" s="332"/>
      <c r="BB12" s="332"/>
      <c r="BC12" s="332"/>
      <c r="BD12" s="332"/>
      <c r="BE12" s="332"/>
      <c r="BF12" s="332"/>
      <c r="BG12" s="332"/>
      <c r="BH12" s="332"/>
      <c r="BI12" s="332"/>
      <c r="BJ12" s="332"/>
      <c r="BK12" s="332"/>
      <c r="BL12" s="332"/>
      <c r="BM12" s="332"/>
      <c r="BN12" s="332"/>
      <c r="BO12" s="332"/>
      <c r="BP12" s="332"/>
      <c r="BQ12" s="332"/>
      <c r="BR12" s="332"/>
      <c r="BS12" s="332"/>
      <c r="BT12" s="332"/>
      <c r="BU12" s="332"/>
      <c r="BV12" s="332"/>
      <c r="BW12" s="332"/>
      <c r="BX12" s="332"/>
      <c r="BY12" s="332"/>
      <c r="BZ12" s="332"/>
      <c r="CA12" s="332"/>
      <c r="CB12" s="332"/>
      <c r="CC12" s="332"/>
      <c r="CD12" s="332"/>
      <c r="CE12" s="332"/>
      <c r="CF12" s="332"/>
      <c r="CG12" s="332"/>
      <c r="CH12" s="332"/>
      <c r="CI12" s="332"/>
      <c r="CJ12" s="332"/>
      <c r="CK12" s="332"/>
      <c r="CL12" s="332"/>
    </row>
    <row r="13" outlineLevel="1">
      <c r="A13" s="158" t="str">
        <f t="shared" si="1"/>
        <v>TC_06.4</v>
      </c>
      <c r="B13" s="557" t="s">
        <v>75</v>
      </c>
      <c r="C13" s="558" t="s">
        <v>2157</v>
      </c>
      <c r="D13" s="558" t="s">
        <v>2158</v>
      </c>
      <c r="E13" s="559" t="s">
        <v>2159</v>
      </c>
      <c r="F13" s="558" t="s">
        <v>2160</v>
      </c>
      <c r="G13" s="560"/>
      <c r="H13" s="265"/>
      <c r="I13" s="273"/>
      <c r="J13" s="265"/>
      <c r="K13" s="273"/>
      <c r="L13" s="273"/>
      <c r="M13" s="273"/>
      <c r="N13" s="273"/>
      <c r="O13" s="273"/>
      <c r="P13" s="273"/>
      <c r="Q13" s="273"/>
      <c r="R13" s="273"/>
      <c r="S13" s="265"/>
      <c r="T13" s="273"/>
      <c r="U13" s="273"/>
      <c r="V13" s="273"/>
      <c r="W13" s="273"/>
      <c r="X13" s="273"/>
      <c r="Y13" s="273"/>
      <c r="Z13" s="273"/>
      <c r="AA13" s="332"/>
      <c r="AB13" s="332"/>
      <c r="AC13" s="332"/>
      <c r="AD13" s="332"/>
      <c r="AE13" s="332"/>
      <c r="AF13" s="332"/>
      <c r="AG13" s="332"/>
      <c r="AH13" s="332"/>
      <c r="AI13" s="332"/>
      <c r="AJ13" s="332"/>
      <c r="AK13" s="332"/>
      <c r="AL13" s="332"/>
      <c r="AM13" s="332"/>
      <c r="AN13" s="332"/>
      <c r="AO13" s="332"/>
      <c r="AP13" s="332"/>
      <c r="AQ13" s="332"/>
      <c r="AR13" s="332"/>
      <c r="AS13" s="332"/>
      <c r="AT13" s="332"/>
      <c r="AU13" s="332"/>
      <c r="AV13" s="332"/>
      <c r="AW13" s="332"/>
      <c r="AX13" s="332"/>
      <c r="AY13" s="332"/>
      <c r="AZ13" s="332"/>
      <c r="BA13" s="332"/>
      <c r="BB13" s="332"/>
      <c r="BC13" s="332"/>
      <c r="BD13" s="332"/>
      <c r="BE13" s="332"/>
      <c r="BF13" s="332"/>
      <c r="BG13" s="332"/>
      <c r="BH13" s="332"/>
      <c r="BI13" s="332"/>
      <c r="BJ13" s="332"/>
      <c r="BK13" s="332"/>
      <c r="BL13" s="332"/>
      <c r="BM13" s="332"/>
      <c r="BN13" s="332"/>
      <c r="BO13" s="332"/>
      <c r="BP13" s="332"/>
      <c r="BQ13" s="332"/>
      <c r="BR13" s="332"/>
      <c r="BS13" s="332"/>
      <c r="BT13" s="332"/>
      <c r="BU13" s="332"/>
      <c r="BV13" s="332"/>
      <c r="BW13" s="332"/>
      <c r="BX13" s="332"/>
      <c r="BY13" s="332"/>
      <c r="BZ13" s="332"/>
      <c r="CA13" s="332"/>
      <c r="CB13" s="332"/>
      <c r="CC13" s="332"/>
      <c r="CD13" s="332"/>
      <c r="CE13" s="332"/>
      <c r="CF13" s="332"/>
      <c r="CG13" s="332"/>
      <c r="CH13" s="332"/>
      <c r="CI13" s="332"/>
      <c r="CJ13" s="332"/>
      <c r="CK13" s="332"/>
      <c r="CL13" s="332"/>
    </row>
    <row r="14" outlineLevel="1">
      <c r="A14" s="158" t="str">
        <f t="shared" si="1"/>
        <v>TC_06.5</v>
      </c>
      <c r="B14" s="557" t="s">
        <v>75</v>
      </c>
      <c r="C14" s="558" t="s">
        <v>2161</v>
      </c>
      <c r="D14" s="558" t="s">
        <v>2162</v>
      </c>
      <c r="E14" s="558" t="s">
        <v>2163</v>
      </c>
      <c r="F14" s="558" t="s">
        <v>2164</v>
      </c>
      <c r="G14" s="560"/>
      <c r="H14" s="265"/>
      <c r="I14" s="273"/>
      <c r="J14" s="265"/>
      <c r="K14" s="273"/>
      <c r="L14" s="273"/>
      <c r="M14" s="273"/>
      <c r="N14" s="273"/>
      <c r="O14" s="273"/>
      <c r="P14" s="273"/>
      <c r="Q14" s="273"/>
      <c r="R14" s="273"/>
      <c r="S14" s="265"/>
      <c r="T14" s="273"/>
      <c r="U14" s="273"/>
      <c r="V14" s="273"/>
      <c r="W14" s="273"/>
      <c r="X14" s="273"/>
      <c r="Y14" s="273"/>
      <c r="Z14" s="273"/>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row>
    <row r="15">
      <c r="A15" s="562" t="s">
        <v>2165</v>
      </c>
      <c r="B15" s="148"/>
      <c r="C15" s="148"/>
      <c r="D15" s="148"/>
      <c r="E15" s="148"/>
      <c r="F15" s="171"/>
      <c r="G15" s="263"/>
      <c r="H15" s="263"/>
      <c r="I15" s="266"/>
      <c r="J15" s="266"/>
      <c r="K15" s="266"/>
      <c r="L15" s="266"/>
      <c r="M15" s="266"/>
      <c r="N15" s="266"/>
      <c r="O15" s="266"/>
      <c r="P15" s="266"/>
      <c r="Q15" s="266"/>
      <c r="R15" s="266"/>
      <c r="S15" s="263"/>
      <c r="T15" s="266"/>
      <c r="U15" s="266"/>
      <c r="V15" s="266"/>
      <c r="W15" s="266"/>
      <c r="X15" s="266"/>
      <c r="Y15" s="266"/>
      <c r="Z15" s="266"/>
      <c r="AA15" s="355"/>
      <c r="AB15" s="355"/>
      <c r="AC15" s="355"/>
      <c r="AD15" s="355"/>
      <c r="AE15" s="355"/>
      <c r="AF15" s="355"/>
      <c r="AG15" s="355"/>
      <c r="AH15" s="355"/>
      <c r="AI15" s="355"/>
      <c r="AJ15" s="355"/>
      <c r="AK15" s="355"/>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row>
    <row r="16" outlineLevel="1">
      <c r="A16" s="563" t="s">
        <v>2166</v>
      </c>
      <c r="B16" s="557" t="s">
        <v>75</v>
      </c>
      <c r="C16" s="558" t="s">
        <v>2167</v>
      </c>
      <c r="D16" s="564" t="s">
        <v>2168</v>
      </c>
      <c r="E16" s="559" t="s">
        <v>2169</v>
      </c>
      <c r="F16" s="558" t="s">
        <v>2170</v>
      </c>
      <c r="G16" s="263"/>
      <c r="H16" s="263"/>
      <c r="I16" s="266"/>
      <c r="J16" s="266"/>
      <c r="K16" s="266"/>
      <c r="L16" s="266"/>
      <c r="M16" s="266"/>
      <c r="N16" s="266"/>
      <c r="O16" s="266"/>
      <c r="P16" s="266"/>
      <c r="Q16" s="266"/>
      <c r="R16" s="266"/>
      <c r="S16" s="263"/>
      <c r="T16" s="266"/>
      <c r="U16" s="266"/>
      <c r="V16" s="266"/>
      <c r="W16" s="266"/>
      <c r="X16" s="266"/>
      <c r="Y16" s="266"/>
      <c r="Z16" s="266"/>
      <c r="AA16" s="355"/>
      <c r="AB16" s="355"/>
      <c r="AC16" s="355"/>
      <c r="AD16" s="355"/>
      <c r="AE16" s="355"/>
      <c r="AF16" s="355"/>
      <c r="AG16" s="355"/>
      <c r="AH16" s="355"/>
      <c r="AI16" s="355"/>
      <c r="AJ16" s="355"/>
      <c r="AK16" s="355"/>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5"/>
      <c r="BL16" s="355"/>
      <c r="BM16" s="355"/>
      <c r="BN16" s="355"/>
      <c r="BO16" s="355"/>
      <c r="BP16" s="355"/>
      <c r="BQ16" s="355"/>
      <c r="BR16" s="355"/>
      <c r="BS16" s="355"/>
      <c r="BT16" s="355"/>
      <c r="BU16" s="355"/>
      <c r="BV16" s="355"/>
      <c r="BW16" s="355"/>
      <c r="BX16" s="355"/>
      <c r="BY16" s="355"/>
      <c r="BZ16" s="355"/>
      <c r="CA16" s="355"/>
      <c r="CB16" s="355"/>
      <c r="CC16" s="355"/>
      <c r="CD16" s="355"/>
      <c r="CE16" s="355"/>
      <c r="CF16" s="355"/>
      <c r="CG16" s="355"/>
      <c r="CH16" s="355"/>
      <c r="CI16" s="355"/>
      <c r="CJ16" s="355"/>
      <c r="CK16" s="355"/>
      <c r="CL16" s="355"/>
    </row>
    <row r="17" outlineLevel="1">
      <c r="A17" s="563" t="s">
        <v>2171</v>
      </c>
      <c r="B17" s="557" t="s">
        <v>75</v>
      </c>
      <c r="C17" s="558" t="s">
        <v>2172</v>
      </c>
      <c r="D17" s="558" t="s">
        <v>2168</v>
      </c>
      <c r="E17" s="559" t="s">
        <v>2173</v>
      </c>
      <c r="F17" s="558" t="s">
        <v>2174</v>
      </c>
      <c r="G17" s="263"/>
      <c r="H17" s="263"/>
      <c r="I17" s="266"/>
      <c r="J17" s="266"/>
      <c r="K17" s="266"/>
      <c r="L17" s="266"/>
      <c r="M17" s="266"/>
      <c r="N17" s="266"/>
      <c r="O17" s="266"/>
      <c r="P17" s="266"/>
      <c r="Q17" s="266"/>
      <c r="R17" s="266"/>
      <c r="S17" s="263"/>
      <c r="T17" s="266"/>
      <c r="U17" s="266"/>
      <c r="V17" s="266"/>
      <c r="W17" s="266"/>
      <c r="X17" s="266"/>
      <c r="Y17" s="266"/>
      <c r="Z17" s="266"/>
      <c r="AA17" s="249"/>
      <c r="AB17" s="249"/>
      <c r="AC17" s="249"/>
      <c r="AD17" s="249"/>
      <c r="AE17" s="249"/>
      <c r="AF17" s="249"/>
      <c r="AG17" s="249"/>
      <c r="AH17" s="249"/>
      <c r="AI17" s="249"/>
      <c r="AJ17" s="249"/>
      <c r="AK17" s="249"/>
      <c r="AL17" s="249"/>
      <c r="AM17" s="249"/>
      <c r="AN17" s="249"/>
      <c r="AO17" s="249"/>
      <c r="AP17" s="249"/>
      <c r="AQ17" s="355"/>
      <c r="AR17" s="355"/>
      <c r="AS17" s="355"/>
      <c r="AT17" s="355"/>
      <c r="AU17" s="355"/>
      <c r="AV17" s="355"/>
      <c r="AW17" s="355"/>
      <c r="AX17" s="355"/>
      <c r="AY17" s="355"/>
      <c r="AZ17" s="355"/>
      <c r="BA17" s="355"/>
      <c r="BB17" s="355"/>
      <c r="BC17" s="355"/>
      <c r="BD17" s="355"/>
      <c r="BE17" s="355"/>
      <c r="BF17" s="355"/>
      <c r="BG17" s="355"/>
      <c r="BH17" s="355"/>
      <c r="BI17" s="355"/>
      <c r="BJ17" s="355"/>
      <c r="BK17" s="355"/>
      <c r="BL17" s="355"/>
      <c r="BM17" s="355"/>
      <c r="BN17" s="355"/>
      <c r="BO17" s="355"/>
      <c r="BP17" s="355"/>
      <c r="BQ17" s="355"/>
      <c r="BR17" s="355"/>
      <c r="BS17" s="355"/>
      <c r="BT17" s="355"/>
      <c r="BU17" s="355"/>
      <c r="BV17" s="355"/>
      <c r="BW17" s="355"/>
      <c r="BX17" s="355"/>
      <c r="BY17" s="355"/>
      <c r="BZ17" s="355"/>
      <c r="CA17" s="355"/>
      <c r="CB17" s="355"/>
      <c r="CC17" s="355"/>
      <c r="CD17" s="355"/>
      <c r="CE17" s="355"/>
      <c r="CF17" s="355"/>
      <c r="CG17" s="355"/>
      <c r="CH17" s="355"/>
      <c r="CI17" s="355"/>
      <c r="CJ17" s="355"/>
      <c r="CK17" s="355"/>
      <c r="CL17" s="355"/>
    </row>
    <row r="18" outlineLevel="1">
      <c r="A18" s="557" t="s">
        <v>2175</v>
      </c>
      <c r="B18" s="557" t="s">
        <v>73</v>
      </c>
      <c r="C18" s="558" t="s">
        <v>2176</v>
      </c>
      <c r="D18" s="558" t="s">
        <v>2177</v>
      </c>
      <c r="E18" s="559" t="s">
        <v>2178</v>
      </c>
      <c r="F18" s="558" t="s">
        <v>2179</v>
      </c>
      <c r="G18" s="263"/>
      <c r="H18" s="263"/>
      <c r="I18" s="266"/>
      <c r="J18" s="266"/>
      <c r="K18" s="266"/>
      <c r="L18" s="266"/>
      <c r="M18" s="266"/>
      <c r="N18" s="266"/>
      <c r="O18" s="266"/>
      <c r="P18" s="266"/>
      <c r="Q18" s="266"/>
      <c r="R18" s="266"/>
      <c r="S18" s="263"/>
      <c r="T18" s="266"/>
      <c r="U18" s="266"/>
      <c r="V18" s="266"/>
      <c r="W18" s="266"/>
      <c r="X18" s="266"/>
      <c r="Y18" s="266"/>
      <c r="Z18" s="266"/>
      <c r="AA18" s="355"/>
      <c r="AB18" s="355"/>
      <c r="AC18" s="355"/>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c r="BW18" s="355"/>
      <c r="BX18" s="355"/>
      <c r="BY18" s="355"/>
      <c r="BZ18" s="355"/>
      <c r="CA18" s="355"/>
      <c r="CB18" s="355"/>
      <c r="CC18" s="355"/>
      <c r="CD18" s="355"/>
      <c r="CE18" s="355"/>
      <c r="CF18" s="355"/>
      <c r="CG18" s="355"/>
      <c r="CH18" s="355"/>
      <c r="CI18" s="355"/>
      <c r="CJ18" s="355"/>
      <c r="CK18" s="355"/>
      <c r="CL18" s="355"/>
    </row>
    <row r="19" outlineLevel="1">
      <c r="A19" s="563" t="s">
        <v>2180</v>
      </c>
      <c r="B19" s="557" t="s">
        <v>75</v>
      </c>
      <c r="C19" s="558" t="s">
        <v>2181</v>
      </c>
      <c r="D19" s="558" t="s">
        <v>2182</v>
      </c>
      <c r="E19" s="559" t="s">
        <v>2183</v>
      </c>
      <c r="F19" s="558" t="s">
        <v>2184</v>
      </c>
      <c r="G19" s="263"/>
      <c r="H19" s="263"/>
      <c r="I19" s="266"/>
      <c r="J19" s="266"/>
      <c r="K19" s="266"/>
      <c r="L19" s="266"/>
      <c r="M19" s="266"/>
      <c r="N19" s="266"/>
      <c r="O19" s="266"/>
      <c r="P19" s="266"/>
      <c r="Q19" s="266"/>
      <c r="R19" s="266"/>
      <c r="S19" s="263"/>
      <c r="T19" s="266"/>
      <c r="U19" s="266"/>
      <c r="V19" s="266"/>
      <c r="W19" s="266"/>
      <c r="X19" s="266"/>
      <c r="Y19" s="266"/>
      <c r="Z19" s="266"/>
      <c r="AA19" s="355"/>
      <c r="AB19" s="355"/>
      <c r="AC19" s="355"/>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55"/>
      <c r="BR19" s="355"/>
      <c r="BS19" s="355"/>
      <c r="BT19" s="355"/>
      <c r="BU19" s="355"/>
      <c r="BV19" s="355"/>
      <c r="BW19" s="355"/>
      <c r="BX19" s="355"/>
      <c r="BY19" s="355"/>
      <c r="BZ19" s="355"/>
      <c r="CA19" s="355"/>
      <c r="CB19" s="355"/>
      <c r="CC19" s="355"/>
      <c r="CD19" s="355"/>
      <c r="CE19" s="355"/>
      <c r="CF19" s="355"/>
      <c r="CG19" s="355"/>
      <c r="CH19" s="355"/>
      <c r="CI19" s="355"/>
      <c r="CJ19" s="355"/>
      <c r="CK19" s="355"/>
      <c r="CL19" s="355"/>
    </row>
    <row r="20" outlineLevel="1">
      <c r="A20" s="563" t="s">
        <v>2185</v>
      </c>
      <c r="B20" s="557" t="s">
        <v>75</v>
      </c>
      <c r="C20" s="558" t="s">
        <v>2186</v>
      </c>
      <c r="D20" s="558" t="s">
        <v>2187</v>
      </c>
      <c r="E20" s="559" t="s">
        <v>2188</v>
      </c>
      <c r="F20" s="558" t="s">
        <v>2189</v>
      </c>
      <c r="G20" s="263"/>
      <c r="H20" s="263"/>
      <c r="I20" s="266"/>
      <c r="J20" s="266"/>
      <c r="K20" s="266"/>
      <c r="L20" s="266"/>
      <c r="M20" s="266"/>
      <c r="N20" s="266"/>
      <c r="O20" s="266"/>
      <c r="P20" s="266"/>
      <c r="Q20" s="266"/>
      <c r="R20" s="266"/>
      <c r="S20" s="263"/>
      <c r="T20" s="266"/>
      <c r="U20" s="266"/>
      <c r="V20" s="266"/>
      <c r="W20" s="266"/>
      <c r="X20" s="266"/>
      <c r="Y20" s="266"/>
      <c r="Z20" s="266"/>
      <c r="AA20" s="332"/>
      <c r="AB20" s="332"/>
      <c r="AC20" s="332"/>
      <c r="AD20" s="332"/>
      <c r="AE20" s="332"/>
      <c r="AF20" s="332"/>
      <c r="AG20" s="332"/>
      <c r="AH20" s="332"/>
      <c r="AI20" s="332"/>
      <c r="AJ20" s="332"/>
      <c r="AK20" s="332"/>
      <c r="AL20" s="332"/>
      <c r="AM20" s="332"/>
      <c r="AN20" s="332"/>
      <c r="AO20" s="332"/>
      <c r="AP20" s="332"/>
      <c r="AQ20" s="332"/>
      <c r="AR20" s="33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32"/>
      <c r="BO20" s="332"/>
      <c r="BP20" s="332"/>
      <c r="BQ20" s="332"/>
      <c r="BR20" s="332"/>
      <c r="BS20" s="332"/>
      <c r="BT20" s="332"/>
      <c r="BU20" s="332"/>
      <c r="BV20" s="332"/>
      <c r="BW20" s="332"/>
      <c r="BX20" s="332"/>
      <c r="BY20" s="332"/>
      <c r="BZ20" s="332"/>
      <c r="CA20" s="332"/>
      <c r="CB20" s="332"/>
      <c r="CC20" s="332"/>
      <c r="CD20" s="332"/>
      <c r="CE20" s="332"/>
      <c r="CF20" s="332"/>
      <c r="CG20" s="332"/>
      <c r="CH20" s="332"/>
      <c r="CI20" s="332"/>
      <c r="CJ20" s="332"/>
      <c r="CK20" s="332"/>
      <c r="CL20" s="332"/>
    </row>
    <row r="21" outlineLevel="1">
      <c r="A21" s="563" t="s">
        <v>2190</v>
      </c>
      <c r="B21" s="557" t="s">
        <v>77</v>
      </c>
      <c r="C21" s="559" t="s">
        <v>2191</v>
      </c>
      <c r="D21" s="558" t="s">
        <v>2192</v>
      </c>
      <c r="E21" s="559" t="s">
        <v>2193</v>
      </c>
      <c r="F21" s="561" t="s">
        <v>2194</v>
      </c>
      <c r="G21" s="263"/>
      <c r="H21" s="263"/>
      <c r="I21" s="266"/>
      <c r="J21" s="266"/>
      <c r="K21" s="266"/>
      <c r="L21" s="266"/>
      <c r="M21" s="266"/>
      <c r="N21" s="266"/>
      <c r="O21" s="266"/>
      <c r="P21" s="266"/>
      <c r="Q21" s="266"/>
      <c r="R21" s="266"/>
      <c r="S21" s="263"/>
      <c r="T21" s="266"/>
      <c r="U21" s="266"/>
      <c r="V21" s="266"/>
      <c r="W21" s="266"/>
      <c r="X21" s="266"/>
      <c r="Y21" s="266"/>
      <c r="Z21" s="266"/>
      <c r="AA21" s="332"/>
      <c r="AB21" s="332"/>
      <c r="AC21" s="332"/>
      <c r="AD21" s="332"/>
      <c r="AE21" s="332"/>
      <c r="AF21" s="332"/>
      <c r="AG21" s="332"/>
      <c r="AH21" s="332"/>
      <c r="AI21" s="332"/>
      <c r="AJ21" s="332"/>
      <c r="AK21" s="332"/>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32"/>
      <c r="BO21" s="332"/>
      <c r="BP21" s="332"/>
      <c r="BQ21" s="332"/>
      <c r="BR21" s="332"/>
      <c r="BS21" s="332"/>
      <c r="BT21" s="332"/>
      <c r="BU21" s="332"/>
      <c r="BV21" s="332"/>
      <c r="BW21" s="332"/>
      <c r="BX21" s="332"/>
      <c r="BY21" s="332"/>
      <c r="BZ21" s="332"/>
      <c r="CA21" s="332"/>
      <c r="CB21" s="332"/>
      <c r="CC21" s="332"/>
      <c r="CD21" s="332"/>
      <c r="CE21" s="332"/>
      <c r="CF21" s="332"/>
      <c r="CG21" s="332"/>
      <c r="CH21" s="332"/>
      <c r="CI21" s="332"/>
      <c r="CJ21" s="332"/>
      <c r="CK21" s="332"/>
      <c r="CL21" s="332"/>
    </row>
    <row r="22">
      <c r="A22" s="562" t="s">
        <v>1531</v>
      </c>
      <c r="B22" s="148"/>
      <c r="C22" s="148"/>
      <c r="D22" s="148"/>
      <c r="E22" s="148"/>
      <c r="F22" s="171"/>
      <c r="G22" s="263"/>
      <c r="H22" s="263"/>
      <c r="I22" s="266"/>
      <c r="J22" s="266"/>
      <c r="K22" s="266"/>
      <c r="L22" s="266"/>
      <c r="M22" s="266"/>
      <c r="N22" s="266"/>
      <c r="O22" s="266"/>
      <c r="P22" s="266"/>
      <c r="Q22" s="266"/>
      <c r="R22" s="266"/>
      <c r="S22" s="263"/>
      <c r="T22" s="266"/>
      <c r="U22" s="266"/>
      <c r="V22" s="266"/>
      <c r="W22" s="266"/>
      <c r="X22" s="266"/>
      <c r="Y22" s="266"/>
      <c r="Z22" s="266"/>
      <c r="AA22" s="332"/>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332"/>
      <c r="BU22" s="332"/>
      <c r="BV22" s="332"/>
      <c r="BW22" s="332"/>
      <c r="BX22" s="332"/>
      <c r="BY22" s="332"/>
      <c r="BZ22" s="332"/>
      <c r="CA22" s="332"/>
      <c r="CB22" s="332"/>
      <c r="CC22" s="332"/>
      <c r="CD22" s="332"/>
      <c r="CE22" s="332"/>
      <c r="CF22" s="332"/>
      <c r="CG22" s="332"/>
      <c r="CH22" s="332"/>
      <c r="CI22" s="332"/>
      <c r="CJ22" s="332"/>
      <c r="CK22" s="332"/>
      <c r="CL22" s="332"/>
    </row>
    <row r="23" outlineLevel="1">
      <c r="A23" s="158" t="str">
        <f t="shared" ref="A23:A26" si="2">IF(E23="","",$C$3&amp;"."&amp;COUNTA($E$8:E23)&amp;"")</f>
        <v>TC_06.12</v>
      </c>
      <c r="B23" s="267" t="s">
        <v>75</v>
      </c>
      <c r="C23" s="265" t="s">
        <v>2195</v>
      </c>
      <c r="D23" s="265" t="s">
        <v>2182</v>
      </c>
      <c r="E23" s="375" t="s">
        <v>2196</v>
      </c>
      <c r="F23" s="265" t="s">
        <v>2197</v>
      </c>
      <c r="G23" s="263"/>
      <c r="H23" s="263"/>
      <c r="I23" s="266"/>
      <c r="J23" s="266"/>
      <c r="K23" s="266"/>
      <c r="L23" s="266"/>
      <c r="M23" s="266"/>
      <c r="N23" s="266"/>
      <c r="O23" s="266"/>
      <c r="P23" s="266"/>
      <c r="Q23" s="266"/>
      <c r="R23" s="266"/>
      <c r="S23" s="263"/>
      <c r="T23" s="266"/>
      <c r="U23" s="266"/>
      <c r="V23" s="266"/>
      <c r="W23" s="266"/>
      <c r="X23" s="266"/>
      <c r="Y23" s="266"/>
      <c r="Z23" s="266"/>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332"/>
      <c r="BU23" s="332"/>
      <c r="BV23" s="332"/>
      <c r="BW23" s="332"/>
      <c r="BX23" s="332"/>
      <c r="BY23" s="332"/>
      <c r="BZ23" s="332"/>
      <c r="CA23" s="332"/>
      <c r="CB23" s="332"/>
      <c r="CC23" s="332"/>
      <c r="CD23" s="332"/>
      <c r="CE23" s="332"/>
      <c r="CF23" s="332"/>
      <c r="CG23" s="332"/>
      <c r="CH23" s="332"/>
      <c r="CI23" s="332"/>
      <c r="CJ23" s="332"/>
      <c r="CK23" s="332"/>
      <c r="CL23" s="332"/>
    </row>
    <row r="24" outlineLevel="1">
      <c r="A24" s="158" t="str">
        <f t="shared" si="2"/>
        <v>TC_06.13</v>
      </c>
      <c r="B24" s="267" t="s">
        <v>73</v>
      </c>
      <c r="C24" s="265" t="s">
        <v>2198</v>
      </c>
      <c r="D24" s="265" t="s">
        <v>2182</v>
      </c>
      <c r="E24" s="375" t="s">
        <v>2199</v>
      </c>
      <c r="F24" s="265" t="s">
        <v>2184</v>
      </c>
      <c r="G24" s="263"/>
      <c r="H24" s="263"/>
      <c r="I24" s="266"/>
      <c r="J24" s="266"/>
      <c r="K24" s="266"/>
      <c r="L24" s="266"/>
      <c r="M24" s="266"/>
      <c r="N24" s="266"/>
      <c r="O24" s="266"/>
      <c r="P24" s="266"/>
      <c r="Q24" s="266"/>
      <c r="R24" s="266"/>
      <c r="S24" s="263"/>
      <c r="T24" s="266"/>
      <c r="U24" s="266"/>
      <c r="V24" s="266"/>
      <c r="W24" s="266"/>
      <c r="X24" s="266"/>
      <c r="Y24" s="266"/>
      <c r="Z24" s="266"/>
      <c r="AA24" s="332"/>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2"/>
      <c r="BX24" s="332"/>
      <c r="BY24" s="332"/>
      <c r="BZ24" s="332"/>
      <c r="CA24" s="332"/>
      <c r="CB24" s="332"/>
      <c r="CC24" s="332"/>
      <c r="CD24" s="332"/>
      <c r="CE24" s="332"/>
      <c r="CF24" s="332"/>
      <c r="CG24" s="332"/>
      <c r="CH24" s="332"/>
      <c r="CI24" s="332"/>
      <c r="CJ24" s="332"/>
      <c r="CK24" s="332"/>
      <c r="CL24" s="332"/>
    </row>
    <row r="25" outlineLevel="1">
      <c r="A25" s="158" t="str">
        <f t="shared" si="2"/>
        <v>TC_06.14</v>
      </c>
      <c r="B25" s="267" t="s">
        <v>75</v>
      </c>
      <c r="C25" s="265" t="s">
        <v>2200</v>
      </c>
      <c r="D25" s="265" t="s">
        <v>2182</v>
      </c>
      <c r="E25" s="375" t="s">
        <v>2201</v>
      </c>
      <c r="F25" s="265" t="s">
        <v>2202</v>
      </c>
      <c r="G25" s="263"/>
      <c r="H25" s="263"/>
      <c r="I25" s="266"/>
      <c r="J25" s="266"/>
      <c r="K25" s="266"/>
      <c r="L25" s="266"/>
      <c r="M25" s="266"/>
      <c r="N25" s="266"/>
      <c r="O25" s="266"/>
      <c r="P25" s="266"/>
      <c r="Q25" s="266"/>
      <c r="R25" s="266"/>
      <c r="S25" s="263"/>
      <c r="T25" s="266"/>
      <c r="U25" s="266"/>
      <c r="V25" s="266"/>
      <c r="W25" s="266"/>
      <c r="X25" s="266"/>
      <c r="Y25" s="266"/>
      <c r="Z25" s="266"/>
      <c r="AA25" s="332"/>
      <c r="AB25" s="332"/>
      <c r="AC25" s="332"/>
      <c r="AD25" s="332"/>
      <c r="AE25" s="332"/>
      <c r="AF25" s="332"/>
      <c r="AG25" s="332"/>
      <c r="AH25" s="332"/>
      <c r="AI25" s="332"/>
      <c r="AJ25" s="332"/>
      <c r="AK25" s="332"/>
      <c r="AL25" s="332"/>
      <c r="AM25" s="332"/>
      <c r="AN25" s="332"/>
      <c r="AO25" s="332"/>
      <c r="AP25" s="332"/>
      <c r="AQ25" s="332"/>
      <c r="AR25" s="332"/>
      <c r="AS25" s="332"/>
      <c r="AT25" s="332"/>
      <c r="AU25" s="332"/>
      <c r="AV25" s="332"/>
      <c r="AW25" s="332"/>
      <c r="AX25" s="332"/>
      <c r="AY25" s="332"/>
      <c r="AZ25" s="332"/>
      <c r="BA25" s="332"/>
      <c r="BB25" s="332"/>
      <c r="BC25" s="332"/>
      <c r="BD25" s="332"/>
      <c r="BE25" s="332"/>
      <c r="BF25" s="332"/>
      <c r="BG25" s="332"/>
      <c r="BH25" s="332"/>
      <c r="BI25" s="332"/>
      <c r="BJ25" s="332"/>
      <c r="BK25" s="332"/>
      <c r="BL25" s="332"/>
      <c r="BM25" s="332"/>
      <c r="BN25" s="332"/>
      <c r="BO25" s="332"/>
      <c r="BP25" s="332"/>
      <c r="BQ25" s="332"/>
      <c r="BR25" s="332"/>
      <c r="BS25" s="332"/>
      <c r="BT25" s="332"/>
      <c r="BU25" s="332"/>
      <c r="BV25" s="332"/>
      <c r="BW25" s="332"/>
      <c r="BX25" s="332"/>
      <c r="BY25" s="332"/>
      <c r="BZ25" s="332"/>
      <c r="CA25" s="332"/>
      <c r="CB25" s="332"/>
      <c r="CC25" s="332"/>
      <c r="CD25" s="332"/>
      <c r="CE25" s="332"/>
      <c r="CF25" s="332"/>
      <c r="CG25" s="332"/>
      <c r="CH25" s="332"/>
      <c r="CI25" s="332"/>
      <c r="CJ25" s="332"/>
      <c r="CK25" s="332"/>
      <c r="CL25" s="332"/>
    </row>
    <row r="26" outlineLevel="1">
      <c r="A26" s="267" t="str">
        <f t="shared" si="2"/>
        <v>TC_06.15</v>
      </c>
      <c r="B26" s="267" t="s">
        <v>75</v>
      </c>
      <c r="C26" s="265" t="s">
        <v>2203</v>
      </c>
      <c r="D26" s="265" t="s">
        <v>2204</v>
      </c>
      <c r="E26" s="265" t="s">
        <v>2205</v>
      </c>
      <c r="F26" s="265" t="s">
        <v>2206</v>
      </c>
      <c r="G26" s="263"/>
      <c r="H26" s="266"/>
      <c r="I26" s="266"/>
      <c r="J26" s="266"/>
      <c r="K26" s="266"/>
      <c r="L26" s="266"/>
      <c r="M26" s="266"/>
      <c r="N26" s="266"/>
      <c r="O26" s="266"/>
      <c r="P26" s="266"/>
      <c r="Q26" s="266"/>
      <c r="R26" s="266"/>
      <c r="S26" s="263"/>
      <c r="T26" s="266"/>
      <c r="U26" s="266"/>
      <c r="V26" s="266"/>
      <c r="W26" s="266"/>
      <c r="X26" s="266"/>
      <c r="Y26" s="266"/>
      <c r="Z26" s="266"/>
      <c r="AA26" s="332"/>
      <c r="AB26" s="332"/>
      <c r="AC26" s="332"/>
      <c r="AD26" s="332"/>
      <c r="AE26" s="332"/>
      <c r="AF26" s="332"/>
      <c r="AG26" s="332"/>
      <c r="AH26" s="332"/>
      <c r="AI26" s="332"/>
      <c r="AJ26" s="332"/>
      <c r="AK26" s="332"/>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2"/>
      <c r="BL26" s="332"/>
      <c r="BM26" s="332"/>
      <c r="BN26" s="332"/>
      <c r="BO26" s="332"/>
      <c r="BP26" s="332"/>
      <c r="BQ26" s="332"/>
      <c r="BR26" s="332"/>
      <c r="BS26" s="332"/>
      <c r="BT26" s="332"/>
      <c r="BU26" s="332"/>
      <c r="BV26" s="332"/>
      <c r="BW26" s="332"/>
      <c r="BX26" s="332"/>
      <c r="BY26" s="332"/>
      <c r="BZ26" s="332"/>
      <c r="CA26" s="332"/>
      <c r="CB26" s="332"/>
      <c r="CC26" s="332"/>
      <c r="CD26" s="332"/>
      <c r="CE26" s="332"/>
      <c r="CF26" s="332"/>
      <c r="CG26" s="332"/>
      <c r="CH26" s="332"/>
      <c r="CI26" s="332"/>
      <c r="CJ26" s="332"/>
      <c r="CK26" s="332"/>
      <c r="CL26" s="332"/>
    </row>
    <row r="27">
      <c r="A27" s="562" t="s">
        <v>2207</v>
      </c>
      <c r="B27" s="148"/>
      <c r="C27" s="148"/>
      <c r="D27" s="148"/>
      <c r="E27" s="148"/>
      <c r="F27" s="171"/>
      <c r="G27" s="263"/>
      <c r="H27" s="263"/>
      <c r="I27" s="266"/>
      <c r="J27" s="266"/>
      <c r="K27" s="266"/>
      <c r="L27" s="266"/>
      <c r="M27" s="266"/>
      <c r="N27" s="266"/>
      <c r="O27" s="266"/>
      <c r="P27" s="266"/>
      <c r="Q27" s="266"/>
      <c r="R27" s="266"/>
      <c r="S27" s="263"/>
      <c r="T27" s="266"/>
      <c r="U27" s="266"/>
      <c r="V27" s="266"/>
      <c r="W27" s="266"/>
      <c r="X27" s="266"/>
      <c r="Y27" s="266"/>
      <c r="Z27" s="266"/>
      <c r="AA27" s="332"/>
      <c r="AB27" s="332"/>
      <c r="AC27" s="332"/>
      <c r="AD27" s="332"/>
      <c r="AE27" s="332"/>
      <c r="AF27" s="332"/>
      <c r="AG27" s="332"/>
      <c r="AH27" s="332"/>
      <c r="AI27" s="332"/>
      <c r="AJ27" s="332"/>
      <c r="AK27" s="332"/>
      <c r="AL27" s="332"/>
      <c r="AM27" s="332"/>
      <c r="AN27" s="332"/>
      <c r="AO27" s="332"/>
      <c r="AP27" s="332"/>
      <c r="AQ27" s="332"/>
      <c r="AR27" s="332"/>
      <c r="AS27" s="332"/>
      <c r="AT27" s="332"/>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332"/>
      <c r="BU27" s="332"/>
      <c r="BV27" s="332"/>
      <c r="BW27" s="332"/>
      <c r="BX27" s="332"/>
      <c r="BY27" s="332"/>
      <c r="BZ27" s="332"/>
      <c r="CA27" s="332"/>
      <c r="CB27" s="332"/>
      <c r="CC27" s="332"/>
      <c r="CD27" s="332"/>
      <c r="CE27" s="332"/>
      <c r="CF27" s="332"/>
      <c r="CG27" s="332"/>
      <c r="CH27" s="332"/>
      <c r="CI27" s="332"/>
      <c r="CJ27" s="332"/>
      <c r="CK27" s="332"/>
      <c r="CL27" s="332"/>
    </row>
    <row r="28" outlineLevel="1">
      <c r="A28" s="158" t="str">
        <f t="shared" ref="A28:A35" si="3">IF(E28="","",$C$3&amp;"."&amp;COUNTA($E$8:E28)&amp;"")</f>
        <v>TC_06.16</v>
      </c>
      <c r="B28" s="267" t="s">
        <v>73</v>
      </c>
      <c r="C28" s="265" t="s">
        <v>2208</v>
      </c>
      <c r="D28" s="265" t="s">
        <v>2209</v>
      </c>
      <c r="E28" s="375" t="s">
        <v>2210</v>
      </c>
      <c r="F28" s="265" t="s">
        <v>2211</v>
      </c>
      <c r="G28" s="263"/>
      <c r="H28" s="263"/>
      <c r="I28" s="266"/>
      <c r="J28" s="266"/>
      <c r="K28" s="266"/>
      <c r="L28" s="266"/>
      <c r="M28" s="266"/>
      <c r="N28" s="266"/>
      <c r="O28" s="266"/>
      <c r="P28" s="266"/>
      <c r="Q28" s="266"/>
      <c r="R28" s="266"/>
      <c r="S28" s="263"/>
      <c r="T28" s="266"/>
      <c r="U28" s="266"/>
      <c r="V28" s="266"/>
      <c r="W28" s="266"/>
      <c r="X28" s="266"/>
      <c r="Y28" s="266"/>
      <c r="Z28" s="266"/>
      <c r="AA28" s="332"/>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c r="BA28" s="332"/>
      <c r="BB28" s="332"/>
      <c r="BC28" s="332"/>
      <c r="BD28" s="332"/>
      <c r="BE28" s="332"/>
      <c r="BF28" s="332"/>
      <c r="BG28" s="332"/>
      <c r="BH28" s="332"/>
      <c r="BI28" s="332"/>
      <c r="BJ28" s="332"/>
      <c r="BK28" s="332"/>
      <c r="BL28" s="332"/>
      <c r="BM28" s="332"/>
      <c r="BN28" s="332"/>
      <c r="BO28" s="332"/>
      <c r="BP28" s="332"/>
      <c r="BQ28" s="332"/>
      <c r="BR28" s="332"/>
      <c r="BS28" s="332"/>
      <c r="BT28" s="332"/>
      <c r="BU28" s="332"/>
      <c r="BV28" s="332"/>
      <c r="BW28" s="332"/>
      <c r="BX28" s="332"/>
      <c r="BY28" s="332"/>
      <c r="BZ28" s="332"/>
      <c r="CA28" s="332"/>
      <c r="CB28" s="332"/>
      <c r="CC28" s="332"/>
      <c r="CD28" s="332"/>
      <c r="CE28" s="332"/>
      <c r="CF28" s="332"/>
      <c r="CG28" s="332"/>
      <c r="CH28" s="332"/>
      <c r="CI28" s="332"/>
      <c r="CJ28" s="332"/>
      <c r="CK28" s="332"/>
      <c r="CL28" s="332"/>
    </row>
    <row r="29" outlineLevel="1">
      <c r="A29" s="158" t="str">
        <f t="shared" si="3"/>
        <v>TC_06.17</v>
      </c>
      <c r="B29" s="267" t="s">
        <v>73</v>
      </c>
      <c r="C29" s="265" t="s">
        <v>2212</v>
      </c>
      <c r="D29" s="265" t="s">
        <v>2213</v>
      </c>
      <c r="E29" s="375" t="s">
        <v>2214</v>
      </c>
      <c r="F29" s="265" t="s">
        <v>2215</v>
      </c>
      <c r="G29" s="263"/>
      <c r="H29" s="263"/>
      <c r="I29" s="266"/>
      <c r="J29" s="266"/>
      <c r="K29" s="266"/>
      <c r="L29" s="266"/>
      <c r="M29" s="266"/>
      <c r="N29" s="266"/>
      <c r="O29" s="266"/>
      <c r="P29" s="266"/>
      <c r="Q29" s="266"/>
      <c r="R29" s="266"/>
      <c r="S29" s="263"/>
      <c r="T29" s="266"/>
      <c r="U29" s="266"/>
      <c r="V29" s="266"/>
      <c r="W29" s="266"/>
      <c r="X29" s="266"/>
      <c r="Y29" s="266"/>
      <c r="Z29" s="266"/>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32"/>
      <c r="BO29" s="332"/>
      <c r="BP29" s="332"/>
      <c r="BQ29" s="332"/>
      <c r="BR29" s="332"/>
      <c r="BS29" s="332"/>
      <c r="BT29" s="332"/>
      <c r="BU29" s="332"/>
      <c r="BV29" s="332"/>
      <c r="BW29" s="332"/>
      <c r="BX29" s="332"/>
      <c r="BY29" s="332"/>
      <c r="BZ29" s="332"/>
      <c r="CA29" s="332"/>
      <c r="CB29" s="332"/>
      <c r="CC29" s="332"/>
      <c r="CD29" s="332"/>
      <c r="CE29" s="332"/>
      <c r="CF29" s="332"/>
      <c r="CG29" s="332"/>
      <c r="CH29" s="332"/>
      <c r="CI29" s="332"/>
      <c r="CJ29" s="332"/>
      <c r="CK29" s="332"/>
      <c r="CL29" s="332"/>
    </row>
    <row r="30" outlineLevel="1">
      <c r="A30" s="158" t="str">
        <f t="shared" si="3"/>
        <v>TC_06.18</v>
      </c>
      <c r="B30" s="267" t="s">
        <v>73</v>
      </c>
      <c r="C30" s="265" t="s">
        <v>2216</v>
      </c>
      <c r="D30" s="265" t="s">
        <v>2217</v>
      </c>
      <c r="E30" s="375" t="s">
        <v>2218</v>
      </c>
      <c r="F30" s="265" t="s">
        <v>2219</v>
      </c>
      <c r="G30" s="263"/>
      <c r="H30" s="263"/>
      <c r="I30" s="266"/>
      <c r="J30" s="266"/>
      <c r="K30" s="266"/>
      <c r="L30" s="266"/>
      <c r="M30" s="266"/>
      <c r="N30" s="266"/>
      <c r="O30" s="266"/>
      <c r="P30" s="266"/>
      <c r="Q30" s="266"/>
      <c r="R30" s="266"/>
      <c r="S30" s="263"/>
      <c r="T30" s="266"/>
      <c r="U30" s="266"/>
      <c r="V30" s="266"/>
      <c r="W30" s="266"/>
      <c r="X30" s="266"/>
      <c r="Y30" s="266"/>
      <c r="Z30" s="266"/>
      <c r="AA30" s="332"/>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c r="BA30" s="332"/>
      <c r="BB30" s="332"/>
      <c r="BC30" s="332"/>
      <c r="BD30" s="332"/>
      <c r="BE30" s="332"/>
      <c r="BF30" s="332"/>
      <c r="BG30" s="332"/>
      <c r="BH30" s="332"/>
      <c r="BI30" s="332"/>
      <c r="BJ30" s="332"/>
      <c r="BK30" s="332"/>
      <c r="BL30" s="332"/>
      <c r="BM30" s="332"/>
      <c r="BN30" s="332"/>
      <c r="BO30" s="332"/>
      <c r="BP30" s="332"/>
      <c r="BQ30" s="332"/>
      <c r="BR30" s="332"/>
      <c r="BS30" s="332"/>
      <c r="BT30" s="332"/>
      <c r="BU30" s="332"/>
      <c r="BV30" s="332"/>
      <c r="BW30" s="332"/>
      <c r="BX30" s="332"/>
      <c r="BY30" s="332"/>
      <c r="BZ30" s="332"/>
      <c r="CA30" s="332"/>
      <c r="CB30" s="332"/>
      <c r="CC30" s="332"/>
      <c r="CD30" s="332"/>
      <c r="CE30" s="332"/>
      <c r="CF30" s="332"/>
      <c r="CG30" s="332"/>
      <c r="CH30" s="332"/>
      <c r="CI30" s="332"/>
      <c r="CJ30" s="332"/>
      <c r="CK30" s="332"/>
      <c r="CL30" s="332"/>
    </row>
    <row r="31" outlineLevel="1">
      <c r="A31" s="158" t="str">
        <f t="shared" si="3"/>
        <v>TC_06.19</v>
      </c>
      <c r="B31" s="267" t="s">
        <v>73</v>
      </c>
      <c r="C31" s="265" t="s">
        <v>2220</v>
      </c>
      <c r="D31" s="265" t="s">
        <v>2221</v>
      </c>
      <c r="E31" s="375" t="s">
        <v>2222</v>
      </c>
      <c r="F31" s="265" t="s">
        <v>2223</v>
      </c>
      <c r="G31" s="263"/>
      <c r="H31" s="263"/>
      <c r="I31" s="266"/>
      <c r="J31" s="266"/>
      <c r="K31" s="266"/>
      <c r="L31" s="266"/>
      <c r="M31" s="266"/>
      <c r="N31" s="266"/>
      <c r="O31" s="266"/>
      <c r="P31" s="266"/>
      <c r="Q31" s="266"/>
      <c r="R31" s="266"/>
      <c r="S31" s="263"/>
      <c r="T31" s="266"/>
      <c r="U31" s="266"/>
      <c r="V31" s="266"/>
      <c r="W31" s="266"/>
      <c r="X31" s="266"/>
      <c r="Y31" s="266"/>
      <c r="Z31" s="266"/>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2"/>
      <c r="BA31" s="332"/>
      <c r="BB31" s="332"/>
      <c r="BC31" s="332"/>
      <c r="BD31" s="332"/>
      <c r="BE31" s="332"/>
      <c r="BF31" s="332"/>
      <c r="BG31" s="332"/>
      <c r="BH31" s="332"/>
      <c r="BI31" s="332"/>
      <c r="BJ31" s="332"/>
      <c r="BK31" s="332"/>
      <c r="BL31" s="332"/>
      <c r="BM31" s="332"/>
      <c r="BN31" s="332"/>
      <c r="BO31" s="332"/>
      <c r="BP31" s="332"/>
      <c r="BQ31" s="332"/>
      <c r="BR31" s="332"/>
      <c r="BS31" s="332"/>
      <c r="BT31" s="332"/>
      <c r="BU31" s="332"/>
      <c r="BV31" s="332"/>
      <c r="BW31" s="332"/>
      <c r="BX31" s="332"/>
      <c r="BY31" s="332"/>
      <c r="BZ31" s="332"/>
      <c r="CA31" s="332"/>
      <c r="CB31" s="332"/>
      <c r="CC31" s="332"/>
      <c r="CD31" s="332"/>
      <c r="CE31" s="332"/>
      <c r="CF31" s="332"/>
      <c r="CG31" s="332"/>
      <c r="CH31" s="332"/>
      <c r="CI31" s="332"/>
      <c r="CJ31" s="332"/>
      <c r="CK31" s="332"/>
      <c r="CL31" s="332"/>
    </row>
    <row r="32" outlineLevel="1">
      <c r="A32" s="158" t="str">
        <f t="shared" si="3"/>
        <v>TC_06.20</v>
      </c>
      <c r="B32" s="267" t="s">
        <v>75</v>
      </c>
      <c r="C32" s="265" t="s">
        <v>2224</v>
      </c>
      <c r="D32" s="265" t="s">
        <v>2225</v>
      </c>
      <c r="E32" s="375" t="s">
        <v>2226</v>
      </c>
      <c r="F32" s="265" t="s">
        <v>2227</v>
      </c>
      <c r="G32" s="263"/>
      <c r="H32" s="263"/>
      <c r="I32" s="266"/>
      <c r="J32" s="266"/>
      <c r="K32" s="266"/>
      <c r="L32" s="266"/>
      <c r="M32" s="266"/>
      <c r="N32" s="266"/>
      <c r="O32" s="266"/>
      <c r="P32" s="266"/>
      <c r="Q32" s="266"/>
      <c r="R32" s="266"/>
      <c r="S32" s="263"/>
      <c r="T32" s="266"/>
      <c r="U32" s="266"/>
      <c r="V32" s="266"/>
      <c r="W32" s="266"/>
      <c r="X32" s="266"/>
      <c r="Y32" s="266"/>
      <c r="Z32" s="266"/>
      <c r="AA32" s="332"/>
      <c r="AB32" s="332"/>
      <c r="AC32" s="332"/>
      <c r="AD32" s="332"/>
      <c r="AE32" s="332"/>
      <c r="AF32" s="332"/>
      <c r="AG32" s="332"/>
      <c r="AH32" s="332"/>
      <c r="AI32" s="332"/>
      <c r="AJ32" s="332"/>
      <c r="AK32" s="332"/>
      <c r="AL32" s="332"/>
      <c r="AM32" s="332"/>
      <c r="AN32" s="332"/>
      <c r="AO32" s="332"/>
      <c r="AP32" s="332"/>
      <c r="AQ32" s="332"/>
      <c r="AR32" s="332"/>
      <c r="AS32" s="332"/>
      <c r="AT32" s="332"/>
      <c r="AU32" s="332"/>
      <c r="AV32" s="332"/>
      <c r="AW32" s="332"/>
      <c r="AX32" s="332"/>
      <c r="AY32" s="332"/>
      <c r="AZ32" s="332"/>
      <c r="BA32" s="332"/>
      <c r="BB32" s="332"/>
      <c r="BC32" s="332"/>
      <c r="BD32" s="332"/>
      <c r="BE32" s="332"/>
      <c r="BF32" s="332"/>
      <c r="BG32" s="332"/>
      <c r="BH32" s="332"/>
      <c r="BI32" s="332"/>
      <c r="BJ32" s="332"/>
      <c r="BK32" s="332"/>
      <c r="BL32" s="332"/>
      <c r="BM32" s="332"/>
      <c r="BN32" s="332"/>
      <c r="BO32" s="332"/>
      <c r="BP32" s="332"/>
      <c r="BQ32" s="332"/>
      <c r="BR32" s="332"/>
      <c r="BS32" s="332"/>
      <c r="BT32" s="332"/>
      <c r="BU32" s="332"/>
      <c r="BV32" s="332"/>
      <c r="BW32" s="332"/>
      <c r="BX32" s="332"/>
      <c r="BY32" s="332"/>
      <c r="BZ32" s="332"/>
      <c r="CA32" s="332"/>
      <c r="CB32" s="332"/>
      <c r="CC32" s="332"/>
      <c r="CD32" s="332"/>
      <c r="CE32" s="332"/>
      <c r="CF32" s="332"/>
      <c r="CG32" s="332"/>
      <c r="CH32" s="332"/>
      <c r="CI32" s="332"/>
      <c r="CJ32" s="332"/>
      <c r="CK32" s="332"/>
      <c r="CL32" s="332"/>
    </row>
    <row r="33" outlineLevel="1">
      <c r="A33" s="158" t="str">
        <f t="shared" si="3"/>
        <v>TC_06.21</v>
      </c>
      <c r="B33" s="267" t="s">
        <v>75</v>
      </c>
      <c r="C33" s="265" t="s">
        <v>2228</v>
      </c>
      <c r="D33" s="265" t="s">
        <v>2229</v>
      </c>
      <c r="E33" s="375" t="s">
        <v>2230</v>
      </c>
      <c r="F33" s="265" t="s">
        <v>2231</v>
      </c>
      <c r="G33" s="263"/>
      <c r="H33" s="263"/>
      <c r="I33" s="266"/>
      <c r="J33" s="266"/>
      <c r="K33" s="266"/>
      <c r="L33" s="266"/>
      <c r="M33" s="266"/>
      <c r="N33" s="266"/>
      <c r="O33" s="266"/>
      <c r="P33" s="266"/>
      <c r="Q33" s="266"/>
      <c r="R33" s="266"/>
      <c r="S33" s="263"/>
      <c r="T33" s="266"/>
      <c r="U33" s="266"/>
      <c r="V33" s="266"/>
      <c r="W33" s="266"/>
      <c r="X33" s="266"/>
      <c r="Y33" s="266"/>
      <c r="Z33" s="266"/>
      <c r="AA33" s="332"/>
      <c r="AB33" s="332"/>
      <c r="AC33" s="332"/>
      <c r="AD33" s="332"/>
      <c r="AE33" s="332"/>
      <c r="AF33" s="332"/>
      <c r="AG33" s="332"/>
      <c r="AH33" s="332"/>
      <c r="AI33" s="332"/>
      <c r="AJ33" s="332"/>
      <c r="AK33" s="332"/>
      <c r="AL33" s="332"/>
      <c r="AM33" s="332"/>
      <c r="AN33" s="332"/>
      <c r="AO33" s="332"/>
      <c r="AP33" s="332"/>
      <c r="AQ33" s="332"/>
      <c r="AR33" s="332"/>
      <c r="AS33" s="332"/>
      <c r="AT33" s="332"/>
      <c r="AU33" s="332"/>
      <c r="AV33" s="332"/>
      <c r="AW33" s="332"/>
      <c r="AX33" s="332"/>
      <c r="AY33" s="332"/>
      <c r="AZ33" s="332"/>
      <c r="BA33" s="332"/>
      <c r="BB33" s="332"/>
      <c r="BC33" s="332"/>
      <c r="BD33" s="332"/>
      <c r="BE33" s="332"/>
      <c r="BF33" s="332"/>
      <c r="BG33" s="332"/>
      <c r="BH33" s="332"/>
      <c r="BI33" s="332"/>
      <c r="BJ33" s="332"/>
      <c r="BK33" s="332"/>
      <c r="BL33" s="332"/>
      <c r="BM33" s="332"/>
      <c r="BN33" s="332"/>
      <c r="BO33" s="332"/>
      <c r="BP33" s="332"/>
      <c r="BQ33" s="332"/>
      <c r="BR33" s="332"/>
      <c r="BS33" s="332"/>
      <c r="BT33" s="332"/>
      <c r="BU33" s="332"/>
      <c r="BV33" s="332"/>
      <c r="BW33" s="332"/>
      <c r="BX33" s="332"/>
      <c r="BY33" s="332"/>
      <c r="BZ33" s="332"/>
      <c r="CA33" s="332"/>
      <c r="CB33" s="332"/>
      <c r="CC33" s="332"/>
      <c r="CD33" s="332"/>
      <c r="CE33" s="332"/>
      <c r="CF33" s="332"/>
      <c r="CG33" s="332"/>
      <c r="CH33" s="332"/>
      <c r="CI33" s="332"/>
      <c r="CJ33" s="332"/>
      <c r="CK33" s="332"/>
      <c r="CL33" s="332"/>
    </row>
    <row r="34" outlineLevel="1">
      <c r="A34" s="158" t="str">
        <f t="shared" si="3"/>
        <v>TC_06.22</v>
      </c>
      <c r="B34" s="267" t="s">
        <v>75</v>
      </c>
      <c r="C34" s="265" t="s">
        <v>2232</v>
      </c>
      <c r="D34" s="265" t="s">
        <v>2233</v>
      </c>
      <c r="E34" s="375" t="s">
        <v>2234</v>
      </c>
      <c r="F34" s="265" t="s">
        <v>2235</v>
      </c>
      <c r="G34" s="263"/>
      <c r="H34" s="263"/>
      <c r="I34" s="266"/>
      <c r="J34" s="266"/>
      <c r="K34" s="266"/>
      <c r="L34" s="266"/>
      <c r="M34" s="266"/>
      <c r="N34" s="266"/>
      <c r="O34" s="266"/>
      <c r="P34" s="266"/>
      <c r="Q34" s="266"/>
      <c r="R34" s="266"/>
      <c r="S34" s="263"/>
      <c r="T34" s="266"/>
      <c r="U34" s="266"/>
      <c r="V34" s="266"/>
      <c r="W34" s="266"/>
      <c r="X34" s="266"/>
      <c r="Y34" s="266"/>
      <c r="Z34" s="266"/>
      <c r="AA34" s="332"/>
      <c r="AB34" s="332"/>
      <c r="AC34" s="332"/>
      <c r="AD34" s="332"/>
      <c r="AE34" s="332"/>
      <c r="AF34" s="332"/>
      <c r="AG34" s="332"/>
      <c r="AH34" s="332"/>
      <c r="AI34" s="332"/>
      <c r="AJ34" s="332"/>
      <c r="AK34" s="332"/>
      <c r="AL34" s="332"/>
      <c r="AM34" s="332"/>
      <c r="AN34" s="332"/>
      <c r="AO34" s="332"/>
      <c r="AP34" s="332"/>
      <c r="AQ34" s="332"/>
      <c r="AR34" s="332"/>
      <c r="AS34" s="332"/>
      <c r="AT34" s="332"/>
      <c r="AU34" s="332"/>
      <c r="AV34" s="332"/>
      <c r="AW34" s="332"/>
      <c r="AX34" s="332"/>
      <c r="AY34" s="332"/>
      <c r="AZ34" s="332"/>
      <c r="BA34" s="332"/>
      <c r="BB34" s="332"/>
      <c r="BC34" s="332"/>
      <c r="BD34" s="332"/>
      <c r="BE34" s="332"/>
      <c r="BF34" s="332"/>
      <c r="BG34" s="332"/>
      <c r="BH34" s="332"/>
      <c r="BI34" s="332"/>
      <c r="BJ34" s="332"/>
      <c r="BK34" s="332"/>
      <c r="BL34" s="332"/>
      <c r="BM34" s="332"/>
      <c r="BN34" s="332"/>
      <c r="BO34" s="332"/>
      <c r="BP34" s="332"/>
      <c r="BQ34" s="332"/>
      <c r="BR34" s="332"/>
      <c r="BS34" s="332"/>
      <c r="BT34" s="332"/>
      <c r="BU34" s="332"/>
      <c r="BV34" s="332"/>
      <c r="BW34" s="332"/>
      <c r="BX34" s="332"/>
      <c r="BY34" s="332"/>
      <c r="BZ34" s="332"/>
      <c r="CA34" s="332"/>
      <c r="CB34" s="332"/>
      <c r="CC34" s="332"/>
      <c r="CD34" s="332"/>
      <c r="CE34" s="332"/>
      <c r="CF34" s="332"/>
      <c r="CG34" s="332"/>
      <c r="CH34" s="332"/>
      <c r="CI34" s="332"/>
      <c r="CJ34" s="332"/>
      <c r="CK34" s="332"/>
      <c r="CL34" s="332"/>
    </row>
    <row r="35" outlineLevel="1">
      <c r="A35" s="267" t="str">
        <f t="shared" si="3"/>
        <v>TC_06.23</v>
      </c>
      <c r="B35" s="267" t="s">
        <v>75</v>
      </c>
      <c r="C35" s="265" t="s">
        <v>2236</v>
      </c>
      <c r="D35" s="375" t="s">
        <v>2237</v>
      </c>
      <c r="E35" s="375" t="s">
        <v>2238</v>
      </c>
      <c r="F35" s="265" t="s">
        <v>2239</v>
      </c>
      <c r="G35" s="263"/>
      <c r="H35" s="266"/>
      <c r="I35" s="266"/>
      <c r="J35" s="266"/>
      <c r="K35" s="266"/>
      <c r="L35" s="266"/>
      <c r="M35" s="266"/>
      <c r="N35" s="266"/>
      <c r="O35" s="266"/>
      <c r="P35" s="266"/>
      <c r="Q35" s="266"/>
      <c r="R35" s="266"/>
      <c r="S35" s="263"/>
      <c r="T35" s="266"/>
      <c r="U35" s="266"/>
      <c r="V35" s="266"/>
      <c r="W35" s="266"/>
      <c r="X35" s="266"/>
      <c r="Y35" s="266"/>
      <c r="Z35" s="266"/>
      <c r="AA35" s="332"/>
      <c r="AB35" s="332"/>
      <c r="AC35" s="332"/>
      <c r="AD35" s="332"/>
      <c r="AE35" s="332"/>
      <c r="AF35" s="332"/>
      <c r="AG35" s="332"/>
      <c r="AH35" s="332"/>
      <c r="AI35" s="332"/>
      <c r="AJ35" s="332"/>
      <c r="AK35" s="332"/>
      <c r="AL35" s="332"/>
      <c r="AM35" s="332"/>
      <c r="AN35" s="332"/>
      <c r="AO35" s="332"/>
      <c r="AP35" s="332"/>
      <c r="AQ35" s="332"/>
      <c r="AR35" s="332"/>
      <c r="AS35" s="332"/>
      <c r="AT35" s="332"/>
      <c r="AU35" s="332"/>
      <c r="AV35" s="332"/>
      <c r="AW35" s="332"/>
      <c r="AX35" s="332"/>
      <c r="AY35" s="332"/>
      <c r="AZ35" s="332"/>
      <c r="BA35" s="332"/>
      <c r="BB35" s="332"/>
      <c r="BC35" s="332"/>
      <c r="BD35" s="332"/>
      <c r="BE35" s="332"/>
      <c r="BF35" s="332"/>
      <c r="BG35" s="332"/>
      <c r="BH35" s="332"/>
      <c r="BI35" s="332"/>
      <c r="BJ35" s="332"/>
      <c r="BK35" s="332"/>
      <c r="BL35" s="332"/>
      <c r="BM35" s="332"/>
      <c r="BN35" s="332"/>
      <c r="BO35" s="332"/>
      <c r="BP35" s="332"/>
      <c r="BQ35" s="332"/>
      <c r="BR35" s="332"/>
      <c r="BS35" s="332"/>
      <c r="BT35" s="332"/>
      <c r="BU35" s="332"/>
      <c r="BV35" s="332"/>
      <c r="BW35" s="332"/>
      <c r="BX35" s="332"/>
      <c r="BY35" s="332"/>
      <c r="BZ35" s="332"/>
      <c r="CA35" s="332"/>
      <c r="CB35" s="332"/>
      <c r="CC35" s="332"/>
      <c r="CD35" s="332"/>
      <c r="CE35" s="332"/>
      <c r="CF35" s="332"/>
      <c r="CG35" s="332"/>
      <c r="CH35" s="332"/>
      <c r="CI35" s="332"/>
      <c r="CJ35" s="332"/>
      <c r="CK35" s="332"/>
      <c r="CL35" s="332"/>
    </row>
    <row r="36">
      <c r="A36" s="562" t="s">
        <v>2240</v>
      </c>
      <c r="B36" s="148"/>
      <c r="C36" s="148"/>
      <c r="D36" s="148"/>
      <c r="E36" s="148"/>
      <c r="F36" s="171"/>
      <c r="G36" s="263"/>
      <c r="H36" s="263"/>
      <c r="I36" s="266"/>
      <c r="J36" s="266"/>
      <c r="K36" s="266"/>
      <c r="L36" s="266"/>
      <c r="M36" s="266"/>
      <c r="N36" s="266"/>
      <c r="O36" s="266"/>
      <c r="P36" s="266"/>
      <c r="Q36" s="266"/>
      <c r="R36" s="266"/>
      <c r="S36" s="263"/>
      <c r="T36" s="266"/>
      <c r="U36" s="266"/>
      <c r="V36" s="266"/>
      <c r="W36" s="266"/>
      <c r="X36" s="266"/>
      <c r="Y36" s="266"/>
      <c r="Z36" s="266"/>
      <c r="AA36" s="332"/>
      <c r="AB36" s="332"/>
      <c r="AC36" s="332"/>
      <c r="AD36" s="332"/>
      <c r="AE36" s="332"/>
      <c r="AF36" s="332"/>
      <c r="AG36" s="332"/>
      <c r="AH36" s="332"/>
      <c r="AI36" s="332"/>
      <c r="AJ36" s="332"/>
      <c r="AK36" s="332"/>
      <c r="AL36" s="332"/>
      <c r="AM36" s="332"/>
      <c r="AN36" s="332"/>
      <c r="AO36" s="332"/>
      <c r="AP36" s="332"/>
      <c r="AQ36" s="332"/>
      <c r="AR36" s="332"/>
      <c r="AS36" s="332"/>
      <c r="AT36" s="332"/>
      <c r="AU36" s="332"/>
      <c r="AV36" s="332"/>
      <c r="AW36" s="332"/>
      <c r="AX36" s="332"/>
      <c r="AY36" s="332"/>
      <c r="AZ36" s="332"/>
      <c r="BA36" s="332"/>
      <c r="BB36" s="332"/>
      <c r="BC36" s="332"/>
      <c r="BD36" s="332"/>
      <c r="BE36" s="332"/>
      <c r="BF36" s="332"/>
      <c r="BG36" s="332"/>
      <c r="BH36" s="332"/>
      <c r="BI36" s="332"/>
      <c r="BJ36" s="332"/>
      <c r="BK36" s="332"/>
      <c r="BL36" s="332"/>
      <c r="BM36" s="332"/>
      <c r="BN36" s="332"/>
      <c r="BO36" s="332"/>
      <c r="BP36" s="332"/>
      <c r="BQ36" s="332"/>
      <c r="BR36" s="332"/>
      <c r="BS36" s="332"/>
      <c r="BT36" s="332"/>
      <c r="BU36" s="332"/>
      <c r="BV36" s="332"/>
      <c r="BW36" s="332"/>
      <c r="BX36" s="332"/>
      <c r="BY36" s="332"/>
      <c r="BZ36" s="332"/>
      <c r="CA36" s="332"/>
      <c r="CB36" s="332"/>
      <c r="CC36" s="332"/>
      <c r="CD36" s="332"/>
      <c r="CE36" s="332"/>
      <c r="CF36" s="332"/>
      <c r="CG36" s="332"/>
      <c r="CH36" s="332"/>
      <c r="CI36" s="332"/>
      <c r="CJ36" s="332"/>
      <c r="CK36" s="332"/>
      <c r="CL36" s="332"/>
    </row>
    <row r="37" outlineLevel="1">
      <c r="A37" s="158" t="str">
        <f t="shared" ref="A37:A49" si="4">IF(E37="","",$C$3&amp;"."&amp;COUNTA($E$8:E37)&amp;"")</f>
        <v>TC_06.24</v>
      </c>
      <c r="B37" s="267" t="s">
        <v>75</v>
      </c>
      <c r="C37" s="265" t="s">
        <v>2241</v>
      </c>
      <c r="D37" s="265" t="s">
        <v>2177</v>
      </c>
      <c r="E37" s="375" t="s">
        <v>2242</v>
      </c>
      <c r="F37" s="265" t="s">
        <v>2243</v>
      </c>
      <c r="G37" s="263"/>
      <c r="H37" s="263"/>
      <c r="I37" s="266"/>
      <c r="J37" s="266"/>
      <c r="K37" s="266"/>
      <c r="L37" s="266"/>
      <c r="M37" s="266"/>
      <c r="N37" s="266"/>
      <c r="O37" s="266"/>
      <c r="P37" s="266"/>
      <c r="Q37" s="266"/>
      <c r="R37" s="266"/>
      <c r="S37" s="263"/>
      <c r="T37" s="266"/>
      <c r="U37" s="266"/>
      <c r="V37" s="266"/>
      <c r="W37" s="266"/>
      <c r="X37" s="266"/>
      <c r="Y37" s="266"/>
      <c r="Z37" s="266"/>
      <c r="AA37" s="332"/>
      <c r="AB37" s="332"/>
      <c r="AC37" s="332"/>
      <c r="AD37" s="332"/>
      <c r="AE37" s="332"/>
      <c r="AF37" s="332"/>
      <c r="AG37" s="332"/>
      <c r="AH37" s="332"/>
      <c r="AI37" s="332"/>
      <c r="AJ37" s="332"/>
      <c r="AK37" s="332"/>
      <c r="AL37" s="332"/>
      <c r="AM37" s="332"/>
      <c r="AN37" s="332"/>
      <c r="AO37" s="332"/>
      <c r="AP37" s="332"/>
      <c r="AQ37" s="332"/>
      <c r="AR37" s="332"/>
      <c r="AS37" s="332"/>
      <c r="AT37" s="332"/>
      <c r="AU37" s="332"/>
      <c r="AV37" s="332"/>
      <c r="AW37" s="332"/>
      <c r="AX37" s="332"/>
      <c r="AY37" s="332"/>
      <c r="AZ37" s="332"/>
      <c r="BA37" s="332"/>
      <c r="BB37" s="332"/>
      <c r="BC37" s="332"/>
      <c r="BD37" s="332"/>
      <c r="BE37" s="332"/>
      <c r="BF37" s="332"/>
      <c r="BG37" s="332"/>
      <c r="BH37" s="332"/>
      <c r="BI37" s="332"/>
      <c r="BJ37" s="332"/>
      <c r="BK37" s="332"/>
      <c r="BL37" s="332"/>
      <c r="BM37" s="332"/>
      <c r="BN37" s="332"/>
      <c r="BO37" s="332"/>
      <c r="BP37" s="332"/>
      <c r="BQ37" s="332"/>
      <c r="BR37" s="332"/>
      <c r="BS37" s="332"/>
      <c r="BT37" s="332"/>
      <c r="BU37" s="332"/>
      <c r="BV37" s="332"/>
      <c r="BW37" s="332"/>
      <c r="BX37" s="332"/>
      <c r="BY37" s="332"/>
      <c r="BZ37" s="332"/>
      <c r="CA37" s="332"/>
      <c r="CB37" s="332"/>
      <c r="CC37" s="332"/>
      <c r="CD37" s="332"/>
      <c r="CE37" s="332"/>
      <c r="CF37" s="332"/>
      <c r="CG37" s="332"/>
      <c r="CH37" s="332"/>
      <c r="CI37" s="332"/>
      <c r="CJ37" s="332"/>
      <c r="CK37" s="332"/>
      <c r="CL37" s="332"/>
    </row>
    <row r="38" outlineLevel="1">
      <c r="A38" s="158" t="str">
        <f t="shared" si="4"/>
        <v>TC_06.25</v>
      </c>
      <c r="B38" s="267" t="s">
        <v>73</v>
      </c>
      <c r="C38" s="265" t="s">
        <v>2244</v>
      </c>
      <c r="D38" s="265" t="s">
        <v>2245</v>
      </c>
      <c r="E38" s="375" t="s">
        <v>2246</v>
      </c>
      <c r="F38" s="265" t="s">
        <v>2247</v>
      </c>
      <c r="G38" s="263"/>
      <c r="H38" s="263"/>
      <c r="I38" s="266"/>
      <c r="J38" s="266"/>
      <c r="K38" s="266"/>
      <c r="L38" s="266"/>
      <c r="M38" s="266"/>
      <c r="N38" s="266"/>
      <c r="O38" s="266"/>
      <c r="P38" s="266"/>
      <c r="Q38" s="266"/>
      <c r="R38" s="266"/>
      <c r="S38" s="263"/>
      <c r="T38" s="266"/>
      <c r="U38" s="266"/>
      <c r="V38" s="266"/>
      <c r="W38" s="266"/>
      <c r="X38" s="266"/>
      <c r="Y38" s="266"/>
      <c r="Z38" s="266"/>
      <c r="AA38" s="332"/>
      <c r="AB38" s="332"/>
      <c r="AC38" s="332"/>
      <c r="AD38" s="332"/>
      <c r="AE38" s="332"/>
      <c r="AF38" s="332"/>
      <c r="AG38" s="332"/>
      <c r="AH38" s="332"/>
      <c r="AI38" s="332"/>
      <c r="AJ38" s="332"/>
      <c r="AK38" s="332"/>
      <c r="AL38" s="332"/>
      <c r="AM38" s="332"/>
      <c r="AN38" s="332"/>
      <c r="AO38" s="332"/>
      <c r="AP38" s="332"/>
      <c r="AQ38" s="332"/>
      <c r="AR38" s="332"/>
      <c r="AS38" s="332"/>
      <c r="AT38" s="332"/>
      <c r="AU38" s="332"/>
      <c r="AV38" s="332"/>
      <c r="AW38" s="332"/>
      <c r="AX38" s="332"/>
      <c r="AY38" s="332"/>
      <c r="AZ38" s="332"/>
      <c r="BA38" s="332"/>
      <c r="BB38" s="332"/>
      <c r="BC38" s="332"/>
      <c r="BD38" s="332"/>
      <c r="BE38" s="332"/>
      <c r="BF38" s="332"/>
      <c r="BG38" s="332"/>
      <c r="BH38" s="332"/>
      <c r="BI38" s="332"/>
      <c r="BJ38" s="332"/>
      <c r="BK38" s="332"/>
      <c r="BL38" s="332"/>
      <c r="BM38" s="332"/>
      <c r="BN38" s="332"/>
      <c r="BO38" s="332"/>
      <c r="BP38" s="332"/>
      <c r="BQ38" s="332"/>
      <c r="BR38" s="332"/>
      <c r="BS38" s="332"/>
      <c r="BT38" s="332"/>
      <c r="BU38" s="332"/>
      <c r="BV38" s="332"/>
      <c r="BW38" s="332"/>
      <c r="BX38" s="332"/>
      <c r="BY38" s="332"/>
      <c r="BZ38" s="332"/>
      <c r="CA38" s="332"/>
      <c r="CB38" s="332"/>
      <c r="CC38" s="332"/>
      <c r="CD38" s="332"/>
      <c r="CE38" s="332"/>
      <c r="CF38" s="332"/>
      <c r="CG38" s="332"/>
      <c r="CH38" s="332"/>
      <c r="CI38" s="332"/>
      <c r="CJ38" s="332"/>
      <c r="CK38" s="332"/>
      <c r="CL38" s="332"/>
    </row>
    <row r="39" outlineLevel="1">
      <c r="A39" s="158" t="str">
        <f t="shared" si="4"/>
        <v>TC_06.26</v>
      </c>
      <c r="B39" s="267" t="s">
        <v>73</v>
      </c>
      <c r="C39" s="265" t="s">
        <v>2248</v>
      </c>
      <c r="D39" s="265" t="s">
        <v>2249</v>
      </c>
      <c r="E39" s="375" t="s">
        <v>2250</v>
      </c>
      <c r="F39" s="265" t="s">
        <v>2251</v>
      </c>
      <c r="G39" s="263"/>
      <c r="H39" s="263"/>
      <c r="I39" s="266"/>
      <c r="J39" s="266"/>
      <c r="K39" s="266"/>
      <c r="L39" s="266"/>
      <c r="M39" s="266"/>
      <c r="N39" s="266"/>
      <c r="O39" s="266"/>
      <c r="P39" s="266"/>
      <c r="Q39" s="266"/>
      <c r="R39" s="266"/>
      <c r="S39" s="263"/>
      <c r="T39" s="266"/>
      <c r="U39" s="266"/>
      <c r="V39" s="266"/>
      <c r="W39" s="266"/>
      <c r="X39" s="266"/>
      <c r="Y39" s="266"/>
      <c r="Z39" s="266"/>
      <c r="AA39" s="332"/>
      <c r="AB39" s="332"/>
      <c r="AC39" s="332"/>
      <c r="AD39" s="332"/>
      <c r="AE39" s="332"/>
      <c r="AF39" s="332"/>
      <c r="AG39" s="332"/>
      <c r="AH39" s="332"/>
      <c r="AI39" s="332"/>
      <c r="AJ39" s="332"/>
      <c r="AK39" s="332"/>
      <c r="AL39" s="332"/>
      <c r="AM39" s="332"/>
      <c r="AN39" s="332"/>
      <c r="AO39" s="332"/>
      <c r="AP39" s="332"/>
      <c r="AQ39" s="332"/>
      <c r="AR39" s="332"/>
      <c r="AS39" s="332"/>
      <c r="AT39" s="332"/>
      <c r="AU39" s="332"/>
      <c r="AV39" s="332"/>
      <c r="AW39" s="332"/>
      <c r="AX39" s="332"/>
      <c r="AY39" s="332"/>
      <c r="AZ39" s="332"/>
      <c r="BA39" s="332"/>
      <c r="BB39" s="332"/>
      <c r="BC39" s="332"/>
      <c r="BD39" s="332"/>
      <c r="BE39" s="332"/>
      <c r="BF39" s="332"/>
      <c r="BG39" s="332"/>
      <c r="BH39" s="332"/>
      <c r="BI39" s="332"/>
      <c r="BJ39" s="332"/>
      <c r="BK39" s="332"/>
      <c r="BL39" s="332"/>
      <c r="BM39" s="332"/>
      <c r="BN39" s="332"/>
      <c r="BO39" s="332"/>
      <c r="BP39" s="332"/>
      <c r="BQ39" s="332"/>
      <c r="BR39" s="332"/>
      <c r="BS39" s="332"/>
      <c r="BT39" s="332"/>
      <c r="BU39" s="332"/>
      <c r="BV39" s="332"/>
      <c r="BW39" s="332"/>
      <c r="BX39" s="332"/>
      <c r="BY39" s="332"/>
      <c r="BZ39" s="332"/>
      <c r="CA39" s="332"/>
      <c r="CB39" s="332"/>
      <c r="CC39" s="332"/>
      <c r="CD39" s="332"/>
      <c r="CE39" s="332"/>
      <c r="CF39" s="332"/>
      <c r="CG39" s="332"/>
      <c r="CH39" s="332"/>
      <c r="CI39" s="332"/>
      <c r="CJ39" s="332"/>
      <c r="CK39" s="332"/>
      <c r="CL39" s="332"/>
    </row>
    <row r="40" outlineLevel="1">
      <c r="A40" s="158" t="str">
        <f t="shared" si="4"/>
        <v>TC_06.27</v>
      </c>
      <c r="B40" s="267" t="s">
        <v>73</v>
      </c>
      <c r="C40" s="265" t="s">
        <v>2252</v>
      </c>
      <c r="D40" s="265" t="s">
        <v>2249</v>
      </c>
      <c r="E40" s="375" t="s">
        <v>2253</v>
      </c>
      <c r="F40" s="265" t="s">
        <v>2254</v>
      </c>
      <c r="G40" s="263"/>
      <c r="H40" s="263"/>
      <c r="I40" s="266"/>
      <c r="J40" s="266"/>
      <c r="K40" s="266"/>
      <c r="L40" s="266"/>
      <c r="M40" s="266"/>
      <c r="N40" s="266"/>
      <c r="O40" s="266"/>
      <c r="P40" s="266"/>
      <c r="Q40" s="266"/>
      <c r="R40" s="266"/>
      <c r="S40" s="263"/>
      <c r="T40" s="266"/>
      <c r="U40" s="266"/>
      <c r="V40" s="266"/>
      <c r="W40" s="266"/>
      <c r="X40" s="266"/>
      <c r="Y40" s="266"/>
      <c r="Z40" s="266"/>
      <c r="AA40" s="332"/>
      <c r="AB40" s="332"/>
      <c r="AC40" s="332"/>
      <c r="AD40" s="332"/>
      <c r="AE40" s="332"/>
      <c r="AF40" s="332"/>
      <c r="AG40" s="332"/>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2"/>
      <c r="BD40" s="332"/>
      <c r="BE40" s="332"/>
      <c r="BF40" s="332"/>
      <c r="BG40" s="332"/>
      <c r="BH40" s="332"/>
      <c r="BI40" s="332"/>
      <c r="BJ40" s="332"/>
      <c r="BK40" s="332"/>
      <c r="BL40" s="332"/>
      <c r="BM40" s="332"/>
      <c r="BN40" s="332"/>
      <c r="BO40" s="332"/>
      <c r="BP40" s="332"/>
      <c r="BQ40" s="332"/>
      <c r="BR40" s="332"/>
      <c r="BS40" s="332"/>
      <c r="BT40" s="332"/>
      <c r="BU40" s="332"/>
      <c r="BV40" s="332"/>
      <c r="BW40" s="332"/>
      <c r="BX40" s="332"/>
      <c r="BY40" s="332"/>
      <c r="BZ40" s="332"/>
      <c r="CA40" s="332"/>
      <c r="CB40" s="332"/>
      <c r="CC40" s="332"/>
      <c r="CD40" s="332"/>
      <c r="CE40" s="332"/>
      <c r="CF40" s="332"/>
      <c r="CG40" s="332"/>
      <c r="CH40" s="332"/>
      <c r="CI40" s="332"/>
      <c r="CJ40" s="332"/>
      <c r="CK40" s="332"/>
      <c r="CL40" s="332"/>
    </row>
    <row r="41" outlineLevel="1">
      <c r="A41" s="158" t="str">
        <f t="shared" si="4"/>
        <v>TC_06.28</v>
      </c>
      <c r="B41" s="267" t="s">
        <v>73</v>
      </c>
      <c r="C41" s="265" t="s">
        <v>2255</v>
      </c>
      <c r="D41" s="265" t="s">
        <v>2249</v>
      </c>
      <c r="E41" s="375" t="s">
        <v>2256</v>
      </c>
      <c r="F41" s="265" t="s">
        <v>2257</v>
      </c>
      <c r="G41" s="263"/>
      <c r="H41" s="263"/>
      <c r="I41" s="266"/>
      <c r="J41" s="266"/>
      <c r="K41" s="266"/>
      <c r="L41" s="266"/>
      <c r="M41" s="266"/>
      <c r="N41" s="266"/>
      <c r="O41" s="266"/>
      <c r="P41" s="266"/>
      <c r="Q41" s="266"/>
      <c r="R41" s="266"/>
      <c r="S41" s="263"/>
      <c r="T41" s="266"/>
      <c r="U41" s="266"/>
      <c r="V41" s="266"/>
      <c r="W41" s="266"/>
      <c r="X41" s="266"/>
      <c r="Y41" s="266"/>
      <c r="Z41" s="266"/>
      <c r="AA41" s="332"/>
      <c r="AB41" s="332"/>
      <c r="AC41" s="332"/>
      <c r="AD41" s="332"/>
      <c r="AE41" s="332"/>
      <c r="AF41" s="332"/>
      <c r="AG41" s="332"/>
      <c r="AH41" s="332"/>
      <c r="AI41" s="332"/>
      <c r="AJ41" s="332"/>
      <c r="AK41" s="332"/>
      <c r="AL41" s="332"/>
      <c r="AM41" s="332"/>
      <c r="AN41" s="332"/>
      <c r="AO41" s="332"/>
      <c r="AP41" s="332"/>
      <c r="AQ41" s="332"/>
      <c r="AR41" s="332"/>
      <c r="AS41" s="332"/>
      <c r="AT41" s="332"/>
      <c r="AU41" s="332"/>
      <c r="AV41" s="332"/>
      <c r="AW41" s="332"/>
      <c r="AX41" s="332"/>
      <c r="AY41" s="332"/>
      <c r="AZ41" s="332"/>
      <c r="BA41" s="332"/>
      <c r="BB41" s="332"/>
      <c r="BC41" s="332"/>
      <c r="BD41" s="332"/>
      <c r="BE41" s="332"/>
      <c r="BF41" s="332"/>
      <c r="BG41" s="332"/>
      <c r="BH41" s="332"/>
      <c r="BI41" s="332"/>
      <c r="BJ41" s="332"/>
      <c r="BK41" s="332"/>
      <c r="BL41" s="332"/>
      <c r="BM41" s="332"/>
      <c r="BN41" s="332"/>
      <c r="BO41" s="332"/>
      <c r="BP41" s="332"/>
      <c r="BQ41" s="332"/>
      <c r="BR41" s="332"/>
      <c r="BS41" s="332"/>
      <c r="BT41" s="332"/>
      <c r="BU41" s="332"/>
      <c r="BV41" s="332"/>
      <c r="BW41" s="332"/>
      <c r="BX41" s="332"/>
      <c r="BY41" s="332"/>
      <c r="BZ41" s="332"/>
      <c r="CA41" s="332"/>
      <c r="CB41" s="332"/>
      <c r="CC41" s="332"/>
      <c r="CD41" s="332"/>
      <c r="CE41" s="332"/>
      <c r="CF41" s="332"/>
      <c r="CG41" s="332"/>
      <c r="CH41" s="332"/>
      <c r="CI41" s="332"/>
      <c r="CJ41" s="332"/>
      <c r="CK41" s="332"/>
      <c r="CL41" s="332"/>
    </row>
    <row r="42" outlineLevel="1">
      <c r="A42" s="158" t="str">
        <f t="shared" si="4"/>
        <v>TC_06.29</v>
      </c>
      <c r="B42" s="267" t="s">
        <v>73</v>
      </c>
      <c r="C42" s="265" t="s">
        <v>2258</v>
      </c>
      <c r="D42" s="265" t="s">
        <v>2249</v>
      </c>
      <c r="E42" s="375" t="s">
        <v>2259</v>
      </c>
      <c r="F42" s="265" t="s">
        <v>2260</v>
      </c>
      <c r="G42" s="263"/>
      <c r="H42" s="263"/>
      <c r="I42" s="266"/>
      <c r="J42" s="266"/>
      <c r="K42" s="266"/>
      <c r="L42" s="266"/>
      <c r="M42" s="266"/>
      <c r="N42" s="266"/>
      <c r="O42" s="266"/>
      <c r="P42" s="266"/>
      <c r="Q42" s="266"/>
      <c r="R42" s="266"/>
      <c r="S42" s="263"/>
      <c r="T42" s="266"/>
      <c r="U42" s="266"/>
      <c r="V42" s="266"/>
      <c r="W42" s="266"/>
      <c r="X42" s="266"/>
      <c r="Y42" s="266"/>
      <c r="Z42" s="266"/>
      <c r="AA42" s="332"/>
      <c r="AB42" s="332"/>
      <c r="AC42" s="332"/>
      <c r="AD42" s="332"/>
      <c r="AE42" s="332"/>
      <c r="AF42" s="332"/>
      <c r="AG42" s="332"/>
      <c r="AH42" s="332"/>
      <c r="AI42" s="332"/>
      <c r="AJ42" s="332"/>
      <c r="AK42" s="332"/>
      <c r="AL42" s="332"/>
      <c r="AM42" s="332"/>
      <c r="AN42" s="332"/>
      <c r="AO42" s="332"/>
      <c r="AP42" s="332"/>
      <c r="AQ42" s="332"/>
      <c r="AR42" s="332"/>
      <c r="AS42" s="332"/>
      <c r="AT42" s="332"/>
      <c r="AU42" s="332"/>
      <c r="AV42" s="332"/>
      <c r="AW42" s="332"/>
      <c r="AX42" s="332"/>
      <c r="AY42" s="332"/>
      <c r="AZ42" s="332"/>
      <c r="BA42" s="332"/>
      <c r="BB42" s="332"/>
      <c r="BC42" s="332"/>
      <c r="BD42" s="332"/>
      <c r="BE42" s="332"/>
      <c r="BF42" s="332"/>
      <c r="BG42" s="332"/>
      <c r="BH42" s="332"/>
      <c r="BI42" s="332"/>
      <c r="BJ42" s="332"/>
      <c r="BK42" s="332"/>
      <c r="BL42" s="332"/>
      <c r="BM42" s="332"/>
      <c r="BN42" s="332"/>
      <c r="BO42" s="332"/>
      <c r="BP42" s="332"/>
      <c r="BQ42" s="332"/>
      <c r="BR42" s="332"/>
      <c r="BS42" s="332"/>
      <c r="BT42" s="332"/>
      <c r="BU42" s="332"/>
      <c r="BV42" s="332"/>
      <c r="BW42" s="332"/>
      <c r="BX42" s="332"/>
      <c r="BY42" s="332"/>
      <c r="BZ42" s="332"/>
      <c r="CA42" s="332"/>
      <c r="CB42" s="332"/>
      <c r="CC42" s="332"/>
      <c r="CD42" s="332"/>
      <c r="CE42" s="332"/>
      <c r="CF42" s="332"/>
      <c r="CG42" s="332"/>
      <c r="CH42" s="332"/>
      <c r="CI42" s="332"/>
      <c r="CJ42" s="332"/>
      <c r="CK42" s="332"/>
      <c r="CL42" s="332"/>
    </row>
    <row r="43" outlineLevel="1">
      <c r="A43" s="158" t="str">
        <f t="shared" si="4"/>
        <v>TC_06.30</v>
      </c>
      <c r="B43" s="267" t="s">
        <v>73</v>
      </c>
      <c r="C43" s="265" t="s">
        <v>2261</v>
      </c>
      <c r="D43" s="265" t="s">
        <v>2262</v>
      </c>
      <c r="E43" s="375" t="s">
        <v>2263</v>
      </c>
      <c r="F43" s="265" t="s">
        <v>2264</v>
      </c>
      <c r="G43" s="263"/>
      <c r="H43" s="263"/>
      <c r="I43" s="266"/>
      <c r="J43" s="266"/>
      <c r="K43" s="266"/>
      <c r="L43" s="266"/>
      <c r="M43" s="266"/>
      <c r="N43" s="266"/>
      <c r="O43" s="266"/>
      <c r="P43" s="266"/>
      <c r="Q43" s="266"/>
      <c r="R43" s="266"/>
      <c r="S43" s="263"/>
      <c r="T43" s="266"/>
      <c r="U43" s="266"/>
      <c r="V43" s="266"/>
      <c r="W43" s="266"/>
      <c r="X43" s="266"/>
      <c r="Y43" s="266"/>
      <c r="Z43" s="266"/>
      <c r="AA43" s="332"/>
      <c r="AB43" s="332"/>
      <c r="AC43" s="332"/>
      <c r="AD43" s="332"/>
      <c r="AE43" s="332"/>
      <c r="AF43" s="332"/>
      <c r="AG43" s="332"/>
      <c r="AH43" s="332"/>
      <c r="AI43" s="332"/>
      <c r="AJ43" s="332"/>
      <c r="AK43" s="332"/>
      <c r="AL43" s="332"/>
      <c r="AM43" s="332"/>
      <c r="AN43" s="332"/>
      <c r="AO43" s="332"/>
      <c r="AP43" s="332"/>
      <c r="AQ43" s="332"/>
      <c r="AR43" s="332"/>
      <c r="AS43" s="332"/>
      <c r="AT43" s="332"/>
      <c r="AU43" s="332"/>
      <c r="AV43" s="332"/>
      <c r="AW43" s="332"/>
      <c r="AX43" s="332"/>
      <c r="AY43" s="332"/>
      <c r="AZ43" s="332"/>
      <c r="BA43" s="332"/>
      <c r="BB43" s="332"/>
      <c r="BC43" s="332"/>
      <c r="BD43" s="332"/>
      <c r="BE43" s="332"/>
      <c r="BF43" s="332"/>
      <c r="BG43" s="332"/>
      <c r="BH43" s="332"/>
      <c r="BI43" s="332"/>
      <c r="BJ43" s="332"/>
      <c r="BK43" s="332"/>
      <c r="BL43" s="332"/>
      <c r="BM43" s="332"/>
      <c r="BN43" s="332"/>
      <c r="BO43" s="332"/>
      <c r="BP43" s="332"/>
      <c r="BQ43" s="332"/>
      <c r="BR43" s="332"/>
      <c r="BS43" s="332"/>
      <c r="BT43" s="332"/>
      <c r="BU43" s="332"/>
      <c r="BV43" s="332"/>
      <c r="BW43" s="332"/>
      <c r="BX43" s="332"/>
      <c r="BY43" s="332"/>
      <c r="BZ43" s="332"/>
      <c r="CA43" s="332"/>
      <c r="CB43" s="332"/>
      <c r="CC43" s="332"/>
      <c r="CD43" s="332"/>
      <c r="CE43" s="332"/>
      <c r="CF43" s="332"/>
      <c r="CG43" s="332"/>
      <c r="CH43" s="332"/>
      <c r="CI43" s="332"/>
      <c r="CJ43" s="332"/>
      <c r="CK43" s="332"/>
      <c r="CL43" s="332"/>
    </row>
    <row r="44" outlineLevel="1">
      <c r="A44" s="158" t="str">
        <f t="shared" si="4"/>
        <v>TC_06.31</v>
      </c>
      <c r="B44" s="267" t="s">
        <v>75</v>
      </c>
      <c r="C44" s="265" t="s">
        <v>2265</v>
      </c>
      <c r="D44" s="265" t="s">
        <v>2262</v>
      </c>
      <c r="E44" s="375" t="s">
        <v>2266</v>
      </c>
      <c r="F44" s="265" t="s">
        <v>2267</v>
      </c>
      <c r="G44" s="263"/>
      <c r="H44" s="263"/>
      <c r="I44" s="266"/>
      <c r="J44" s="266"/>
      <c r="K44" s="266"/>
      <c r="L44" s="266"/>
      <c r="M44" s="266"/>
      <c r="N44" s="266"/>
      <c r="O44" s="266"/>
      <c r="P44" s="266"/>
      <c r="Q44" s="266"/>
      <c r="R44" s="266"/>
      <c r="S44" s="263"/>
      <c r="T44" s="266"/>
      <c r="U44" s="266"/>
      <c r="V44" s="266"/>
      <c r="W44" s="266"/>
      <c r="X44" s="266"/>
      <c r="Y44" s="266"/>
      <c r="Z44" s="266"/>
      <c r="AA44" s="332"/>
      <c r="AB44" s="332"/>
      <c r="AC44" s="332"/>
      <c r="AD44" s="332"/>
      <c r="AE44" s="332"/>
      <c r="AF44" s="332"/>
      <c r="AG44" s="332"/>
      <c r="AH44" s="332"/>
      <c r="AI44" s="332"/>
      <c r="AJ44" s="332"/>
      <c r="AK44" s="332"/>
      <c r="AL44" s="332"/>
      <c r="AM44" s="332"/>
      <c r="AN44" s="332"/>
      <c r="AO44" s="332"/>
      <c r="AP44" s="332"/>
      <c r="AQ44" s="332"/>
      <c r="AR44" s="332"/>
      <c r="AS44" s="332"/>
      <c r="AT44" s="332"/>
      <c r="AU44" s="332"/>
      <c r="AV44" s="332"/>
      <c r="AW44" s="332"/>
      <c r="AX44" s="332"/>
      <c r="AY44" s="332"/>
      <c r="AZ44" s="332"/>
      <c r="BA44" s="332"/>
      <c r="BB44" s="332"/>
      <c r="BC44" s="332"/>
      <c r="BD44" s="332"/>
      <c r="BE44" s="332"/>
      <c r="BF44" s="332"/>
      <c r="BG44" s="332"/>
      <c r="BH44" s="332"/>
      <c r="BI44" s="332"/>
      <c r="BJ44" s="332"/>
      <c r="BK44" s="332"/>
      <c r="BL44" s="332"/>
      <c r="BM44" s="332"/>
      <c r="BN44" s="332"/>
      <c r="BO44" s="332"/>
      <c r="BP44" s="332"/>
      <c r="BQ44" s="332"/>
      <c r="BR44" s="332"/>
      <c r="BS44" s="332"/>
      <c r="BT44" s="332"/>
      <c r="BU44" s="332"/>
      <c r="BV44" s="332"/>
      <c r="BW44" s="332"/>
      <c r="BX44" s="332"/>
      <c r="BY44" s="332"/>
      <c r="BZ44" s="332"/>
      <c r="CA44" s="332"/>
      <c r="CB44" s="332"/>
      <c r="CC44" s="332"/>
      <c r="CD44" s="332"/>
      <c r="CE44" s="332"/>
      <c r="CF44" s="332"/>
      <c r="CG44" s="332"/>
      <c r="CH44" s="332"/>
      <c r="CI44" s="332"/>
      <c r="CJ44" s="332"/>
      <c r="CK44" s="332"/>
      <c r="CL44" s="332"/>
    </row>
    <row r="45" outlineLevel="1">
      <c r="A45" s="158" t="str">
        <f t="shared" si="4"/>
        <v>TC_06.32</v>
      </c>
      <c r="B45" s="267" t="s">
        <v>77</v>
      </c>
      <c r="C45" s="265" t="s">
        <v>2268</v>
      </c>
      <c r="D45" s="265" t="s">
        <v>2269</v>
      </c>
      <c r="E45" s="375" t="s">
        <v>2270</v>
      </c>
      <c r="F45" s="265" t="s">
        <v>2271</v>
      </c>
      <c r="G45" s="263"/>
      <c r="H45" s="263"/>
      <c r="I45" s="266"/>
      <c r="J45" s="266"/>
      <c r="K45" s="266"/>
      <c r="L45" s="266"/>
      <c r="M45" s="266"/>
      <c r="N45" s="266"/>
      <c r="O45" s="266"/>
      <c r="P45" s="266"/>
      <c r="Q45" s="266"/>
      <c r="R45" s="266"/>
      <c r="S45" s="263"/>
      <c r="T45" s="266"/>
      <c r="U45" s="266"/>
      <c r="V45" s="266"/>
      <c r="W45" s="266"/>
      <c r="X45" s="266"/>
      <c r="Y45" s="266"/>
      <c r="Z45" s="266"/>
      <c r="AA45" s="332"/>
      <c r="AB45" s="332"/>
      <c r="AC45" s="332"/>
      <c r="AD45" s="332"/>
      <c r="AE45" s="332"/>
      <c r="AF45" s="332"/>
      <c r="AG45" s="332"/>
      <c r="AH45" s="332"/>
      <c r="AI45" s="332"/>
      <c r="AJ45" s="332"/>
      <c r="AK45" s="332"/>
      <c r="AL45" s="332"/>
      <c r="AM45" s="332"/>
      <c r="AN45" s="332"/>
      <c r="AO45" s="332"/>
      <c r="AP45" s="332"/>
      <c r="AQ45" s="332"/>
      <c r="AR45" s="332"/>
      <c r="AS45" s="332"/>
      <c r="AT45" s="332"/>
      <c r="AU45" s="332"/>
      <c r="AV45" s="332"/>
      <c r="AW45" s="332"/>
      <c r="AX45" s="332"/>
      <c r="AY45" s="332"/>
      <c r="AZ45" s="332"/>
      <c r="BA45" s="332"/>
      <c r="BB45" s="332"/>
      <c r="BC45" s="332"/>
      <c r="BD45" s="332"/>
      <c r="BE45" s="332"/>
      <c r="BF45" s="332"/>
      <c r="BG45" s="332"/>
      <c r="BH45" s="332"/>
      <c r="BI45" s="332"/>
      <c r="BJ45" s="332"/>
      <c r="BK45" s="332"/>
      <c r="BL45" s="332"/>
      <c r="BM45" s="332"/>
      <c r="BN45" s="332"/>
      <c r="BO45" s="332"/>
      <c r="BP45" s="332"/>
      <c r="BQ45" s="332"/>
      <c r="BR45" s="332"/>
      <c r="BS45" s="332"/>
      <c r="BT45" s="332"/>
      <c r="BU45" s="332"/>
      <c r="BV45" s="332"/>
      <c r="BW45" s="332"/>
      <c r="BX45" s="332"/>
      <c r="BY45" s="332"/>
      <c r="BZ45" s="332"/>
      <c r="CA45" s="332"/>
      <c r="CB45" s="332"/>
      <c r="CC45" s="332"/>
      <c r="CD45" s="332"/>
      <c r="CE45" s="332"/>
      <c r="CF45" s="332"/>
      <c r="CG45" s="332"/>
      <c r="CH45" s="332"/>
      <c r="CI45" s="332"/>
      <c r="CJ45" s="332"/>
      <c r="CK45" s="332"/>
      <c r="CL45" s="332"/>
    </row>
    <row r="46" outlineLevel="1">
      <c r="A46" s="158" t="str">
        <f t="shared" si="4"/>
        <v>TC_06.33</v>
      </c>
      <c r="B46" s="267" t="s">
        <v>75</v>
      </c>
      <c r="C46" s="265" t="s">
        <v>2272</v>
      </c>
      <c r="D46" s="265" t="s">
        <v>2273</v>
      </c>
      <c r="E46" s="375" t="s">
        <v>2274</v>
      </c>
      <c r="F46" s="265" t="s">
        <v>2275</v>
      </c>
      <c r="G46" s="263"/>
      <c r="H46" s="263"/>
      <c r="I46" s="266"/>
      <c r="J46" s="266"/>
      <c r="K46" s="266"/>
      <c r="L46" s="266"/>
      <c r="M46" s="266"/>
      <c r="N46" s="266"/>
      <c r="O46" s="266"/>
      <c r="P46" s="266"/>
      <c r="Q46" s="266"/>
      <c r="R46" s="266"/>
      <c r="S46" s="263"/>
      <c r="T46" s="266"/>
      <c r="U46" s="266"/>
      <c r="V46" s="266"/>
      <c r="W46" s="266"/>
      <c r="X46" s="266"/>
      <c r="Y46" s="266"/>
      <c r="Z46" s="266"/>
      <c r="AA46" s="332"/>
      <c r="AB46" s="332"/>
      <c r="AC46" s="332"/>
      <c r="AD46" s="332"/>
      <c r="AE46" s="332"/>
      <c r="AF46" s="332"/>
      <c r="AG46" s="332"/>
      <c r="AH46" s="332"/>
      <c r="AI46" s="332"/>
      <c r="AJ46" s="332"/>
      <c r="AK46" s="332"/>
      <c r="AL46" s="332"/>
      <c r="AM46" s="332"/>
      <c r="AN46" s="332"/>
      <c r="AO46" s="332"/>
      <c r="AP46" s="332"/>
      <c r="AQ46" s="332"/>
      <c r="AR46" s="332"/>
      <c r="AS46" s="332"/>
      <c r="AT46" s="332"/>
      <c r="AU46" s="332"/>
      <c r="AV46" s="332"/>
      <c r="AW46" s="332"/>
      <c r="AX46" s="332"/>
      <c r="AY46" s="332"/>
      <c r="AZ46" s="332"/>
      <c r="BA46" s="332"/>
      <c r="BB46" s="332"/>
      <c r="BC46" s="332"/>
      <c r="BD46" s="332"/>
      <c r="BE46" s="332"/>
      <c r="BF46" s="332"/>
      <c r="BG46" s="332"/>
      <c r="BH46" s="332"/>
      <c r="BI46" s="332"/>
      <c r="BJ46" s="332"/>
      <c r="BK46" s="332"/>
      <c r="BL46" s="332"/>
      <c r="BM46" s="332"/>
      <c r="BN46" s="332"/>
      <c r="BO46" s="332"/>
      <c r="BP46" s="332"/>
      <c r="BQ46" s="332"/>
      <c r="BR46" s="332"/>
      <c r="BS46" s="332"/>
      <c r="BT46" s="332"/>
      <c r="BU46" s="332"/>
      <c r="BV46" s="332"/>
      <c r="BW46" s="332"/>
      <c r="BX46" s="332"/>
      <c r="BY46" s="332"/>
      <c r="BZ46" s="332"/>
      <c r="CA46" s="332"/>
      <c r="CB46" s="332"/>
      <c r="CC46" s="332"/>
      <c r="CD46" s="332"/>
      <c r="CE46" s="332"/>
      <c r="CF46" s="332"/>
      <c r="CG46" s="332"/>
      <c r="CH46" s="332"/>
      <c r="CI46" s="332"/>
      <c r="CJ46" s="332"/>
      <c r="CK46" s="332"/>
      <c r="CL46" s="332"/>
    </row>
    <row r="47" outlineLevel="1">
      <c r="A47" s="158" t="str">
        <f t="shared" si="4"/>
        <v>TC_06.34</v>
      </c>
      <c r="B47" s="267" t="s">
        <v>73</v>
      </c>
      <c r="C47" s="265" t="s">
        <v>2276</v>
      </c>
      <c r="D47" s="265" t="s">
        <v>2277</v>
      </c>
      <c r="E47" s="375" t="s">
        <v>2278</v>
      </c>
      <c r="F47" s="265" t="s">
        <v>2279</v>
      </c>
      <c r="G47" s="263"/>
      <c r="H47" s="263"/>
      <c r="I47" s="266"/>
      <c r="J47" s="266"/>
      <c r="K47" s="266"/>
      <c r="L47" s="266"/>
      <c r="M47" s="266"/>
      <c r="N47" s="266"/>
      <c r="O47" s="266"/>
      <c r="P47" s="266"/>
      <c r="Q47" s="266"/>
      <c r="R47" s="266"/>
      <c r="S47" s="263"/>
      <c r="T47" s="266"/>
      <c r="U47" s="266"/>
      <c r="V47" s="266"/>
      <c r="W47" s="266"/>
      <c r="X47" s="266"/>
      <c r="Y47" s="266"/>
      <c r="Z47" s="266"/>
      <c r="AA47" s="332"/>
      <c r="AB47" s="332"/>
      <c r="AC47" s="332"/>
      <c r="AD47" s="332"/>
      <c r="AE47" s="332"/>
      <c r="AF47" s="332"/>
      <c r="AG47" s="332"/>
      <c r="AH47" s="332"/>
      <c r="AI47" s="332"/>
      <c r="AJ47" s="332"/>
      <c r="AK47" s="332"/>
      <c r="AL47" s="332"/>
      <c r="AM47" s="332"/>
      <c r="AN47" s="332"/>
      <c r="AO47" s="332"/>
      <c r="AP47" s="332"/>
      <c r="AQ47" s="332"/>
      <c r="AR47" s="332"/>
      <c r="AS47" s="332"/>
      <c r="AT47" s="332"/>
      <c r="AU47" s="332"/>
      <c r="AV47" s="332"/>
      <c r="AW47" s="332"/>
      <c r="AX47" s="332"/>
      <c r="AY47" s="332"/>
      <c r="AZ47" s="332"/>
      <c r="BA47" s="332"/>
      <c r="BB47" s="332"/>
      <c r="BC47" s="332"/>
      <c r="BD47" s="332"/>
      <c r="BE47" s="332"/>
      <c r="BF47" s="332"/>
      <c r="BG47" s="332"/>
      <c r="BH47" s="332"/>
      <c r="BI47" s="332"/>
      <c r="BJ47" s="332"/>
      <c r="BK47" s="332"/>
      <c r="BL47" s="332"/>
      <c r="BM47" s="332"/>
      <c r="BN47" s="332"/>
      <c r="BO47" s="332"/>
      <c r="BP47" s="332"/>
      <c r="BQ47" s="332"/>
      <c r="BR47" s="332"/>
      <c r="BS47" s="332"/>
      <c r="BT47" s="332"/>
      <c r="BU47" s="332"/>
      <c r="BV47" s="332"/>
      <c r="BW47" s="332"/>
      <c r="BX47" s="332"/>
      <c r="BY47" s="332"/>
      <c r="BZ47" s="332"/>
      <c r="CA47" s="332"/>
      <c r="CB47" s="332"/>
      <c r="CC47" s="332"/>
      <c r="CD47" s="332"/>
      <c r="CE47" s="332"/>
      <c r="CF47" s="332"/>
      <c r="CG47" s="332"/>
      <c r="CH47" s="332"/>
      <c r="CI47" s="332"/>
      <c r="CJ47" s="332"/>
      <c r="CK47" s="332"/>
      <c r="CL47" s="332"/>
    </row>
    <row r="48" outlineLevel="1">
      <c r="A48" s="158" t="str">
        <f t="shared" si="4"/>
        <v>TC_06.35</v>
      </c>
      <c r="B48" s="267" t="s">
        <v>73</v>
      </c>
      <c r="C48" s="265" t="s">
        <v>2280</v>
      </c>
      <c r="D48" s="265" t="s">
        <v>2281</v>
      </c>
      <c r="E48" s="265" t="s">
        <v>2282</v>
      </c>
      <c r="F48" s="265" t="s">
        <v>2283</v>
      </c>
      <c r="G48" s="263"/>
      <c r="H48" s="263"/>
      <c r="I48" s="266"/>
      <c r="J48" s="266"/>
      <c r="K48" s="266"/>
      <c r="L48" s="266"/>
      <c r="M48" s="266"/>
      <c r="N48" s="266"/>
      <c r="O48" s="266"/>
      <c r="P48" s="266"/>
      <c r="Q48" s="266"/>
      <c r="R48" s="266"/>
      <c r="S48" s="263"/>
      <c r="T48" s="266"/>
      <c r="U48" s="266"/>
      <c r="V48" s="266"/>
      <c r="W48" s="266"/>
      <c r="X48" s="266"/>
      <c r="Y48" s="266"/>
      <c r="Z48" s="266"/>
      <c r="AA48" s="332"/>
      <c r="AB48" s="332"/>
      <c r="AC48" s="332"/>
      <c r="AD48" s="332"/>
      <c r="AE48" s="332"/>
      <c r="AF48" s="332"/>
      <c r="AG48" s="332"/>
      <c r="AH48" s="332"/>
      <c r="AI48" s="332"/>
      <c r="AJ48" s="332"/>
      <c r="AK48" s="332"/>
      <c r="AL48" s="332"/>
      <c r="AM48" s="332"/>
      <c r="AN48" s="332"/>
      <c r="AO48" s="332"/>
      <c r="AP48" s="332"/>
      <c r="AQ48" s="332"/>
      <c r="AR48" s="332"/>
      <c r="AS48" s="332"/>
      <c r="AT48" s="332"/>
      <c r="AU48" s="332"/>
      <c r="AV48" s="332"/>
      <c r="AW48" s="332"/>
      <c r="AX48" s="332"/>
      <c r="AY48" s="332"/>
      <c r="AZ48" s="332"/>
      <c r="BA48" s="332"/>
      <c r="BB48" s="332"/>
      <c r="BC48" s="332"/>
      <c r="BD48" s="332"/>
      <c r="BE48" s="332"/>
      <c r="BF48" s="332"/>
      <c r="BG48" s="332"/>
      <c r="BH48" s="332"/>
      <c r="BI48" s="332"/>
      <c r="BJ48" s="332"/>
      <c r="BK48" s="332"/>
      <c r="BL48" s="332"/>
      <c r="BM48" s="332"/>
      <c r="BN48" s="332"/>
      <c r="BO48" s="332"/>
      <c r="BP48" s="332"/>
      <c r="BQ48" s="332"/>
      <c r="BR48" s="332"/>
      <c r="BS48" s="332"/>
      <c r="BT48" s="332"/>
      <c r="BU48" s="332"/>
      <c r="BV48" s="332"/>
      <c r="BW48" s="332"/>
      <c r="BX48" s="332"/>
      <c r="BY48" s="332"/>
      <c r="BZ48" s="332"/>
      <c r="CA48" s="332"/>
      <c r="CB48" s="332"/>
      <c r="CC48" s="332"/>
      <c r="CD48" s="332"/>
      <c r="CE48" s="332"/>
      <c r="CF48" s="332"/>
      <c r="CG48" s="332"/>
      <c r="CH48" s="332"/>
      <c r="CI48" s="332"/>
      <c r="CJ48" s="332"/>
      <c r="CK48" s="332"/>
      <c r="CL48" s="332"/>
    </row>
    <row r="49" outlineLevel="1">
      <c r="A49" s="158" t="str">
        <f t="shared" si="4"/>
        <v>TC_06.36</v>
      </c>
      <c r="B49" s="267" t="s">
        <v>75</v>
      </c>
      <c r="C49" s="265" t="s">
        <v>2284</v>
      </c>
      <c r="D49" s="265" t="s">
        <v>2285</v>
      </c>
      <c r="E49" s="375" t="s">
        <v>2286</v>
      </c>
      <c r="F49" s="265" t="s">
        <v>2287</v>
      </c>
      <c r="G49" s="263"/>
      <c r="H49" s="263"/>
      <c r="I49" s="266"/>
      <c r="J49" s="266"/>
      <c r="K49" s="266"/>
      <c r="L49" s="266"/>
      <c r="M49" s="266"/>
      <c r="N49" s="266"/>
      <c r="O49" s="266"/>
      <c r="P49" s="266"/>
      <c r="Q49" s="266"/>
      <c r="R49" s="266"/>
      <c r="S49" s="263"/>
      <c r="T49" s="266"/>
      <c r="U49" s="266"/>
      <c r="V49" s="266"/>
      <c r="W49" s="266"/>
      <c r="X49" s="266"/>
      <c r="Y49" s="266"/>
      <c r="Z49" s="266"/>
      <c r="AA49" s="332"/>
      <c r="AB49" s="332"/>
      <c r="AC49" s="332"/>
      <c r="AD49" s="332"/>
      <c r="AE49" s="332"/>
      <c r="AF49" s="332"/>
      <c r="AG49" s="332"/>
      <c r="AH49" s="332"/>
      <c r="AI49" s="332"/>
      <c r="AJ49" s="332"/>
      <c r="AK49" s="332"/>
      <c r="AL49" s="332"/>
      <c r="AM49" s="332"/>
      <c r="AN49" s="332"/>
      <c r="AO49" s="332"/>
      <c r="AP49" s="332"/>
      <c r="AQ49" s="332"/>
      <c r="AR49" s="332"/>
      <c r="AS49" s="332"/>
      <c r="AT49" s="332"/>
      <c r="AU49" s="332"/>
      <c r="AV49" s="332"/>
      <c r="AW49" s="332"/>
      <c r="AX49" s="332"/>
      <c r="AY49" s="332"/>
      <c r="AZ49" s="332"/>
      <c r="BA49" s="332"/>
      <c r="BB49" s="332"/>
      <c r="BC49" s="332"/>
      <c r="BD49" s="332"/>
      <c r="BE49" s="332"/>
      <c r="BF49" s="332"/>
      <c r="BG49" s="332"/>
      <c r="BH49" s="332"/>
      <c r="BI49" s="332"/>
      <c r="BJ49" s="332"/>
      <c r="BK49" s="332"/>
      <c r="BL49" s="332"/>
      <c r="BM49" s="332"/>
      <c r="BN49" s="332"/>
      <c r="BO49" s="332"/>
      <c r="BP49" s="332"/>
      <c r="BQ49" s="332"/>
      <c r="BR49" s="332"/>
      <c r="BS49" s="332"/>
      <c r="BT49" s="332"/>
      <c r="BU49" s="332"/>
      <c r="BV49" s="332"/>
      <c r="BW49" s="332"/>
      <c r="BX49" s="332"/>
      <c r="BY49" s="332"/>
      <c r="BZ49" s="332"/>
      <c r="CA49" s="332"/>
      <c r="CB49" s="332"/>
      <c r="CC49" s="332"/>
      <c r="CD49" s="332"/>
      <c r="CE49" s="332"/>
      <c r="CF49" s="332"/>
      <c r="CG49" s="332"/>
      <c r="CH49" s="332"/>
      <c r="CI49" s="332"/>
      <c r="CJ49" s="332"/>
      <c r="CK49" s="332"/>
      <c r="CL49" s="332"/>
    </row>
    <row r="50">
      <c r="A50" s="562" t="s">
        <v>2288</v>
      </c>
      <c r="B50" s="148"/>
      <c r="C50" s="148"/>
      <c r="D50" s="148"/>
      <c r="E50" s="148"/>
      <c r="F50" s="171"/>
      <c r="G50" s="263"/>
      <c r="H50" s="263"/>
      <c r="I50" s="266"/>
      <c r="J50" s="266"/>
      <c r="K50" s="266"/>
      <c r="L50" s="266"/>
      <c r="M50" s="266"/>
      <c r="N50" s="266"/>
      <c r="O50" s="266"/>
      <c r="P50" s="266"/>
      <c r="Q50" s="266"/>
      <c r="R50" s="266"/>
      <c r="S50" s="263"/>
      <c r="T50" s="266"/>
      <c r="U50" s="266"/>
      <c r="V50" s="266"/>
      <c r="W50" s="266"/>
      <c r="X50" s="266"/>
      <c r="Y50" s="266"/>
      <c r="Z50" s="266"/>
      <c r="AA50" s="332"/>
      <c r="AB50" s="332"/>
      <c r="AC50" s="332"/>
      <c r="AD50" s="332"/>
      <c r="AE50" s="332"/>
      <c r="AF50" s="332"/>
      <c r="AG50" s="332"/>
      <c r="AH50" s="332"/>
      <c r="AI50" s="332"/>
      <c r="AJ50" s="332"/>
      <c r="AK50" s="332"/>
      <c r="AL50" s="332"/>
      <c r="AM50" s="332"/>
      <c r="AN50" s="332"/>
      <c r="AO50" s="332"/>
      <c r="AP50" s="332"/>
      <c r="AQ50" s="332"/>
      <c r="AR50" s="332"/>
      <c r="AS50" s="332"/>
      <c r="AT50" s="332"/>
      <c r="AU50" s="332"/>
      <c r="AV50" s="332"/>
      <c r="AW50" s="332"/>
      <c r="AX50" s="332"/>
      <c r="AY50" s="332"/>
      <c r="AZ50" s="332"/>
      <c r="BA50" s="332"/>
      <c r="BB50" s="332"/>
      <c r="BC50" s="332"/>
      <c r="BD50" s="332"/>
      <c r="BE50" s="332"/>
      <c r="BF50" s="332"/>
      <c r="BG50" s="332"/>
      <c r="BH50" s="332"/>
      <c r="BI50" s="332"/>
      <c r="BJ50" s="332"/>
      <c r="BK50" s="332"/>
      <c r="BL50" s="332"/>
      <c r="BM50" s="332"/>
      <c r="BN50" s="332"/>
      <c r="BO50" s="332"/>
      <c r="BP50" s="332"/>
      <c r="BQ50" s="332"/>
      <c r="BR50" s="332"/>
      <c r="BS50" s="332"/>
      <c r="BT50" s="332"/>
      <c r="BU50" s="332"/>
      <c r="BV50" s="332"/>
      <c r="BW50" s="332"/>
      <c r="BX50" s="332"/>
      <c r="BY50" s="332"/>
      <c r="BZ50" s="332"/>
      <c r="CA50" s="332"/>
      <c r="CB50" s="332"/>
      <c r="CC50" s="332"/>
      <c r="CD50" s="332"/>
      <c r="CE50" s="332"/>
      <c r="CF50" s="332"/>
      <c r="CG50" s="332"/>
      <c r="CH50" s="332"/>
      <c r="CI50" s="332"/>
      <c r="CJ50" s="332"/>
      <c r="CK50" s="332"/>
      <c r="CL50" s="332"/>
    </row>
    <row r="51" outlineLevel="1">
      <c r="A51" s="158" t="str">
        <f t="shared" ref="A51:A67" si="5">IF(E51="","",$C$3&amp;"."&amp;COUNTA($E$8:E51)&amp;"")</f>
        <v>TC_06.37</v>
      </c>
      <c r="B51" s="565" t="s">
        <v>75</v>
      </c>
      <c r="C51" s="566" t="s">
        <v>2289</v>
      </c>
      <c r="D51" s="566" t="s">
        <v>2290</v>
      </c>
      <c r="E51" s="561" t="s">
        <v>2291</v>
      </c>
      <c r="F51" s="566" t="s">
        <v>2292</v>
      </c>
      <c r="G51" s="263"/>
      <c r="H51" s="266"/>
      <c r="I51" s="266"/>
      <c r="J51" s="266"/>
      <c r="K51" s="266"/>
      <c r="L51" s="266"/>
      <c r="M51" s="266"/>
      <c r="N51" s="266"/>
      <c r="O51" s="266"/>
      <c r="P51" s="266"/>
      <c r="Q51" s="266"/>
      <c r="R51" s="266"/>
      <c r="S51" s="263"/>
      <c r="T51" s="266"/>
      <c r="U51" s="266"/>
      <c r="V51" s="266"/>
      <c r="W51" s="266"/>
      <c r="X51" s="266"/>
      <c r="Y51" s="266"/>
      <c r="Z51" s="266"/>
      <c r="AA51" s="332"/>
      <c r="AB51" s="332"/>
      <c r="AC51" s="332"/>
      <c r="AD51" s="332"/>
      <c r="AE51" s="332"/>
      <c r="AF51" s="332"/>
      <c r="AG51" s="332"/>
      <c r="AH51" s="332"/>
      <c r="AI51" s="332"/>
      <c r="AJ51" s="332"/>
      <c r="AK51" s="332"/>
      <c r="AL51" s="332"/>
      <c r="AM51" s="332"/>
      <c r="AN51" s="332"/>
      <c r="AO51" s="332"/>
      <c r="AP51" s="332"/>
      <c r="AQ51" s="332"/>
      <c r="AR51" s="332"/>
      <c r="AS51" s="332"/>
      <c r="AT51" s="332"/>
      <c r="AU51" s="332"/>
      <c r="AV51" s="332"/>
      <c r="AW51" s="332"/>
      <c r="AX51" s="332"/>
      <c r="AY51" s="332"/>
      <c r="AZ51" s="332"/>
      <c r="BA51" s="332"/>
      <c r="BB51" s="332"/>
      <c r="BC51" s="332"/>
      <c r="BD51" s="332"/>
      <c r="BE51" s="332"/>
      <c r="BF51" s="332"/>
      <c r="BG51" s="332"/>
      <c r="BH51" s="332"/>
      <c r="BI51" s="332"/>
      <c r="BJ51" s="332"/>
      <c r="BK51" s="332"/>
      <c r="BL51" s="332"/>
      <c r="BM51" s="332"/>
      <c r="BN51" s="332"/>
      <c r="BO51" s="332"/>
      <c r="BP51" s="332"/>
      <c r="BQ51" s="332"/>
      <c r="BR51" s="332"/>
      <c r="BS51" s="332"/>
      <c r="BT51" s="332"/>
      <c r="BU51" s="332"/>
      <c r="BV51" s="332"/>
      <c r="BW51" s="332"/>
      <c r="BX51" s="332"/>
      <c r="BY51" s="332"/>
      <c r="BZ51" s="332"/>
      <c r="CA51" s="332"/>
      <c r="CB51" s="332"/>
      <c r="CC51" s="332"/>
      <c r="CD51" s="332"/>
      <c r="CE51" s="332"/>
      <c r="CF51" s="332"/>
      <c r="CG51" s="332"/>
      <c r="CH51" s="332"/>
      <c r="CI51" s="332"/>
      <c r="CJ51" s="332"/>
      <c r="CK51" s="332"/>
      <c r="CL51" s="332"/>
    </row>
    <row r="52" outlineLevel="1">
      <c r="A52" s="158" t="str">
        <f t="shared" si="5"/>
        <v>TC_06.38</v>
      </c>
      <c r="B52" s="565" t="s">
        <v>75</v>
      </c>
      <c r="C52" s="561" t="s">
        <v>2293</v>
      </c>
      <c r="D52" s="566" t="s">
        <v>2290</v>
      </c>
      <c r="E52" s="561" t="s">
        <v>2291</v>
      </c>
      <c r="F52" s="561" t="s">
        <v>2294</v>
      </c>
      <c r="G52" s="263"/>
      <c r="H52" s="266"/>
      <c r="I52" s="266"/>
      <c r="J52" s="266"/>
      <c r="K52" s="266"/>
      <c r="L52" s="266"/>
      <c r="M52" s="266"/>
      <c r="N52" s="266"/>
      <c r="O52" s="266"/>
      <c r="P52" s="266"/>
      <c r="Q52" s="266"/>
      <c r="R52" s="266"/>
      <c r="S52" s="263"/>
      <c r="T52" s="266"/>
      <c r="U52" s="266"/>
      <c r="V52" s="266"/>
      <c r="W52" s="266"/>
      <c r="X52" s="266"/>
      <c r="Y52" s="266"/>
      <c r="Z52" s="266"/>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332"/>
      <c r="BL52" s="332"/>
      <c r="BM52" s="332"/>
      <c r="BN52" s="332"/>
      <c r="BO52" s="332"/>
      <c r="BP52" s="332"/>
      <c r="BQ52" s="332"/>
      <c r="BR52" s="332"/>
      <c r="BS52" s="332"/>
      <c r="BT52" s="332"/>
      <c r="BU52" s="332"/>
      <c r="BV52" s="332"/>
      <c r="BW52" s="332"/>
      <c r="BX52" s="332"/>
      <c r="BY52" s="332"/>
      <c r="BZ52" s="332"/>
      <c r="CA52" s="332"/>
      <c r="CB52" s="332"/>
      <c r="CC52" s="332"/>
      <c r="CD52" s="332"/>
      <c r="CE52" s="332"/>
      <c r="CF52" s="332"/>
      <c r="CG52" s="332"/>
      <c r="CH52" s="332"/>
      <c r="CI52" s="332"/>
      <c r="CJ52" s="332"/>
      <c r="CK52" s="332"/>
      <c r="CL52" s="332"/>
    </row>
    <row r="53" outlineLevel="1">
      <c r="A53" s="158" t="str">
        <f t="shared" si="5"/>
        <v>TC_06.39</v>
      </c>
      <c r="B53" s="565" t="s">
        <v>73</v>
      </c>
      <c r="C53" s="561" t="s">
        <v>2295</v>
      </c>
      <c r="D53" s="561" t="s">
        <v>2296</v>
      </c>
      <c r="E53" s="561" t="s">
        <v>2297</v>
      </c>
      <c r="F53" s="561" t="s">
        <v>2298</v>
      </c>
      <c r="G53" s="263"/>
      <c r="H53" s="263"/>
      <c r="I53" s="266"/>
      <c r="J53" s="266"/>
      <c r="K53" s="266"/>
      <c r="L53" s="266"/>
      <c r="M53" s="266"/>
      <c r="N53" s="266"/>
      <c r="O53" s="266"/>
      <c r="P53" s="266"/>
      <c r="Q53" s="266"/>
      <c r="R53" s="266"/>
      <c r="S53" s="263"/>
      <c r="T53" s="266"/>
      <c r="U53" s="266"/>
      <c r="V53" s="266"/>
      <c r="W53" s="266"/>
      <c r="X53" s="266"/>
      <c r="Y53" s="266"/>
      <c r="Z53" s="266"/>
      <c r="AA53" s="332"/>
      <c r="AB53" s="332"/>
      <c r="AC53" s="332"/>
      <c r="AD53" s="332"/>
      <c r="AE53" s="332"/>
      <c r="AF53" s="332"/>
      <c r="AG53" s="332"/>
      <c r="AH53" s="332"/>
      <c r="AI53" s="332"/>
      <c r="AJ53" s="332"/>
      <c r="AK53" s="332"/>
      <c r="AL53" s="332"/>
      <c r="AM53" s="332"/>
      <c r="AN53" s="332"/>
      <c r="AO53" s="332"/>
      <c r="AP53" s="332"/>
      <c r="AQ53" s="332"/>
      <c r="AR53" s="332"/>
      <c r="AS53" s="332"/>
      <c r="AT53" s="332"/>
      <c r="AU53" s="332"/>
      <c r="AV53" s="332"/>
      <c r="AW53" s="332"/>
      <c r="AX53" s="332"/>
      <c r="AY53" s="332"/>
      <c r="AZ53" s="332"/>
      <c r="BA53" s="332"/>
      <c r="BB53" s="332"/>
      <c r="BC53" s="332"/>
      <c r="BD53" s="332"/>
      <c r="BE53" s="332"/>
      <c r="BF53" s="332"/>
      <c r="BG53" s="332"/>
      <c r="BH53" s="332"/>
      <c r="BI53" s="332"/>
      <c r="BJ53" s="332"/>
      <c r="BK53" s="332"/>
      <c r="BL53" s="332"/>
      <c r="BM53" s="332"/>
      <c r="BN53" s="332"/>
      <c r="BO53" s="332"/>
      <c r="BP53" s="332"/>
      <c r="BQ53" s="332"/>
      <c r="BR53" s="332"/>
      <c r="BS53" s="332"/>
      <c r="BT53" s="332"/>
      <c r="BU53" s="332"/>
      <c r="BV53" s="332"/>
      <c r="BW53" s="332"/>
      <c r="BX53" s="332"/>
      <c r="BY53" s="332"/>
      <c r="BZ53" s="332"/>
      <c r="CA53" s="332"/>
      <c r="CB53" s="332"/>
      <c r="CC53" s="332"/>
      <c r="CD53" s="332"/>
      <c r="CE53" s="332"/>
      <c r="CF53" s="332"/>
      <c r="CG53" s="332"/>
      <c r="CH53" s="332"/>
      <c r="CI53" s="332"/>
      <c r="CJ53" s="332"/>
      <c r="CK53" s="332"/>
      <c r="CL53" s="332"/>
    </row>
    <row r="54" outlineLevel="1">
      <c r="A54" s="158" t="str">
        <f t="shared" si="5"/>
        <v>TC_06.40</v>
      </c>
      <c r="B54" s="565" t="s">
        <v>73</v>
      </c>
      <c r="C54" s="375" t="s">
        <v>2299</v>
      </c>
      <c r="D54" s="375" t="s">
        <v>2300</v>
      </c>
      <c r="E54" s="375" t="s">
        <v>2301</v>
      </c>
      <c r="F54" s="375" t="s">
        <v>2302</v>
      </c>
      <c r="G54" s="263"/>
      <c r="H54" s="263"/>
      <c r="I54" s="266"/>
      <c r="J54" s="266"/>
      <c r="K54" s="266"/>
      <c r="L54" s="266"/>
      <c r="M54" s="266"/>
      <c r="N54" s="266"/>
      <c r="O54" s="266"/>
      <c r="P54" s="266"/>
      <c r="Q54" s="266"/>
      <c r="R54" s="266"/>
      <c r="S54" s="263"/>
      <c r="T54" s="266"/>
      <c r="U54" s="266"/>
      <c r="V54" s="266"/>
      <c r="W54" s="266"/>
      <c r="X54" s="266"/>
      <c r="Y54" s="266"/>
      <c r="Z54" s="266"/>
      <c r="AA54" s="332"/>
      <c r="AB54" s="332"/>
      <c r="AC54" s="332"/>
      <c r="AD54" s="332"/>
      <c r="AE54" s="332"/>
      <c r="AF54" s="332"/>
      <c r="AG54" s="332"/>
      <c r="AH54" s="332"/>
      <c r="AI54" s="332"/>
      <c r="AJ54" s="332"/>
      <c r="AK54" s="332"/>
      <c r="AL54" s="332"/>
      <c r="AM54" s="332"/>
      <c r="AN54" s="332"/>
      <c r="AO54" s="332"/>
      <c r="AP54" s="332"/>
      <c r="AQ54" s="332"/>
      <c r="AR54" s="332"/>
      <c r="AS54" s="332"/>
      <c r="AT54" s="332"/>
      <c r="AU54" s="332"/>
      <c r="AV54" s="332"/>
      <c r="AW54" s="332"/>
      <c r="AX54" s="332"/>
      <c r="AY54" s="332"/>
      <c r="AZ54" s="332"/>
      <c r="BA54" s="332"/>
      <c r="BB54" s="332"/>
      <c r="BC54" s="332"/>
      <c r="BD54" s="332"/>
      <c r="BE54" s="332"/>
      <c r="BF54" s="332"/>
      <c r="BG54" s="332"/>
      <c r="BH54" s="332"/>
      <c r="BI54" s="332"/>
      <c r="BJ54" s="332"/>
      <c r="BK54" s="332"/>
      <c r="BL54" s="332"/>
      <c r="BM54" s="332"/>
      <c r="BN54" s="332"/>
      <c r="BO54" s="332"/>
      <c r="BP54" s="332"/>
      <c r="BQ54" s="332"/>
      <c r="BR54" s="332"/>
      <c r="BS54" s="332"/>
      <c r="BT54" s="332"/>
      <c r="BU54" s="332"/>
      <c r="BV54" s="332"/>
      <c r="BW54" s="332"/>
      <c r="BX54" s="332"/>
      <c r="BY54" s="332"/>
      <c r="BZ54" s="332"/>
      <c r="CA54" s="332"/>
      <c r="CB54" s="332"/>
      <c r="CC54" s="332"/>
      <c r="CD54" s="332"/>
      <c r="CE54" s="332"/>
      <c r="CF54" s="332"/>
      <c r="CG54" s="332"/>
      <c r="CH54" s="332"/>
      <c r="CI54" s="332"/>
      <c r="CJ54" s="332"/>
      <c r="CK54" s="332"/>
      <c r="CL54" s="332"/>
    </row>
    <row r="55" outlineLevel="1">
      <c r="A55" s="158" t="str">
        <f t="shared" si="5"/>
        <v>TC_06.41</v>
      </c>
      <c r="B55" s="565" t="s">
        <v>73</v>
      </c>
      <c r="C55" s="375" t="s">
        <v>2303</v>
      </c>
      <c r="D55" s="375" t="s">
        <v>2300</v>
      </c>
      <c r="E55" s="375" t="s">
        <v>2304</v>
      </c>
      <c r="F55" s="265" t="s">
        <v>2305</v>
      </c>
      <c r="G55" s="263"/>
      <c r="H55" s="263"/>
      <c r="I55" s="266"/>
      <c r="J55" s="266"/>
      <c r="K55" s="266"/>
      <c r="L55" s="266"/>
      <c r="M55" s="266"/>
      <c r="N55" s="266"/>
      <c r="O55" s="266"/>
      <c r="P55" s="266"/>
      <c r="Q55" s="266"/>
      <c r="R55" s="266"/>
      <c r="S55" s="263"/>
      <c r="T55" s="266"/>
      <c r="U55" s="266"/>
      <c r="V55" s="266"/>
      <c r="W55" s="266"/>
      <c r="X55" s="266"/>
      <c r="Y55" s="266"/>
      <c r="Z55" s="266"/>
      <c r="AA55" s="332"/>
      <c r="AB55" s="332"/>
      <c r="AC55" s="332"/>
      <c r="AD55" s="332"/>
      <c r="AE55" s="332"/>
      <c r="AF55" s="332"/>
      <c r="AG55" s="332"/>
      <c r="AH55" s="332"/>
      <c r="AI55" s="332"/>
      <c r="AJ55" s="332"/>
      <c r="AK55" s="332"/>
      <c r="AL55" s="332"/>
      <c r="AM55" s="332"/>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2"/>
      <c r="BK55" s="332"/>
      <c r="BL55" s="332"/>
      <c r="BM55" s="332"/>
      <c r="BN55" s="332"/>
      <c r="BO55" s="332"/>
      <c r="BP55" s="332"/>
      <c r="BQ55" s="332"/>
      <c r="BR55" s="332"/>
      <c r="BS55" s="332"/>
      <c r="BT55" s="332"/>
      <c r="BU55" s="332"/>
      <c r="BV55" s="332"/>
      <c r="BW55" s="332"/>
      <c r="BX55" s="332"/>
      <c r="BY55" s="332"/>
      <c r="BZ55" s="332"/>
      <c r="CA55" s="332"/>
      <c r="CB55" s="332"/>
      <c r="CC55" s="332"/>
      <c r="CD55" s="332"/>
      <c r="CE55" s="332"/>
      <c r="CF55" s="332"/>
      <c r="CG55" s="332"/>
      <c r="CH55" s="332"/>
      <c r="CI55" s="332"/>
      <c r="CJ55" s="332"/>
      <c r="CK55" s="332"/>
      <c r="CL55" s="332"/>
    </row>
    <row r="56" outlineLevel="1">
      <c r="A56" s="158" t="str">
        <f t="shared" si="5"/>
        <v>TC_06.42</v>
      </c>
      <c r="B56" s="565" t="s">
        <v>73</v>
      </c>
      <c r="C56" s="375" t="s">
        <v>2306</v>
      </c>
      <c r="D56" s="375" t="s">
        <v>2300</v>
      </c>
      <c r="E56" s="375" t="s">
        <v>2307</v>
      </c>
      <c r="F56" s="265" t="s">
        <v>2308</v>
      </c>
      <c r="G56" s="263"/>
      <c r="H56" s="263"/>
      <c r="I56" s="266"/>
      <c r="J56" s="266"/>
      <c r="K56" s="266"/>
      <c r="L56" s="266"/>
      <c r="M56" s="266"/>
      <c r="N56" s="266"/>
      <c r="O56" s="266"/>
      <c r="P56" s="266"/>
      <c r="Q56" s="266"/>
      <c r="R56" s="266"/>
      <c r="S56" s="263"/>
      <c r="T56" s="266"/>
      <c r="U56" s="266"/>
      <c r="V56" s="266"/>
      <c r="W56" s="266"/>
      <c r="X56" s="266"/>
      <c r="Y56" s="266"/>
      <c r="Z56" s="266"/>
      <c r="AA56" s="332"/>
      <c r="AB56" s="332"/>
      <c r="AC56" s="332"/>
      <c r="AD56" s="332"/>
      <c r="AE56" s="332"/>
      <c r="AF56" s="332"/>
      <c r="AG56" s="332"/>
      <c r="AH56" s="332"/>
      <c r="AI56" s="332"/>
      <c r="AJ56" s="332"/>
      <c r="AK56" s="332"/>
      <c r="AL56" s="332"/>
      <c r="AM56" s="332"/>
      <c r="AN56" s="332"/>
      <c r="AO56" s="332"/>
      <c r="AP56" s="332"/>
      <c r="AQ56" s="332"/>
      <c r="AR56" s="332"/>
      <c r="AS56" s="332"/>
      <c r="AT56" s="332"/>
      <c r="AU56" s="332"/>
      <c r="AV56" s="332"/>
      <c r="AW56" s="332"/>
      <c r="AX56" s="332"/>
      <c r="AY56" s="332"/>
      <c r="AZ56" s="332"/>
      <c r="BA56" s="332"/>
      <c r="BB56" s="332"/>
      <c r="BC56" s="332"/>
      <c r="BD56" s="332"/>
      <c r="BE56" s="332"/>
      <c r="BF56" s="332"/>
      <c r="BG56" s="332"/>
      <c r="BH56" s="332"/>
      <c r="BI56" s="332"/>
      <c r="BJ56" s="332"/>
      <c r="BK56" s="332"/>
      <c r="BL56" s="332"/>
      <c r="BM56" s="332"/>
      <c r="BN56" s="332"/>
      <c r="BO56" s="332"/>
      <c r="BP56" s="332"/>
      <c r="BQ56" s="332"/>
      <c r="BR56" s="332"/>
      <c r="BS56" s="332"/>
      <c r="BT56" s="332"/>
      <c r="BU56" s="332"/>
      <c r="BV56" s="332"/>
      <c r="BW56" s="332"/>
      <c r="BX56" s="332"/>
      <c r="BY56" s="332"/>
      <c r="BZ56" s="332"/>
      <c r="CA56" s="332"/>
      <c r="CB56" s="332"/>
      <c r="CC56" s="332"/>
      <c r="CD56" s="332"/>
      <c r="CE56" s="332"/>
      <c r="CF56" s="332"/>
      <c r="CG56" s="332"/>
      <c r="CH56" s="332"/>
      <c r="CI56" s="332"/>
      <c r="CJ56" s="332"/>
      <c r="CK56" s="332"/>
      <c r="CL56" s="332"/>
    </row>
    <row r="57" outlineLevel="1">
      <c r="A57" s="158" t="str">
        <f t="shared" si="5"/>
        <v>TC_06.43</v>
      </c>
      <c r="B57" s="565" t="s">
        <v>73</v>
      </c>
      <c r="C57" s="375" t="s">
        <v>2309</v>
      </c>
      <c r="D57" s="375" t="s">
        <v>2300</v>
      </c>
      <c r="E57" s="375" t="s">
        <v>2310</v>
      </c>
      <c r="F57" s="265" t="s">
        <v>2311</v>
      </c>
      <c r="G57" s="263"/>
      <c r="H57" s="263"/>
      <c r="I57" s="266"/>
      <c r="J57" s="266"/>
      <c r="K57" s="266"/>
      <c r="L57" s="266"/>
      <c r="M57" s="266"/>
      <c r="N57" s="266"/>
      <c r="O57" s="266"/>
      <c r="P57" s="266"/>
      <c r="Q57" s="266"/>
      <c r="R57" s="266"/>
      <c r="S57" s="263"/>
      <c r="T57" s="266"/>
      <c r="U57" s="266"/>
      <c r="V57" s="266"/>
      <c r="W57" s="266"/>
      <c r="X57" s="266"/>
      <c r="Y57" s="266"/>
      <c r="Z57" s="266"/>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332"/>
      <c r="BB57" s="332"/>
      <c r="BC57" s="332"/>
      <c r="BD57" s="332"/>
      <c r="BE57" s="332"/>
      <c r="BF57" s="332"/>
      <c r="BG57" s="332"/>
      <c r="BH57" s="332"/>
      <c r="BI57" s="332"/>
      <c r="BJ57" s="332"/>
      <c r="BK57" s="332"/>
      <c r="BL57" s="332"/>
      <c r="BM57" s="332"/>
      <c r="BN57" s="332"/>
      <c r="BO57" s="332"/>
      <c r="BP57" s="332"/>
      <c r="BQ57" s="332"/>
      <c r="BR57" s="332"/>
      <c r="BS57" s="332"/>
      <c r="BT57" s="332"/>
      <c r="BU57" s="332"/>
      <c r="BV57" s="332"/>
      <c r="BW57" s="332"/>
      <c r="BX57" s="332"/>
      <c r="BY57" s="332"/>
      <c r="BZ57" s="332"/>
      <c r="CA57" s="332"/>
      <c r="CB57" s="332"/>
      <c r="CC57" s="332"/>
      <c r="CD57" s="332"/>
      <c r="CE57" s="332"/>
      <c r="CF57" s="332"/>
      <c r="CG57" s="332"/>
      <c r="CH57" s="332"/>
      <c r="CI57" s="332"/>
      <c r="CJ57" s="332"/>
      <c r="CK57" s="332"/>
      <c r="CL57" s="332"/>
    </row>
    <row r="58" outlineLevel="1">
      <c r="A58" s="158" t="str">
        <f t="shared" si="5"/>
        <v>TC_06.44</v>
      </c>
      <c r="B58" s="565" t="s">
        <v>73</v>
      </c>
      <c r="C58" s="375" t="s">
        <v>2312</v>
      </c>
      <c r="D58" s="375" t="s">
        <v>2300</v>
      </c>
      <c r="E58" s="375" t="s">
        <v>2313</v>
      </c>
      <c r="F58" s="375" t="s">
        <v>2314</v>
      </c>
      <c r="G58" s="263"/>
      <c r="H58" s="263"/>
      <c r="I58" s="266"/>
      <c r="J58" s="266"/>
      <c r="K58" s="266"/>
      <c r="L58" s="266"/>
      <c r="M58" s="266"/>
      <c r="N58" s="266"/>
      <c r="O58" s="266"/>
      <c r="P58" s="266"/>
      <c r="Q58" s="266"/>
      <c r="R58" s="266"/>
      <c r="S58" s="263"/>
      <c r="T58" s="266"/>
      <c r="U58" s="266"/>
      <c r="V58" s="266"/>
      <c r="W58" s="266"/>
      <c r="X58" s="266"/>
      <c r="Y58" s="266"/>
      <c r="Z58" s="266"/>
      <c r="AA58" s="332"/>
      <c r="AB58" s="332"/>
      <c r="AC58" s="332"/>
      <c r="AD58" s="332"/>
      <c r="AE58" s="332"/>
      <c r="AF58" s="332"/>
      <c r="AG58" s="332"/>
      <c r="AH58" s="332"/>
      <c r="AI58" s="332"/>
      <c r="AJ58" s="332"/>
      <c r="AK58" s="332"/>
      <c r="AL58" s="332"/>
      <c r="AM58" s="332"/>
      <c r="AN58" s="332"/>
      <c r="AO58" s="332"/>
      <c r="AP58" s="332"/>
      <c r="AQ58" s="332"/>
      <c r="AR58" s="332"/>
      <c r="AS58" s="332"/>
      <c r="AT58" s="332"/>
      <c r="AU58" s="332"/>
      <c r="AV58" s="332"/>
      <c r="AW58" s="332"/>
      <c r="AX58" s="332"/>
      <c r="AY58" s="332"/>
      <c r="AZ58" s="332"/>
      <c r="BA58" s="332"/>
      <c r="BB58" s="332"/>
      <c r="BC58" s="332"/>
      <c r="BD58" s="332"/>
      <c r="BE58" s="332"/>
      <c r="BF58" s="332"/>
      <c r="BG58" s="332"/>
      <c r="BH58" s="332"/>
      <c r="BI58" s="332"/>
      <c r="BJ58" s="332"/>
      <c r="BK58" s="332"/>
      <c r="BL58" s="332"/>
      <c r="BM58" s="332"/>
      <c r="BN58" s="332"/>
      <c r="BO58" s="332"/>
      <c r="BP58" s="332"/>
      <c r="BQ58" s="332"/>
      <c r="BR58" s="332"/>
      <c r="BS58" s="332"/>
      <c r="BT58" s="332"/>
      <c r="BU58" s="332"/>
      <c r="BV58" s="332"/>
      <c r="BW58" s="332"/>
      <c r="BX58" s="332"/>
      <c r="BY58" s="332"/>
      <c r="BZ58" s="332"/>
      <c r="CA58" s="332"/>
      <c r="CB58" s="332"/>
      <c r="CC58" s="332"/>
      <c r="CD58" s="332"/>
      <c r="CE58" s="332"/>
      <c r="CF58" s="332"/>
      <c r="CG58" s="332"/>
      <c r="CH58" s="332"/>
      <c r="CI58" s="332"/>
      <c r="CJ58" s="332"/>
      <c r="CK58" s="332"/>
      <c r="CL58" s="332"/>
    </row>
    <row r="59" outlineLevel="1">
      <c r="A59" s="158" t="str">
        <f t="shared" si="5"/>
        <v>TC_06.45</v>
      </c>
      <c r="B59" s="565" t="s">
        <v>73</v>
      </c>
      <c r="C59" s="375" t="s">
        <v>2315</v>
      </c>
      <c r="D59" s="375" t="s">
        <v>2300</v>
      </c>
      <c r="E59" s="375" t="s">
        <v>2316</v>
      </c>
      <c r="F59" s="375" t="s">
        <v>2317</v>
      </c>
      <c r="G59" s="263"/>
      <c r="H59" s="263"/>
      <c r="I59" s="266"/>
      <c r="J59" s="266"/>
      <c r="K59" s="266"/>
      <c r="L59" s="266"/>
      <c r="M59" s="266"/>
      <c r="N59" s="266"/>
      <c r="O59" s="266"/>
      <c r="P59" s="266"/>
      <c r="Q59" s="266"/>
      <c r="R59" s="266"/>
      <c r="S59" s="263"/>
      <c r="T59" s="266"/>
      <c r="U59" s="266"/>
      <c r="V59" s="266"/>
      <c r="W59" s="266"/>
      <c r="X59" s="266"/>
      <c r="Y59" s="266"/>
      <c r="Z59" s="266"/>
      <c r="AA59" s="332"/>
      <c r="AB59" s="332"/>
      <c r="AC59" s="332"/>
      <c r="AD59" s="332"/>
      <c r="AE59" s="332"/>
      <c r="AF59" s="332"/>
      <c r="AG59" s="332"/>
      <c r="AH59" s="332"/>
      <c r="AI59" s="332"/>
      <c r="AJ59" s="332"/>
      <c r="AK59" s="332"/>
      <c r="AL59" s="332"/>
      <c r="AM59" s="332"/>
      <c r="AN59" s="332"/>
      <c r="AO59" s="332"/>
      <c r="AP59" s="332"/>
      <c r="AQ59" s="332"/>
      <c r="AR59" s="332"/>
      <c r="AS59" s="332"/>
      <c r="AT59" s="332"/>
      <c r="AU59" s="332"/>
      <c r="AV59" s="332"/>
      <c r="AW59" s="332"/>
      <c r="AX59" s="332"/>
      <c r="AY59" s="332"/>
      <c r="AZ59" s="332"/>
      <c r="BA59" s="332"/>
      <c r="BB59" s="332"/>
      <c r="BC59" s="332"/>
      <c r="BD59" s="332"/>
      <c r="BE59" s="332"/>
      <c r="BF59" s="332"/>
      <c r="BG59" s="332"/>
      <c r="BH59" s="332"/>
      <c r="BI59" s="332"/>
      <c r="BJ59" s="332"/>
      <c r="BK59" s="332"/>
      <c r="BL59" s="332"/>
      <c r="BM59" s="332"/>
      <c r="BN59" s="332"/>
      <c r="BO59" s="332"/>
      <c r="BP59" s="332"/>
      <c r="BQ59" s="332"/>
      <c r="BR59" s="332"/>
      <c r="BS59" s="332"/>
      <c r="BT59" s="332"/>
      <c r="BU59" s="332"/>
      <c r="BV59" s="332"/>
      <c r="BW59" s="332"/>
      <c r="BX59" s="332"/>
      <c r="BY59" s="332"/>
      <c r="BZ59" s="332"/>
      <c r="CA59" s="332"/>
      <c r="CB59" s="332"/>
      <c r="CC59" s="332"/>
      <c r="CD59" s="332"/>
      <c r="CE59" s="332"/>
      <c r="CF59" s="332"/>
      <c r="CG59" s="332"/>
      <c r="CH59" s="332"/>
      <c r="CI59" s="332"/>
      <c r="CJ59" s="332"/>
      <c r="CK59" s="332"/>
      <c r="CL59" s="332"/>
    </row>
    <row r="60" outlineLevel="1">
      <c r="A60" s="158" t="str">
        <f t="shared" si="5"/>
        <v>TC_06.46</v>
      </c>
      <c r="B60" s="565" t="s">
        <v>73</v>
      </c>
      <c r="C60" s="375" t="s">
        <v>2318</v>
      </c>
      <c r="D60" s="375" t="s">
        <v>2300</v>
      </c>
      <c r="E60" s="375" t="s">
        <v>2319</v>
      </c>
      <c r="F60" s="375" t="s">
        <v>2320</v>
      </c>
      <c r="G60" s="263"/>
      <c r="H60" s="263"/>
      <c r="I60" s="266"/>
      <c r="J60" s="266"/>
      <c r="K60" s="266"/>
      <c r="L60" s="266"/>
      <c r="M60" s="266"/>
      <c r="N60" s="266"/>
      <c r="O60" s="266"/>
      <c r="P60" s="266"/>
      <c r="Q60" s="266"/>
      <c r="R60" s="266"/>
      <c r="S60" s="263"/>
      <c r="T60" s="266"/>
      <c r="U60" s="266"/>
      <c r="V60" s="266"/>
      <c r="W60" s="266"/>
      <c r="X60" s="266"/>
      <c r="Y60" s="266"/>
      <c r="Z60" s="266"/>
      <c r="AA60" s="332"/>
      <c r="AB60" s="332"/>
      <c r="AC60" s="332"/>
      <c r="AD60" s="332"/>
      <c r="AE60" s="332"/>
      <c r="AF60" s="332"/>
      <c r="AG60" s="332"/>
      <c r="AH60" s="332"/>
      <c r="AI60" s="332"/>
      <c r="AJ60" s="332"/>
      <c r="AK60" s="332"/>
      <c r="AL60" s="332"/>
      <c r="AM60" s="332"/>
      <c r="AN60" s="332"/>
      <c r="AO60" s="332"/>
      <c r="AP60" s="332"/>
      <c r="AQ60" s="332"/>
      <c r="AR60" s="332"/>
      <c r="AS60" s="332"/>
      <c r="AT60" s="332"/>
      <c r="AU60" s="332"/>
      <c r="AV60" s="332"/>
      <c r="AW60" s="332"/>
      <c r="AX60" s="332"/>
      <c r="AY60" s="332"/>
      <c r="AZ60" s="332"/>
      <c r="BA60" s="332"/>
      <c r="BB60" s="332"/>
      <c r="BC60" s="332"/>
      <c r="BD60" s="332"/>
      <c r="BE60" s="332"/>
      <c r="BF60" s="332"/>
      <c r="BG60" s="332"/>
      <c r="BH60" s="332"/>
      <c r="BI60" s="332"/>
      <c r="BJ60" s="332"/>
      <c r="BK60" s="332"/>
      <c r="BL60" s="332"/>
      <c r="BM60" s="332"/>
      <c r="BN60" s="332"/>
      <c r="BO60" s="332"/>
      <c r="BP60" s="332"/>
      <c r="BQ60" s="332"/>
      <c r="BR60" s="332"/>
      <c r="BS60" s="332"/>
      <c r="BT60" s="332"/>
      <c r="BU60" s="332"/>
      <c r="BV60" s="332"/>
      <c r="BW60" s="332"/>
      <c r="BX60" s="332"/>
      <c r="BY60" s="332"/>
      <c r="BZ60" s="332"/>
      <c r="CA60" s="332"/>
      <c r="CB60" s="332"/>
      <c r="CC60" s="332"/>
      <c r="CD60" s="332"/>
      <c r="CE60" s="332"/>
      <c r="CF60" s="332"/>
      <c r="CG60" s="332"/>
      <c r="CH60" s="332"/>
      <c r="CI60" s="332"/>
      <c r="CJ60" s="332"/>
      <c r="CK60" s="332"/>
      <c r="CL60" s="332"/>
    </row>
    <row r="61" outlineLevel="1">
      <c r="A61" s="158" t="str">
        <f t="shared" si="5"/>
        <v>TC_06.47</v>
      </c>
      <c r="B61" s="565" t="s">
        <v>73</v>
      </c>
      <c r="C61" s="375" t="s">
        <v>2321</v>
      </c>
      <c r="D61" s="375" t="s">
        <v>2300</v>
      </c>
      <c r="E61" s="375" t="s">
        <v>2322</v>
      </c>
      <c r="F61" s="567" t="s">
        <v>2323</v>
      </c>
      <c r="G61" s="263"/>
      <c r="H61" s="263"/>
      <c r="I61" s="266"/>
      <c r="J61" s="266"/>
      <c r="K61" s="266"/>
      <c r="L61" s="266"/>
      <c r="M61" s="266"/>
      <c r="N61" s="266"/>
      <c r="O61" s="266"/>
      <c r="P61" s="266"/>
      <c r="Q61" s="266"/>
      <c r="R61" s="266"/>
      <c r="S61" s="263"/>
      <c r="T61" s="266"/>
      <c r="U61" s="266"/>
      <c r="V61" s="266"/>
      <c r="W61" s="266"/>
      <c r="X61" s="266"/>
      <c r="Y61" s="266"/>
      <c r="Z61" s="266"/>
      <c r="AA61" s="332"/>
      <c r="AB61" s="332"/>
      <c r="AC61" s="332"/>
      <c r="AD61" s="332"/>
      <c r="AE61" s="332"/>
      <c r="AF61" s="332"/>
      <c r="AG61" s="332"/>
      <c r="AH61" s="332"/>
      <c r="AI61" s="332"/>
      <c r="AJ61" s="332"/>
      <c r="AK61" s="332"/>
      <c r="AL61" s="332"/>
      <c r="AM61" s="332"/>
      <c r="AN61" s="332"/>
      <c r="AO61" s="332"/>
      <c r="AP61" s="332"/>
      <c r="AQ61" s="332"/>
      <c r="AR61" s="332"/>
      <c r="AS61" s="332"/>
      <c r="AT61" s="332"/>
      <c r="AU61" s="332"/>
      <c r="AV61" s="332"/>
      <c r="AW61" s="332"/>
      <c r="AX61" s="332"/>
      <c r="AY61" s="332"/>
      <c r="AZ61" s="332"/>
      <c r="BA61" s="332"/>
      <c r="BB61" s="332"/>
      <c r="BC61" s="332"/>
      <c r="BD61" s="332"/>
      <c r="BE61" s="332"/>
      <c r="BF61" s="332"/>
      <c r="BG61" s="332"/>
      <c r="BH61" s="332"/>
      <c r="BI61" s="332"/>
      <c r="BJ61" s="332"/>
      <c r="BK61" s="332"/>
      <c r="BL61" s="332"/>
      <c r="BM61" s="332"/>
      <c r="BN61" s="332"/>
      <c r="BO61" s="332"/>
      <c r="BP61" s="332"/>
      <c r="BQ61" s="332"/>
      <c r="BR61" s="332"/>
      <c r="BS61" s="332"/>
      <c r="BT61" s="332"/>
      <c r="BU61" s="332"/>
      <c r="BV61" s="332"/>
      <c r="BW61" s="332"/>
      <c r="BX61" s="332"/>
      <c r="BY61" s="332"/>
      <c r="BZ61" s="332"/>
      <c r="CA61" s="332"/>
      <c r="CB61" s="332"/>
      <c r="CC61" s="332"/>
      <c r="CD61" s="332"/>
      <c r="CE61" s="332"/>
      <c r="CF61" s="332"/>
      <c r="CG61" s="332"/>
      <c r="CH61" s="332"/>
      <c r="CI61" s="332"/>
      <c r="CJ61" s="332"/>
      <c r="CK61" s="332"/>
      <c r="CL61" s="332"/>
    </row>
    <row r="62" outlineLevel="1">
      <c r="A62" s="158" t="str">
        <f t="shared" si="5"/>
        <v>TC_06.48</v>
      </c>
      <c r="B62" s="565" t="s">
        <v>73</v>
      </c>
      <c r="C62" s="566" t="s">
        <v>2324</v>
      </c>
      <c r="D62" s="566" t="s">
        <v>2325</v>
      </c>
      <c r="E62" s="561" t="s">
        <v>2326</v>
      </c>
      <c r="F62" s="566" t="s">
        <v>2327</v>
      </c>
      <c r="G62" s="263"/>
      <c r="H62" s="263"/>
      <c r="I62" s="266"/>
      <c r="J62" s="266"/>
      <c r="K62" s="266"/>
      <c r="L62" s="266"/>
      <c r="M62" s="266"/>
      <c r="N62" s="266"/>
      <c r="O62" s="266"/>
      <c r="P62" s="266"/>
      <c r="Q62" s="266"/>
      <c r="R62" s="266"/>
      <c r="S62" s="263"/>
      <c r="T62" s="266"/>
      <c r="U62" s="266"/>
      <c r="V62" s="266"/>
      <c r="W62" s="266"/>
      <c r="X62" s="266"/>
      <c r="Y62" s="266"/>
      <c r="Z62" s="266"/>
      <c r="AA62" s="332"/>
      <c r="AB62" s="332"/>
      <c r="AC62" s="332"/>
      <c r="AD62" s="332"/>
      <c r="AE62" s="332"/>
      <c r="AF62" s="332"/>
      <c r="AG62" s="332"/>
      <c r="AH62" s="332"/>
      <c r="AI62" s="332"/>
      <c r="AJ62" s="332"/>
      <c r="AK62" s="332"/>
      <c r="AL62" s="332"/>
      <c r="AM62" s="332"/>
      <c r="AN62" s="332"/>
      <c r="AO62" s="332"/>
      <c r="AP62" s="332"/>
      <c r="AQ62" s="332"/>
      <c r="AR62" s="332"/>
      <c r="AS62" s="332"/>
      <c r="AT62" s="332"/>
      <c r="AU62" s="332"/>
      <c r="AV62" s="332"/>
      <c r="AW62" s="332"/>
      <c r="AX62" s="332"/>
      <c r="AY62" s="332"/>
      <c r="AZ62" s="332"/>
      <c r="BA62" s="332"/>
      <c r="BB62" s="332"/>
      <c r="BC62" s="332"/>
      <c r="BD62" s="332"/>
      <c r="BE62" s="332"/>
      <c r="BF62" s="332"/>
      <c r="BG62" s="332"/>
      <c r="BH62" s="332"/>
      <c r="BI62" s="332"/>
      <c r="BJ62" s="332"/>
      <c r="BK62" s="332"/>
      <c r="BL62" s="332"/>
      <c r="BM62" s="332"/>
      <c r="BN62" s="332"/>
      <c r="BO62" s="332"/>
      <c r="BP62" s="332"/>
      <c r="BQ62" s="332"/>
      <c r="BR62" s="332"/>
      <c r="BS62" s="332"/>
      <c r="BT62" s="332"/>
      <c r="BU62" s="332"/>
      <c r="BV62" s="332"/>
      <c r="BW62" s="332"/>
      <c r="BX62" s="332"/>
      <c r="BY62" s="332"/>
      <c r="BZ62" s="332"/>
      <c r="CA62" s="332"/>
      <c r="CB62" s="332"/>
      <c r="CC62" s="332"/>
      <c r="CD62" s="332"/>
      <c r="CE62" s="332"/>
      <c r="CF62" s="332"/>
      <c r="CG62" s="332"/>
      <c r="CH62" s="332"/>
      <c r="CI62" s="332"/>
      <c r="CJ62" s="332"/>
      <c r="CK62" s="332"/>
      <c r="CL62" s="332"/>
    </row>
    <row r="63" outlineLevel="1">
      <c r="A63" s="158" t="str">
        <f t="shared" si="5"/>
        <v>TC_06.49</v>
      </c>
      <c r="B63" s="565" t="s">
        <v>73</v>
      </c>
      <c r="C63" s="561" t="s">
        <v>2328</v>
      </c>
      <c r="D63" s="561" t="s">
        <v>2329</v>
      </c>
      <c r="E63" s="561" t="s">
        <v>2330</v>
      </c>
      <c r="F63" s="561" t="s">
        <v>2331</v>
      </c>
      <c r="G63" s="263"/>
      <c r="H63" s="263"/>
      <c r="I63" s="266"/>
      <c r="J63" s="266"/>
      <c r="K63" s="266"/>
      <c r="L63" s="266"/>
      <c r="M63" s="266"/>
      <c r="N63" s="266"/>
      <c r="O63" s="266"/>
      <c r="P63" s="266"/>
      <c r="Q63" s="266"/>
      <c r="R63" s="266"/>
      <c r="S63" s="263"/>
      <c r="T63" s="266"/>
      <c r="U63" s="266"/>
      <c r="V63" s="266"/>
      <c r="W63" s="266"/>
      <c r="X63" s="266"/>
      <c r="Y63" s="266"/>
      <c r="Z63" s="266"/>
      <c r="AA63" s="332"/>
      <c r="AB63" s="332"/>
      <c r="AC63" s="332"/>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2"/>
      <c r="BD63" s="332"/>
      <c r="BE63" s="332"/>
      <c r="BF63" s="332"/>
      <c r="BG63" s="332"/>
      <c r="BH63" s="332"/>
      <c r="BI63" s="332"/>
      <c r="BJ63" s="332"/>
      <c r="BK63" s="332"/>
      <c r="BL63" s="332"/>
      <c r="BM63" s="332"/>
      <c r="BN63" s="332"/>
      <c r="BO63" s="332"/>
      <c r="BP63" s="332"/>
      <c r="BQ63" s="332"/>
      <c r="BR63" s="332"/>
      <c r="BS63" s="332"/>
      <c r="BT63" s="332"/>
      <c r="BU63" s="332"/>
      <c r="BV63" s="332"/>
      <c r="BW63" s="332"/>
      <c r="BX63" s="332"/>
      <c r="BY63" s="332"/>
      <c r="BZ63" s="332"/>
      <c r="CA63" s="332"/>
      <c r="CB63" s="332"/>
      <c r="CC63" s="332"/>
      <c r="CD63" s="332"/>
      <c r="CE63" s="332"/>
      <c r="CF63" s="332"/>
      <c r="CG63" s="332"/>
      <c r="CH63" s="332"/>
      <c r="CI63" s="332"/>
      <c r="CJ63" s="332"/>
      <c r="CK63" s="332"/>
      <c r="CL63" s="332"/>
    </row>
    <row r="64" outlineLevel="1">
      <c r="A64" s="158" t="str">
        <f t="shared" si="5"/>
        <v>TC_06.50</v>
      </c>
      <c r="B64" s="565" t="s">
        <v>73</v>
      </c>
      <c r="C64" s="561" t="s">
        <v>2332</v>
      </c>
      <c r="D64" s="561" t="s">
        <v>2333</v>
      </c>
      <c r="E64" s="561" t="s">
        <v>2334</v>
      </c>
      <c r="F64" s="561" t="s">
        <v>2335</v>
      </c>
      <c r="G64" s="263"/>
      <c r="H64" s="263"/>
      <c r="I64" s="266"/>
      <c r="J64" s="266"/>
      <c r="K64" s="266"/>
      <c r="L64" s="266"/>
      <c r="M64" s="266"/>
      <c r="N64" s="266"/>
      <c r="O64" s="266"/>
      <c r="P64" s="266"/>
      <c r="Q64" s="266"/>
      <c r="R64" s="266"/>
      <c r="S64" s="263"/>
      <c r="T64" s="266"/>
      <c r="U64" s="266"/>
      <c r="V64" s="266"/>
      <c r="W64" s="266"/>
      <c r="X64" s="266"/>
      <c r="Y64" s="266"/>
      <c r="Z64" s="266"/>
      <c r="AA64" s="332"/>
      <c r="AB64" s="332"/>
      <c r="AC64" s="332"/>
      <c r="AD64" s="332"/>
      <c r="AE64" s="332"/>
      <c r="AF64" s="332"/>
      <c r="AG64" s="332"/>
      <c r="AH64" s="332"/>
      <c r="AI64" s="332"/>
      <c r="AJ64" s="332"/>
      <c r="AK64" s="332"/>
      <c r="AL64" s="332"/>
      <c r="AM64" s="332"/>
      <c r="AN64" s="332"/>
      <c r="AO64" s="332"/>
      <c r="AP64" s="332"/>
      <c r="AQ64" s="332"/>
      <c r="AR64" s="332"/>
      <c r="AS64" s="332"/>
      <c r="AT64" s="332"/>
      <c r="AU64" s="332"/>
      <c r="AV64" s="332"/>
      <c r="AW64" s="332"/>
      <c r="AX64" s="332"/>
      <c r="AY64" s="332"/>
      <c r="AZ64" s="332"/>
      <c r="BA64" s="332"/>
      <c r="BB64" s="332"/>
      <c r="BC64" s="332"/>
      <c r="BD64" s="332"/>
      <c r="BE64" s="332"/>
      <c r="BF64" s="332"/>
      <c r="BG64" s="332"/>
      <c r="BH64" s="332"/>
      <c r="BI64" s="332"/>
      <c r="BJ64" s="332"/>
      <c r="BK64" s="332"/>
      <c r="BL64" s="332"/>
      <c r="BM64" s="332"/>
      <c r="BN64" s="332"/>
      <c r="BO64" s="332"/>
      <c r="BP64" s="332"/>
      <c r="BQ64" s="332"/>
      <c r="BR64" s="332"/>
      <c r="BS64" s="332"/>
      <c r="BT64" s="332"/>
      <c r="BU64" s="332"/>
      <c r="BV64" s="332"/>
      <c r="BW64" s="332"/>
      <c r="BX64" s="332"/>
      <c r="BY64" s="332"/>
      <c r="BZ64" s="332"/>
      <c r="CA64" s="332"/>
      <c r="CB64" s="332"/>
      <c r="CC64" s="332"/>
      <c r="CD64" s="332"/>
      <c r="CE64" s="332"/>
      <c r="CF64" s="332"/>
      <c r="CG64" s="332"/>
      <c r="CH64" s="332"/>
      <c r="CI64" s="332"/>
      <c r="CJ64" s="332"/>
      <c r="CK64" s="332"/>
      <c r="CL64" s="332"/>
    </row>
    <row r="65" outlineLevel="1">
      <c r="A65" s="158" t="str">
        <f t="shared" si="5"/>
        <v>TC_06.51</v>
      </c>
      <c r="B65" s="565" t="s">
        <v>75</v>
      </c>
      <c r="C65" s="566" t="s">
        <v>2336</v>
      </c>
      <c r="D65" s="561" t="s">
        <v>2337</v>
      </c>
      <c r="E65" s="561" t="s">
        <v>2338</v>
      </c>
      <c r="F65" s="566" t="s">
        <v>2339</v>
      </c>
      <c r="G65" s="263"/>
      <c r="H65" s="263"/>
      <c r="I65" s="266"/>
      <c r="J65" s="266"/>
      <c r="K65" s="266"/>
      <c r="L65" s="266"/>
      <c r="M65" s="266"/>
      <c r="N65" s="266"/>
      <c r="O65" s="266"/>
      <c r="P65" s="266"/>
      <c r="Q65" s="266"/>
      <c r="R65" s="266"/>
      <c r="S65" s="263"/>
      <c r="T65" s="266"/>
      <c r="U65" s="266"/>
      <c r="V65" s="266"/>
      <c r="W65" s="266"/>
      <c r="X65" s="266"/>
      <c r="Y65" s="266"/>
      <c r="Z65" s="266"/>
      <c r="AA65" s="332"/>
      <c r="AB65" s="332"/>
      <c r="AC65" s="332"/>
      <c r="AD65" s="332"/>
      <c r="AE65" s="332"/>
      <c r="AF65" s="332"/>
      <c r="AG65" s="332"/>
      <c r="AH65" s="332"/>
      <c r="AI65" s="332"/>
      <c r="AJ65" s="332"/>
      <c r="AK65" s="332"/>
      <c r="AL65" s="332"/>
      <c r="AM65" s="332"/>
      <c r="AN65" s="332"/>
      <c r="AO65" s="332"/>
      <c r="AP65" s="332"/>
      <c r="AQ65" s="332"/>
      <c r="AR65" s="332"/>
      <c r="AS65" s="332"/>
      <c r="AT65" s="332"/>
      <c r="AU65" s="332"/>
      <c r="AV65" s="332"/>
      <c r="AW65" s="332"/>
      <c r="AX65" s="332"/>
      <c r="AY65" s="332"/>
      <c r="AZ65" s="332"/>
      <c r="BA65" s="332"/>
      <c r="BB65" s="332"/>
      <c r="BC65" s="332"/>
      <c r="BD65" s="332"/>
      <c r="BE65" s="332"/>
      <c r="BF65" s="332"/>
      <c r="BG65" s="332"/>
      <c r="BH65" s="332"/>
      <c r="BI65" s="332"/>
      <c r="BJ65" s="332"/>
      <c r="BK65" s="332"/>
      <c r="BL65" s="332"/>
      <c r="BM65" s="332"/>
      <c r="BN65" s="332"/>
      <c r="BO65" s="332"/>
      <c r="BP65" s="332"/>
      <c r="BQ65" s="332"/>
      <c r="BR65" s="332"/>
      <c r="BS65" s="332"/>
      <c r="BT65" s="332"/>
      <c r="BU65" s="332"/>
      <c r="BV65" s="332"/>
      <c r="BW65" s="332"/>
      <c r="BX65" s="332"/>
      <c r="BY65" s="332"/>
      <c r="BZ65" s="332"/>
      <c r="CA65" s="332"/>
      <c r="CB65" s="332"/>
      <c r="CC65" s="332"/>
      <c r="CD65" s="332"/>
      <c r="CE65" s="332"/>
      <c r="CF65" s="332"/>
      <c r="CG65" s="332"/>
      <c r="CH65" s="332"/>
      <c r="CI65" s="332"/>
      <c r="CJ65" s="332"/>
      <c r="CK65" s="332"/>
      <c r="CL65" s="332"/>
    </row>
    <row r="66" outlineLevel="1">
      <c r="A66" s="158" t="str">
        <f t="shared" si="5"/>
        <v>TC_06.52</v>
      </c>
      <c r="B66" s="565" t="s">
        <v>75</v>
      </c>
      <c r="C66" s="566" t="s">
        <v>2340</v>
      </c>
      <c r="D66" s="566" t="s">
        <v>2341</v>
      </c>
      <c r="E66" s="561" t="s">
        <v>2342</v>
      </c>
      <c r="F66" s="566" t="s">
        <v>2343</v>
      </c>
      <c r="G66" s="263"/>
      <c r="H66" s="263"/>
      <c r="I66" s="266"/>
      <c r="J66" s="266"/>
      <c r="K66" s="266"/>
      <c r="L66" s="266"/>
      <c r="M66" s="266"/>
      <c r="N66" s="266"/>
      <c r="O66" s="266"/>
      <c r="P66" s="266"/>
      <c r="Q66" s="266"/>
      <c r="R66" s="266"/>
      <c r="S66" s="263"/>
      <c r="T66" s="266"/>
      <c r="U66" s="266"/>
      <c r="V66" s="266"/>
      <c r="W66" s="266"/>
      <c r="X66" s="266"/>
      <c r="Y66" s="266"/>
      <c r="Z66" s="266"/>
      <c r="AA66" s="332"/>
      <c r="AB66" s="332"/>
      <c r="AC66" s="332"/>
      <c r="AD66" s="332"/>
      <c r="AE66" s="332"/>
      <c r="AF66" s="332"/>
      <c r="AG66" s="332"/>
      <c r="AH66" s="332"/>
      <c r="AI66" s="332"/>
      <c r="AJ66" s="332"/>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2"/>
      <c r="BL66" s="332"/>
      <c r="BM66" s="332"/>
      <c r="BN66" s="332"/>
      <c r="BO66" s="332"/>
      <c r="BP66" s="332"/>
      <c r="BQ66" s="332"/>
      <c r="BR66" s="332"/>
      <c r="BS66" s="332"/>
      <c r="BT66" s="332"/>
      <c r="BU66" s="332"/>
      <c r="BV66" s="332"/>
      <c r="BW66" s="332"/>
      <c r="BX66" s="332"/>
      <c r="BY66" s="332"/>
      <c r="BZ66" s="332"/>
      <c r="CA66" s="332"/>
      <c r="CB66" s="332"/>
      <c r="CC66" s="332"/>
      <c r="CD66" s="332"/>
      <c r="CE66" s="332"/>
      <c r="CF66" s="332"/>
      <c r="CG66" s="332"/>
      <c r="CH66" s="332"/>
      <c r="CI66" s="332"/>
      <c r="CJ66" s="332"/>
      <c r="CK66" s="332"/>
      <c r="CL66" s="332"/>
    </row>
    <row r="67" outlineLevel="1">
      <c r="A67" s="158" t="str">
        <f t="shared" si="5"/>
        <v>TC_06.53</v>
      </c>
      <c r="B67" s="565" t="s">
        <v>73</v>
      </c>
      <c r="C67" s="566" t="s">
        <v>2344</v>
      </c>
      <c r="D67" s="566" t="s">
        <v>2345</v>
      </c>
      <c r="E67" s="561" t="s">
        <v>2346</v>
      </c>
      <c r="F67" s="568" t="s">
        <v>2347</v>
      </c>
      <c r="G67" s="263"/>
      <c r="H67" s="566"/>
      <c r="I67" s="266"/>
      <c r="J67" s="266"/>
      <c r="K67" s="266"/>
      <c r="L67" s="266"/>
      <c r="M67" s="266"/>
      <c r="N67" s="266"/>
      <c r="O67" s="266"/>
      <c r="P67" s="266"/>
      <c r="Q67" s="266"/>
      <c r="R67" s="266"/>
      <c r="S67" s="263"/>
      <c r="T67" s="266"/>
      <c r="U67" s="266"/>
      <c r="V67" s="266"/>
      <c r="W67" s="266"/>
      <c r="X67" s="266"/>
      <c r="Y67" s="266"/>
      <c r="Z67" s="266"/>
      <c r="AA67" s="332"/>
      <c r="AB67" s="332"/>
      <c r="AC67" s="332"/>
      <c r="AD67" s="332"/>
      <c r="AE67" s="332"/>
      <c r="AF67" s="332"/>
      <c r="AG67" s="332"/>
      <c r="AH67" s="332"/>
      <c r="AI67" s="332"/>
      <c r="AJ67" s="332"/>
      <c r="AK67" s="332"/>
      <c r="AL67" s="332"/>
      <c r="AM67" s="332"/>
      <c r="AN67" s="332"/>
      <c r="AO67" s="332"/>
      <c r="AP67" s="332"/>
      <c r="AQ67" s="332"/>
      <c r="AR67" s="332"/>
      <c r="AS67" s="332"/>
      <c r="AT67" s="332"/>
      <c r="AU67" s="332"/>
      <c r="AV67" s="332"/>
      <c r="AW67" s="332"/>
      <c r="AX67" s="332"/>
      <c r="AY67" s="332"/>
      <c r="AZ67" s="332"/>
      <c r="BA67" s="332"/>
      <c r="BB67" s="332"/>
      <c r="BC67" s="332"/>
      <c r="BD67" s="332"/>
      <c r="BE67" s="332"/>
      <c r="BF67" s="332"/>
      <c r="BG67" s="332"/>
      <c r="BH67" s="332"/>
      <c r="BI67" s="332"/>
      <c r="BJ67" s="332"/>
      <c r="BK67" s="332"/>
      <c r="BL67" s="332"/>
      <c r="BM67" s="332"/>
      <c r="BN67" s="332"/>
      <c r="BO67" s="332"/>
      <c r="BP67" s="332"/>
      <c r="BQ67" s="332"/>
      <c r="BR67" s="332"/>
      <c r="BS67" s="332"/>
      <c r="BT67" s="332"/>
      <c r="BU67" s="332"/>
      <c r="BV67" s="332"/>
      <c r="BW67" s="332"/>
      <c r="BX67" s="332"/>
      <c r="BY67" s="332"/>
      <c r="BZ67" s="332"/>
      <c r="CA67" s="332"/>
      <c r="CB67" s="332"/>
      <c r="CC67" s="332"/>
      <c r="CD67" s="332"/>
      <c r="CE67" s="332"/>
      <c r="CF67" s="332"/>
      <c r="CG67" s="332"/>
      <c r="CH67" s="332"/>
      <c r="CI67" s="332"/>
      <c r="CJ67" s="332"/>
      <c r="CK67" s="332"/>
      <c r="CL67" s="332"/>
    </row>
    <row r="68">
      <c r="A68" s="562" t="s">
        <v>2348</v>
      </c>
      <c r="B68" s="148"/>
      <c r="C68" s="148"/>
      <c r="D68" s="148"/>
      <c r="E68" s="148"/>
      <c r="F68" s="171"/>
      <c r="G68" s="263"/>
      <c r="H68" s="263"/>
      <c r="I68" s="266"/>
      <c r="J68" s="266"/>
      <c r="K68" s="266"/>
      <c r="L68" s="266"/>
      <c r="M68" s="266"/>
      <c r="N68" s="266"/>
      <c r="O68" s="266"/>
      <c r="P68" s="266"/>
      <c r="Q68" s="266"/>
      <c r="R68" s="266"/>
      <c r="S68" s="263"/>
      <c r="T68" s="266"/>
      <c r="U68" s="266"/>
      <c r="V68" s="266"/>
      <c r="W68" s="266"/>
      <c r="X68" s="266"/>
      <c r="Y68" s="266"/>
      <c r="Z68" s="266"/>
      <c r="AA68" s="332"/>
      <c r="AB68" s="332"/>
      <c r="AC68" s="332"/>
      <c r="AD68" s="332"/>
      <c r="AE68" s="332"/>
      <c r="AF68" s="332"/>
      <c r="AG68" s="332"/>
      <c r="AH68" s="332"/>
      <c r="AI68" s="332"/>
      <c r="AJ68" s="332"/>
      <c r="AK68" s="332"/>
      <c r="AL68" s="332"/>
      <c r="AM68" s="332"/>
      <c r="AN68" s="332"/>
      <c r="AO68" s="332"/>
      <c r="AP68" s="332"/>
      <c r="AQ68" s="332"/>
      <c r="AR68" s="332"/>
      <c r="AS68" s="332"/>
      <c r="AT68" s="332"/>
      <c r="AU68" s="332"/>
      <c r="AV68" s="332"/>
      <c r="AW68" s="332"/>
      <c r="AX68" s="332"/>
      <c r="AY68" s="332"/>
      <c r="AZ68" s="332"/>
      <c r="BA68" s="332"/>
      <c r="BB68" s="332"/>
      <c r="BC68" s="332"/>
      <c r="BD68" s="332"/>
      <c r="BE68" s="332"/>
      <c r="BF68" s="332"/>
      <c r="BG68" s="332"/>
      <c r="BH68" s="332"/>
      <c r="BI68" s="332"/>
      <c r="BJ68" s="332"/>
      <c r="BK68" s="332"/>
      <c r="BL68" s="332"/>
      <c r="BM68" s="332"/>
      <c r="BN68" s="332"/>
      <c r="BO68" s="332"/>
      <c r="BP68" s="332"/>
      <c r="BQ68" s="332"/>
      <c r="BR68" s="332"/>
      <c r="BS68" s="332"/>
      <c r="BT68" s="332"/>
      <c r="BU68" s="332"/>
      <c r="BV68" s="332"/>
      <c r="BW68" s="332"/>
      <c r="BX68" s="332"/>
      <c r="BY68" s="332"/>
      <c r="BZ68" s="332"/>
      <c r="CA68" s="332"/>
      <c r="CB68" s="332"/>
      <c r="CC68" s="332"/>
      <c r="CD68" s="332"/>
      <c r="CE68" s="332"/>
      <c r="CF68" s="332"/>
      <c r="CG68" s="332"/>
      <c r="CH68" s="332"/>
      <c r="CI68" s="332"/>
      <c r="CJ68" s="332"/>
      <c r="CK68" s="332"/>
      <c r="CL68" s="332"/>
    </row>
    <row r="69" outlineLevel="1">
      <c r="A69" s="158" t="str">
        <f t="shared" ref="A69:A93" si="6">IF(E69="","",$C$3&amp;"."&amp;COUNTA($E$8:E69)&amp;"")</f>
        <v>TC_06.54</v>
      </c>
      <c r="B69" s="267" t="s">
        <v>75</v>
      </c>
      <c r="C69" s="265" t="s">
        <v>2349</v>
      </c>
      <c r="D69" s="265" t="s">
        <v>2350</v>
      </c>
      <c r="E69" s="375" t="s">
        <v>2351</v>
      </c>
      <c r="F69" s="265" t="s">
        <v>2352</v>
      </c>
      <c r="G69" s="263"/>
      <c r="H69" s="263"/>
      <c r="I69" s="266"/>
      <c r="J69" s="266"/>
      <c r="K69" s="266"/>
      <c r="L69" s="266"/>
      <c r="M69" s="266"/>
      <c r="N69" s="266"/>
      <c r="O69" s="266"/>
      <c r="P69" s="266"/>
      <c r="Q69" s="266"/>
      <c r="R69" s="266"/>
      <c r="S69" s="263"/>
      <c r="T69" s="266"/>
      <c r="U69" s="266"/>
      <c r="V69" s="266"/>
      <c r="W69" s="266"/>
      <c r="X69" s="266"/>
      <c r="Y69" s="266"/>
      <c r="Z69" s="266"/>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2"/>
      <c r="BN69" s="332"/>
      <c r="BO69" s="332"/>
      <c r="BP69" s="332"/>
      <c r="BQ69" s="332"/>
      <c r="BR69" s="332"/>
      <c r="BS69" s="332"/>
      <c r="BT69" s="332"/>
      <c r="BU69" s="332"/>
      <c r="BV69" s="332"/>
      <c r="BW69" s="332"/>
      <c r="BX69" s="332"/>
      <c r="BY69" s="332"/>
      <c r="BZ69" s="332"/>
      <c r="CA69" s="332"/>
      <c r="CB69" s="332"/>
      <c r="CC69" s="332"/>
      <c r="CD69" s="332"/>
      <c r="CE69" s="332"/>
      <c r="CF69" s="332"/>
      <c r="CG69" s="332"/>
      <c r="CH69" s="332"/>
      <c r="CI69" s="332"/>
      <c r="CJ69" s="332"/>
      <c r="CK69" s="332"/>
      <c r="CL69" s="332"/>
    </row>
    <row r="70" outlineLevel="1">
      <c r="A70" s="158" t="str">
        <f t="shared" si="6"/>
        <v>TC_06.55</v>
      </c>
      <c r="B70" s="267" t="s">
        <v>73</v>
      </c>
      <c r="C70" s="265" t="s">
        <v>2353</v>
      </c>
      <c r="D70" s="265" t="s">
        <v>2354</v>
      </c>
      <c r="E70" s="375" t="s">
        <v>2355</v>
      </c>
      <c r="F70" s="375" t="s">
        <v>2356</v>
      </c>
      <c r="G70" s="263"/>
      <c r="H70" s="263"/>
      <c r="I70" s="266"/>
      <c r="J70" s="266"/>
      <c r="K70" s="266"/>
      <c r="L70" s="266"/>
      <c r="M70" s="266"/>
      <c r="N70" s="266"/>
      <c r="O70" s="266"/>
      <c r="P70" s="266"/>
      <c r="Q70" s="266"/>
      <c r="R70" s="266"/>
      <c r="S70" s="263"/>
      <c r="T70" s="266"/>
      <c r="U70" s="266"/>
      <c r="V70" s="266"/>
      <c r="W70" s="266"/>
      <c r="X70" s="266"/>
      <c r="Y70" s="266"/>
      <c r="Z70" s="266"/>
      <c r="AA70" s="332"/>
      <c r="AB70" s="332"/>
      <c r="AC70" s="332"/>
      <c r="AD70" s="332"/>
      <c r="AE70" s="332"/>
      <c r="AF70" s="332"/>
      <c r="AG70" s="332"/>
      <c r="AH70" s="332"/>
      <c r="AI70" s="332"/>
      <c r="AJ70" s="332"/>
      <c r="AK70" s="332"/>
      <c r="AL70" s="332"/>
      <c r="AM70" s="332"/>
      <c r="AN70" s="332"/>
      <c r="AO70" s="332"/>
      <c r="AP70" s="332"/>
      <c r="AQ70" s="332"/>
      <c r="AR70" s="332"/>
      <c r="AS70" s="332"/>
      <c r="AT70" s="332"/>
      <c r="AU70" s="332"/>
      <c r="AV70" s="332"/>
      <c r="AW70" s="332"/>
      <c r="AX70" s="332"/>
      <c r="AY70" s="332"/>
      <c r="AZ70" s="332"/>
      <c r="BA70" s="332"/>
      <c r="BB70" s="332"/>
      <c r="BC70" s="332"/>
      <c r="BD70" s="332"/>
      <c r="BE70" s="332"/>
      <c r="BF70" s="332"/>
      <c r="BG70" s="332"/>
      <c r="BH70" s="332"/>
      <c r="BI70" s="332"/>
      <c r="BJ70" s="332"/>
      <c r="BK70" s="332"/>
      <c r="BL70" s="332"/>
      <c r="BM70" s="332"/>
      <c r="BN70" s="332"/>
      <c r="BO70" s="332"/>
      <c r="BP70" s="332"/>
      <c r="BQ70" s="332"/>
      <c r="BR70" s="332"/>
      <c r="BS70" s="332"/>
      <c r="BT70" s="332"/>
      <c r="BU70" s="332"/>
      <c r="BV70" s="332"/>
      <c r="BW70" s="332"/>
      <c r="BX70" s="332"/>
      <c r="BY70" s="332"/>
      <c r="BZ70" s="332"/>
      <c r="CA70" s="332"/>
      <c r="CB70" s="332"/>
      <c r="CC70" s="332"/>
      <c r="CD70" s="332"/>
      <c r="CE70" s="332"/>
      <c r="CF70" s="332"/>
      <c r="CG70" s="332"/>
      <c r="CH70" s="332"/>
      <c r="CI70" s="332"/>
      <c r="CJ70" s="332"/>
      <c r="CK70" s="332"/>
      <c r="CL70" s="332"/>
    </row>
    <row r="71" outlineLevel="1">
      <c r="A71" s="158" t="str">
        <f t="shared" si="6"/>
        <v>TC_06.56</v>
      </c>
      <c r="B71" s="267" t="s">
        <v>73</v>
      </c>
      <c r="C71" s="265" t="s">
        <v>2357</v>
      </c>
      <c r="D71" s="265" t="s">
        <v>2358</v>
      </c>
      <c r="E71" s="375" t="s">
        <v>2359</v>
      </c>
      <c r="F71" s="375" t="s">
        <v>2360</v>
      </c>
      <c r="G71" s="263"/>
      <c r="H71" s="263"/>
      <c r="I71" s="266"/>
      <c r="J71" s="266"/>
      <c r="K71" s="266"/>
      <c r="L71" s="266"/>
      <c r="M71" s="266"/>
      <c r="N71" s="266"/>
      <c r="O71" s="266"/>
      <c r="P71" s="266"/>
      <c r="Q71" s="266"/>
      <c r="R71" s="266"/>
      <c r="S71" s="263"/>
      <c r="T71" s="266"/>
      <c r="U71" s="266"/>
      <c r="V71" s="266"/>
      <c r="W71" s="266"/>
      <c r="X71" s="266"/>
      <c r="Y71" s="266"/>
      <c r="Z71" s="266"/>
      <c r="AA71" s="332"/>
      <c r="AB71" s="332"/>
      <c r="AC71" s="332"/>
      <c r="AD71" s="332"/>
      <c r="AE71" s="332"/>
      <c r="AF71" s="332"/>
      <c r="AG71" s="332"/>
      <c r="AH71" s="332"/>
      <c r="AI71" s="332"/>
      <c r="AJ71" s="332"/>
      <c r="AK71" s="332"/>
      <c r="AL71" s="332"/>
      <c r="AM71" s="332"/>
      <c r="AN71" s="332"/>
      <c r="AO71" s="332"/>
      <c r="AP71" s="332"/>
      <c r="AQ71" s="332"/>
      <c r="AR71" s="332"/>
      <c r="AS71" s="332"/>
      <c r="AT71" s="332"/>
      <c r="AU71" s="332"/>
      <c r="AV71" s="332"/>
      <c r="AW71" s="332"/>
      <c r="AX71" s="332"/>
      <c r="AY71" s="332"/>
      <c r="AZ71" s="332"/>
      <c r="BA71" s="332"/>
      <c r="BB71" s="332"/>
      <c r="BC71" s="332"/>
      <c r="BD71" s="332"/>
      <c r="BE71" s="332"/>
      <c r="BF71" s="332"/>
      <c r="BG71" s="332"/>
      <c r="BH71" s="332"/>
      <c r="BI71" s="332"/>
      <c r="BJ71" s="332"/>
      <c r="BK71" s="332"/>
      <c r="BL71" s="332"/>
      <c r="BM71" s="332"/>
      <c r="BN71" s="332"/>
      <c r="BO71" s="332"/>
      <c r="BP71" s="332"/>
      <c r="BQ71" s="332"/>
      <c r="BR71" s="332"/>
      <c r="BS71" s="332"/>
      <c r="BT71" s="332"/>
      <c r="BU71" s="332"/>
      <c r="BV71" s="332"/>
      <c r="BW71" s="332"/>
      <c r="BX71" s="332"/>
      <c r="BY71" s="332"/>
      <c r="BZ71" s="332"/>
      <c r="CA71" s="332"/>
      <c r="CB71" s="332"/>
      <c r="CC71" s="332"/>
      <c r="CD71" s="332"/>
      <c r="CE71" s="332"/>
      <c r="CF71" s="332"/>
      <c r="CG71" s="332"/>
      <c r="CH71" s="332"/>
      <c r="CI71" s="332"/>
      <c r="CJ71" s="332"/>
      <c r="CK71" s="332"/>
      <c r="CL71" s="332"/>
    </row>
    <row r="72" outlineLevel="1">
      <c r="A72" s="158" t="str">
        <f t="shared" si="6"/>
        <v>TC_06.57</v>
      </c>
      <c r="B72" s="267" t="s">
        <v>73</v>
      </c>
      <c r="C72" s="265" t="s">
        <v>2361</v>
      </c>
      <c r="D72" s="265" t="s">
        <v>2362</v>
      </c>
      <c r="E72" s="375" t="s">
        <v>2363</v>
      </c>
      <c r="F72" s="375" t="s">
        <v>2364</v>
      </c>
      <c r="G72" s="263"/>
      <c r="H72" s="263"/>
      <c r="I72" s="266"/>
      <c r="J72" s="266"/>
      <c r="K72" s="266"/>
      <c r="L72" s="266"/>
      <c r="M72" s="266"/>
      <c r="N72" s="266"/>
      <c r="O72" s="266"/>
      <c r="P72" s="266"/>
      <c r="Q72" s="266"/>
      <c r="R72" s="266"/>
      <c r="S72" s="263"/>
      <c r="T72" s="266"/>
      <c r="U72" s="266"/>
      <c r="V72" s="266"/>
      <c r="W72" s="266"/>
      <c r="X72" s="266"/>
      <c r="Y72" s="266"/>
      <c r="Z72" s="266"/>
      <c r="AA72" s="465"/>
      <c r="AB72" s="465"/>
      <c r="AC72" s="465"/>
      <c r="AD72" s="465"/>
      <c r="AE72" s="465"/>
      <c r="AF72" s="465"/>
      <c r="AG72" s="465"/>
      <c r="AH72" s="465"/>
      <c r="AI72" s="465"/>
      <c r="AJ72" s="465"/>
      <c r="AK72" s="465"/>
      <c r="AL72" s="465"/>
      <c r="AM72" s="465"/>
      <c r="AN72" s="465"/>
      <c r="AO72" s="465"/>
      <c r="AP72" s="465"/>
      <c r="AQ72" s="465"/>
      <c r="AR72" s="465"/>
      <c r="AS72" s="465"/>
      <c r="AT72" s="465"/>
      <c r="AU72" s="465"/>
      <c r="AV72" s="465"/>
      <c r="AW72" s="465"/>
      <c r="AX72" s="465"/>
      <c r="AY72" s="465"/>
      <c r="AZ72" s="465"/>
      <c r="BA72" s="465"/>
      <c r="BB72" s="465"/>
      <c r="BC72" s="465"/>
      <c r="BD72" s="465"/>
      <c r="BE72" s="465"/>
      <c r="BF72" s="465"/>
      <c r="BG72" s="465"/>
      <c r="BH72" s="465"/>
      <c r="BI72" s="465"/>
      <c r="BJ72" s="465"/>
      <c r="BK72" s="465"/>
      <c r="BL72" s="465"/>
      <c r="BM72" s="465"/>
      <c r="BN72" s="465"/>
      <c r="BO72" s="465"/>
      <c r="BP72" s="465"/>
      <c r="BQ72" s="465"/>
      <c r="BR72" s="465"/>
      <c r="BS72" s="465"/>
      <c r="BT72" s="465"/>
      <c r="BU72" s="465"/>
      <c r="BV72" s="465"/>
      <c r="BW72" s="465"/>
      <c r="BX72" s="465"/>
      <c r="BY72" s="465"/>
      <c r="BZ72" s="465"/>
      <c r="CA72" s="465"/>
      <c r="CB72" s="465"/>
      <c r="CC72" s="465"/>
      <c r="CD72" s="465"/>
      <c r="CE72" s="465"/>
      <c r="CF72" s="465"/>
      <c r="CG72" s="465"/>
      <c r="CH72" s="465"/>
      <c r="CI72" s="465"/>
      <c r="CJ72" s="465"/>
      <c r="CK72" s="465"/>
      <c r="CL72" s="465"/>
    </row>
    <row r="73" outlineLevel="1">
      <c r="A73" s="158" t="str">
        <f t="shared" si="6"/>
        <v>TC_06.58</v>
      </c>
      <c r="B73" s="267" t="s">
        <v>73</v>
      </c>
      <c r="C73" s="265" t="s">
        <v>2365</v>
      </c>
      <c r="D73" s="265" t="s">
        <v>2362</v>
      </c>
      <c r="E73" s="375" t="s">
        <v>2366</v>
      </c>
      <c r="F73" s="375" t="s">
        <v>2367</v>
      </c>
      <c r="G73" s="263"/>
      <c r="H73" s="263"/>
      <c r="I73" s="266"/>
      <c r="J73" s="266"/>
      <c r="K73" s="266"/>
      <c r="L73" s="266"/>
      <c r="M73" s="266"/>
      <c r="N73" s="266"/>
      <c r="O73" s="266"/>
      <c r="P73" s="266"/>
      <c r="Q73" s="266"/>
      <c r="R73" s="266"/>
      <c r="S73" s="263"/>
      <c r="T73" s="266"/>
      <c r="U73" s="266"/>
      <c r="V73" s="266"/>
      <c r="W73" s="266"/>
      <c r="X73" s="266"/>
      <c r="Y73" s="266"/>
      <c r="Z73" s="266"/>
      <c r="AA73" s="465"/>
      <c r="AB73" s="465"/>
      <c r="AC73" s="465"/>
      <c r="AD73" s="465"/>
      <c r="AE73" s="465"/>
      <c r="AF73" s="465"/>
      <c r="AG73" s="465"/>
      <c r="AH73" s="465"/>
      <c r="AI73" s="465"/>
      <c r="AJ73" s="465"/>
      <c r="AK73" s="465"/>
      <c r="AL73" s="465"/>
      <c r="AM73" s="465"/>
      <c r="AN73" s="465"/>
      <c r="AO73" s="465"/>
      <c r="AP73" s="465"/>
      <c r="AQ73" s="465"/>
      <c r="AR73" s="465"/>
      <c r="AS73" s="465"/>
      <c r="AT73" s="465"/>
      <c r="AU73" s="465"/>
      <c r="AV73" s="465"/>
      <c r="AW73" s="465"/>
      <c r="AX73" s="465"/>
      <c r="AY73" s="465"/>
      <c r="AZ73" s="465"/>
      <c r="BA73" s="465"/>
      <c r="BB73" s="465"/>
      <c r="BC73" s="465"/>
      <c r="BD73" s="465"/>
      <c r="BE73" s="465"/>
      <c r="BF73" s="465"/>
      <c r="BG73" s="465"/>
      <c r="BH73" s="465"/>
      <c r="BI73" s="465"/>
      <c r="BJ73" s="465"/>
      <c r="BK73" s="465"/>
      <c r="BL73" s="465"/>
      <c r="BM73" s="465"/>
      <c r="BN73" s="465"/>
      <c r="BO73" s="465"/>
      <c r="BP73" s="465"/>
      <c r="BQ73" s="465"/>
      <c r="BR73" s="465"/>
      <c r="BS73" s="465"/>
      <c r="BT73" s="465"/>
      <c r="BU73" s="465"/>
      <c r="BV73" s="465"/>
      <c r="BW73" s="465"/>
      <c r="BX73" s="465"/>
      <c r="BY73" s="465"/>
      <c r="BZ73" s="465"/>
      <c r="CA73" s="465"/>
      <c r="CB73" s="465"/>
      <c r="CC73" s="465"/>
      <c r="CD73" s="465"/>
      <c r="CE73" s="465"/>
      <c r="CF73" s="465"/>
      <c r="CG73" s="465"/>
      <c r="CH73" s="465"/>
      <c r="CI73" s="465"/>
      <c r="CJ73" s="465"/>
      <c r="CK73" s="465"/>
      <c r="CL73" s="465"/>
    </row>
    <row r="74" outlineLevel="1">
      <c r="A74" s="158" t="str">
        <f t="shared" si="6"/>
        <v>TC_06.59</v>
      </c>
      <c r="B74" s="267" t="s">
        <v>73</v>
      </c>
      <c r="C74" s="265" t="s">
        <v>2368</v>
      </c>
      <c r="D74" s="265" t="s">
        <v>2369</v>
      </c>
      <c r="E74" s="375" t="s">
        <v>2370</v>
      </c>
      <c r="F74" s="265" t="s">
        <v>2371</v>
      </c>
      <c r="G74" s="263"/>
      <c r="H74" s="266"/>
      <c r="I74" s="266"/>
      <c r="J74" s="266"/>
      <c r="K74" s="266"/>
      <c r="L74" s="266"/>
      <c r="M74" s="266"/>
      <c r="N74" s="266"/>
      <c r="O74" s="266"/>
      <c r="P74" s="266"/>
      <c r="Q74" s="266"/>
      <c r="R74" s="266"/>
      <c r="S74" s="263"/>
      <c r="T74" s="266"/>
      <c r="U74" s="266"/>
      <c r="V74" s="266"/>
      <c r="W74" s="266"/>
      <c r="X74" s="266"/>
      <c r="Y74" s="266"/>
      <c r="Z74" s="266"/>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5"/>
      <c r="BK74" s="145"/>
      <c r="BL74" s="145"/>
      <c r="BM74" s="145"/>
      <c r="BN74" s="145"/>
      <c r="BO74" s="145"/>
      <c r="BP74" s="145"/>
      <c r="BQ74" s="145"/>
      <c r="BR74" s="145"/>
      <c r="BS74" s="145"/>
      <c r="BT74" s="145"/>
      <c r="BU74" s="145"/>
      <c r="BV74" s="145"/>
      <c r="BW74" s="145"/>
      <c r="BX74" s="145"/>
      <c r="BY74" s="145"/>
      <c r="BZ74" s="145"/>
      <c r="CA74" s="145"/>
      <c r="CB74" s="145"/>
      <c r="CC74" s="145"/>
      <c r="CD74" s="145"/>
      <c r="CE74" s="145"/>
      <c r="CF74" s="145"/>
      <c r="CG74" s="145"/>
      <c r="CH74" s="145"/>
      <c r="CI74" s="145"/>
      <c r="CJ74" s="145"/>
      <c r="CK74" s="145"/>
      <c r="CL74" s="145"/>
    </row>
    <row r="75" outlineLevel="1">
      <c r="A75" s="158" t="str">
        <f t="shared" si="6"/>
        <v>TC_06.60</v>
      </c>
      <c r="B75" s="565" t="s">
        <v>75</v>
      </c>
      <c r="C75" s="566" t="s">
        <v>2372</v>
      </c>
      <c r="D75" s="566" t="s">
        <v>2373</v>
      </c>
      <c r="E75" s="561" t="s">
        <v>2374</v>
      </c>
      <c r="F75" s="566" t="s">
        <v>2375</v>
      </c>
      <c r="G75" s="263"/>
      <c r="H75" s="566"/>
      <c r="I75" s="266"/>
      <c r="J75" s="266"/>
      <c r="K75" s="266"/>
      <c r="L75" s="266"/>
      <c r="M75" s="266"/>
      <c r="N75" s="266"/>
      <c r="O75" s="266"/>
      <c r="P75" s="266"/>
      <c r="Q75" s="266"/>
      <c r="R75" s="266"/>
      <c r="S75" s="263"/>
      <c r="T75" s="266"/>
      <c r="U75" s="266"/>
      <c r="V75" s="266"/>
      <c r="W75" s="266"/>
      <c r="X75" s="266"/>
      <c r="Y75" s="266"/>
      <c r="Z75" s="266"/>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45"/>
      <c r="AY75" s="145"/>
      <c r="AZ75" s="145"/>
      <c r="BA75" s="145"/>
      <c r="BB75" s="145"/>
      <c r="BC75" s="145"/>
      <c r="BD75" s="145"/>
      <c r="BE75" s="145"/>
      <c r="BF75" s="145"/>
      <c r="BG75" s="145"/>
      <c r="BH75" s="145"/>
      <c r="BI75" s="145"/>
      <c r="BJ75" s="145"/>
      <c r="BK75" s="145"/>
      <c r="BL75" s="145"/>
      <c r="BM75" s="145"/>
      <c r="BN75" s="145"/>
      <c r="BO75" s="145"/>
      <c r="BP75" s="145"/>
      <c r="BQ75" s="145"/>
      <c r="BR75" s="145"/>
      <c r="BS75" s="145"/>
      <c r="BT75" s="145"/>
      <c r="BU75" s="145"/>
      <c r="BV75" s="145"/>
      <c r="BW75" s="145"/>
      <c r="BX75" s="145"/>
      <c r="BY75" s="145"/>
      <c r="BZ75" s="145"/>
      <c r="CA75" s="145"/>
      <c r="CB75" s="145"/>
      <c r="CC75" s="145"/>
      <c r="CD75" s="145"/>
      <c r="CE75" s="145"/>
      <c r="CF75" s="145"/>
      <c r="CG75" s="145"/>
      <c r="CH75" s="145"/>
      <c r="CI75" s="145"/>
      <c r="CJ75" s="145"/>
      <c r="CK75" s="145"/>
      <c r="CL75" s="145"/>
    </row>
    <row r="76" outlineLevel="1">
      <c r="A76" s="158" t="str">
        <f t="shared" si="6"/>
        <v>TC_06.61</v>
      </c>
      <c r="B76" s="267" t="s">
        <v>73</v>
      </c>
      <c r="C76" s="273" t="s">
        <v>2376</v>
      </c>
      <c r="D76" s="273" t="s">
        <v>2377</v>
      </c>
      <c r="E76" s="375" t="s">
        <v>2378</v>
      </c>
      <c r="F76" s="265" t="s">
        <v>2379</v>
      </c>
      <c r="G76" s="263"/>
      <c r="H76" s="263"/>
      <c r="I76" s="266"/>
      <c r="J76" s="266"/>
      <c r="K76" s="266"/>
      <c r="L76" s="266"/>
      <c r="M76" s="266"/>
      <c r="N76" s="266"/>
      <c r="O76" s="266"/>
      <c r="P76" s="266"/>
      <c r="Q76" s="266"/>
      <c r="R76" s="266"/>
      <c r="S76" s="263"/>
      <c r="T76" s="266"/>
      <c r="U76" s="266"/>
      <c r="V76" s="266"/>
      <c r="W76" s="266"/>
      <c r="X76" s="266"/>
      <c r="Y76" s="266"/>
      <c r="Z76" s="266"/>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45"/>
      <c r="AY76" s="145"/>
      <c r="AZ76" s="145"/>
      <c r="BA76" s="145"/>
      <c r="BB76" s="145"/>
      <c r="BC76" s="145"/>
      <c r="BD76" s="145"/>
      <c r="BE76" s="145"/>
      <c r="BF76" s="145"/>
      <c r="BG76" s="145"/>
      <c r="BH76" s="145"/>
      <c r="BI76" s="145"/>
      <c r="BJ76" s="145"/>
      <c r="BK76" s="145"/>
      <c r="BL76" s="145"/>
      <c r="BM76" s="145"/>
      <c r="BN76" s="145"/>
      <c r="BO76" s="145"/>
      <c r="BP76" s="145"/>
      <c r="BQ76" s="145"/>
      <c r="BR76" s="145"/>
      <c r="BS76" s="145"/>
      <c r="BT76" s="145"/>
      <c r="BU76" s="145"/>
      <c r="BV76" s="145"/>
      <c r="BW76" s="145"/>
      <c r="BX76" s="145"/>
      <c r="BY76" s="145"/>
      <c r="BZ76" s="145"/>
      <c r="CA76" s="145"/>
      <c r="CB76" s="145"/>
      <c r="CC76" s="145"/>
      <c r="CD76" s="145"/>
      <c r="CE76" s="145"/>
      <c r="CF76" s="145"/>
      <c r="CG76" s="145"/>
      <c r="CH76" s="145"/>
      <c r="CI76" s="145"/>
      <c r="CJ76" s="145"/>
      <c r="CK76" s="145"/>
      <c r="CL76" s="145"/>
    </row>
    <row r="77" outlineLevel="1">
      <c r="A77" s="158" t="str">
        <f t="shared" si="6"/>
        <v>TC_06.62</v>
      </c>
      <c r="B77" s="267" t="s">
        <v>73</v>
      </c>
      <c r="C77" s="265" t="s">
        <v>2380</v>
      </c>
      <c r="D77" s="265" t="s">
        <v>2381</v>
      </c>
      <c r="E77" s="375" t="s">
        <v>2382</v>
      </c>
      <c r="F77" s="375" t="s">
        <v>2383</v>
      </c>
      <c r="G77" s="263"/>
      <c r="H77" s="569"/>
      <c r="I77" s="266"/>
      <c r="J77" s="266"/>
      <c r="K77" s="266"/>
      <c r="L77" s="266"/>
      <c r="M77" s="266"/>
      <c r="N77" s="266"/>
      <c r="O77" s="266"/>
      <c r="P77" s="266"/>
      <c r="Q77" s="266"/>
      <c r="R77" s="266"/>
      <c r="S77" s="263"/>
      <c r="T77" s="266"/>
      <c r="U77" s="266"/>
      <c r="V77" s="266"/>
      <c r="W77" s="266"/>
      <c r="X77" s="266"/>
      <c r="Y77" s="266"/>
      <c r="Z77" s="266"/>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c r="BC77" s="145"/>
      <c r="BD77" s="145"/>
      <c r="BE77" s="145"/>
      <c r="BF77" s="145"/>
      <c r="BG77" s="145"/>
      <c r="BH77" s="145"/>
      <c r="BI77" s="145"/>
      <c r="BJ77" s="145"/>
      <c r="BK77" s="145"/>
      <c r="BL77" s="145"/>
      <c r="BM77" s="145"/>
      <c r="BN77" s="145"/>
      <c r="BO77" s="145"/>
      <c r="BP77" s="145"/>
      <c r="BQ77" s="145"/>
      <c r="BR77" s="145"/>
      <c r="BS77" s="145"/>
      <c r="BT77" s="145"/>
      <c r="BU77" s="145"/>
      <c r="BV77" s="145"/>
      <c r="BW77" s="145"/>
      <c r="BX77" s="145"/>
      <c r="BY77" s="145"/>
      <c r="BZ77" s="145"/>
      <c r="CA77" s="145"/>
      <c r="CB77" s="145"/>
      <c r="CC77" s="145"/>
      <c r="CD77" s="145"/>
      <c r="CE77" s="145"/>
      <c r="CF77" s="145"/>
      <c r="CG77" s="145"/>
      <c r="CH77" s="145"/>
      <c r="CI77" s="145"/>
      <c r="CJ77" s="145"/>
      <c r="CK77" s="145"/>
      <c r="CL77" s="145"/>
    </row>
    <row r="78" outlineLevel="1">
      <c r="A78" s="158" t="str">
        <f t="shared" si="6"/>
        <v>TC_06.63</v>
      </c>
      <c r="B78" s="267" t="s">
        <v>73</v>
      </c>
      <c r="C78" s="375" t="s">
        <v>2384</v>
      </c>
      <c r="D78" s="375" t="s">
        <v>2385</v>
      </c>
      <c r="E78" s="375" t="s">
        <v>2386</v>
      </c>
      <c r="F78" s="375" t="s">
        <v>2302</v>
      </c>
      <c r="G78" s="263"/>
      <c r="H78" s="263"/>
      <c r="I78" s="266"/>
      <c r="J78" s="266"/>
      <c r="K78" s="266"/>
      <c r="L78" s="266"/>
      <c r="M78" s="266"/>
      <c r="N78" s="266"/>
      <c r="O78" s="266"/>
      <c r="P78" s="266"/>
      <c r="Q78" s="266"/>
      <c r="R78" s="266"/>
      <c r="S78" s="263"/>
      <c r="T78" s="266"/>
      <c r="U78" s="266"/>
      <c r="V78" s="266"/>
      <c r="W78" s="266"/>
      <c r="X78" s="266"/>
      <c r="Y78" s="266"/>
      <c r="Z78" s="266"/>
      <c r="AA78" s="465"/>
      <c r="AB78" s="465"/>
      <c r="AC78" s="465"/>
      <c r="AD78" s="465"/>
      <c r="AE78" s="465"/>
      <c r="AF78" s="465"/>
      <c r="AG78" s="465"/>
      <c r="AH78" s="465"/>
      <c r="AI78" s="465"/>
      <c r="AJ78" s="465"/>
      <c r="AK78" s="465"/>
      <c r="AL78" s="465"/>
      <c r="AM78" s="465"/>
      <c r="AN78" s="465"/>
      <c r="AO78" s="465"/>
      <c r="AP78" s="465"/>
      <c r="AQ78" s="465"/>
      <c r="AR78" s="465"/>
      <c r="AS78" s="465"/>
      <c r="AT78" s="465"/>
      <c r="AU78" s="465"/>
      <c r="AV78" s="465"/>
      <c r="AW78" s="465"/>
      <c r="AX78" s="465"/>
      <c r="AY78" s="465"/>
      <c r="AZ78" s="465"/>
      <c r="BA78" s="465"/>
      <c r="BB78" s="465"/>
      <c r="BC78" s="465"/>
      <c r="BD78" s="465"/>
      <c r="BE78" s="465"/>
      <c r="BF78" s="465"/>
      <c r="BG78" s="465"/>
      <c r="BH78" s="465"/>
      <c r="BI78" s="465"/>
      <c r="BJ78" s="465"/>
      <c r="BK78" s="465"/>
      <c r="BL78" s="465"/>
      <c r="BM78" s="465"/>
      <c r="BN78" s="465"/>
      <c r="BO78" s="465"/>
      <c r="BP78" s="465"/>
      <c r="BQ78" s="465"/>
      <c r="BR78" s="465"/>
      <c r="BS78" s="465"/>
      <c r="BT78" s="465"/>
      <c r="BU78" s="465"/>
      <c r="BV78" s="465"/>
      <c r="BW78" s="465"/>
      <c r="BX78" s="465"/>
      <c r="BY78" s="465"/>
      <c r="BZ78" s="465"/>
      <c r="CA78" s="465"/>
      <c r="CB78" s="465"/>
      <c r="CC78" s="465"/>
      <c r="CD78" s="465"/>
      <c r="CE78" s="465"/>
      <c r="CF78" s="465"/>
      <c r="CG78" s="465"/>
      <c r="CH78" s="465"/>
      <c r="CI78" s="465"/>
      <c r="CJ78" s="465"/>
      <c r="CK78" s="465"/>
      <c r="CL78" s="465"/>
    </row>
    <row r="79" outlineLevel="1">
      <c r="A79" s="158" t="str">
        <f t="shared" si="6"/>
        <v>TC_06.64</v>
      </c>
      <c r="B79" s="267" t="s">
        <v>73</v>
      </c>
      <c r="C79" s="375" t="s">
        <v>2387</v>
      </c>
      <c r="D79" s="375" t="s">
        <v>2385</v>
      </c>
      <c r="E79" s="375" t="s">
        <v>2388</v>
      </c>
      <c r="F79" s="265" t="s">
        <v>2305</v>
      </c>
      <c r="G79" s="263"/>
      <c r="H79" s="263"/>
      <c r="I79" s="266"/>
      <c r="J79" s="266"/>
      <c r="K79" s="266"/>
      <c r="L79" s="266"/>
      <c r="M79" s="266"/>
      <c r="N79" s="266"/>
      <c r="O79" s="266"/>
      <c r="P79" s="266"/>
      <c r="Q79" s="266"/>
      <c r="R79" s="266"/>
      <c r="S79" s="263"/>
      <c r="T79" s="266"/>
      <c r="U79" s="266"/>
      <c r="V79" s="266"/>
      <c r="W79" s="266"/>
      <c r="X79" s="266"/>
      <c r="Y79" s="266"/>
      <c r="Z79" s="266"/>
      <c r="AA79" s="465"/>
      <c r="AB79" s="465"/>
      <c r="AC79" s="465"/>
      <c r="AD79" s="465"/>
      <c r="AE79" s="465"/>
      <c r="AF79" s="465"/>
      <c r="AG79" s="465"/>
      <c r="AH79" s="465"/>
      <c r="AI79" s="465"/>
      <c r="AJ79" s="465"/>
      <c r="AK79" s="465"/>
      <c r="AL79" s="465"/>
      <c r="AM79" s="465"/>
      <c r="AN79" s="465"/>
      <c r="AO79" s="465"/>
      <c r="AP79" s="465"/>
      <c r="AQ79" s="465"/>
      <c r="AR79" s="465"/>
      <c r="AS79" s="465"/>
      <c r="AT79" s="465"/>
      <c r="AU79" s="465"/>
      <c r="AV79" s="465"/>
      <c r="AW79" s="465"/>
      <c r="AX79" s="465"/>
      <c r="AY79" s="465"/>
      <c r="AZ79" s="465"/>
      <c r="BA79" s="465"/>
      <c r="BB79" s="465"/>
      <c r="BC79" s="465"/>
      <c r="BD79" s="465"/>
      <c r="BE79" s="465"/>
      <c r="BF79" s="465"/>
      <c r="BG79" s="465"/>
      <c r="BH79" s="465"/>
      <c r="BI79" s="465"/>
      <c r="BJ79" s="465"/>
      <c r="BK79" s="465"/>
      <c r="BL79" s="465"/>
      <c r="BM79" s="465"/>
      <c r="BN79" s="465"/>
      <c r="BO79" s="465"/>
      <c r="BP79" s="465"/>
      <c r="BQ79" s="465"/>
      <c r="BR79" s="465"/>
      <c r="BS79" s="465"/>
      <c r="BT79" s="465"/>
      <c r="BU79" s="465"/>
      <c r="BV79" s="465"/>
      <c r="BW79" s="465"/>
      <c r="BX79" s="465"/>
      <c r="BY79" s="465"/>
      <c r="BZ79" s="465"/>
      <c r="CA79" s="465"/>
      <c r="CB79" s="465"/>
      <c r="CC79" s="465"/>
      <c r="CD79" s="465"/>
      <c r="CE79" s="465"/>
      <c r="CF79" s="465"/>
      <c r="CG79" s="465"/>
      <c r="CH79" s="465"/>
      <c r="CI79" s="465"/>
      <c r="CJ79" s="465"/>
      <c r="CK79" s="465"/>
      <c r="CL79" s="465"/>
    </row>
    <row r="80" outlineLevel="1">
      <c r="A80" s="158" t="str">
        <f t="shared" si="6"/>
        <v>TC_06.65</v>
      </c>
      <c r="B80" s="267" t="s">
        <v>73</v>
      </c>
      <c r="C80" s="375" t="s">
        <v>2389</v>
      </c>
      <c r="D80" s="375" t="s">
        <v>2385</v>
      </c>
      <c r="E80" s="375" t="s">
        <v>2390</v>
      </c>
      <c r="F80" s="265" t="s">
        <v>2308</v>
      </c>
      <c r="G80" s="263"/>
      <c r="H80" s="263"/>
      <c r="I80" s="266"/>
      <c r="J80" s="266"/>
      <c r="K80" s="266"/>
      <c r="L80" s="266"/>
      <c r="M80" s="266"/>
      <c r="N80" s="266"/>
      <c r="O80" s="266"/>
      <c r="P80" s="266"/>
      <c r="Q80" s="266"/>
      <c r="R80" s="266"/>
      <c r="S80" s="263"/>
      <c r="T80" s="266"/>
      <c r="U80" s="266"/>
      <c r="V80" s="266"/>
      <c r="W80" s="266"/>
      <c r="X80" s="266"/>
      <c r="Y80" s="266"/>
      <c r="Z80" s="266"/>
      <c r="AA80" s="465"/>
      <c r="AB80" s="465"/>
      <c r="AC80" s="465"/>
      <c r="AD80" s="465"/>
      <c r="AE80" s="465"/>
      <c r="AF80" s="465"/>
      <c r="AG80" s="465"/>
      <c r="AH80" s="465"/>
      <c r="AI80" s="465"/>
      <c r="AJ80" s="465"/>
      <c r="AK80" s="465"/>
      <c r="AL80" s="465"/>
      <c r="AM80" s="465"/>
      <c r="AN80" s="465"/>
      <c r="AO80" s="465"/>
      <c r="AP80" s="465"/>
      <c r="AQ80" s="465"/>
      <c r="AR80" s="465"/>
      <c r="AS80" s="465"/>
      <c r="AT80" s="465"/>
      <c r="AU80" s="465"/>
      <c r="AV80" s="465"/>
      <c r="AW80" s="465"/>
      <c r="AX80" s="465"/>
      <c r="AY80" s="465"/>
      <c r="AZ80" s="465"/>
      <c r="BA80" s="465"/>
      <c r="BB80" s="465"/>
      <c r="BC80" s="465"/>
      <c r="BD80" s="465"/>
      <c r="BE80" s="465"/>
      <c r="BF80" s="465"/>
      <c r="BG80" s="465"/>
      <c r="BH80" s="465"/>
      <c r="BI80" s="465"/>
      <c r="BJ80" s="465"/>
      <c r="BK80" s="465"/>
      <c r="BL80" s="465"/>
      <c r="BM80" s="465"/>
      <c r="BN80" s="465"/>
      <c r="BO80" s="465"/>
      <c r="BP80" s="465"/>
      <c r="BQ80" s="465"/>
      <c r="BR80" s="465"/>
      <c r="BS80" s="465"/>
      <c r="BT80" s="465"/>
      <c r="BU80" s="465"/>
      <c r="BV80" s="465"/>
      <c r="BW80" s="465"/>
      <c r="BX80" s="465"/>
      <c r="BY80" s="465"/>
      <c r="BZ80" s="465"/>
      <c r="CA80" s="465"/>
      <c r="CB80" s="465"/>
      <c r="CC80" s="465"/>
      <c r="CD80" s="465"/>
      <c r="CE80" s="465"/>
      <c r="CF80" s="465"/>
      <c r="CG80" s="465"/>
      <c r="CH80" s="465"/>
      <c r="CI80" s="465"/>
      <c r="CJ80" s="465"/>
      <c r="CK80" s="465"/>
      <c r="CL80" s="465"/>
    </row>
    <row r="81" outlineLevel="1">
      <c r="A81" s="158" t="str">
        <f t="shared" si="6"/>
        <v>TC_06.66</v>
      </c>
      <c r="B81" s="267" t="s">
        <v>73</v>
      </c>
      <c r="C81" s="375" t="s">
        <v>2391</v>
      </c>
      <c r="D81" s="375" t="s">
        <v>2385</v>
      </c>
      <c r="E81" s="375" t="s">
        <v>2392</v>
      </c>
      <c r="F81" s="265" t="s">
        <v>2311</v>
      </c>
      <c r="G81" s="263"/>
      <c r="H81" s="263"/>
      <c r="I81" s="266"/>
      <c r="J81" s="266"/>
      <c r="K81" s="266"/>
      <c r="L81" s="266"/>
      <c r="M81" s="266"/>
      <c r="N81" s="266"/>
      <c r="O81" s="266"/>
      <c r="P81" s="266"/>
      <c r="Q81" s="266"/>
      <c r="R81" s="266"/>
      <c r="S81" s="263"/>
      <c r="T81" s="266"/>
      <c r="U81" s="266"/>
      <c r="V81" s="266"/>
      <c r="W81" s="266"/>
      <c r="X81" s="266"/>
      <c r="Y81" s="266"/>
      <c r="Z81" s="266"/>
      <c r="AA81" s="465"/>
      <c r="AB81" s="465"/>
      <c r="AC81" s="465"/>
      <c r="AD81" s="465"/>
      <c r="AE81" s="465"/>
      <c r="AF81" s="465"/>
      <c r="AG81" s="465"/>
      <c r="AH81" s="465"/>
      <c r="AI81" s="465"/>
      <c r="AJ81" s="465"/>
      <c r="AK81" s="465"/>
      <c r="AL81" s="465"/>
      <c r="AM81" s="465"/>
      <c r="AN81" s="465"/>
      <c r="AO81" s="465"/>
      <c r="AP81" s="465"/>
      <c r="AQ81" s="465"/>
      <c r="AR81" s="465"/>
      <c r="AS81" s="465"/>
      <c r="AT81" s="465"/>
      <c r="AU81" s="465"/>
      <c r="AV81" s="465"/>
      <c r="AW81" s="465"/>
      <c r="AX81" s="465"/>
      <c r="AY81" s="465"/>
      <c r="AZ81" s="465"/>
      <c r="BA81" s="465"/>
      <c r="BB81" s="465"/>
      <c r="BC81" s="465"/>
      <c r="BD81" s="465"/>
      <c r="BE81" s="465"/>
      <c r="BF81" s="465"/>
      <c r="BG81" s="465"/>
      <c r="BH81" s="465"/>
      <c r="BI81" s="465"/>
      <c r="BJ81" s="465"/>
      <c r="BK81" s="465"/>
      <c r="BL81" s="465"/>
      <c r="BM81" s="465"/>
      <c r="BN81" s="465"/>
      <c r="BO81" s="465"/>
      <c r="BP81" s="465"/>
      <c r="BQ81" s="465"/>
      <c r="BR81" s="465"/>
      <c r="BS81" s="465"/>
      <c r="BT81" s="465"/>
      <c r="BU81" s="465"/>
      <c r="BV81" s="465"/>
      <c r="BW81" s="465"/>
      <c r="BX81" s="465"/>
      <c r="BY81" s="465"/>
      <c r="BZ81" s="465"/>
      <c r="CA81" s="465"/>
      <c r="CB81" s="465"/>
      <c r="CC81" s="465"/>
      <c r="CD81" s="465"/>
      <c r="CE81" s="465"/>
      <c r="CF81" s="465"/>
      <c r="CG81" s="465"/>
      <c r="CH81" s="465"/>
      <c r="CI81" s="465"/>
      <c r="CJ81" s="465"/>
      <c r="CK81" s="465"/>
      <c r="CL81" s="465"/>
    </row>
    <row r="82" outlineLevel="1">
      <c r="A82" s="158" t="str">
        <f t="shared" si="6"/>
        <v>TC_06.67</v>
      </c>
      <c r="B82" s="267" t="s">
        <v>73</v>
      </c>
      <c r="C82" s="375" t="s">
        <v>2393</v>
      </c>
      <c r="D82" s="375" t="s">
        <v>2385</v>
      </c>
      <c r="E82" s="375" t="s">
        <v>2394</v>
      </c>
      <c r="F82" s="375" t="s">
        <v>2395</v>
      </c>
      <c r="G82" s="263"/>
      <c r="H82" s="263"/>
      <c r="I82" s="266"/>
      <c r="J82" s="266"/>
      <c r="K82" s="266"/>
      <c r="L82" s="266"/>
      <c r="M82" s="266"/>
      <c r="N82" s="266"/>
      <c r="O82" s="266"/>
      <c r="P82" s="266"/>
      <c r="Q82" s="266"/>
      <c r="R82" s="266"/>
      <c r="S82" s="263"/>
      <c r="T82" s="266"/>
      <c r="U82" s="266"/>
      <c r="V82" s="266"/>
      <c r="W82" s="266"/>
      <c r="X82" s="266"/>
      <c r="Y82" s="266"/>
      <c r="Z82" s="266"/>
      <c r="AA82" s="465"/>
      <c r="AB82" s="465"/>
      <c r="AC82" s="465"/>
      <c r="AD82" s="465"/>
      <c r="AE82" s="465"/>
      <c r="AF82" s="465"/>
      <c r="AG82" s="465"/>
      <c r="AH82" s="465"/>
      <c r="AI82" s="465"/>
      <c r="AJ82" s="465"/>
      <c r="AK82" s="465"/>
      <c r="AL82" s="465"/>
      <c r="AM82" s="465"/>
      <c r="AN82" s="465"/>
      <c r="AO82" s="465"/>
      <c r="AP82" s="465"/>
      <c r="AQ82" s="465"/>
      <c r="AR82" s="465"/>
      <c r="AS82" s="465"/>
      <c r="AT82" s="465"/>
      <c r="AU82" s="465"/>
      <c r="AV82" s="465"/>
      <c r="AW82" s="465"/>
      <c r="AX82" s="465"/>
      <c r="AY82" s="465"/>
      <c r="AZ82" s="465"/>
      <c r="BA82" s="465"/>
      <c r="BB82" s="465"/>
      <c r="BC82" s="465"/>
      <c r="BD82" s="465"/>
      <c r="BE82" s="465"/>
      <c r="BF82" s="465"/>
      <c r="BG82" s="465"/>
      <c r="BH82" s="465"/>
      <c r="BI82" s="465"/>
      <c r="BJ82" s="465"/>
      <c r="BK82" s="465"/>
      <c r="BL82" s="465"/>
      <c r="BM82" s="465"/>
      <c r="BN82" s="465"/>
      <c r="BO82" s="465"/>
      <c r="BP82" s="465"/>
      <c r="BQ82" s="465"/>
      <c r="BR82" s="465"/>
      <c r="BS82" s="465"/>
      <c r="BT82" s="465"/>
      <c r="BU82" s="465"/>
      <c r="BV82" s="465"/>
      <c r="BW82" s="465"/>
      <c r="BX82" s="465"/>
      <c r="BY82" s="465"/>
      <c r="BZ82" s="465"/>
      <c r="CA82" s="465"/>
      <c r="CB82" s="465"/>
      <c r="CC82" s="465"/>
      <c r="CD82" s="465"/>
      <c r="CE82" s="465"/>
      <c r="CF82" s="465"/>
      <c r="CG82" s="465"/>
      <c r="CH82" s="465"/>
      <c r="CI82" s="465"/>
      <c r="CJ82" s="465"/>
      <c r="CK82" s="465"/>
      <c r="CL82" s="465"/>
    </row>
    <row r="83" outlineLevel="1">
      <c r="A83" s="158" t="str">
        <f t="shared" si="6"/>
        <v>TC_06.68</v>
      </c>
      <c r="B83" s="267" t="s">
        <v>73</v>
      </c>
      <c r="C83" s="375" t="s">
        <v>2396</v>
      </c>
      <c r="D83" s="375" t="s">
        <v>2385</v>
      </c>
      <c r="E83" s="375" t="s">
        <v>2397</v>
      </c>
      <c r="F83" s="375" t="s">
        <v>2398</v>
      </c>
      <c r="G83" s="263"/>
      <c r="H83" s="263"/>
      <c r="I83" s="266"/>
      <c r="J83" s="266"/>
      <c r="K83" s="266"/>
      <c r="L83" s="266"/>
      <c r="M83" s="266"/>
      <c r="N83" s="266"/>
      <c r="O83" s="266"/>
      <c r="P83" s="266"/>
      <c r="Q83" s="266"/>
      <c r="R83" s="266"/>
      <c r="S83" s="263"/>
      <c r="T83" s="266"/>
      <c r="U83" s="266"/>
      <c r="V83" s="266"/>
      <c r="W83" s="266"/>
      <c r="X83" s="266"/>
      <c r="Y83" s="266"/>
      <c r="Z83" s="266"/>
      <c r="AA83" s="465"/>
      <c r="AB83" s="465"/>
      <c r="AC83" s="465"/>
      <c r="AD83" s="465"/>
      <c r="AE83" s="465"/>
      <c r="AF83" s="465"/>
      <c r="AG83" s="465"/>
      <c r="AH83" s="465"/>
      <c r="AI83" s="465"/>
      <c r="AJ83" s="465"/>
      <c r="AK83" s="465"/>
      <c r="AL83" s="465"/>
      <c r="AM83" s="465"/>
      <c r="AN83" s="465"/>
      <c r="AO83" s="465"/>
      <c r="AP83" s="465"/>
      <c r="AQ83" s="465"/>
      <c r="AR83" s="465"/>
      <c r="AS83" s="465"/>
      <c r="AT83" s="465"/>
      <c r="AU83" s="465"/>
      <c r="AV83" s="465"/>
      <c r="AW83" s="465"/>
      <c r="AX83" s="465"/>
      <c r="AY83" s="465"/>
      <c r="AZ83" s="465"/>
      <c r="BA83" s="465"/>
      <c r="BB83" s="465"/>
      <c r="BC83" s="465"/>
      <c r="BD83" s="465"/>
      <c r="BE83" s="465"/>
      <c r="BF83" s="465"/>
      <c r="BG83" s="465"/>
      <c r="BH83" s="465"/>
      <c r="BI83" s="465"/>
      <c r="BJ83" s="465"/>
      <c r="BK83" s="465"/>
      <c r="BL83" s="465"/>
      <c r="BM83" s="465"/>
      <c r="BN83" s="465"/>
      <c r="BO83" s="465"/>
      <c r="BP83" s="465"/>
      <c r="BQ83" s="465"/>
      <c r="BR83" s="465"/>
      <c r="BS83" s="465"/>
      <c r="BT83" s="465"/>
      <c r="BU83" s="465"/>
      <c r="BV83" s="465"/>
      <c r="BW83" s="465"/>
      <c r="BX83" s="465"/>
      <c r="BY83" s="465"/>
      <c r="BZ83" s="465"/>
      <c r="CA83" s="465"/>
      <c r="CB83" s="465"/>
      <c r="CC83" s="465"/>
      <c r="CD83" s="465"/>
      <c r="CE83" s="465"/>
      <c r="CF83" s="465"/>
      <c r="CG83" s="465"/>
      <c r="CH83" s="465"/>
      <c r="CI83" s="465"/>
      <c r="CJ83" s="465"/>
      <c r="CK83" s="465"/>
      <c r="CL83" s="465"/>
    </row>
    <row r="84" outlineLevel="1">
      <c r="A84" s="158" t="str">
        <f t="shared" si="6"/>
        <v>TC_06.69</v>
      </c>
      <c r="B84" s="267" t="s">
        <v>73</v>
      </c>
      <c r="C84" s="375" t="s">
        <v>2399</v>
      </c>
      <c r="D84" s="375" t="s">
        <v>2385</v>
      </c>
      <c r="E84" s="375" t="s">
        <v>2400</v>
      </c>
      <c r="F84" s="375" t="s">
        <v>2401</v>
      </c>
      <c r="G84" s="263"/>
      <c r="H84" s="263"/>
      <c r="I84" s="266"/>
      <c r="J84" s="266"/>
      <c r="K84" s="266"/>
      <c r="L84" s="266"/>
      <c r="M84" s="266"/>
      <c r="N84" s="266"/>
      <c r="O84" s="266"/>
      <c r="P84" s="266"/>
      <c r="Q84" s="266"/>
      <c r="R84" s="266"/>
      <c r="S84" s="263"/>
      <c r="T84" s="266"/>
      <c r="U84" s="266"/>
      <c r="V84" s="266"/>
      <c r="W84" s="266"/>
      <c r="X84" s="266"/>
      <c r="Y84" s="266"/>
      <c r="Z84" s="266"/>
      <c r="AA84" s="465"/>
      <c r="AB84" s="465"/>
      <c r="AC84" s="465"/>
      <c r="AD84" s="465"/>
      <c r="AE84" s="465"/>
      <c r="AF84" s="465"/>
      <c r="AG84" s="465"/>
      <c r="AH84" s="465"/>
      <c r="AI84" s="465"/>
      <c r="AJ84" s="465"/>
      <c r="AK84" s="465"/>
      <c r="AL84" s="465"/>
      <c r="AM84" s="465"/>
      <c r="AN84" s="465"/>
      <c r="AO84" s="465"/>
      <c r="AP84" s="465"/>
      <c r="AQ84" s="465"/>
      <c r="AR84" s="465"/>
      <c r="AS84" s="465"/>
      <c r="AT84" s="465"/>
      <c r="AU84" s="465"/>
      <c r="AV84" s="465"/>
      <c r="AW84" s="465"/>
      <c r="AX84" s="465"/>
      <c r="AY84" s="465"/>
      <c r="AZ84" s="465"/>
      <c r="BA84" s="465"/>
      <c r="BB84" s="465"/>
      <c r="BC84" s="465"/>
      <c r="BD84" s="465"/>
      <c r="BE84" s="465"/>
      <c r="BF84" s="465"/>
      <c r="BG84" s="465"/>
      <c r="BH84" s="465"/>
      <c r="BI84" s="465"/>
      <c r="BJ84" s="465"/>
      <c r="BK84" s="465"/>
      <c r="BL84" s="465"/>
      <c r="BM84" s="465"/>
      <c r="BN84" s="465"/>
      <c r="BO84" s="465"/>
      <c r="BP84" s="465"/>
      <c r="BQ84" s="465"/>
      <c r="BR84" s="465"/>
      <c r="BS84" s="465"/>
      <c r="BT84" s="465"/>
      <c r="BU84" s="465"/>
      <c r="BV84" s="465"/>
      <c r="BW84" s="465"/>
      <c r="BX84" s="465"/>
      <c r="BY84" s="465"/>
      <c r="BZ84" s="465"/>
      <c r="CA84" s="465"/>
      <c r="CB84" s="465"/>
      <c r="CC84" s="465"/>
      <c r="CD84" s="465"/>
      <c r="CE84" s="465"/>
      <c r="CF84" s="465"/>
      <c r="CG84" s="465"/>
      <c r="CH84" s="465"/>
      <c r="CI84" s="465"/>
      <c r="CJ84" s="465"/>
      <c r="CK84" s="465"/>
      <c r="CL84" s="465"/>
    </row>
    <row r="85" outlineLevel="1">
      <c r="A85" s="158" t="str">
        <f t="shared" si="6"/>
        <v>TC_06.70</v>
      </c>
      <c r="B85" s="267" t="s">
        <v>73</v>
      </c>
      <c r="C85" s="375" t="s">
        <v>2402</v>
      </c>
      <c r="D85" s="375" t="s">
        <v>2385</v>
      </c>
      <c r="E85" s="375" t="s">
        <v>2403</v>
      </c>
      <c r="F85" s="567" t="s">
        <v>2323</v>
      </c>
      <c r="G85" s="263"/>
      <c r="H85" s="263"/>
      <c r="I85" s="266"/>
      <c r="J85" s="266"/>
      <c r="K85" s="266"/>
      <c r="L85" s="266"/>
      <c r="M85" s="266"/>
      <c r="N85" s="266"/>
      <c r="O85" s="266"/>
      <c r="P85" s="266"/>
      <c r="Q85" s="266"/>
      <c r="R85" s="266"/>
      <c r="S85" s="263"/>
      <c r="T85" s="266"/>
      <c r="U85" s="266"/>
      <c r="V85" s="266"/>
      <c r="W85" s="266"/>
      <c r="X85" s="266"/>
      <c r="Y85" s="266"/>
      <c r="Z85" s="266"/>
      <c r="AA85" s="465"/>
      <c r="AB85" s="465"/>
      <c r="AC85" s="465"/>
      <c r="AD85" s="465"/>
      <c r="AE85" s="465"/>
      <c r="AF85" s="465"/>
      <c r="AG85" s="465"/>
      <c r="AH85" s="465"/>
      <c r="AI85" s="465"/>
      <c r="AJ85" s="465"/>
      <c r="AK85" s="465"/>
      <c r="AL85" s="465"/>
      <c r="AM85" s="465"/>
      <c r="AN85" s="465"/>
      <c r="AO85" s="465"/>
      <c r="AP85" s="465"/>
      <c r="AQ85" s="465"/>
      <c r="AR85" s="465"/>
      <c r="AS85" s="465"/>
      <c r="AT85" s="465"/>
      <c r="AU85" s="465"/>
      <c r="AV85" s="465"/>
      <c r="AW85" s="465"/>
      <c r="AX85" s="465"/>
      <c r="AY85" s="465"/>
      <c r="AZ85" s="465"/>
      <c r="BA85" s="465"/>
      <c r="BB85" s="465"/>
      <c r="BC85" s="465"/>
      <c r="BD85" s="465"/>
      <c r="BE85" s="465"/>
      <c r="BF85" s="465"/>
      <c r="BG85" s="465"/>
      <c r="BH85" s="465"/>
      <c r="BI85" s="465"/>
      <c r="BJ85" s="465"/>
      <c r="BK85" s="465"/>
      <c r="BL85" s="465"/>
      <c r="BM85" s="465"/>
      <c r="BN85" s="465"/>
      <c r="BO85" s="465"/>
      <c r="BP85" s="465"/>
      <c r="BQ85" s="465"/>
      <c r="BR85" s="465"/>
      <c r="BS85" s="465"/>
      <c r="BT85" s="465"/>
      <c r="BU85" s="465"/>
      <c r="BV85" s="465"/>
      <c r="BW85" s="465"/>
      <c r="BX85" s="465"/>
      <c r="BY85" s="465"/>
      <c r="BZ85" s="465"/>
      <c r="CA85" s="465"/>
      <c r="CB85" s="465"/>
      <c r="CC85" s="465"/>
      <c r="CD85" s="465"/>
      <c r="CE85" s="465"/>
      <c r="CF85" s="465"/>
      <c r="CG85" s="465"/>
      <c r="CH85" s="465"/>
      <c r="CI85" s="465"/>
      <c r="CJ85" s="465"/>
      <c r="CK85" s="465"/>
      <c r="CL85" s="465"/>
    </row>
    <row r="86" outlineLevel="1">
      <c r="A86" s="158" t="str">
        <f t="shared" si="6"/>
        <v>TC_06.71</v>
      </c>
      <c r="B86" s="267" t="s">
        <v>73</v>
      </c>
      <c r="C86" s="265" t="s">
        <v>2404</v>
      </c>
      <c r="D86" s="265" t="s">
        <v>2405</v>
      </c>
      <c r="E86" s="375" t="s">
        <v>2406</v>
      </c>
      <c r="F86" s="265" t="s">
        <v>2327</v>
      </c>
      <c r="G86" s="263"/>
      <c r="H86" s="263"/>
      <c r="I86" s="266"/>
      <c r="J86" s="266"/>
      <c r="K86" s="266"/>
      <c r="L86" s="266"/>
      <c r="M86" s="266"/>
      <c r="N86" s="266"/>
      <c r="O86" s="266"/>
      <c r="P86" s="266"/>
      <c r="Q86" s="266"/>
      <c r="R86" s="266"/>
      <c r="S86" s="263"/>
      <c r="T86" s="266"/>
      <c r="U86" s="266"/>
      <c r="V86" s="266"/>
      <c r="W86" s="266"/>
      <c r="X86" s="266"/>
      <c r="Y86" s="266"/>
      <c r="Z86" s="266"/>
      <c r="AA86" s="465"/>
      <c r="AB86" s="465"/>
      <c r="AC86" s="465"/>
      <c r="AD86" s="465"/>
      <c r="AE86" s="465"/>
      <c r="AF86" s="465"/>
      <c r="AG86" s="465"/>
      <c r="AH86" s="465"/>
      <c r="AI86" s="465"/>
      <c r="AJ86" s="465"/>
      <c r="AK86" s="465"/>
      <c r="AL86" s="465"/>
      <c r="AM86" s="465"/>
      <c r="AN86" s="465"/>
      <c r="AO86" s="465"/>
      <c r="AP86" s="465"/>
      <c r="AQ86" s="465"/>
      <c r="AR86" s="465"/>
      <c r="AS86" s="465"/>
      <c r="AT86" s="465"/>
      <c r="AU86" s="465"/>
      <c r="AV86" s="465"/>
      <c r="AW86" s="465"/>
      <c r="AX86" s="465"/>
      <c r="AY86" s="465"/>
      <c r="AZ86" s="465"/>
      <c r="BA86" s="465"/>
      <c r="BB86" s="465"/>
      <c r="BC86" s="465"/>
      <c r="BD86" s="465"/>
      <c r="BE86" s="465"/>
      <c r="BF86" s="465"/>
      <c r="BG86" s="465"/>
      <c r="BH86" s="465"/>
      <c r="BI86" s="465"/>
      <c r="BJ86" s="465"/>
      <c r="BK86" s="465"/>
      <c r="BL86" s="465"/>
      <c r="BM86" s="465"/>
      <c r="BN86" s="465"/>
      <c r="BO86" s="465"/>
      <c r="BP86" s="465"/>
      <c r="BQ86" s="465"/>
      <c r="BR86" s="465"/>
      <c r="BS86" s="465"/>
      <c r="BT86" s="465"/>
      <c r="BU86" s="465"/>
      <c r="BV86" s="465"/>
      <c r="BW86" s="465"/>
      <c r="BX86" s="465"/>
      <c r="BY86" s="465"/>
      <c r="BZ86" s="465"/>
      <c r="CA86" s="465"/>
      <c r="CB86" s="465"/>
      <c r="CC86" s="465"/>
      <c r="CD86" s="465"/>
      <c r="CE86" s="465"/>
      <c r="CF86" s="465"/>
      <c r="CG86" s="465"/>
      <c r="CH86" s="465"/>
      <c r="CI86" s="465"/>
      <c r="CJ86" s="465"/>
      <c r="CK86" s="465"/>
      <c r="CL86" s="465"/>
    </row>
    <row r="87" outlineLevel="1">
      <c r="A87" s="158" t="str">
        <f t="shared" si="6"/>
        <v>TC_06.72</v>
      </c>
      <c r="B87" s="267" t="s">
        <v>75</v>
      </c>
      <c r="C87" s="265" t="s">
        <v>2407</v>
      </c>
      <c r="D87" s="265" t="s">
        <v>2408</v>
      </c>
      <c r="E87" s="375" t="s">
        <v>2409</v>
      </c>
      <c r="F87" s="375" t="s">
        <v>2410</v>
      </c>
      <c r="G87" s="263"/>
      <c r="H87" s="569"/>
      <c r="I87" s="266"/>
      <c r="J87" s="266"/>
      <c r="K87" s="266"/>
      <c r="L87" s="266"/>
      <c r="M87" s="266"/>
      <c r="N87" s="266"/>
      <c r="O87" s="266"/>
      <c r="P87" s="266"/>
      <c r="Q87" s="266"/>
      <c r="R87" s="266"/>
      <c r="S87" s="263"/>
      <c r="T87" s="266"/>
      <c r="U87" s="266"/>
      <c r="V87" s="266"/>
      <c r="W87" s="266"/>
      <c r="X87" s="266"/>
      <c r="Y87" s="266"/>
      <c r="Z87" s="266"/>
      <c r="AA87" s="465"/>
      <c r="AB87" s="465"/>
      <c r="AC87" s="465"/>
      <c r="AD87" s="465"/>
      <c r="AE87" s="465"/>
      <c r="AF87" s="465"/>
      <c r="AG87" s="465"/>
      <c r="AH87" s="465"/>
      <c r="AI87" s="465"/>
      <c r="AJ87" s="465"/>
      <c r="AK87" s="465"/>
      <c r="AL87" s="465"/>
      <c r="AM87" s="465"/>
      <c r="AN87" s="465"/>
      <c r="AO87" s="465"/>
      <c r="AP87" s="465"/>
      <c r="AQ87" s="465"/>
      <c r="AR87" s="465"/>
      <c r="AS87" s="465"/>
      <c r="AT87" s="465"/>
      <c r="AU87" s="465"/>
      <c r="AV87" s="465"/>
      <c r="AW87" s="465"/>
      <c r="AX87" s="465"/>
      <c r="AY87" s="465"/>
      <c r="AZ87" s="465"/>
      <c r="BA87" s="465"/>
      <c r="BB87" s="465"/>
      <c r="BC87" s="465"/>
      <c r="BD87" s="465"/>
      <c r="BE87" s="465"/>
      <c r="BF87" s="465"/>
      <c r="BG87" s="465"/>
      <c r="BH87" s="465"/>
      <c r="BI87" s="465"/>
      <c r="BJ87" s="465"/>
      <c r="BK87" s="465"/>
      <c r="BL87" s="465"/>
      <c r="BM87" s="465"/>
      <c r="BN87" s="465"/>
      <c r="BO87" s="465"/>
      <c r="BP87" s="465"/>
      <c r="BQ87" s="465"/>
      <c r="BR87" s="465"/>
      <c r="BS87" s="465"/>
      <c r="BT87" s="465"/>
      <c r="BU87" s="465"/>
      <c r="BV87" s="465"/>
      <c r="BW87" s="465"/>
      <c r="BX87" s="465"/>
      <c r="BY87" s="465"/>
      <c r="BZ87" s="465"/>
      <c r="CA87" s="465"/>
      <c r="CB87" s="465"/>
      <c r="CC87" s="465"/>
      <c r="CD87" s="465"/>
      <c r="CE87" s="465"/>
      <c r="CF87" s="465"/>
      <c r="CG87" s="465"/>
      <c r="CH87" s="465"/>
      <c r="CI87" s="465"/>
      <c r="CJ87" s="465"/>
      <c r="CK87" s="465"/>
      <c r="CL87" s="465"/>
    </row>
    <row r="88" outlineLevel="1">
      <c r="A88" s="158" t="str">
        <f t="shared" si="6"/>
        <v>TC_06.73</v>
      </c>
      <c r="B88" s="267" t="s">
        <v>75</v>
      </c>
      <c r="C88" s="265" t="s">
        <v>2411</v>
      </c>
      <c r="D88" s="265" t="s">
        <v>2412</v>
      </c>
      <c r="E88" s="375" t="s">
        <v>2413</v>
      </c>
      <c r="F88" s="265" t="s">
        <v>2414</v>
      </c>
      <c r="G88" s="263"/>
      <c r="H88" s="263"/>
      <c r="I88" s="266"/>
      <c r="J88" s="266"/>
      <c r="K88" s="266"/>
      <c r="L88" s="266"/>
      <c r="M88" s="266"/>
      <c r="N88" s="266"/>
      <c r="O88" s="266"/>
      <c r="P88" s="266"/>
      <c r="Q88" s="266"/>
      <c r="R88" s="266"/>
      <c r="S88" s="263"/>
      <c r="T88" s="266"/>
      <c r="U88" s="266"/>
      <c r="V88" s="266"/>
      <c r="W88" s="266"/>
      <c r="X88" s="266"/>
      <c r="Y88" s="266"/>
      <c r="Z88" s="266"/>
      <c r="AA88" s="465"/>
      <c r="AB88" s="465"/>
      <c r="AC88" s="465"/>
      <c r="AD88" s="465"/>
      <c r="AE88" s="465"/>
      <c r="AF88" s="465"/>
      <c r="AG88" s="465"/>
      <c r="AH88" s="465"/>
      <c r="AI88" s="465"/>
      <c r="AJ88" s="465"/>
      <c r="AK88" s="465"/>
      <c r="AL88" s="465"/>
      <c r="AM88" s="465"/>
      <c r="AN88" s="465"/>
      <c r="AO88" s="465"/>
      <c r="AP88" s="465"/>
      <c r="AQ88" s="465"/>
      <c r="AR88" s="465"/>
      <c r="AS88" s="465"/>
      <c r="AT88" s="465"/>
      <c r="AU88" s="465"/>
      <c r="AV88" s="465"/>
      <c r="AW88" s="465"/>
      <c r="AX88" s="465"/>
      <c r="AY88" s="465"/>
      <c r="AZ88" s="465"/>
      <c r="BA88" s="465"/>
      <c r="BB88" s="465"/>
      <c r="BC88" s="465"/>
      <c r="BD88" s="465"/>
      <c r="BE88" s="465"/>
      <c r="BF88" s="465"/>
      <c r="BG88" s="465"/>
      <c r="BH88" s="465"/>
      <c r="BI88" s="465"/>
      <c r="BJ88" s="465"/>
      <c r="BK88" s="465"/>
      <c r="BL88" s="465"/>
      <c r="BM88" s="465"/>
      <c r="BN88" s="465"/>
      <c r="BO88" s="465"/>
      <c r="BP88" s="465"/>
      <c r="BQ88" s="465"/>
      <c r="BR88" s="465"/>
      <c r="BS88" s="465"/>
      <c r="BT88" s="465"/>
      <c r="BU88" s="465"/>
      <c r="BV88" s="465"/>
      <c r="BW88" s="465"/>
      <c r="BX88" s="465"/>
      <c r="BY88" s="465"/>
      <c r="BZ88" s="465"/>
      <c r="CA88" s="465"/>
      <c r="CB88" s="465"/>
      <c r="CC88" s="465"/>
      <c r="CD88" s="465"/>
      <c r="CE88" s="465"/>
      <c r="CF88" s="465"/>
      <c r="CG88" s="465"/>
      <c r="CH88" s="465"/>
      <c r="CI88" s="465"/>
      <c r="CJ88" s="465"/>
      <c r="CK88" s="465"/>
      <c r="CL88" s="465"/>
    </row>
    <row r="89" outlineLevel="1">
      <c r="A89" s="158" t="str">
        <f t="shared" si="6"/>
        <v>TC_06.74</v>
      </c>
      <c r="B89" s="267" t="s">
        <v>75</v>
      </c>
      <c r="C89" s="375" t="s">
        <v>2415</v>
      </c>
      <c r="D89" s="375" t="s">
        <v>2416</v>
      </c>
      <c r="E89" s="375" t="s">
        <v>2417</v>
      </c>
      <c r="F89" s="375" t="s">
        <v>2418</v>
      </c>
      <c r="G89" s="263"/>
      <c r="H89" s="263"/>
      <c r="I89" s="266"/>
      <c r="J89" s="266"/>
      <c r="K89" s="266"/>
      <c r="L89" s="266"/>
      <c r="M89" s="266"/>
      <c r="N89" s="266"/>
      <c r="O89" s="266"/>
      <c r="P89" s="266"/>
      <c r="Q89" s="266"/>
      <c r="R89" s="266"/>
      <c r="S89" s="263"/>
      <c r="T89" s="266"/>
      <c r="U89" s="266"/>
      <c r="V89" s="266"/>
      <c r="W89" s="266"/>
      <c r="X89" s="266"/>
      <c r="Y89" s="266"/>
      <c r="Z89" s="266"/>
      <c r="AA89" s="465"/>
      <c r="AB89" s="465"/>
      <c r="AC89" s="465"/>
      <c r="AD89" s="465"/>
      <c r="AE89" s="465"/>
      <c r="AF89" s="465"/>
      <c r="AG89" s="465"/>
      <c r="AH89" s="465"/>
      <c r="AI89" s="465"/>
      <c r="AJ89" s="465"/>
      <c r="AK89" s="465"/>
      <c r="AL89" s="465"/>
      <c r="AM89" s="465"/>
      <c r="AN89" s="465"/>
      <c r="AO89" s="465"/>
      <c r="AP89" s="465"/>
      <c r="AQ89" s="465"/>
      <c r="AR89" s="465"/>
      <c r="AS89" s="465"/>
      <c r="AT89" s="465"/>
      <c r="AU89" s="465"/>
      <c r="AV89" s="465"/>
      <c r="AW89" s="465"/>
      <c r="AX89" s="465"/>
      <c r="AY89" s="465"/>
      <c r="AZ89" s="465"/>
      <c r="BA89" s="465"/>
      <c r="BB89" s="465"/>
      <c r="BC89" s="465"/>
      <c r="BD89" s="465"/>
      <c r="BE89" s="465"/>
      <c r="BF89" s="465"/>
      <c r="BG89" s="465"/>
      <c r="BH89" s="465"/>
      <c r="BI89" s="465"/>
      <c r="BJ89" s="465"/>
      <c r="BK89" s="465"/>
      <c r="BL89" s="465"/>
      <c r="BM89" s="465"/>
      <c r="BN89" s="465"/>
      <c r="BO89" s="465"/>
      <c r="BP89" s="465"/>
      <c r="BQ89" s="465"/>
      <c r="BR89" s="465"/>
      <c r="BS89" s="465"/>
      <c r="BT89" s="465"/>
      <c r="BU89" s="465"/>
      <c r="BV89" s="465"/>
      <c r="BW89" s="465"/>
      <c r="BX89" s="465"/>
      <c r="BY89" s="465"/>
      <c r="BZ89" s="465"/>
      <c r="CA89" s="465"/>
      <c r="CB89" s="465"/>
      <c r="CC89" s="465"/>
      <c r="CD89" s="465"/>
      <c r="CE89" s="465"/>
      <c r="CF89" s="465"/>
      <c r="CG89" s="465"/>
      <c r="CH89" s="465"/>
      <c r="CI89" s="465"/>
      <c r="CJ89" s="465"/>
      <c r="CK89" s="465"/>
      <c r="CL89" s="465"/>
    </row>
    <row r="90" outlineLevel="1">
      <c r="A90" s="158" t="str">
        <f t="shared" si="6"/>
        <v>TC_06.75</v>
      </c>
      <c r="B90" s="267" t="s">
        <v>75</v>
      </c>
      <c r="C90" s="375" t="s">
        <v>2419</v>
      </c>
      <c r="D90" s="375" t="s">
        <v>2420</v>
      </c>
      <c r="E90" s="375" t="s">
        <v>2421</v>
      </c>
      <c r="F90" s="375" t="s">
        <v>2422</v>
      </c>
      <c r="G90" s="263"/>
      <c r="H90" s="263"/>
      <c r="I90" s="266"/>
      <c r="J90" s="266"/>
      <c r="K90" s="266"/>
      <c r="L90" s="266"/>
      <c r="M90" s="266"/>
      <c r="N90" s="266"/>
      <c r="O90" s="266"/>
      <c r="P90" s="266"/>
      <c r="Q90" s="266"/>
      <c r="R90" s="266"/>
      <c r="S90" s="263"/>
      <c r="T90" s="266"/>
      <c r="U90" s="266"/>
      <c r="V90" s="266"/>
      <c r="W90" s="266"/>
      <c r="X90" s="266"/>
      <c r="Y90" s="266"/>
      <c r="Z90" s="266"/>
      <c r="AA90" s="465"/>
      <c r="AB90" s="465"/>
      <c r="AC90" s="465"/>
      <c r="AD90" s="465"/>
      <c r="AE90" s="465"/>
      <c r="AF90" s="465"/>
      <c r="AG90" s="465"/>
      <c r="AH90" s="465"/>
      <c r="AI90" s="465"/>
      <c r="AJ90" s="465"/>
      <c r="AK90" s="465"/>
      <c r="AL90" s="465"/>
      <c r="AM90" s="465"/>
      <c r="AN90" s="465"/>
      <c r="AO90" s="465"/>
      <c r="AP90" s="465"/>
      <c r="AQ90" s="465"/>
      <c r="AR90" s="465"/>
      <c r="AS90" s="465"/>
      <c r="AT90" s="465"/>
      <c r="AU90" s="465"/>
      <c r="AV90" s="465"/>
      <c r="AW90" s="465"/>
      <c r="AX90" s="465"/>
      <c r="AY90" s="465"/>
      <c r="AZ90" s="465"/>
      <c r="BA90" s="465"/>
      <c r="BB90" s="465"/>
      <c r="BC90" s="465"/>
      <c r="BD90" s="465"/>
      <c r="BE90" s="465"/>
      <c r="BF90" s="465"/>
      <c r="BG90" s="465"/>
      <c r="BH90" s="465"/>
      <c r="BI90" s="465"/>
      <c r="BJ90" s="465"/>
      <c r="BK90" s="465"/>
      <c r="BL90" s="465"/>
      <c r="BM90" s="465"/>
      <c r="BN90" s="465"/>
      <c r="BO90" s="465"/>
      <c r="BP90" s="465"/>
      <c r="BQ90" s="465"/>
      <c r="BR90" s="465"/>
      <c r="BS90" s="465"/>
      <c r="BT90" s="465"/>
      <c r="BU90" s="465"/>
      <c r="BV90" s="465"/>
      <c r="BW90" s="465"/>
      <c r="BX90" s="465"/>
      <c r="BY90" s="465"/>
      <c r="BZ90" s="465"/>
      <c r="CA90" s="465"/>
      <c r="CB90" s="465"/>
      <c r="CC90" s="465"/>
      <c r="CD90" s="465"/>
      <c r="CE90" s="465"/>
      <c r="CF90" s="465"/>
      <c r="CG90" s="465"/>
      <c r="CH90" s="465"/>
      <c r="CI90" s="465"/>
      <c r="CJ90" s="465"/>
      <c r="CK90" s="465"/>
      <c r="CL90" s="465"/>
    </row>
    <row r="91" outlineLevel="1">
      <c r="A91" s="158" t="str">
        <f t="shared" si="6"/>
        <v>TC_06.76</v>
      </c>
      <c r="B91" s="267" t="s">
        <v>75</v>
      </c>
      <c r="C91" s="375" t="s">
        <v>2423</v>
      </c>
      <c r="D91" s="375" t="s">
        <v>2424</v>
      </c>
      <c r="E91" s="375" t="s">
        <v>2425</v>
      </c>
      <c r="F91" s="375" t="s">
        <v>2426</v>
      </c>
      <c r="G91" s="263"/>
      <c r="H91" s="266"/>
      <c r="I91" s="266"/>
      <c r="J91" s="266"/>
      <c r="K91" s="266"/>
      <c r="L91" s="266"/>
      <c r="M91" s="266"/>
      <c r="N91" s="266"/>
      <c r="O91" s="266"/>
      <c r="P91" s="266"/>
      <c r="Q91" s="266"/>
      <c r="R91" s="266"/>
      <c r="S91" s="263"/>
      <c r="T91" s="266"/>
      <c r="U91" s="266"/>
      <c r="V91" s="266"/>
      <c r="W91" s="266"/>
      <c r="X91" s="266"/>
      <c r="Y91" s="266"/>
      <c r="Z91" s="266"/>
      <c r="AA91" s="145"/>
      <c r="AB91" s="145"/>
      <c r="AC91" s="145"/>
      <c r="AD91" s="145"/>
      <c r="AE91" s="145"/>
      <c r="AF91" s="145"/>
      <c r="AG91" s="145"/>
      <c r="AH91" s="145"/>
      <c r="AI91" s="145"/>
      <c r="AJ91" s="145"/>
      <c r="AK91" s="145"/>
      <c r="AL91" s="145"/>
      <c r="AM91" s="145"/>
      <c r="AN91" s="145"/>
      <c r="AO91" s="145"/>
      <c r="AP91" s="145"/>
      <c r="AQ91" s="145"/>
      <c r="AR91" s="145"/>
      <c r="AS91" s="145"/>
      <c r="AT91" s="145"/>
      <c r="AU91" s="145"/>
      <c r="AV91" s="145"/>
      <c r="AW91" s="145"/>
      <c r="AX91" s="145"/>
      <c r="AY91" s="145"/>
      <c r="AZ91" s="145"/>
      <c r="BA91" s="145"/>
      <c r="BB91" s="145"/>
      <c r="BC91" s="145"/>
      <c r="BD91" s="145"/>
      <c r="BE91" s="145"/>
      <c r="BF91" s="145"/>
      <c r="BG91" s="145"/>
      <c r="BH91" s="145"/>
      <c r="BI91" s="145"/>
      <c r="BJ91" s="145"/>
      <c r="BK91" s="145"/>
      <c r="BL91" s="145"/>
      <c r="BM91" s="145"/>
      <c r="BN91" s="145"/>
      <c r="BO91" s="145"/>
      <c r="BP91" s="145"/>
      <c r="BQ91" s="145"/>
      <c r="BR91" s="145"/>
      <c r="BS91" s="145"/>
      <c r="BT91" s="145"/>
      <c r="BU91" s="145"/>
      <c r="BV91" s="145"/>
      <c r="BW91" s="145"/>
      <c r="BX91" s="145"/>
      <c r="BY91" s="145"/>
      <c r="BZ91" s="145"/>
      <c r="CA91" s="145"/>
      <c r="CB91" s="145"/>
      <c r="CC91" s="145"/>
      <c r="CD91" s="145"/>
      <c r="CE91" s="145"/>
      <c r="CF91" s="145"/>
      <c r="CG91" s="145"/>
      <c r="CH91" s="145"/>
      <c r="CI91" s="145"/>
      <c r="CJ91" s="145"/>
      <c r="CK91" s="145"/>
      <c r="CL91" s="145"/>
    </row>
    <row r="92" outlineLevel="1">
      <c r="A92" s="158" t="str">
        <f t="shared" si="6"/>
        <v>TC_06.77</v>
      </c>
      <c r="B92" s="267" t="s">
        <v>73</v>
      </c>
      <c r="C92" s="265" t="s">
        <v>2427</v>
      </c>
      <c r="D92" s="375" t="s">
        <v>2428</v>
      </c>
      <c r="E92" s="375" t="s">
        <v>2429</v>
      </c>
      <c r="F92" s="265" t="s">
        <v>2430</v>
      </c>
      <c r="G92" s="263"/>
      <c r="H92" s="263"/>
      <c r="I92" s="266"/>
      <c r="J92" s="266"/>
      <c r="K92" s="266"/>
      <c r="L92" s="266"/>
      <c r="M92" s="266"/>
      <c r="N92" s="266"/>
      <c r="O92" s="266"/>
      <c r="P92" s="266"/>
      <c r="Q92" s="266"/>
      <c r="R92" s="266"/>
      <c r="S92" s="263"/>
      <c r="T92" s="266"/>
      <c r="U92" s="266"/>
      <c r="V92" s="266"/>
      <c r="W92" s="266"/>
      <c r="X92" s="266"/>
      <c r="Y92" s="266"/>
      <c r="Z92" s="266"/>
      <c r="AA92" s="145"/>
      <c r="AB92" s="145"/>
      <c r="AC92" s="145"/>
      <c r="AD92" s="145"/>
      <c r="AE92" s="145"/>
      <c r="AF92" s="145"/>
      <c r="AG92" s="145"/>
      <c r="AH92" s="145"/>
      <c r="AI92" s="145"/>
      <c r="AJ92" s="145"/>
      <c r="AK92" s="145"/>
      <c r="AL92" s="145"/>
      <c r="AM92" s="145"/>
      <c r="AN92" s="145"/>
      <c r="AO92" s="145"/>
      <c r="AP92" s="145"/>
      <c r="AQ92" s="145"/>
      <c r="AR92" s="145"/>
      <c r="AS92" s="145"/>
      <c r="AT92" s="145"/>
      <c r="AU92" s="145"/>
      <c r="AV92" s="145"/>
      <c r="AW92" s="145"/>
      <c r="AX92" s="145"/>
      <c r="AY92" s="145"/>
      <c r="AZ92" s="145"/>
      <c r="BA92" s="145"/>
      <c r="BB92" s="145"/>
      <c r="BC92" s="145"/>
      <c r="BD92" s="145"/>
      <c r="BE92" s="145"/>
      <c r="BF92" s="145"/>
      <c r="BG92" s="145"/>
      <c r="BH92" s="145"/>
      <c r="BI92" s="145"/>
      <c r="BJ92" s="145"/>
      <c r="BK92" s="145"/>
      <c r="BL92" s="145"/>
      <c r="BM92" s="145"/>
      <c r="BN92" s="145"/>
      <c r="BO92" s="145"/>
      <c r="BP92" s="145"/>
      <c r="BQ92" s="145"/>
      <c r="BR92" s="145"/>
      <c r="BS92" s="145"/>
      <c r="BT92" s="145"/>
      <c r="BU92" s="145"/>
      <c r="BV92" s="145"/>
      <c r="BW92" s="145"/>
      <c r="BX92" s="145"/>
      <c r="BY92" s="145"/>
      <c r="BZ92" s="145"/>
      <c r="CA92" s="145"/>
      <c r="CB92" s="145"/>
      <c r="CC92" s="145"/>
      <c r="CD92" s="145"/>
      <c r="CE92" s="145"/>
      <c r="CF92" s="145"/>
      <c r="CG92" s="145"/>
      <c r="CH92" s="145"/>
      <c r="CI92" s="145"/>
      <c r="CJ92" s="145"/>
      <c r="CK92" s="145"/>
      <c r="CL92" s="145"/>
    </row>
    <row r="93" outlineLevel="1">
      <c r="A93" s="158" t="str">
        <f t="shared" si="6"/>
        <v>TC_06.78</v>
      </c>
      <c r="B93" s="267" t="s">
        <v>73</v>
      </c>
      <c r="C93" s="265" t="s">
        <v>2431</v>
      </c>
      <c r="D93" s="375" t="s">
        <v>2432</v>
      </c>
      <c r="E93" s="375" t="s">
        <v>2433</v>
      </c>
      <c r="F93" s="265" t="s">
        <v>2434</v>
      </c>
      <c r="G93" s="263"/>
      <c r="H93" s="263"/>
      <c r="I93" s="266"/>
      <c r="J93" s="266"/>
      <c r="K93" s="266"/>
      <c r="L93" s="266"/>
      <c r="M93" s="266"/>
      <c r="N93" s="266"/>
      <c r="O93" s="266"/>
      <c r="P93" s="266"/>
      <c r="Q93" s="266"/>
      <c r="R93" s="266"/>
      <c r="S93" s="263"/>
      <c r="T93" s="266"/>
      <c r="U93" s="266"/>
      <c r="V93" s="266"/>
      <c r="W93" s="266"/>
      <c r="X93" s="266"/>
      <c r="Y93" s="266"/>
      <c r="Z93" s="266"/>
      <c r="AA93" s="145"/>
      <c r="AB93" s="145"/>
      <c r="AC93" s="145"/>
      <c r="AD93" s="145"/>
      <c r="AE93" s="145"/>
      <c r="AF93" s="145"/>
      <c r="AG93" s="145"/>
      <c r="AH93" s="145"/>
      <c r="AI93" s="145"/>
      <c r="AJ93" s="145"/>
      <c r="AK93" s="145"/>
      <c r="AL93" s="145"/>
      <c r="AM93" s="145"/>
      <c r="AN93" s="145"/>
      <c r="AO93" s="145"/>
      <c r="AP93" s="145"/>
      <c r="AQ93" s="145"/>
      <c r="AR93" s="145"/>
      <c r="AS93" s="145"/>
      <c r="AT93" s="145"/>
      <c r="AU93" s="145"/>
      <c r="AV93" s="145"/>
      <c r="AW93" s="145"/>
      <c r="AX93" s="145"/>
      <c r="AY93" s="145"/>
      <c r="AZ93" s="145"/>
      <c r="BA93" s="145"/>
      <c r="BB93" s="145"/>
      <c r="BC93" s="145"/>
      <c r="BD93" s="145"/>
      <c r="BE93" s="145"/>
      <c r="BF93" s="145"/>
      <c r="BG93" s="145"/>
      <c r="BH93" s="145"/>
      <c r="BI93" s="145"/>
      <c r="BJ93" s="145"/>
      <c r="BK93" s="145"/>
      <c r="BL93" s="145"/>
      <c r="BM93" s="145"/>
      <c r="BN93" s="145"/>
      <c r="BO93" s="145"/>
      <c r="BP93" s="145"/>
      <c r="BQ93" s="145"/>
      <c r="BR93" s="145"/>
      <c r="BS93" s="145"/>
      <c r="BT93" s="145"/>
      <c r="BU93" s="145"/>
      <c r="BV93" s="145"/>
      <c r="BW93" s="145"/>
      <c r="BX93" s="145"/>
      <c r="BY93" s="145"/>
      <c r="BZ93" s="145"/>
      <c r="CA93" s="145"/>
      <c r="CB93" s="145"/>
      <c r="CC93" s="145"/>
      <c r="CD93" s="145"/>
      <c r="CE93" s="145"/>
      <c r="CF93" s="145"/>
      <c r="CG93" s="145"/>
      <c r="CH93" s="145"/>
      <c r="CI93" s="145"/>
      <c r="CJ93" s="145"/>
      <c r="CK93" s="145"/>
      <c r="CL93" s="145"/>
    </row>
    <row r="94">
      <c r="A94" s="562" t="s">
        <v>2435</v>
      </c>
      <c r="B94" s="148"/>
      <c r="C94" s="148"/>
      <c r="D94" s="148"/>
      <c r="E94" s="148"/>
      <c r="F94" s="171"/>
      <c r="G94" s="263"/>
      <c r="H94" s="263"/>
      <c r="I94" s="266"/>
      <c r="J94" s="266"/>
      <c r="K94" s="266"/>
      <c r="L94" s="266"/>
      <c r="M94" s="266"/>
      <c r="N94" s="266"/>
      <c r="O94" s="266"/>
      <c r="P94" s="266"/>
      <c r="Q94" s="266"/>
      <c r="R94" s="266"/>
      <c r="S94" s="263"/>
      <c r="T94" s="266"/>
      <c r="U94" s="266"/>
      <c r="V94" s="266"/>
      <c r="W94" s="266"/>
      <c r="X94" s="266"/>
      <c r="Y94" s="266"/>
      <c r="Z94" s="266"/>
      <c r="AA94" s="145"/>
      <c r="AB94" s="145"/>
      <c r="AC94" s="145"/>
      <c r="AD94" s="145"/>
      <c r="AE94" s="145"/>
      <c r="AF94" s="145"/>
      <c r="AG94" s="145"/>
      <c r="AH94" s="145"/>
      <c r="AI94" s="145"/>
      <c r="AJ94" s="145"/>
      <c r="AK94" s="145"/>
      <c r="AL94" s="145"/>
      <c r="AM94" s="145"/>
      <c r="AN94" s="145"/>
      <c r="AO94" s="145"/>
      <c r="AP94" s="145"/>
      <c r="AQ94" s="145"/>
      <c r="AR94" s="145"/>
      <c r="AS94" s="145"/>
      <c r="AT94" s="145"/>
      <c r="AU94" s="145"/>
      <c r="AV94" s="145"/>
      <c r="AW94" s="145"/>
      <c r="AX94" s="145"/>
      <c r="AY94" s="145"/>
      <c r="AZ94" s="145"/>
      <c r="BA94" s="145"/>
      <c r="BB94" s="145"/>
      <c r="BC94" s="145"/>
      <c r="BD94" s="145"/>
      <c r="BE94" s="145"/>
      <c r="BF94" s="145"/>
      <c r="BG94" s="145"/>
      <c r="BH94" s="145"/>
      <c r="BI94" s="145"/>
      <c r="BJ94" s="145"/>
      <c r="BK94" s="145"/>
      <c r="BL94" s="145"/>
      <c r="BM94" s="145"/>
      <c r="BN94" s="145"/>
      <c r="BO94" s="145"/>
      <c r="BP94" s="145"/>
      <c r="BQ94" s="145"/>
      <c r="BR94" s="145"/>
      <c r="BS94" s="145"/>
      <c r="BT94" s="145"/>
      <c r="BU94" s="145"/>
      <c r="BV94" s="145"/>
      <c r="BW94" s="145"/>
      <c r="BX94" s="145"/>
      <c r="BY94" s="145"/>
      <c r="BZ94" s="145"/>
      <c r="CA94" s="145"/>
      <c r="CB94" s="145"/>
      <c r="CC94" s="145"/>
      <c r="CD94" s="145"/>
      <c r="CE94" s="145"/>
      <c r="CF94" s="145"/>
      <c r="CG94" s="145"/>
      <c r="CH94" s="145"/>
      <c r="CI94" s="145"/>
      <c r="CJ94" s="145"/>
      <c r="CK94" s="145"/>
      <c r="CL94" s="145"/>
    </row>
    <row r="95" outlineLevel="1">
      <c r="A95" s="158" t="str">
        <f t="shared" ref="A95:A119" si="7">IF(E95="","",$C$3&amp;"."&amp;COUNTA($E$8:E95)&amp;"")</f>
        <v>TC_06.79</v>
      </c>
      <c r="B95" s="267" t="s">
        <v>75</v>
      </c>
      <c r="C95" s="375" t="s">
        <v>2436</v>
      </c>
      <c r="D95" s="375" t="s">
        <v>2437</v>
      </c>
      <c r="E95" s="375" t="s">
        <v>2438</v>
      </c>
      <c r="F95" s="375" t="s">
        <v>2439</v>
      </c>
      <c r="G95" s="263"/>
      <c r="H95" s="263"/>
      <c r="I95" s="266"/>
      <c r="J95" s="266"/>
      <c r="K95" s="266"/>
      <c r="L95" s="266"/>
      <c r="M95" s="266"/>
      <c r="N95" s="266"/>
      <c r="O95" s="266"/>
      <c r="P95" s="266"/>
      <c r="Q95" s="266"/>
      <c r="R95" s="266"/>
      <c r="S95" s="263"/>
      <c r="T95" s="266"/>
      <c r="U95" s="266"/>
      <c r="V95" s="266"/>
      <c r="W95" s="266"/>
      <c r="X95" s="266"/>
      <c r="Y95" s="266"/>
      <c r="Z95" s="266"/>
      <c r="AA95" s="145"/>
      <c r="AB95" s="145"/>
      <c r="AC95" s="145"/>
      <c r="AD95" s="145"/>
      <c r="AE95" s="145"/>
      <c r="AF95" s="145"/>
      <c r="AG95" s="145"/>
      <c r="AH95" s="145"/>
      <c r="AI95" s="145"/>
      <c r="AJ95" s="145"/>
      <c r="AK95" s="145"/>
      <c r="AL95" s="145"/>
      <c r="AM95" s="145"/>
      <c r="AN95" s="145"/>
      <c r="AO95" s="145"/>
      <c r="AP95" s="145"/>
      <c r="AQ95" s="145"/>
      <c r="AR95" s="145"/>
      <c r="AS95" s="145"/>
      <c r="AT95" s="145"/>
      <c r="AU95" s="145"/>
      <c r="AV95" s="145"/>
      <c r="AW95" s="145"/>
      <c r="AX95" s="145"/>
      <c r="AY95" s="145"/>
      <c r="AZ95" s="145"/>
      <c r="BA95" s="145"/>
      <c r="BB95" s="145"/>
      <c r="BC95" s="145"/>
      <c r="BD95" s="145"/>
      <c r="BE95" s="145"/>
      <c r="BF95" s="145"/>
      <c r="BG95" s="145"/>
      <c r="BH95" s="145"/>
      <c r="BI95" s="145"/>
      <c r="BJ95" s="145"/>
      <c r="BK95" s="145"/>
      <c r="BL95" s="145"/>
      <c r="BM95" s="145"/>
      <c r="BN95" s="145"/>
      <c r="BO95" s="145"/>
      <c r="BP95" s="145"/>
      <c r="BQ95" s="145"/>
      <c r="BR95" s="145"/>
      <c r="BS95" s="145"/>
      <c r="BT95" s="145"/>
      <c r="BU95" s="145"/>
      <c r="BV95" s="145"/>
      <c r="BW95" s="145"/>
      <c r="BX95" s="145"/>
      <c r="BY95" s="145"/>
      <c r="BZ95" s="145"/>
      <c r="CA95" s="145"/>
      <c r="CB95" s="145"/>
      <c r="CC95" s="145"/>
      <c r="CD95" s="145"/>
      <c r="CE95" s="145"/>
      <c r="CF95" s="145"/>
      <c r="CG95" s="145"/>
      <c r="CH95" s="145"/>
      <c r="CI95" s="145"/>
      <c r="CJ95" s="145"/>
      <c r="CK95" s="145"/>
      <c r="CL95" s="145"/>
    </row>
    <row r="96" outlineLevel="1">
      <c r="A96" s="158" t="str">
        <f t="shared" si="7"/>
        <v>TC_06.80</v>
      </c>
      <c r="B96" s="267" t="s">
        <v>73</v>
      </c>
      <c r="C96" s="375" t="s">
        <v>2440</v>
      </c>
      <c r="D96" s="375" t="s">
        <v>2441</v>
      </c>
      <c r="E96" s="375" t="s">
        <v>2442</v>
      </c>
      <c r="F96" s="375" t="s">
        <v>2356</v>
      </c>
      <c r="G96" s="263"/>
      <c r="H96" s="263"/>
      <c r="I96" s="266"/>
      <c r="J96" s="266"/>
      <c r="K96" s="266"/>
      <c r="L96" s="266"/>
      <c r="M96" s="266"/>
      <c r="N96" s="266"/>
      <c r="O96" s="266"/>
      <c r="P96" s="266"/>
      <c r="Q96" s="266"/>
      <c r="R96" s="266"/>
      <c r="S96" s="263"/>
      <c r="T96" s="266"/>
      <c r="U96" s="266"/>
      <c r="V96" s="266"/>
      <c r="W96" s="266"/>
      <c r="X96" s="266"/>
      <c r="Y96" s="266"/>
      <c r="Z96" s="266"/>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5"/>
      <c r="BC96" s="145"/>
      <c r="BD96" s="145"/>
      <c r="BE96" s="145"/>
      <c r="BF96" s="145"/>
      <c r="BG96" s="145"/>
      <c r="BH96" s="145"/>
      <c r="BI96" s="145"/>
      <c r="BJ96" s="145"/>
      <c r="BK96" s="145"/>
      <c r="BL96" s="145"/>
      <c r="BM96" s="145"/>
      <c r="BN96" s="145"/>
      <c r="BO96" s="145"/>
      <c r="BP96" s="145"/>
      <c r="BQ96" s="145"/>
      <c r="BR96" s="145"/>
      <c r="BS96" s="145"/>
      <c r="BT96" s="145"/>
      <c r="BU96" s="145"/>
      <c r="BV96" s="145"/>
      <c r="BW96" s="145"/>
      <c r="BX96" s="145"/>
      <c r="BY96" s="145"/>
      <c r="BZ96" s="145"/>
      <c r="CA96" s="145"/>
      <c r="CB96" s="145"/>
      <c r="CC96" s="145"/>
      <c r="CD96" s="145"/>
      <c r="CE96" s="145"/>
      <c r="CF96" s="145"/>
      <c r="CG96" s="145"/>
      <c r="CH96" s="145"/>
      <c r="CI96" s="145"/>
      <c r="CJ96" s="145"/>
      <c r="CK96" s="145"/>
      <c r="CL96" s="145"/>
    </row>
    <row r="97" outlineLevel="1">
      <c r="A97" s="158" t="str">
        <f t="shared" si="7"/>
        <v>TC_06.81</v>
      </c>
      <c r="B97" s="267" t="s">
        <v>73</v>
      </c>
      <c r="C97" s="375" t="s">
        <v>2443</v>
      </c>
      <c r="D97" s="375" t="s">
        <v>2444</v>
      </c>
      <c r="E97" s="375" t="s">
        <v>2445</v>
      </c>
      <c r="F97" s="375" t="s">
        <v>2360</v>
      </c>
      <c r="G97" s="263"/>
      <c r="H97" s="263"/>
      <c r="I97" s="266"/>
      <c r="J97" s="266"/>
      <c r="K97" s="266"/>
      <c r="L97" s="266"/>
      <c r="M97" s="266"/>
      <c r="N97" s="266"/>
      <c r="O97" s="266"/>
      <c r="P97" s="266"/>
      <c r="Q97" s="266"/>
      <c r="R97" s="266"/>
      <c r="S97" s="263"/>
      <c r="T97" s="266"/>
      <c r="U97" s="266"/>
      <c r="V97" s="266"/>
      <c r="W97" s="266"/>
      <c r="X97" s="266"/>
      <c r="Y97" s="266"/>
      <c r="Z97" s="266"/>
      <c r="AA97" s="145"/>
      <c r="AB97" s="145"/>
      <c r="AC97" s="145"/>
      <c r="AD97" s="145"/>
      <c r="AE97" s="145"/>
      <c r="AF97" s="145"/>
      <c r="AG97" s="145"/>
      <c r="AH97" s="145"/>
      <c r="AI97" s="145"/>
      <c r="AJ97" s="145"/>
      <c r="AK97" s="145"/>
      <c r="AL97" s="145"/>
      <c r="AM97" s="145"/>
      <c r="AN97" s="145"/>
      <c r="AO97" s="145"/>
      <c r="AP97" s="145"/>
      <c r="AQ97" s="145"/>
      <c r="AR97" s="145"/>
      <c r="AS97" s="145"/>
      <c r="AT97" s="145"/>
      <c r="AU97" s="145"/>
      <c r="AV97" s="145"/>
      <c r="AW97" s="145"/>
      <c r="AX97" s="145"/>
      <c r="AY97" s="145"/>
      <c r="AZ97" s="145"/>
      <c r="BA97" s="145"/>
      <c r="BB97" s="145"/>
      <c r="BC97" s="145"/>
      <c r="BD97" s="145"/>
      <c r="BE97" s="145"/>
      <c r="BF97" s="145"/>
      <c r="BG97" s="145"/>
      <c r="BH97" s="145"/>
      <c r="BI97" s="145"/>
      <c r="BJ97" s="145"/>
      <c r="BK97" s="145"/>
      <c r="BL97" s="145"/>
      <c r="BM97" s="145"/>
      <c r="BN97" s="145"/>
      <c r="BO97" s="145"/>
      <c r="BP97" s="145"/>
      <c r="BQ97" s="145"/>
      <c r="BR97" s="145"/>
      <c r="BS97" s="145"/>
      <c r="BT97" s="145"/>
      <c r="BU97" s="145"/>
      <c r="BV97" s="145"/>
      <c r="BW97" s="145"/>
      <c r="BX97" s="145"/>
      <c r="BY97" s="145"/>
      <c r="BZ97" s="145"/>
      <c r="CA97" s="145"/>
      <c r="CB97" s="145"/>
      <c r="CC97" s="145"/>
      <c r="CD97" s="145"/>
      <c r="CE97" s="145"/>
      <c r="CF97" s="145"/>
      <c r="CG97" s="145"/>
      <c r="CH97" s="145"/>
      <c r="CI97" s="145"/>
      <c r="CJ97" s="145"/>
      <c r="CK97" s="145"/>
      <c r="CL97" s="145"/>
    </row>
    <row r="98" outlineLevel="1">
      <c r="A98" s="158" t="str">
        <f t="shared" si="7"/>
        <v>TC_06.82</v>
      </c>
      <c r="B98" s="267" t="s">
        <v>73</v>
      </c>
      <c r="C98" s="375" t="s">
        <v>2446</v>
      </c>
      <c r="D98" s="375" t="s">
        <v>2447</v>
      </c>
      <c r="E98" s="375" t="s">
        <v>2448</v>
      </c>
      <c r="F98" s="375" t="s">
        <v>2364</v>
      </c>
      <c r="G98" s="263"/>
      <c r="H98" s="263"/>
      <c r="I98" s="266"/>
      <c r="J98" s="266"/>
      <c r="K98" s="266"/>
      <c r="L98" s="266"/>
      <c r="M98" s="266"/>
      <c r="N98" s="266"/>
      <c r="O98" s="266"/>
      <c r="P98" s="266"/>
      <c r="Q98" s="266"/>
      <c r="R98" s="266"/>
      <c r="S98" s="263"/>
      <c r="T98" s="266"/>
      <c r="U98" s="266"/>
      <c r="V98" s="266"/>
      <c r="W98" s="266"/>
      <c r="X98" s="266"/>
      <c r="Y98" s="266"/>
      <c r="Z98" s="266"/>
      <c r="AA98" s="145"/>
      <c r="AB98" s="145"/>
      <c r="AC98" s="145"/>
      <c r="AD98" s="145"/>
      <c r="AE98" s="145"/>
      <c r="AF98" s="145"/>
      <c r="AG98" s="145"/>
      <c r="AH98" s="145"/>
      <c r="AI98" s="145"/>
      <c r="AJ98" s="145"/>
      <c r="AK98" s="145"/>
      <c r="AL98" s="145"/>
      <c r="AM98" s="145"/>
      <c r="AN98" s="145"/>
      <c r="AO98" s="145"/>
      <c r="AP98" s="145"/>
      <c r="AQ98" s="145"/>
      <c r="AR98" s="145"/>
      <c r="AS98" s="145"/>
      <c r="AT98" s="145"/>
      <c r="AU98" s="145"/>
      <c r="AV98" s="145"/>
      <c r="AW98" s="145"/>
      <c r="AX98" s="145"/>
      <c r="AY98" s="145"/>
      <c r="AZ98" s="145"/>
      <c r="BA98" s="145"/>
      <c r="BB98" s="145"/>
      <c r="BC98" s="145"/>
      <c r="BD98" s="145"/>
      <c r="BE98" s="145"/>
      <c r="BF98" s="145"/>
      <c r="BG98" s="145"/>
      <c r="BH98" s="145"/>
      <c r="BI98" s="145"/>
      <c r="BJ98" s="145"/>
      <c r="BK98" s="145"/>
      <c r="BL98" s="145"/>
      <c r="BM98" s="145"/>
      <c r="BN98" s="145"/>
      <c r="BO98" s="145"/>
      <c r="BP98" s="145"/>
      <c r="BQ98" s="145"/>
      <c r="BR98" s="145"/>
      <c r="BS98" s="145"/>
      <c r="BT98" s="145"/>
      <c r="BU98" s="145"/>
      <c r="BV98" s="145"/>
      <c r="BW98" s="145"/>
      <c r="BX98" s="145"/>
      <c r="BY98" s="145"/>
      <c r="BZ98" s="145"/>
      <c r="CA98" s="145"/>
      <c r="CB98" s="145"/>
      <c r="CC98" s="145"/>
      <c r="CD98" s="145"/>
      <c r="CE98" s="145"/>
      <c r="CF98" s="145"/>
      <c r="CG98" s="145"/>
      <c r="CH98" s="145"/>
      <c r="CI98" s="145"/>
      <c r="CJ98" s="145"/>
      <c r="CK98" s="145"/>
      <c r="CL98" s="145"/>
    </row>
    <row r="99" outlineLevel="1">
      <c r="A99" s="158" t="str">
        <f t="shared" si="7"/>
        <v>TC_06.83</v>
      </c>
      <c r="B99" s="267" t="s">
        <v>73</v>
      </c>
      <c r="C99" s="375" t="s">
        <v>2449</v>
      </c>
      <c r="D99" s="375" t="s">
        <v>2447</v>
      </c>
      <c r="E99" s="375" t="s">
        <v>2450</v>
      </c>
      <c r="F99" s="375" t="s">
        <v>2367</v>
      </c>
      <c r="G99" s="263"/>
      <c r="H99" s="263"/>
      <c r="I99" s="266"/>
      <c r="J99" s="266"/>
      <c r="K99" s="266"/>
      <c r="L99" s="266"/>
      <c r="M99" s="266"/>
      <c r="N99" s="266"/>
      <c r="O99" s="266"/>
      <c r="P99" s="266"/>
      <c r="Q99" s="266"/>
      <c r="R99" s="266"/>
      <c r="S99" s="263"/>
      <c r="T99" s="266"/>
      <c r="U99" s="266"/>
      <c r="V99" s="266"/>
      <c r="W99" s="266"/>
      <c r="X99" s="266"/>
      <c r="Y99" s="266"/>
      <c r="Z99" s="266"/>
      <c r="AA99" s="145"/>
      <c r="AB99" s="145"/>
      <c r="AC99" s="145"/>
      <c r="AD99" s="145"/>
      <c r="AE99" s="145"/>
      <c r="AF99" s="145"/>
      <c r="AG99" s="145"/>
      <c r="AH99" s="145"/>
      <c r="AI99" s="145"/>
      <c r="AJ99" s="145"/>
      <c r="AK99" s="145"/>
      <c r="AL99" s="145"/>
      <c r="AM99" s="145"/>
      <c r="AN99" s="145"/>
      <c r="AO99" s="145"/>
      <c r="AP99" s="145"/>
      <c r="AQ99" s="145"/>
      <c r="AR99" s="145"/>
      <c r="AS99" s="145"/>
      <c r="AT99" s="145"/>
      <c r="AU99" s="145"/>
      <c r="AV99" s="145"/>
      <c r="AW99" s="145"/>
      <c r="AX99" s="145"/>
      <c r="AY99" s="145"/>
      <c r="AZ99" s="145"/>
      <c r="BA99" s="145"/>
      <c r="BB99" s="145"/>
      <c r="BC99" s="145"/>
      <c r="BD99" s="145"/>
      <c r="BE99" s="145"/>
      <c r="BF99" s="145"/>
      <c r="BG99" s="145"/>
      <c r="BH99" s="145"/>
      <c r="BI99" s="145"/>
      <c r="BJ99" s="145"/>
      <c r="BK99" s="145"/>
      <c r="BL99" s="145"/>
      <c r="BM99" s="145"/>
      <c r="BN99" s="145"/>
      <c r="BO99" s="145"/>
      <c r="BP99" s="145"/>
      <c r="BQ99" s="145"/>
      <c r="BR99" s="145"/>
      <c r="BS99" s="145"/>
      <c r="BT99" s="145"/>
      <c r="BU99" s="145"/>
      <c r="BV99" s="145"/>
      <c r="BW99" s="145"/>
      <c r="BX99" s="145"/>
      <c r="BY99" s="145"/>
      <c r="BZ99" s="145"/>
      <c r="CA99" s="145"/>
      <c r="CB99" s="145"/>
      <c r="CC99" s="145"/>
      <c r="CD99" s="145"/>
      <c r="CE99" s="145"/>
      <c r="CF99" s="145"/>
      <c r="CG99" s="145"/>
      <c r="CH99" s="145"/>
      <c r="CI99" s="145"/>
      <c r="CJ99" s="145"/>
      <c r="CK99" s="145"/>
      <c r="CL99" s="145"/>
    </row>
    <row r="100" outlineLevel="1">
      <c r="A100" s="158" t="str">
        <f t="shared" si="7"/>
        <v>TC_06.84</v>
      </c>
      <c r="B100" s="267" t="s">
        <v>73</v>
      </c>
      <c r="C100" s="265" t="s">
        <v>2368</v>
      </c>
      <c r="D100" s="375" t="s">
        <v>2451</v>
      </c>
      <c r="E100" s="375" t="s">
        <v>2452</v>
      </c>
      <c r="F100" s="265" t="s">
        <v>2371</v>
      </c>
      <c r="G100" s="263"/>
      <c r="H100" s="263"/>
      <c r="I100" s="266"/>
      <c r="J100" s="266"/>
      <c r="K100" s="266"/>
      <c r="L100" s="266"/>
      <c r="M100" s="266"/>
      <c r="N100" s="266"/>
      <c r="O100" s="266"/>
      <c r="P100" s="266"/>
      <c r="Q100" s="266"/>
      <c r="R100" s="266"/>
      <c r="S100" s="263"/>
      <c r="T100" s="266"/>
      <c r="U100" s="266"/>
      <c r="V100" s="266"/>
      <c r="W100" s="266"/>
      <c r="X100" s="266"/>
      <c r="Y100" s="266"/>
      <c r="Z100" s="266"/>
      <c r="AA100" s="145"/>
      <c r="AB100" s="145"/>
      <c r="AC100" s="145"/>
      <c r="AD100" s="145"/>
      <c r="AE100" s="145"/>
      <c r="AF100" s="145"/>
      <c r="AG100" s="145"/>
      <c r="AH100" s="145"/>
      <c r="AI100" s="145"/>
      <c r="AJ100" s="145"/>
      <c r="AK100" s="145"/>
      <c r="AL100" s="145"/>
      <c r="AM100" s="145"/>
      <c r="AN100" s="145"/>
      <c r="AO100" s="145"/>
      <c r="AP100" s="145"/>
      <c r="AQ100" s="145"/>
      <c r="AR100" s="145"/>
      <c r="AS100" s="145"/>
      <c r="AT100" s="145"/>
      <c r="AU100" s="145"/>
      <c r="AV100" s="145"/>
      <c r="AW100" s="145"/>
      <c r="AX100" s="145"/>
      <c r="AY100" s="145"/>
      <c r="AZ100" s="145"/>
      <c r="BA100" s="145"/>
      <c r="BB100" s="145"/>
      <c r="BC100" s="145"/>
      <c r="BD100" s="145"/>
      <c r="BE100" s="145"/>
      <c r="BF100" s="145"/>
      <c r="BG100" s="145"/>
      <c r="BH100" s="145"/>
      <c r="BI100" s="145"/>
      <c r="BJ100" s="145"/>
      <c r="BK100" s="145"/>
      <c r="BL100" s="145"/>
      <c r="BM100" s="145"/>
      <c r="BN100" s="145"/>
      <c r="BO100" s="145"/>
      <c r="BP100" s="145"/>
      <c r="BQ100" s="145"/>
      <c r="BR100" s="145"/>
      <c r="BS100" s="145"/>
      <c r="BT100" s="145"/>
      <c r="BU100" s="145"/>
      <c r="BV100" s="145"/>
      <c r="BW100" s="145"/>
      <c r="BX100" s="145"/>
      <c r="BY100" s="145"/>
      <c r="BZ100" s="145"/>
      <c r="CA100" s="145"/>
      <c r="CB100" s="145"/>
      <c r="CC100" s="145"/>
      <c r="CD100" s="145"/>
      <c r="CE100" s="145"/>
      <c r="CF100" s="145"/>
      <c r="CG100" s="145"/>
      <c r="CH100" s="145"/>
      <c r="CI100" s="145"/>
      <c r="CJ100" s="145"/>
      <c r="CK100" s="145"/>
      <c r="CL100" s="145"/>
    </row>
    <row r="101" outlineLevel="1">
      <c r="A101" s="158" t="str">
        <f t="shared" si="7"/>
        <v>TC_06.85</v>
      </c>
      <c r="B101" s="565" t="s">
        <v>75</v>
      </c>
      <c r="C101" s="561" t="s">
        <v>2453</v>
      </c>
      <c r="D101" s="561" t="s">
        <v>2454</v>
      </c>
      <c r="E101" s="561" t="s">
        <v>2455</v>
      </c>
      <c r="F101" s="566" t="s">
        <v>2375</v>
      </c>
      <c r="G101" s="263"/>
      <c r="H101" s="263"/>
      <c r="I101" s="266"/>
      <c r="J101" s="266"/>
      <c r="K101" s="266"/>
      <c r="L101" s="266"/>
      <c r="M101" s="266"/>
      <c r="N101" s="266"/>
      <c r="O101" s="266"/>
      <c r="P101" s="266"/>
      <c r="Q101" s="266"/>
      <c r="R101" s="266"/>
      <c r="S101" s="263"/>
      <c r="T101" s="266"/>
      <c r="U101" s="266"/>
      <c r="V101" s="266"/>
      <c r="W101" s="266"/>
      <c r="X101" s="266"/>
      <c r="Y101" s="266"/>
      <c r="Z101" s="266"/>
      <c r="AA101" s="145"/>
      <c r="AB101" s="145"/>
      <c r="AC101" s="145"/>
      <c r="AD101" s="145"/>
      <c r="AE101" s="145"/>
      <c r="AF101" s="145"/>
      <c r="AG101" s="145"/>
      <c r="AH101" s="145"/>
      <c r="AI101" s="145"/>
      <c r="AJ101" s="145"/>
      <c r="AK101" s="145"/>
      <c r="AL101" s="145"/>
      <c r="AM101" s="145"/>
      <c r="AN101" s="145"/>
      <c r="AO101" s="145"/>
      <c r="AP101" s="145"/>
      <c r="AQ101" s="145"/>
      <c r="AR101" s="145"/>
      <c r="AS101" s="145"/>
      <c r="AT101" s="145"/>
      <c r="AU101" s="145"/>
      <c r="AV101" s="145"/>
      <c r="AW101" s="145"/>
      <c r="AX101" s="145"/>
      <c r="AY101" s="145"/>
      <c r="AZ101" s="145"/>
      <c r="BA101" s="145"/>
      <c r="BB101" s="145"/>
      <c r="BC101" s="145"/>
      <c r="BD101" s="145"/>
      <c r="BE101" s="145"/>
      <c r="BF101" s="145"/>
      <c r="BG101" s="145"/>
      <c r="BH101" s="145"/>
      <c r="BI101" s="145"/>
      <c r="BJ101" s="145"/>
      <c r="BK101" s="145"/>
      <c r="BL101" s="145"/>
      <c r="BM101" s="145"/>
      <c r="BN101" s="145"/>
      <c r="BO101" s="145"/>
      <c r="BP101" s="145"/>
      <c r="BQ101" s="145"/>
      <c r="BR101" s="145"/>
      <c r="BS101" s="145"/>
      <c r="BT101" s="145"/>
      <c r="BU101" s="145"/>
      <c r="BV101" s="145"/>
      <c r="BW101" s="145"/>
      <c r="BX101" s="145"/>
      <c r="BY101" s="145"/>
      <c r="BZ101" s="145"/>
      <c r="CA101" s="145"/>
      <c r="CB101" s="145"/>
      <c r="CC101" s="145"/>
      <c r="CD101" s="145"/>
      <c r="CE101" s="145"/>
      <c r="CF101" s="145"/>
      <c r="CG101" s="145"/>
      <c r="CH101" s="145"/>
      <c r="CI101" s="145"/>
      <c r="CJ101" s="145"/>
      <c r="CK101" s="145"/>
      <c r="CL101" s="145"/>
    </row>
    <row r="102" outlineLevel="1">
      <c r="A102" s="158" t="str">
        <f t="shared" si="7"/>
        <v>TC_06.86</v>
      </c>
      <c r="B102" s="267" t="s">
        <v>73</v>
      </c>
      <c r="C102" s="273" t="s">
        <v>2376</v>
      </c>
      <c r="D102" s="375" t="s">
        <v>2456</v>
      </c>
      <c r="E102" s="375" t="s">
        <v>2457</v>
      </c>
      <c r="F102" s="265" t="s">
        <v>2379</v>
      </c>
      <c r="G102" s="263"/>
      <c r="H102" s="263"/>
      <c r="I102" s="266"/>
      <c r="J102" s="266"/>
      <c r="K102" s="266"/>
      <c r="L102" s="266"/>
      <c r="M102" s="266"/>
      <c r="N102" s="266"/>
      <c r="O102" s="266"/>
      <c r="P102" s="266"/>
      <c r="Q102" s="266"/>
      <c r="R102" s="266"/>
      <c r="S102" s="263"/>
      <c r="T102" s="266"/>
      <c r="U102" s="266"/>
      <c r="V102" s="266"/>
      <c r="W102" s="266"/>
      <c r="X102" s="266"/>
      <c r="Y102" s="266"/>
      <c r="Z102" s="266"/>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45"/>
      <c r="AX102" s="145"/>
      <c r="AY102" s="145"/>
      <c r="AZ102" s="145"/>
      <c r="BA102" s="145"/>
      <c r="BB102" s="145"/>
      <c r="BC102" s="145"/>
      <c r="BD102" s="145"/>
      <c r="BE102" s="145"/>
      <c r="BF102" s="145"/>
      <c r="BG102" s="145"/>
      <c r="BH102" s="145"/>
      <c r="BI102" s="145"/>
      <c r="BJ102" s="145"/>
      <c r="BK102" s="145"/>
      <c r="BL102" s="145"/>
      <c r="BM102" s="145"/>
      <c r="BN102" s="145"/>
      <c r="BO102" s="145"/>
      <c r="BP102" s="145"/>
      <c r="BQ102" s="145"/>
      <c r="BR102" s="145"/>
      <c r="BS102" s="145"/>
      <c r="BT102" s="145"/>
      <c r="BU102" s="145"/>
      <c r="BV102" s="145"/>
      <c r="BW102" s="145"/>
      <c r="BX102" s="145"/>
      <c r="BY102" s="145"/>
      <c r="BZ102" s="145"/>
      <c r="CA102" s="145"/>
      <c r="CB102" s="145"/>
      <c r="CC102" s="145"/>
      <c r="CD102" s="145"/>
      <c r="CE102" s="145"/>
      <c r="CF102" s="145"/>
      <c r="CG102" s="145"/>
      <c r="CH102" s="145"/>
      <c r="CI102" s="145"/>
      <c r="CJ102" s="145"/>
      <c r="CK102" s="145"/>
      <c r="CL102" s="145"/>
    </row>
    <row r="103" outlineLevel="1">
      <c r="A103" s="158" t="str">
        <f t="shared" si="7"/>
        <v>TC_06.87</v>
      </c>
      <c r="B103" s="267" t="s">
        <v>73</v>
      </c>
      <c r="C103" s="265" t="s">
        <v>2380</v>
      </c>
      <c r="D103" s="375" t="s">
        <v>2458</v>
      </c>
      <c r="E103" s="375" t="s">
        <v>2459</v>
      </c>
      <c r="F103" s="375" t="s">
        <v>2383</v>
      </c>
      <c r="G103" s="263"/>
      <c r="H103" s="263"/>
      <c r="I103" s="266"/>
      <c r="J103" s="266"/>
      <c r="K103" s="266"/>
      <c r="L103" s="266"/>
      <c r="M103" s="266"/>
      <c r="N103" s="266"/>
      <c r="O103" s="266"/>
      <c r="P103" s="266"/>
      <c r="Q103" s="266"/>
      <c r="R103" s="266"/>
      <c r="S103" s="263"/>
      <c r="T103" s="266"/>
      <c r="U103" s="266"/>
      <c r="V103" s="266"/>
      <c r="W103" s="266"/>
      <c r="X103" s="266"/>
      <c r="Y103" s="266"/>
      <c r="Z103" s="266"/>
      <c r="AA103" s="145"/>
      <c r="AB103" s="145"/>
      <c r="AC103" s="145"/>
      <c r="AD103" s="145"/>
      <c r="AE103" s="145"/>
      <c r="AF103" s="145"/>
      <c r="AG103" s="145"/>
      <c r="AH103" s="145"/>
      <c r="AI103" s="145"/>
      <c r="AJ103" s="145"/>
      <c r="AK103" s="145"/>
      <c r="AL103" s="145"/>
      <c r="AM103" s="145"/>
      <c r="AN103" s="145"/>
      <c r="AO103" s="145"/>
      <c r="AP103" s="145"/>
      <c r="AQ103" s="145"/>
      <c r="AR103" s="145"/>
      <c r="AS103" s="145"/>
      <c r="AT103" s="145"/>
      <c r="AU103" s="145"/>
      <c r="AV103" s="145"/>
      <c r="AW103" s="145"/>
      <c r="AX103" s="145"/>
      <c r="AY103" s="145"/>
      <c r="AZ103" s="145"/>
      <c r="BA103" s="145"/>
      <c r="BB103" s="145"/>
      <c r="BC103" s="145"/>
      <c r="BD103" s="145"/>
      <c r="BE103" s="145"/>
      <c r="BF103" s="145"/>
      <c r="BG103" s="145"/>
      <c r="BH103" s="145"/>
      <c r="BI103" s="145"/>
      <c r="BJ103" s="145"/>
      <c r="BK103" s="145"/>
      <c r="BL103" s="145"/>
      <c r="BM103" s="145"/>
      <c r="BN103" s="145"/>
      <c r="BO103" s="145"/>
      <c r="BP103" s="145"/>
      <c r="BQ103" s="145"/>
      <c r="BR103" s="145"/>
      <c r="BS103" s="145"/>
      <c r="BT103" s="145"/>
      <c r="BU103" s="145"/>
      <c r="BV103" s="145"/>
      <c r="BW103" s="145"/>
      <c r="BX103" s="145"/>
      <c r="BY103" s="145"/>
      <c r="BZ103" s="145"/>
      <c r="CA103" s="145"/>
      <c r="CB103" s="145"/>
      <c r="CC103" s="145"/>
      <c r="CD103" s="145"/>
      <c r="CE103" s="145"/>
      <c r="CF103" s="145"/>
      <c r="CG103" s="145"/>
      <c r="CH103" s="145"/>
      <c r="CI103" s="145"/>
      <c r="CJ103" s="145"/>
      <c r="CK103" s="145"/>
      <c r="CL103" s="145"/>
    </row>
    <row r="104" outlineLevel="1">
      <c r="A104" s="158" t="str">
        <f t="shared" si="7"/>
        <v>TC_06.88</v>
      </c>
      <c r="B104" s="267" t="s">
        <v>73</v>
      </c>
      <c r="C104" s="375" t="s">
        <v>2460</v>
      </c>
      <c r="D104" s="375" t="s">
        <v>2461</v>
      </c>
      <c r="E104" s="375" t="s">
        <v>2462</v>
      </c>
      <c r="F104" s="375" t="s">
        <v>2463</v>
      </c>
      <c r="G104" s="263"/>
      <c r="H104" s="263"/>
      <c r="I104" s="266"/>
      <c r="J104" s="266"/>
      <c r="K104" s="266"/>
      <c r="L104" s="266"/>
      <c r="M104" s="266"/>
      <c r="N104" s="266"/>
      <c r="O104" s="266"/>
      <c r="P104" s="266"/>
      <c r="Q104" s="266"/>
      <c r="R104" s="266"/>
      <c r="S104" s="263"/>
      <c r="T104" s="266"/>
      <c r="U104" s="266"/>
      <c r="V104" s="266"/>
      <c r="W104" s="266"/>
      <c r="X104" s="266"/>
      <c r="Y104" s="266"/>
      <c r="Z104" s="266"/>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45"/>
      <c r="AX104" s="145"/>
      <c r="AY104" s="145"/>
      <c r="AZ104" s="145"/>
      <c r="BA104" s="145"/>
      <c r="BB104" s="145"/>
      <c r="BC104" s="145"/>
      <c r="BD104" s="145"/>
      <c r="BE104" s="145"/>
      <c r="BF104" s="145"/>
      <c r="BG104" s="145"/>
      <c r="BH104" s="145"/>
      <c r="BI104" s="145"/>
      <c r="BJ104" s="145"/>
      <c r="BK104" s="145"/>
      <c r="BL104" s="145"/>
      <c r="BM104" s="145"/>
      <c r="BN104" s="145"/>
      <c r="BO104" s="145"/>
      <c r="BP104" s="145"/>
      <c r="BQ104" s="145"/>
      <c r="BR104" s="145"/>
      <c r="BS104" s="145"/>
      <c r="BT104" s="145"/>
      <c r="BU104" s="145"/>
      <c r="BV104" s="145"/>
      <c r="BW104" s="145"/>
      <c r="BX104" s="145"/>
      <c r="BY104" s="145"/>
      <c r="BZ104" s="145"/>
      <c r="CA104" s="145"/>
      <c r="CB104" s="145"/>
      <c r="CC104" s="145"/>
      <c r="CD104" s="145"/>
      <c r="CE104" s="145"/>
      <c r="CF104" s="145"/>
      <c r="CG104" s="145"/>
      <c r="CH104" s="145"/>
      <c r="CI104" s="145"/>
      <c r="CJ104" s="145"/>
      <c r="CK104" s="145"/>
      <c r="CL104" s="145"/>
    </row>
    <row r="105" outlineLevel="1">
      <c r="A105" s="158" t="str">
        <f t="shared" si="7"/>
        <v>TC_06.89</v>
      </c>
      <c r="B105" s="267" t="s">
        <v>73</v>
      </c>
      <c r="C105" s="375" t="s">
        <v>2464</v>
      </c>
      <c r="D105" s="375" t="s">
        <v>2461</v>
      </c>
      <c r="E105" s="375" t="s">
        <v>2465</v>
      </c>
      <c r="F105" s="265" t="s">
        <v>2305</v>
      </c>
      <c r="G105" s="263"/>
      <c r="H105" s="263"/>
      <c r="I105" s="266"/>
      <c r="J105" s="266"/>
      <c r="K105" s="266"/>
      <c r="L105" s="266"/>
      <c r="M105" s="266"/>
      <c r="N105" s="266"/>
      <c r="O105" s="266"/>
      <c r="P105" s="266"/>
      <c r="Q105" s="266"/>
      <c r="R105" s="266"/>
      <c r="S105" s="263"/>
      <c r="T105" s="266"/>
      <c r="U105" s="266"/>
      <c r="V105" s="266"/>
      <c r="W105" s="266"/>
      <c r="X105" s="266"/>
      <c r="Y105" s="266"/>
      <c r="Z105" s="266"/>
      <c r="AA105" s="145"/>
      <c r="AB105" s="145"/>
      <c r="AC105" s="145"/>
      <c r="AD105" s="145"/>
      <c r="AE105" s="145"/>
      <c r="AF105" s="145"/>
      <c r="AG105" s="145"/>
      <c r="AH105" s="145"/>
      <c r="AI105" s="145"/>
      <c r="AJ105" s="145"/>
      <c r="AK105" s="145"/>
      <c r="AL105" s="145"/>
      <c r="AM105" s="145"/>
      <c r="AN105" s="145"/>
      <c r="AO105" s="145"/>
      <c r="AP105" s="145"/>
      <c r="AQ105" s="145"/>
      <c r="AR105" s="145"/>
      <c r="AS105" s="145"/>
      <c r="AT105" s="145"/>
      <c r="AU105" s="145"/>
      <c r="AV105" s="145"/>
      <c r="AW105" s="145"/>
      <c r="AX105" s="145"/>
      <c r="AY105" s="145"/>
      <c r="AZ105" s="145"/>
      <c r="BA105" s="145"/>
      <c r="BB105" s="145"/>
      <c r="BC105" s="145"/>
      <c r="BD105" s="145"/>
      <c r="BE105" s="145"/>
      <c r="BF105" s="145"/>
      <c r="BG105" s="145"/>
      <c r="BH105" s="145"/>
      <c r="BI105" s="145"/>
      <c r="BJ105" s="145"/>
      <c r="BK105" s="145"/>
      <c r="BL105" s="145"/>
      <c r="BM105" s="145"/>
      <c r="BN105" s="145"/>
      <c r="BO105" s="145"/>
      <c r="BP105" s="145"/>
      <c r="BQ105" s="145"/>
      <c r="BR105" s="145"/>
      <c r="BS105" s="145"/>
      <c r="BT105" s="145"/>
      <c r="BU105" s="145"/>
      <c r="BV105" s="145"/>
      <c r="BW105" s="145"/>
      <c r="BX105" s="145"/>
      <c r="BY105" s="145"/>
      <c r="BZ105" s="145"/>
      <c r="CA105" s="145"/>
      <c r="CB105" s="145"/>
      <c r="CC105" s="145"/>
      <c r="CD105" s="145"/>
      <c r="CE105" s="145"/>
      <c r="CF105" s="145"/>
      <c r="CG105" s="145"/>
      <c r="CH105" s="145"/>
      <c r="CI105" s="145"/>
      <c r="CJ105" s="145"/>
      <c r="CK105" s="145"/>
      <c r="CL105" s="145"/>
    </row>
    <row r="106" outlineLevel="1">
      <c r="A106" s="158" t="str">
        <f t="shared" si="7"/>
        <v>TC_06.90</v>
      </c>
      <c r="B106" s="267" t="s">
        <v>73</v>
      </c>
      <c r="C106" s="375" t="s">
        <v>2466</v>
      </c>
      <c r="D106" s="375" t="s">
        <v>2461</v>
      </c>
      <c r="E106" s="375" t="s">
        <v>2467</v>
      </c>
      <c r="F106" s="265" t="s">
        <v>2308</v>
      </c>
      <c r="G106" s="263"/>
      <c r="H106" s="263"/>
      <c r="I106" s="266"/>
      <c r="J106" s="266"/>
      <c r="K106" s="266"/>
      <c r="L106" s="266"/>
      <c r="M106" s="266"/>
      <c r="N106" s="266"/>
      <c r="O106" s="266"/>
      <c r="P106" s="266"/>
      <c r="Q106" s="266"/>
      <c r="R106" s="266"/>
      <c r="S106" s="263"/>
      <c r="T106" s="266"/>
      <c r="U106" s="266"/>
      <c r="V106" s="266"/>
      <c r="W106" s="266"/>
      <c r="X106" s="266"/>
      <c r="Y106" s="266"/>
      <c r="Z106" s="266"/>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45"/>
      <c r="AX106" s="145"/>
      <c r="AY106" s="145"/>
      <c r="AZ106" s="145"/>
      <c r="BA106" s="145"/>
      <c r="BB106" s="145"/>
      <c r="BC106" s="145"/>
      <c r="BD106" s="145"/>
      <c r="BE106" s="145"/>
      <c r="BF106" s="145"/>
      <c r="BG106" s="145"/>
      <c r="BH106" s="145"/>
      <c r="BI106" s="145"/>
      <c r="BJ106" s="145"/>
      <c r="BK106" s="145"/>
      <c r="BL106" s="145"/>
      <c r="BM106" s="145"/>
      <c r="BN106" s="145"/>
      <c r="BO106" s="145"/>
      <c r="BP106" s="145"/>
      <c r="BQ106" s="145"/>
      <c r="BR106" s="145"/>
      <c r="BS106" s="145"/>
      <c r="BT106" s="145"/>
      <c r="BU106" s="145"/>
      <c r="BV106" s="145"/>
      <c r="BW106" s="145"/>
      <c r="BX106" s="145"/>
      <c r="BY106" s="145"/>
      <c r="BZ106" s="145"/>
      <c r="CA106" s="145"/>
      <c r="CB106" s="145"/>
      <c r="CC106" s="145"/>
      <c r="CD106" s="145"/>
      <c r="CE106" s="145"/>
      <c r="CF106" s="145"/>
      <c r="CG106" s="145"/>
      <c r="CH106" s="145"/>
      <c r="CI106" s="145"/>
      <c r="CJ106" s="145"/>
      <c r="CK106" s="145"/>
      <c r="CL106" s="145"/>
    </row>
    <row r="107" outlineLevel="1">
      <c r="A107" s="158" t="str">
        <f t="shared" si="7"/>
        <v>TC_06.91</v>
      </c>
      <c r="B107" s="267" t="s">
        <v>73</v>
      </c>
      <c r="C107" s="375" t="s">
        <v>2468</v>
      </c>
      <c r="D107" s="375" t="s">
        <v>2461</v>
      </c>
      <c r="E107" s="375" t="s">
        <v>2469</v>
      </c>
      <c r="F107" s="265" t="s">
        <v>2311</v>
      </c>
      <c r="G107" s="263"/>
      <c r="H107" s="263"/>
      <c r="I107" s="266"/>
      <c r="J107" s="266"/>
      <c r="K107" s="266"/>
      <c r="L107" s="266"/>
      <c r="M107" s="266"/>
      <c r="N107" s="266"/>
      <c r="O107" s="266"/>
      <c r="P107" s="266"/>
      <c r="Q107" s="266"/>
      <c r="R107" s="266"/>
      <c r="S107" s="263"/>
      <c r="T107" s="266"/>
      <c r="U107" s="266"/>
      <c r="V107" s="266"/>
      <c r="W107" s="266"/>
      <c r="X107" s="266"/>
      <c r="Y107" s="266"/>
      <c r="Z107" s="266"/>
      <c r="AA107" s="145"/>
      <c r="AB107" s="145"/>
      <c r="AC107" s="145"/>
      <c r="AD107" s="145"/>
      <c r="AE107" s="145"/>
      <c r="AF107" s="145"/>
      <c r="AG107" s="145"/>
      <c r="AH107" s="145"/>
      <c r="AI107" s="145"/>
      <c r="AJ107" s="145"/>
      <c r="AK107" s="145"/>
      <c r="AL107" s="145"/>
      <c r="AM107" s="145"/>
      <c r="AN107" s="145"/>
      <c r="AO107" s="145"/>
      <c r="AP107" s="145"/>
      <c r="AQ107" s="145"/>
      <c r="AR107" s="145"/>
      <c r="AS107" s="145"/>
      <c r="AT107" s="145"/>
      <c r="AU107" s="145"/>
      <c r="AV107" s="145"/>
      <c r="AW107" s="145"/>
      <c r="AX107" s="145"/>
      <c r="AY107" s="145"/>
      <c r="AZ107" s="145"/>
      <c r="BA107" s="145"/>
      <c r="BB107" s="145"/>
      <c r="BC107" s="145"/>
      <c r="BD107" s="145"/>
      <c r="BE107" s="145"/>
      <c r="BF107" s="145"/>
      <c r="BG107" s="145"/>
      <c r="BH107" s="145"/>
      <c r="BI107" s="145"/>
      <c r="BJ107" s="145"/>
      <c r="BK107" s="145"/>
      <c r="BL107" s="145"/>
      <c r="BM107" s="145"/>
      <c r="BN107" s="145"/>
      <c r="BO107" s="145"/>
      <c r="BP107" s="145"/>
      <c r="BQ107" s="145"/>
      <c r="BR107" s="145"/>
      <c r="BS107" s="145"/>
      <c r="BT107" s="145"/>
      <c r="BU107" s="145"/>
      <c r="BV107" s="145"/>
      <c r="BW107" s="145"/>
      <c r="BX107" s="145"/>
      <c r="BY107" s="145"/>
      <c r="BZ107" s="145"/>
      <c r="CA107" s="145"/>
      <c r="CB107" s="145"/>
      <c r="CC107" s="145"/>
      <c r="CD107" s="145"/>
      <c r="CE107" s="145"/>
      <c r="CF107" s="145"/>
      <c r="CG107" s="145"/>
      <c r="CH107" s="145"/>
      <c r="CI107" s="145"/>
      <c r="CJ107" s="145"/>
      <c r="CK107" s="145"/>
      <c r="CL107" s="145"/>
    </row>
    <row r="108" outlineLevel="1">
      <c r="A108" s="158" t="str">
        <f t="shared" si="7"/>
        <v>TC_06.92</v>
      </c>
      <c r="B108" s="267" t="s">
        <v>73</v>
      </c>
      <c r="C108" s="375" t="s">
        <v>2470</v>
      </c>
      <c r="D108" s="375" t="s">
        <v>2461</v>
      </c>
      <c r="E108" s="375" t="s">
        <v>2471</v>
      </c>
      <c r="F108" s="375" t="s">
        <v>2472</v>
      </c>
      <c r="G108" s="263"/>
      <c r="H108" s="263"/>
      <c r="I108" s="266"/>
      <c r="J108" s="266"/>
      <c r="K108" s="266"/>
      <c r="L108" s="266"/>
      <c r="M108" s="266"/>
      <c r="N108" s="266"/>
      <c r="O108" s="266"/>
      <c r="P108" s="266"/>
      <c r="Q108" s="266"/>
      <c r="R108" s="266"/>
      <c r="S108" s="263"/>
      <c r="T108" s="266"/>
      <c r="U108" s="266"/>
      <c r="V108" s="266"/>
      <c r="W108" s="266"/>
      <c r="X108" s="266"/>
      <c r="Y108" s="266"/>
      <c r="Z108" s="266"/>
      <c r="AA108" s="145"/>
      <c r="AB108" s="145"/>
      <c r="AC108" s="145"/>
      <c r="AD108" s="145"/>
      <c r="AE108" s="145"/>
      <c r="AF108" s="145"/>
      <c r="AG108" s="145"/>
      <c r="AH108" s="145"/>
      <c r="AI108" s="145"/>
      <c r="AJ108" s="145"/>
      <c r="AK108" s="145"/>
      <c r="AL108" s="145"/>
      <c r="AM108" s="145"/>
      <c r="AN108" s="145"/>
      <c r="AO108" s="145"/>
      <c r="AP108" s="145"/>
      <c r="AQ108" s="145"/>
      <c r="AR108" s="145"/>
      <c r="AS108" s="145"/>
      <c r="AT108" s="145"/>
      <c r="AU108" s="145"/>
      <c r="AV108" s="145"/>
      <c r="AW108" s="145"/>
      <c r="AX108" s="145"/>
      <c r="AY108" s="145"/>
      <c r="AZ108" s="145"/>
      <c r="BA108" s="145"/>
      <c r="BB108" s="145"/>
      <c r="BC108" s="145"/>
      <c r="BD108" s="145"/>
      <c r="BE108" s="145"/>
      <c r="BF108" s="145"/>
      <c r="BG108" s="145"/>
      <c r="BH108" s="145"/>
      <c r="BI108" s="145"/>
      <c r="BJ108" s="145"/>
      <c r="BK108" s="145"/>
      <c r="BL108" s="145"/>
      <c r="BM108" s="145"/>
      <c r="BN108" s="145"/>
      <c r="BO108" s="145"/>
      <c r="BP108" s="145"/>
      <c r="BQ108" s="145"/>
      <c r="BR108" s="145"/>
      <c r="BS108" s="145"/>
      <c r="BT108" s="145"/>
      <c r="BU108" s="145"/>
      <c r="BV108" s="145"/>
      <c r="BW108" s="145"/>
      <c r="BX108" s="145"/>
      <c r="BY108" s="145"/>
      <c r="BZ108" s="145"/>
      <c r="CA108" s="145"/>
      <c r="CB108" s="145"/>
      <c r="CC108" s="145"/>
      <c r="CD108" s="145"/>
      <c r="CE108" s="145"/>
      <c r="CF108" s="145"/>
      <c r="CG108" s="145"/>
      <c r="CH108" s="145"/>
      <c r="CI108" s="145"/>
      <c r="CJ108" s="145"/>
      <c r="CK108" s="145"/>
      <c r="CL108" s="145"/>
    </row>
    <row r="109" outlineLevel="1">
      <c r="A109" s="158" t="str">
        <f t="shared" si="7"/>
        <v>TC_06.93</v>
      </c>
      <c r="B109" s="267" t="s">
        <v>73</v>
      </c>
      <c r="C109" s="375" t="s">
        <v>2473</v>
      </c>
      <c r="D109" s="375" t="s">
        <v>2461</v>
      </c>
      <c r="E109" s="375" t="s">
        <v>2474</v>
      </c>
      <c r="F109" s="375" t="s">
        <v>2475</v>
      </c>
      <c r="G109" s="263"/>
      <c r="H109" s="263"/>
      <c r="I109" s="266"/>
      <c r="J109" s="266"/>
      <c r="K109" s="266"/>
      <c r="L109" s="266"/>
      <c r="M109" s="266"/>
      <c r="N109" s="266"/>
      <c r="O109" s="266"/>
      <c r="P109" s="266"/>
      <c r="Q109" s="266"/>
      <c r="R109" s="266"/>
      <c r="S109" s="263"/>
      <c r="T109" s="266"/>
      <c r="U109" s="266"/>
      <c r="V109" s="266"/>
      <c r="W109" s="266"/>
      <c r="X109" s="266"/>
      <c r="Y109" s="266"/>
      <c r="Z109" s="266"/>
      <c r="AA109" s="145"/>
      <c r="AB109" s="145"/>
      <c r="AC109" s="145"/>
      <c r="AD109" s="145"/>
      <c r="AE109" s="145"/>
      <c r="AF109" s="145"/>
      <c r="AG109" s="145"/>
      <c r="AH109" s="145"/>
      <c r="AI109" s="145"/>
      <c r="AJ109" s="145"/>
      <c r="AK109" s="145"/>
      <c r="AL109" s="145"/>
      <c r="AM109" s="145"/>
      <c r="AN109" s="145"/>
      <c r="AO109" s="145"/>
      <c r="AP109" s="145"/>
      <c r="AQ109" s="145"/>
      <c r="AR109" s="145"/>
      <c r="AS109" s="145"/>
      <c r="AT109" s="145"/>
      <c r="AU109" s="145"/>
      <c r="AV109" s="145"/>
      <c r="AW109" s="145"/>
      <c r="AX109" s="145"/>
      <c r="AY109" s="145"/>
      <c r="AZ109" s="145"/>
      <c r="BA109" s="145"/>
      <c r="BB109" s="145"/>
      <c r="BC109" s="145"/>
      <c r="BD109" s="145"/>
      <c r="BE109" s="145"/>
      <c r="BF109" s="145"/>
      <c r="BG109" s="145"/>
      <c r="BH109" s="145"/>
      <c r="BI109" s="145"/>
      <c r="BJ109" s="145"/>
      <c r="BK109" s="145"/>
      <c r="BL109" s="145"/>
      <c r="BM109" s="145"/>
      <c r="BN109" s="145"/>
      <c r="BO109" s="145"/>
      <c r="BP109" s="145"/>
      <c r="BQ109" s="145"/>
      <c r="BR109" s="145"/>
      <c r="BS109" s="145"/>
      <c r="BT109" s="145"/>
      <c r="BU109" s="145"/>
      <c r="BV109" s="145"/>
      <c r="BW109" s="145"/>
      <c r="BX109" s="145"/>
      <c r="BY109" s="145"/>
      <c r="BZ109" s="145"/>
      <c r="CA109" s="145"/>
      <c r="CB109" s="145"/>
      <c r="CC109" s="145"/>
      <c r="CD109" s="145"/>
      <c r="CE109" s="145"/>
      <c r="CF109" s="145"/>
      <c r="CG109" s="145"/>
      <c r="CH109" s="145"/>
      <c r="CI109" s="145"/>
      <c r="CJ109" s="145"/>
      <c r="CK109" s="145"/>
      <c r="CL109" s="145"/>
    </row>
    <row r="110" outlineLevel="1">
      <c r="A110" s="158" t="str">
        <f t="shared" si="7"/>
        <v>TC_06.94</v>
      </c>
      <c r="B110" s="267" t="s">
        <v>73</v>
      </c>
      <c r="C110" s="375" t="s">
        <v>2476</v>
      </c>
      <c r="D110" s="375" t="s">
        <v>2461</v>
      </c>
      <c r="E110" s="375" t="s">
        <v>2477</v>
      </c>
      <c r="F110" s="375" t="s">
        <v>2478</v>
      </c>
      <c r="G110" s="263"/>
      <c r="H110" s="263"/>
      <c r="I110" s="266"/>
      <c r="J110" s="266"/>
      <c r="K110" s="266"/>
      <c r="L110" s="266"/>
      <c r="M110" s="266"/>
      <c r="N110" s="266"/>
      <c r="O110" s="266"/>
      <c r="P110" s="266"/>
      <c r="Q110" s="266"/>
      <c r="R110" s="266"/>
      <c r="S110" s="263"/>
      <c r="T110" s="266"/>
      <c r="U110" s="266"/>
      <c r="V110" s="266"/>
      <c r="W110" s="266"/>
      <c r="X110" s="266"/>
      <c r="Y110" s="266"/>
      <c r="Z110" s="266"/>
      <c r="AA110" s="145"/>
      <c r="AB110" s="145"/>
      <c r="AC110" s="145"/>
      <c r="AD110" s="145"/>
      <c r="AE110" s="145"/>
      <c r="AF110" s="145"/>
      <c r="AG110" s="145"/>
      <c r="AH110" s="145"/>
      <c r="AI110" s="145"/>
      <c r="AJ110" s="145"/>
      <c r="AK110" s="145"/>
      <c r="AL110" s="145"/>
      <c r="AM110" s="145"/>
      <c r="AN110" s="145"/>
      <c r="AO110" s="145"/>
      <c r="AP110" s="145"/>
      <c r="AQ110" s="145"/>
      <c r="AR110" s="145"/>
      <c r="AS110" s="145"/>
      <c r="AT110" s="145"/>
      <c r="AU110" s="145"/>
      <c r="AV110" s="145"/>
      <c r="AW110" s="145"/>
      <c r="AX110" s="145"/>
      <c r="AY110" s="145"/>
      <c r="AZ110" s="145"/>
      <c r="BA110" s="145"/>
      <c r="BB110" s="145"/>
      <c r="BC110" s="145"/>
      <c r="BD110" s="145"/>
      <c r="BE110" s="145"/>
      <c r="BF110" s="145"/>
      <c r="BG110" s="145"/>
      <c r="BH110" s="145"/>
      <c r="BI110" s="145"/>
      <c r="BJ110" s="145"/>
      <c r="BK110" s="145"/>
      <c r="BL110" s="145"/>
      <c r="BM110" s="145"/>
      <c r="BN110" s="145"/>
      <c r="BO110" s="145"/>
      <c r="BP110" s="145"/>
      <c r="BQ110" s="145"/>
      <c r="BR110" s="145"/>
      <c r="BS110" s="145"/>
      <c r="BT110" s="145"/>
      <c r="BU110" s="145"/>
      <c r="BV110" s="145"/>
      <c r="BW110" s="145"/>
      <c r="BX110" s="145"/>
      <c r="BY110" s="145"/>
      <c r="BZ110" s="145"/>
      <c r="CA110" s="145"/>
      <c r="CB110" s="145"/>
      <c r="CC110" s="145"/>
      <c r="CD110" s="145"/>
      <c r="CE110" s="145"/>
      <c r="CF110" s="145"/>
      <c r="CG110" s="145"/>
      <c r="CH110" s="145"/>
      <c r="CI110" s="145"/>
      <c r="CJ110" s="145"/>
      <c r="CK110" s="145"/>
      <c r="CL110" s="145"/>
    </row>
    <row r="111" outlineLevel="1">
      <c r="A111" s="158" t="str">
        <f t="shared" si="7"/>
        <v>TC_06.95</v>
      </c>
      <c r="B111" s="267" t="s">
        <v>73</v>
      </c>
      <c r="C111" s="375" t="s">
        <v>2479</v>
      </c>
      <c r="D111" s="375" t="s">
        <v>2461</v>
      </c>
      <c r="E111" s="375" t="s">
        <v>2480</v>
      </c>
      <c r="F111" s="567" t="s">
        <v>2323</v>
      </c>
      <c r="G111" s="263"/>
      <c r="H111" s="263"/>
      <c r="I111" s="266"/>
      <c r="J111" s="266"/>
      <c r="K111" s="266"/>
      <c r="L111" s="266"/>
      <c r="M111" s="266"/>
      <c r="N111" s="266"/>
      <c r="O111" s="266"/>
      <c r="P111" s="266"/>
      <c r="Q111" s="266"/>
      <c r="R111" s="266"/>
      <c r="S111" s="263"/>
      <c r="T111" s="266"/>
      <c r="U111" s="266"/>
      <c r="V111" s="266"/>
      <c r="W111" s="266"/>
      <c r="X111" s="266"/>
      <c r="Y111" s="266"/>
      <c r="Z111" s="266"/>
      <c r="AA111" s="145"/>
      <c r="AB111" s="145"/>
      <c r="AC111" s="145"/>
      <c r="AD111" s="145"/>
      <c r="AE111" s="145"/>
      <c r="AF111" s="145"/>
      <c r="AG111" s="145"/>
      <c r="AH111" s="145"/>
      <c r="AI111" s="145"/>
      <c r="AJ111" s="145"/>
      <c r="AK111" s="145"/>
      <c r="AL111" s="145"/>
      <c r="AM111" s="145"/>
      <c r="AN111" s="145"/>
      <c r="AO111" s="145"/>
      <c r="AP111" s="145"/>
      <c r="AQ111" s="145"/>
      <c r="AR111" s="145"/>
      <c r="AS111" s="145"/>
      <c r="AT111" s="145"/>
      <c r="AU111" s="145"/>
      <c r="AV111" s="145"/>
      <c r="AW111" s="145"/>
      <c r="AX111" s="145"/>
      <c r="AY111" s="145"/>
      <c r="AZ111" s="145"/>
      <c r="BA111" s="145"/>
      <c r="BB111" s="145"/>
      <c r="BC111" s="145"/>
      <c r="BD111" s="145"/>
      <c r="BE111" s="145"/>
      <c r="BF111" s="145"/>
      <c r="BG111" s="145"/>
      <c r="BH111" s="145"/>
      <c r="BI111" s="145"/>
      <c r="BJ111" s="145"/>
      <c r="BK111" s="145"/>
      <c r="BL111" s="145"/>
      <c r="BM111" s="145"/>
      <c r="BN111" s="145"/>
      <c r="BO111" s="145"/>
      <c r="BP111" s="145"/>
      <c r="BQ111" s="145"/>
      <c r="BR111" s="145"/>
      <c r="BS111" s="145"/>
      <c r="BT111" s="145"/>
      <c r="BU111" s="145"/>
      <c r="BV111" s="145"/>
      <c r="BW111" s="145"/>
      <c r="BX111" s="145"/>
      <c r="BY111" s="145"/>
      <c r="BZ111" s="145"/>
      <c r="CA111" s="145"/>
      <c r="CB111" s="145"/>
      <c r="CC111" s="145"/>
      <c r="CD111" s="145"/>
      <c r="CE111" s="145"/>
      <c r="CF111" s="145"/>
      <c r="CG111" s="145"/>
      <c r="CH111" s="145"/>
      <c r="CI111" s="145"/>
      <c r="CJ111" s="145"/>
      <c r="CK111" s="145"/>
      <c r="CL111" s="145"/>
    </row>
    <row r="112" outlineLevel="1">
      <c r="A112" s="158" t="str">
        <f t="shared" si="7"/>
        <v>TC_06.96</v>
      </c>
      <c r="B112" s="267" t="s">
        <v>73</v>
      </c>
      <c r="C112" s="375" t="s">
        <v>2481</v>
      </c>
      <c r="D112" s="375" t="s">
        <v>2482</v>
      </c>
      <c r="E112" s="375" t="s">
        <v>2483</v>
      </c>
      <c r="F112" s="265" t="s">
        <v>2327</v>
      </c>
      <c r="G112" s="263"/>
      <c r="H112" s="263"/>
      <c r="I112" s="266"/>
      <c r="J112" s="266"/>
      <c r="K112" s="266"/>
      <c r="L112" s="266"/>
      <c r="M112" s="266"/>
      <c r="N112" s="266"/>
      <c r="O112" s="266"/>
      <c r="P112" s="266"/>
      <c r="Q112" s="266"/>
      <c r="R112" s="266"/>
      <c r="S112" s="263"/>
      <c r="T112" s="266"/>
      <c r="U112" s="266"/>
      <c r="V112" s="266"/>
      <c r="W112" s="266"/>
      <c r="X112" s="266"/>
      <c r="Y112" s="266"/>
      <c r="Z112" s="266"/>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45"/>
      <c r="AX112" s="145"/>
      <c r="AY112" s="145"/>
      <c r="AZ112" s="145"/>
      <c r="BA112" s="145"/>
      <c r="BB112" s="145"/>
      <c r="BC112" s="145"/>
      <c r="BD112" s="145"/>
      <c r="BE112" s="145"/>
      <c r="BF112" s="145"/>
      <c r="BG112" s="145"/>
      <c r="BH112" s="145"/>
      <c r="BI112" s="145"/>
      <c r="BJ112" s="145"/>
      <c r="BK112" s="145"/>
      <c r="BL112" s="145"/>
      <c r="BM112" s="145"/>
      <c r="BN112" s="145"/>
      <c r="BO112" s="145"/>
      <c r="BP112" s="145"/>
      <c r="BQ112" s="145"/>
      <c r="BR112" s="145"/>
      <c r="BS112" s="145"/>
      <c r="BT112" s="145"/>
      <c r="BU112" s="145"/>
      <c r="BV112" s="145"/>
      <c r="BW112" s="145"/>
      <c r="BX112" s="145"/>
      <c r="BY112" s="145"/>
      <c r="BZ112" s="145"/>
      <c r="CA112" s="145"/>
      <c r="CB112" s="145"/>
      <c r="CC112" s="145"/>
      <c r="CD112" s="145"/>
      <c r="CE112" s="145"/>
      <c r="CF112" s="145"/>
      <c r="CG112" s="145"/>
      <c r="CH112" s="145"/>
      <c r="CI112" s="145"/>
      <c r="CJ112" s="145"/>
      <c r="CK112" s="145"/>
      <c r="CL112" s="145"/>
    </row>
    <row r="113" outlineLevel="1">
      <c r="A113" s="158" t="str">
        <f t="shared" si="7"/>
        <v>TC_06.97</v>
      </c>
      <c r="B113" s="267" t="s">
        <v>75</v>
      </c>
      <c r="C113" s="375" t="s">
        <v>2484</v>
      </c>
      <c r="D113" s="375" t="s">
        <v>2485</v>
      </c>
      <c r="E113" s="375" t="s">
        <v>2486</v>
      </c>
      <c r="F113" s="375" t="s">
        <v>2487</v>
      </c>
      <c r="G113" s="263"/>
      <c r="H113" s="263"/>
      <c r="I113" s="266"/>
      <c r="J113" s="266"/>
      <c r="K113" s="266"/>
      <c r="L113" s="266"/>
      <c r="M113" s="266"/>
      <c r="N113" s="266"/>
      <c r="O113" s="266"/>
      <c r="P113" s="266"/>
      <c r="Q113" s="266"/>
      <c r="R113" s="266"/>
      <c r="S113" s="263"/>
      <c r="T113" s="266"/>
      <c r="U113" s="266"/>
      <c r="V113" s="266"/>
      <c r="W113" s="266"/>
      <c r="X113" s="266"/>
      <c r="Y113" s="266"/>
      <c r="Z113" s="266"/>
      <c r="AA113" s="145"/>
      <c r="AB113" s="145"/>
      <c r="AC113" s="145"/>
      <c r="AD113" s="145"/>
      <c r="AE113" s="145"/>
      <c r="AF113" s="145"/>
      <c r="AG113" s="145"/>
      <c r="AH113" s="145"/>
      <c r="AI113" s="145"/>
      <c r="AJ113" s="145"/>
      <c r="AK113" s="145"/>
      <c r="AL113" s="145"/>
      <c r="AM113" s="145"/>
      <c r="AN113" s="145"/>
      <c r="AO113" s="145"/>
      <c r="AP113" s="145"/>
      <c r="AQ113" s="145"/>
      <c r="AR113" s="145"/>
      <c r="AS113" s="145"/>
      <c r="AT113" s="145"/>
      <c r="AU113" s="145"/>
      <c r="AV113" s="145"/>
      <c r="AW113" s="145"/>
      <c r="AX113" s="145"/>
      <c r="AY113" s="145"/>
      <c r="AZ113" s="145"/>
      <c r="BA113" s="145"/>
      <c r="BB113" s="145"/>
      <c r="BC113" s="145"/>
      <c r="BD113" s="145"/>
      <c r="BE113" s="145"/>
      <c r="BF113" s="145"/>
      <c r="BG113" s="145"/>
      <c r="BH113" s="145"/>
      <c r="BI113" s="145"/>
      <c r="BJ113" s="145"/>
      <c r="BK113" s="145"/>
      <c r="BL113" s="145"/>
      <c r="BM113" s="145"/>
      <c r="BN113" s="145"/>
      <c r="BO113" s="145"/>
      <c r="BP113" s="145"/>
      <c r="BQ113" s="145"/>
      <c r="BR113" s="145"/>
      <c r="BS113" s="145"/>
      <c r="BT113" s="145"/>
      <c r="BU113" s="145"/>
      <c r="BV113" s="145"/>
      <c r="BW113" s="145"/>
      <c r="BX113" s="145"/>
      <c r="BY113" s="145"/>
      <c r="BZ113" s="145"/>
      <c r="CA113" s="145"/>
      <c r="CB113" s="145"/>
      <c r="CC113" s="145"/>
      <c r="CD113" s="145"/>
      <c r="CE113" s="145"/>
      <c r="CF113" s="145"/>
      <c r="CG113" s="145"/>
      <c r="CH113" s="145"/>
      <c r="CI113" s="145"/>
      <c r="CJ113" s="145"/>
      <c r="CK113" s="145"/>
      <c r="CL113" s="145"/>
    </row>
    <row r="114" outlineLevel="1">
      <c r="A114" s="158" t="str">
        <f t="shared" si="7"/>
        <v>TC_06.98</v>
      </c>
      <c r="B114" s="267" t="s">
        <v>75</v>
      </c>
      <c r="C114" s="375" t="s">
        <v>2488</v>
      </c>
      <c r="D114" s="375" t="s">
        <v>2489</v>
      </c>
      <c r="E114" s="375" t="s">
        <v>2490</v>
      </c>
      <c r="F114" s="265" t="s">
        <v>2414</v>
      </c>
      <c r="G114" s="263"/>
      <c r="H114" s="263"/>
      <c r="I114" s="266"/>
      <c r="J114" s="266"/>
      <c r="K114" s="266"/>
      <c r="L114" s="266"/>
      <c r="M114" s="266"/>
      <c r="N114" s="266"/>
      <c r="O114" s="266"/>
      <c r="P114" s="266"/>
      <c r="Q114" s="266"/>
      <c r="R114" s="266"/>
      <c r="S114" s="263"/>
      <c r="T114" s="266"/>
      <c r="U114" s="266"/>
      <c r="V114" s="266"/>
      <c r="W114" s="266"/>
      <c r="X114" s="266"/>
      <c r="Y114" s="266"/>
      <c r="Z114" s="266"/>
      <c r="AA114" s="145"/>
      <c r="AB114" s="145"/>
      <c r="AC114" s="145"/>
      <c r="AD114" s="145"/>
      <c r="AE114" s="145"/>
      <c r="AF114" s="145"/>
      <c r="AG114" s="145"/>
      <c r="AH114" s="145"/>
      <c r="AI114" s="145"/>
      <c r="AJ114" s="145"/>
      <c r="AK114" s="145"/>
      <c r="AL114" s="145"/>
      <c r="AM114" s="145"/>
      <c r="AN114" s="145"/>
      <c r="AO114" s="145"/>
      <c r="AP114" s="145"/>
      <c r="AQ114" s="145"/>
      <c r="AR114" s="145"/>
      <c r="AS114" s="145"/>
      <c r="AT114" s="145"/>
      <c r="AU114" s="145"/>
      <c r="AV114" s="145"/>
      <c r="AW114" s="145"/>
      <c r="AX114" s="145"/>
      <c r="AY114" s="145"/>
      <c r="AZ114" s="145"/>
      <c r="BA114" s="145"/>
      <c r="BB114" s="145"/>
      <c r="BC114" s="145"/>
      <c r="BD114" s="145"/>
      <c r="BE114" s="145"/>
      <c r="BF114" s="145"/>
      <c r="BG114" s="145"/>
      <c r="BH114" s="145"/>
      <c r="BI114" s="145"/>
      <c r="BJ114" s="145"/>
      <c r="BK114" s="145"/>
      <c r="BL114" s="145"/>
      <c r="BM114" s="145"/>
      <c r="BN114" s="145"/>
      <c r="BO114" s="145"/>
      <c r="BP114" s="145"/>
      <c r="BQ114" s="145"/>
      <c r="BR114" s="145"/>
      <c r="BS114" s="145"/>
      <c r="BT114" s="145"/>
      <c r="BU114" s="145"/>
      <c r="BV114" s="145"/>
      <c r="BW114" s="145"/>
      <c r="BX114" s="145"/>
      <c r="BY114" s="145"/>
      <c r="BZ114" s="145"/>
      <c r="CA114" s="145"/>
      <c r="CB114" s="145"/>
      <c r="CC114" s="145"/>
      <c r="CD114" s="145"/>
      <c r="CE114" s="145"/>
      <c r="CF114" s="145"/>
      <c r="CG114" s="145"/>
      <c r="CH114" s="145"/>
      <c r="CI114" s="145"/>
      <c r="CJ114" s="145"/>
      <c r="CK114" s="145"/>
      <c r="CL114" s="145"/>
    </row>
    <row r="115" outlineLevel="1">
      <c r="A115" s="158" t="str">
        <f t="shared" si="7"/>
        <v>TC_06.99</v>
      </c>
      <c r="B115" s="267" t="s">
        <v>75</v>
      </c>
      <c r="C115" s="375" t="s">
        <v>2491</v>
      </c>
      <c r="D115" s="375" t="s">
        <v>2492</v>
      </c>
      <c r="E115" s="375" t="s">
        <v>2493</v>
      </c>
      <c r="F115" s="375" t="s">
        <v>2494</v>
      </c>
      <c r="G115" s="263"/>
      <c r="H115" s="263"/>
      <c r="I115" s="266"/>
      <c r="J115" s="266"/>
      <c r="K115" s="266"/>
      <c r="L115" s="266"/>
      <c r="M115" s="266"/>
      <c r="N115" s="266"/>
      <c r="O115" s="266"/>
      <c r="P115" s="266"/>
      <c r="Q115" s="266"/>
      <c r="R115" s="266"/>
      <c r="S115" s="263"/>
      <c r="T115" s="266"/>
      <c r="U115" s="266"/>
      <c r="V115" s="266"/>
      <c r="W115" s="266"/>
      <c r="X115" s="266"/>
      <c r="Y115" s="266"/>
      <c r="Z115" s="266"/>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45"/>
      <c r="AX115" s="145"/>
      <c r="AY115" s="145"/>
      <c r="AZ115" s="145"/>
      <c r="BA115" s="145"/>
      <c r="BB115" s="145"/>
      <c r="BC115" s="145"/>
      <c r="BD115" s="145"/>
      <c r="BE115" s="145"/>
      <c r="BF115" s="145"/>
      <c r="BG115" s="145"/>
      <c r="BH115" s="145"/>
      <c r="BI115" s="145"/>
      <c r="BJ115" s="145"/>
      <c r="BK115" s="145"/>
      <c r="BL115" s="145"/>
      <c r="BM115" s="145"/>
      <c r="BN115" s="145"/>
      <c r="BO115" s="145"/>
      <c r="BP115" s="145"/>
      <c r="BQ115" s="145"/>
      <c r="BR115" s="145"/>
      <c r="BS115" s="145"/>
      <c r="BT115" s="145"/>
      <c r="BU115" s="145"/>
      <c r="BV115" s="145"/>
      <c r="BW115" s="145"/>
      <c r="BX115" s="145"/>
      <c r="BY115" s="145"/>
      <c r="BZ115" s="145"/>
      <c r="CA115" s="145"/>
      <c r="CB115" s="145"/>
      <c r="CC115" s="145"/>
      <c r="CD115" s="145"/>
      <c r="CE115" s="145"/>
      <c r="CF115" s="145"/>
      <c r="CG115" s="145"/>
      <c r="CH115" s="145"/>
      <c r="CI115" s="145"/>
      <c r="CJ115" s="145"/>
      <c r="CK115" s="145"/>
      <c r="CL115" s="145"/>
    </row>
    <row r="116" outlineLevel="1">
      <c r="A116" s="158" t="str">
        <f t="shared" si="7"/>
        <v>TC_06.100</v>
      </c>
      <c r="B116" s="267" t="s">
        <v>75</v>
      </c>
      <c r="C116" s="375" t="s">
        <v>2419</v>
      </c>
      <c r="D116" s="375" t="s">
        <v>2420</v>
      </c>
      <c r="E116" s="375" t="s">
        <v>2495</v>
      </c>
      <c r="F116" s="375" t="s">
        <v>2422</v>
      </c>
      <c r="G116" s="263"/>
      <c r="H116" s="263"/>
      <c r="I116" s="266"/>
      <c r="J116" s="266"/>
      <c r="K116" s="266"/>
      <c r="L116" s="266"/>
      <c r="M116" s="266"/>
      <c r="N116" s="266"/>
      <c r="O116" s="266"/>
      <c r="P116" s="266"/>
      <c r="Q116" s="266"/>
      <c r="R116" s="266"/>
      <c r="S116" s="263"/>
      <c r="T116" s="266"/>
      <c r="U116" s="266"/>
      <c r="V116" s="266"/>
      <c r="W116" s="266"/>
      <c r="X116" s="266"/>
      <c r="Y116" s="266"/>
      <c r="Z116" s="266"/>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c r="BC116" s="145"/>
      <c r="BD116" s="145"/>
      <c r="BE116" s="145"/>
      <c r="BF116" s="145"/>
      <c r="BG116" s="145"/>
      <c r="BH116" s="145"/>
      <c r="BI116" s="145"/>
      <c r="BJ116" s="145"/>
      <c r="BK116" s="145"/>
      <c r="BL116" s="145"/>
      <c r="BM116" s="145"/>
      <c r="BN116" s="145"/>
      <c r="BO116" s="145"/>
      <c r="BP116" s="145"/>
      <c r="BQ116" s="145"/>
      <c r="BR116" s="145"/>
      <c r="BS116" s="145"/>
      <c r="BT116" s="145"/>
      <c r="BU116" s="145"/>
      <c r="BV116" s="145"/>
      <c r="BW116" s="145"/>
      <c r="BX116" s="145"/>
      <c r="BY116" s="145"/>
      <c r="BZ116" s="145"/>
      <c r="CA116" s="145"/>
      <c r="CB116" s="145"/>
      <c r="CC116" s="145"/>
      <c r="CD116" s="145"/>
      <c r="CE116" s="145"/>
      <c r="CF116" s="145"/>
      <c r="CG116" s="145"/>
      <c r="CH116" s="145"/>
      <c r="CI116" s="145"/>
      <c r="CJ116" s="145"/>
      <c r="CK116" s="145"/>
      <c r="CL116" s="145"/>
    </row>
    <row r="117" outlineLevel="1">
      <c r="A117" s="158" t="str">
        <f t="shared" si="7"/>
        <v>TC_06.101</v>
      </c>
      <c r="B117" s="267" t="s">
        <v>75</v>
      </c>
      <c r="C117" s="375" t="s">
        <v>2423</v>
      </c>
      <c r="D117" s="375" t="s">
        <v>2424</v>
      </c>
      <c r="E117" s="375" t="s">
        <v>2496</v>
      </c>
      <c r="F117" s="375" t="s">
        <v>2426</v>
      </c>
      <c r="G117" s="263"/>
      <c r="H117" s="263"/>
      <c r="I117" s="266"/>
      <c r="J117" s="266"/>
      <c r="K117" s="266"/>
      <c r="L117" s="266"/>
      <c r="M117" s="266"/>
      <c r="N117" s="266"/>
      <c r="O117" s="266"/>
      <c r="P117" s="266"/>
      <c r="Q117" s="266"/>
      <c r="R117" s="266"/>
      <c r="S117" s="263"/>
      <c r="T117" s="266"/>
      <c r="U117" s="266"/>
      <c r="V117" s="266"/>
      <c r="W117" s="266"/>
      <c r="X117" s="266"/>
      <c r="Y117" s="266"/>
      <c r="Z117" s="266"/>
      <c r="AA117" s="145"/>
      <c r="AB117" s="145"/>
      <c r="AC117" s="145"/>
      <c r="AD117" s="145"/>
      <c r="AE117" s="145"/>
      <c r="AF117" s="145"/>
      <c r="AG117" s="145"/>
      <c r="AH117" s="145"/>
      <c r="AI117" s="145"/>
      <c r="AJ117" s="145"/>
      <c r="AK117" s="145"/>
      <c r="AL117" s="145"/>
      <c r="AM117" s="145"/>
      <c r="AN117" s="145"/>
      <c r="AO117" s="145"/>
      <c r="AP117" s="145"/>
      <c r="AQ117" s="145"/>
      <c r="AR117" s="145"/>
      <c r="AS117" s="145"/>
      <c r="AT117" s="145"/>
      <c r="AU117" s="145"/>
      <c r="AV117" s="145"/>
      <c r="AW117" s="145"/>
      <c r="AX117" s="145"/>
      <c r="AY117" s="145"/>
      <c r="AZ117" s="145"/>
      <c r="BA117" s="145"/>
      <c r="BB117" s="145"/>
      <c r="BC117" s="145"/>
      <c r="BD117" s="145"/>
      <c r="BE117" s="145"/>
      <c r="BF117" s="145"/>
      <c r="BG117" s="145"/>
      <c r="BH117" s="145"/>
      <c r="BI117" s="145"/>
      <c r="BJ117" s="145"/>
      <c r="BK117" s="145"/>
      <c r="BL117" s="145"/>
      <c r="BM117" s="145"/>
      <c r="BN117" s="145"/>
      <c r="BO117" s="145"/>
      <c r="BP117" s="145"/>
      <c r="BQ117" s="145"/>
      <c r="BR117" s="145"/>
      <c r="BS117" s="145"/>
      <c r="BT117" s="145"/>
      <c r="BU117" s="145"/>
      <c r="BV117" s="145"/>
      <c r="BW117" s="145"/>
      <c r="BX117" s="145"/>
      <c r="BY117" s="145"/>
      <c r="BZ117" s="145"/>
      <c r="CA117" s="145"/>
      <c r="CB117" s="145"/>
      <c r="CC117" s="145"/>
      <c r="CD117" s="145"/>
      <c r="CE117" s="145"/>
      <c r="CF117" s="145"/>
      <c r="CG117" s="145"/>
      <c r="CH117" s="145"/>
      <c r="CI117" s="145"/>
      <c r="CJ117" s="145"/>
      <c r="CK117" s="145"/>
      <c r="CL117" s="145"/>
    </row>
    <row r="118" outlineLevel="1">
      <c r="A118" s="158" t="str">
        <f t="shared" si="7"/>
        <v>TC_06.102</v>
      </c>
      <c r="B118" s="267" t="s">
        <v>73</v>
      </c>
      <c r="C118" s="375" t="s">
        <v>2497</v>
      </c>
      <c r="D118" s="375" t="s">
        <v>2498</v>
      </c>
      <c r="E118" s="375" t="s">
        <v>2499</v>
      </c>
      <c r="F118" s="265" t="s">
        <v>2430</v>
      </c>
      <c r="G118" s="263"/>
      <c r="H118" s="263"/>
      <c r="I118" s="266"/>
      <c r="J118" s="266"/>
      <c r="K118" s="266"/>
      <c r="L118" s="266"/>
      <c r="M118" s="266"/>
      <c r="N118" s="266"/>
      <c r="O118" s="266"/>
      <c r="P118" s="266"/>
      <c r="Q118" s="266"/>
      <c r="R118" s="266"/>
      <c r="S118" s="263"/>
      <c r="T118" s="266"/>
      <c r="U118" s="266"/>
      <c r="V118" s="266"/>
      <c r="W118" s="266"/>
      <c r="X118" s="266"/>
      <c r="Y118" s="266"/>
      <c r="Z118" s="266"/>
      <c r="AA118" s="145"/>
      <c r="AB118" s="145"/>
      <c r="AC118" s="145"/>
      <c r="AD118" s="145"/>
      <c r="AE118" s="145"/>
      <c r="AF118" s="145"/>
      <c r="AG118" s="145"/>
      <c r="AH118" s="145"/>
      <c r="AI118" s="145"/>
      <c r="AJ118" s="145"/>
      <c r="AK118" s="145"/>
      <c r="AL118" s="145"/>
      <c r="AM118" s="145"/>
      <c r="AN118" s="145"/>
      <c r="AO118" s="145"/>
      <c r="AP118" s="145"/>
      <c r="AQ118" s="145"/>
      <c r="AR118" s="145"/>
      <c r="AS118" s="145"/>
      <c r="AT118" s="145"/>
      <c r="AU118" s="145"/>
      <c r="AV118" s="145"/>
      <c r="AW118" s="145"/>
      <c r="AX118" s="145"/>
      <c r="AY118" s="145"/>
      <c r="AZ118" s="145"/>
      <c r="BA118" s="145"/>
      <c r="BB118" s="145"/>
      <c r="BC118" s="145"/>
      <c r="BD118" s="145"/>
      <c r="BE118" s="145"/>
      <c r="BF118" s="145"/>
      <c r="BG118" s="145"/>
      <c r="BH118" s="145"/>
      <c r="BI118" s="145"/>
      <c r="BJ118" s="145"/>
      <c r="BK118" s="145"/>
      <c r="BL118" s="145"/>
      <c r="BM118" s="145"/>
      <c r="BN118" s="145"/>
      <c r="BO118" s="145"/>
      <c r="BP118" s="145"/>
      <c r="BQ118" s="145"/>
      <c r="BR118" s="145"/>
      <c r="BS118" s="145"/>
      <c r="BT118" s="145"/>
      <c r="BU118" s="145"/>
      <c r="BV118" s="145"/>
      <c r="BW118" s="145"/>
      <c r="BX118" s="145"/>
      <c r="BY118" s="145"/>
      <c r="BZ118" s="145"/>
      <c r="CA118" s="145"/>
      <c r="CB118" s="145"/>
      <c r="CC118" s="145"/>
      <c r="CD118" s="145"/>
      <c r="CE118" s="145"/>
      <c r="CF118" s="145"/>
      <c r="CG118" s="145"/>
      <c r="CH118" s="145"/>
      <c r="CI118" s="145"/>
      <c r="CJ118" s="145"/>
      <c r="CK118" s="145"/>
      <c r="CL118" s="145"/>
    </row>
    <row r="119" outlineLevel="1">
      <c r="A119" s="158" t="str">
        <f t="shared" si="7"/>
        <v>TC_06.103</v>
      </c>
      <c r="B119" s="267" t="s">
        <v>73</v>
      </c>
      <c r="C119" s="265" t="s">
        <v>2431</v>
      </c>
      <c r="D119" s="375" t="s">
        <v>2500</v>
      </c>
      <c r="E119" s="375" t="s">
        <v>2501</v>
      </c>
      <c r="F119" s="265" t="s">
        <v>2434</v>
      </c>
      <c r="G119" s="263"/>
      <c r="H119" s="263"/>
      <c r="I119" s="266"/>
      <c r="J119" s="266"/>
      <c r="K119" s="266"/>
      <c r="L119" s="266"/>
      <c r="M119" s="266"/>
      <c r="N119" s="266"/>
      <c r="O119" s="266"/>
      <c r="P119" s="266"/>
      <c r="Q119" s="266"/>
      <c r="R119" s="266"/>
      <c r="S119" s="263"/>
      <c r="T119" s="266"/>
      <c r="U119" s="266"/>
      <c r="V119" s="266"/>
      <c r="W119" s="266"/>
      <c r="X119" s="266"/>
      <c r="Y119" s="266"/>
      <c r="Z119" s="266"/>
      <c r="AA119" s="145"/>
      <c r="AB119" s="145"/>
      <c r="AC119" s="145"/>
      <c r="AD119" s="145"/>
      <c r="AE119" s="145"/>
      <c r="AF119" s="145"/>
      <c r="AG119" s="145"/>
      <c r="AH119" s="145"/>
      <c r="AI119" s="145"/>
      <c r="AJ119" s="145"/>
      <c r="AK119" s="145"/>
      <c r="AL119" s="145"/>
      <c r="AM119" s="145"/>
      <c r="AN119" s="145"/>
      <c r="AO119" s="145"/>
      <c r="AP119" s="145"/>
      <c r="AQ119" s="145"/>
      <c r="AR119" s="145"/>
      <c r="AS119" s="145"/>
      <c r="AT119" s="145"/>
      <c r="AU119" s="145"/>
      <c r="AV119" s="145"/>
      <c r="AW119" s="145"/>
      <c r="AX119" s="145"/>
      <c r="AY119" s="145"/>
      <c r="AZ119" s="145"/>
      <c r="BA119" s="145"/>
      <c r="BB119" s="145"/>
      <c r="BC119" s="145"/>
      <c r="BD119" s="145"/>
      <c r="BE119" s="145"/>
      <c r="BF119" s="145"/>
      <c r="BG119" s="145"/>
      <c r="BH119" s="145"/>
      <c r="BI119" s="145"/>
      <c r="BJ119" s="145"/>
      <c r="BK119" s="145"/>
      <c r="BL119" s="145"/>
      <c r="BM119" s="145"/>
      <c r="BN119" s="145"/>
      <c r="BO119" s="145"/>
      <c r="BP119" s="145"/>
      <c r="BQ119" s="145"/>
      <c r="BR119" s="145"/>
      <c r="BS119" s="145"/>
      <c r="BT119" s="145"/>
      <c r="BU119" s="145"/>
      <c r="BV119" s="145"/>
      <c r="BW119" s="145"/>
      <c r="BX119" s="145"/>
      <c r="BY119" s="145"/>
      <c r="BZ119" s="145"/>
      <c r="CA119" s="145"/>
      <c r="CB119" s="145"/>
      <c r="CC119" s="145"/>
      <c r="CD119" s="145"/>
      <c r="CE119" s="145"/>
      <c r="CF119" s="145"/>
      <c r="CG119" s="145"/>
      <c r="CH119" s="145"/>
      <c r="CI119" s="145"/>
      <c r="CJ119" s="145"/>
      <c r="CK119" s="145"/>
      <c r="CL119" s="145"/>
    </row>
    <row r="120" collapsed="1">
      <c r="A120" s="562" t="s">
        <v>2502</v>
      </c>
      <c r="B120" s="148"/>
      <c r="C120" s="148"/>
      <c r="D120" s="148"/>
      <c r="E120" s="148"/>
      <c r="F120" s="171"/>
      <c r="G120" s="263"/>
      <c r="H120" s="263"/>
      <c r="I120" s="266"/>
      <c r="J120" s="266"/>
      <c r="K120" s="266"/>
      <c r="L120" s="266"/>
      <c r="M120" s="266"/>
      <c r="N120" s="266"/>
      <c r="O120" s="266"/>
      <c r="P120" s="266"/>
      <c r="Q120" s="266"/>
      <c r="R120" s="266"/>
      <c r="S120" s="263"/>
      <c r="T120" s="266"/>
      <c r="U120" s="266"/>
      <c r="V120" s="266"/>
      <c r="W120" s="266"/>
      <c r="X120" s="266"/>
      <c r="Y120" s="266"/>
      <c r="Z120" s="266"/>
      <c r="AA120" s="145"/>
      <c r="AB120" s="145"/>
      <c r="AC120" s="145"/>
      <c r="AD120" s="145"/>
      <c r="AE120" s="145"/>
      <c r="AF120" s="145"/>
      <c r="AG120" s="145"/>
      <c r="AH120" s="145"/>
      <c r="AI120" s="145"/>
      <c r="AJ120" s="145"/>
      <c r="AK120" s="145"/>
      <c r="AL120" s="145"/>
      <c r="AM120" s="145"/>
      <c r="AN120" s="145"/>
      <c r="AO120" s="145"/>
      <c r="AP120" s="145"/>
      <c r="AQ120" s="145"/>
      <c r="AR120" s="145"/>
      <c r="AS120" s="145"/>
      <c r="AT120" s="145"/>
      <c r="AU120" s="145"/>
      <c r="AV120" s="145"/>
      <c r="AW120" s="145"/>
      <c r="AX120" s="145"/>
      <c r="AY120" s="145"/>
      <c r="AZ120" s="145"/>
      <c r="BA120" s="145"/>
      <c r="BB120" s="145"/>
      <c r="BC120" s="145"/>
      <c r="BD120" s="145"/>
      <c r="BE120" s="145"/>
      <c r="BF120" s="145"/>
      <c r="BG120" s="145"/>
      <c r="BH120" s="145"/>
      <c r="BI120" s="145"/>
      <c r="BJ120" s="145"/>
      <c r="BK120" s="145"/>
      <c r="BL120" s="145"/>
      <c r="BM120" s="145"/>
      <c r="BN120" s="145"/>
      <c r="BO120" s="145"/>
      <c r="BP120" s="145"/>
      <c r="BQ120" s="145"/>
      <c r="BR120" s="145"/>
      <c r="BS120" s="145"/>
      <c r="BT120" s="145"/>
      <c r="BU120" s="145"/>
      <c r="BV120" s="145"/>
      <c r="BW120" s="145"/>
      <c r="BX120" s="145"/>
      <c r="BY120" s="145"/>
      <c r="BZ120" s="145"/>
      <c r="CA120" s="145"/>
      <c r="CB120" s="145"/>
      <c r="CC120" s="145"/>
      <c r="CD120" s="145"/>
      <c r="CE120" s="145"/>
      <c r="CF120" s="145"/>
      <c r="CG120" s="145"/>
      <c r="CH120" s="145"/>
      <c r="CI120" s="145"/>
      <c r="CJ120" s="145"/>
      <c r="CK120" s="145"/>
      <c r="CL120" s="145"/>
    </row>
    <row r="121" hidden="1" outlineLevel="1">
      <c r="A121" s="158" t="str">
        <f t="shared" ref="A121:A145" si="8">IF(E121="","",$C$3&amp;"."&amp;COUNTA($E$8:E121)&amp;"")</f>
        <v>TC_06.104</v>
      </c>
      <c r="B121" s="267" t="s">
        <v>75</v>
      </c>
      <c r="C121" s="375" t="s">
        <v>2503</v>
      </c>
      <c r="D121" s="375" t="s">
        <v>2504</v>
      </c>
      <c r="E121" s="375" t="s">
        <v>2505</v>
      </c>
      <c r="F121" s="375" t="s">
        <v>2506</v>
      </c>
      <c r="G121" s="263"/>
      <c r="H121" s="263"/>
      <c r="I121" s="266"/>
      <c r="J121" s="266"/>
      <c r="K121" s="266"/>
      <c r="L121" s="266"/>
      <c r="M121" s="266"/>
      <c r="N121" s="266"/>
      <c r="O121" s="266"/>
      <c r="P121" s="266"/>
      <c r="Q121" s="266"/>
      <c r="R121" s="266"/>
      <c r="S121" s="263"/>
      <c r="T121" s="266"/>
      <c r="U121" s="266"/>
      <c r="V121" s="266"/>
      <c r="W121" s="266"/>
      <c r="X121" s="266"/>
      <c r="Y121" s="266"/>
      <c r="Z121" s="266"/>
      <c r="AA121" s="145"/>
      <c r="AB121" s="145"/>
      <c r="AC121" s="145"/>
      <c r="AD121" s="145"/>
      <c r="AE121" s="145"/>
      <c r="AF121" s="145"/>
      <c r="AG121" s="145"/>
      <c r="AH121" s="145"/>
      <c r="AI121" s="145"/>
      <c r="AJ121" s="145"/>
      <c r="AK121" s="145"/>
      <c r="AL121" s="145"/>
      <c r="AM121" s="145"/>
      <c r="AN121" s="145"/>
      <c r="AO121" s="145"/>
      <c r="AP121" s="145"/>
      <c r="AQ121" s="145"/>
      <c r="AR121" s="145"/>
      <c r="AS121" s="145"/>
      <c r="AT121" s="145"/>
      <c r="AU121" s="145"/>
      <c r="AV121" s="145"/>
      <c r="AW121" s="145"/>
      <c r="AX121" s="145"/>
      <c r="AY121" s="145"/>
      <c r="AZ121" s="145"/>
      <c r="BA121" s="145"/>
      <c r="BB121" s="145"/>
      <c r="BC121" s="145"/>
      <c r="BD121" s="145"/>
      <c r="BE121" s="145"/>
      <c r="BF121" s="145"/>
      <c r="BG121" s="145"/>
      <c r="BH121" s="145"/>
      <c r="BI121" s="145"/>
      <c r="BJ121" s="145"/>
      <c r="BK121" s="145"/>
      <c r="BL121" s="145"/>
      <c r="BM121" s="145"/>
      <c r="BN121" s="145"/>
      <c r="BO121" s="145"/>
      <c r="BP121" s="145"/>
      <c r="BQ121" s="145"/>
      <c r="BR121" s="145"/>
      <c r="BS121" s="145"/>
      <c r="BT121" s="145"/>
      <c r="BU121" s="145"/>
      <c r="BV121" s="145"/>
      <c r="BW121" s="145"/>
      <c r="BX121" s="145"/>
      <c r="BY121" s="145"/>
      <c r="BZ121" s="145"/>
      <c r="CA121" s="145"/>
      <c r="CB121" s="145"/>
      <c r="CC121" s="145"/>
      <c r="CD121" s="145"/>
      <c r="CE121" s="145"/>
      <c r="CF121" s="145"/>
      <c r="CG121" s="145"/>
      <c r="CH121" s="145"/>
      <c r="CI121" s="145"/>
      <c r="CJ121" s="145"/>
      <c r="CK121" s="145"/>
      <c r="CL121" s="145"/>
    </row>
    <row r="122" hidden="1" outlineLevel="1">
      <c r="A122" s="158" t="str">
        <f t="shared" si="8"/>
        <v>TC_06.105</v>
      </c>
      <c r="B122" s="267" t="s">
        <v>73</v>
      </c>
      <c r="C122" s="375" t="s">
        <v>2507</v>
      </c>
      <c r="D122" s="375" t="s">
        <v>2508</v>
      </c>
      <c r="E122" s="375" t="s">
        <v>2509</v>
      </c>
      <c r="F122" s="375" t="s">
        <v>2356</v>
      </c>
      <c r="G122" s="263"/>
      <c r="H122" s="263"/>
      <c r="I122" s="266"/>
      <c r="J122" s="266"/>
      <c r="K122" s="266"/>
      <c r="L122" s="266"/>
      <c r="M122" s="266"/>
      <c r="N122" s="266"/>
      <c r="O122" s="266"/>
      <c r="P122" s="266"/>
      <c r="Q122" s="266"/>
      <c r="R122" s="266"/>
      <c r="S122" s="263"/>
      <c r="T122" s="266"/>
      <c r="U122" s="266"/>
      <c r="V122" s="266"/>
      <c r="W122" s="266"/>
      <c r="X122" s="266"/>
      <c r="Y122" s="266"/>
      <c r="Z122" s="266"/>
      <c r="AA122" s="145"/>
      <c r="AB122" s="145"/>
      <c r="AC122" s="145"/>
      <c r="AD122" s="145"/>
      <c r="AE122" s="145"/>
      <c r="AF122" s="145"/>
      <c r="AG122" s="145"/>
      <c r="AH122" s="145"/>
      <c r="AI122" s="145"/>
      <c r="AJ122" s="145"/>
      <c r="AK122" s="145"/>
      <c r="AL122" s="145"/>
      <c r="AM122" s="145"/>
      <c r="AN122" s="145"/>
      <c r="AO122" s="145"/>
      <c r="AP122" s="145"/>
      <c r="AQ122" s="145"/>
      <c r="AR122" s="145"/>
      <c r="AS122" s="145"/>
      <c r="AT122" s="145"/>
      <c r="AU122" s="145"/>
      <c r="AV122" s="145"/>
      <c r="AW122" s="145"/>
      <c r="AX122" s="145"/>
      <c r="AY122" s="145"/>
      <c r="AZ122" s="145"/>
      <c r="BA122" s="145"/>
      <c r="BB122" s="145"/>
      <c r="BC122" s="145"/>
      <c r="BD122" s="145"/>
      <c r="BE122" s="145"/>
      <c r="BF122" s="145"/>
      <c r="BG122" s="145"/>
      <c r="BH122" s="145"/>
      <c r="BI122" s="145"/>
      <c r="BJ122" s="145"/>
      <c r="BK122" s="145"/>
      <c r="BL122" s="145"/>
      <c r="BM122" s="145"/>
      <c r="BN122" s="145"/>
      <c r="BO122" s="145"/>
      <c r="BP122" s="145"/>
      <c r="BQ122" s="145"/>
      <c r="BR122" s="145"/>
      <c r="BS122" s="145"/>
      <c r="BT122" s="145"/>
      <c r="BU122" s="145"/>
      <c r="BV122" s="145"/>
      <c r="BW122" s="145"/>
      <c r="BX122" s="145"/>
      <c r="BY122" s="145"/>
      <c r="BZ122" s="145"/>
      <c r="CA122" s="145"/>
      <c r="CB122" s="145"/>
      <c r="CC122" s="145"/>
      <c r="CD122" s="145"/>
      <c r="CE122" s="145"/>
      <c r="CF122" s="145"/>
      <c r="CG122" s="145"/>
      <c r="CH122" s="145"/>
      <c r="CI122" s="145"/>
      <c r="CJ122" s="145"/>
      <c r="CK122" s="145"/>
      <c r="CL122" s="145"/>
    </row>
    <row r="123" hidden="1" outlineLevel="1">
      <c r="A123" s="158" t="str">
        <f t="shared" si="8"/>
        <v>TC_06.106</v>
      </c>
      <c r="B123" s="267" t="s">
        <v>73</v>
      </c>
      <c r="C123" s="375" t="s">
        <v>2510</v>
      </c>
      <c r="D123" s="375" t="s">
        <v>2511</v>
      </c>
      <c r="E123" s="375" t="s">
        <v>2512</v>
      </c>
      <c r="F123" s="375" t="s">
        <v>2360</v>
      </c>
      <c r="G123" s="263"/>
      <c r="H123" s="266"/>
      <c r="I123" s="266"/>
      <c r="J123" s="266"/>
      <c r="K123" s="266"/>
      <c r="L123" s="266"/>
      <c r="M123" s="266"/>
      <c r="N123" s="266"/>
      <c r="O123" s="266"/>
      <c r="P123" s="266"/>
      <c r="Q123" s="266"/>
      <c r="R123" s="266"/>
      <c r="S123" s="263"/>
      <c r="T123" s="266"/>
      <c r="U123" s="266"/>
      <c r="V123" s="266"/>
      <c r="W123" s="266"/>
      <c r="X123" s="266"/>
      <c r="Y123" s="266"/>
      <c r="Z123" s="266"/>
      <c r="AA123" s="145"/>
      <c r="AB123" s="145"/>
      <c r="AC123" s="145"/>
      <c r="AD123" s="145"/>
      <c r="AE123" s="145"/>
      <c r="AF123" s="145"/>
      <c r="AG123" s="145"/>
      <c r="AH123" s="145"/>
      <c r="AI123" s="145"/>
      <c r="AJ123" s="145"/>
      <c r="AK123" s="145"/>
      <c r="AL123" s="145"/>
      <c r="AM123" s="145"/>
      <c r="AN123" s="145"/>
      <c r="AO123" s="145"/>
      <c r="AP123" s="145"/>
      <c r="AQ123" s="145"/>
      <c r="AR123" s="145"/>
      <c r="AS123" s="145"/>
      <c r="AT123" s="145"/>
      <c r="AU123" s="145"/>
      <c r="AV123" s="145"/>
      <c r="AW123" s="145"/>
      <c r="AX123" s="145"/>
      <c r="AY123" s="145"/>
      <c r="AZ123" s="145"/>
      <c r="BA123" s="145"/>
      <c r="BB123" s="145"/>
      <c r="BC123" s="145"/>
      <c r="BD123" s="145"/>
      <c r="BE123" s="145"/>
      <c r="BF123" s="145"/>
      <c r="BG123" s="145"/>
      <c r="BH123" s="145"/>
      <c r="BI123" s="145"/>
      <c r="BJ123" s="145"/>
      <c r="BK123" s="145"/>
      <c r="BL123" s="145"/>
      <c r="BM123" s="145"/>
      <c r="BN123" s="145"/>
      <c r="BO123" s="145"/>
      <c r="BP123" s="145"/>
      <c r="BQ123" s="145"/>
      <c r="BR123" s="145"/>
      <c r="BS123" s="145"/>
      <c r="BT123" s="145"/>
      <c r="BU123" s="145"/>
      <c r="BV123" s="145"/>
      <c r="BW123" s="145"/>
      <c r="BX123" s="145"/>
      <c r="BY123" s="145"/>
      <c r="BZ123" s="145"/>
      <c r="CA123" s="145"/>
      <c r="CB123" s="145"/>
      <c r="CC123" s="145"/>
      <c r="CD123" s="145"/>
      <c r="CE123" s="145"/>
      <c r="CF123" s="145"/>
      <c r="CG123" s="145"/>
      <c r="CH123" s="145"/>
      <c r="CI123" s="145"/>
      <c r="CJ123" s="145"/>
      <c r="CK123" s="145"/>
      <c r="CL123" s="145"/>
    </row>
    <row r="124" hidden="1" outlineLevel="1">
      <c r="A124" s="158" t="str">
        <f t="shared" si="8"/>
        <v>TC_06.107</v>
      </c>
      <c r="B124" s="267" t="s">
        <v>73</v>
      </c>
      <c r="C124" s="375" t="s">
        <v>2513</v>
      </c>
      <c r="D124" s="375" t="s">
        <v>2514</v>
      </c>
      <c r="E124" s="375" t="s">
        <v>2515</v>
      </c>
      <c r="F124" s="375" t="s">
        <v>2364</v>
      </c>
      <c r="G124" s="263"/>
      <c r="H124" s="263"/>
      <c r="I124" s="266"/>
      <c r="J124" s="266"/>
      <c r="K124" s="266"/>
      <c r="L124" s="266"/>
      <c r="M124" s="266"/>
      <c r="N124" s="266"/>
      <c r="O124" s="266"/>
      <c r="P124" s="266"/>
      <c r="Q124" s="266"/>
      <c r="R124" s="266"/>
      <c r="S124" s="263"/>
      <c r="T124" s="266"/>
      <c r="U124" s="266"/>
      <c r="V124" s="266"/>
      <c r="W124" s="266"/>
      <c r="X124" s="266"/>
      <c r="Y124" s="266"/>
      <c r="Z124" s="266"/>
      <c r="AA124" s="145"/>
      <c r="AB124" s="145"/>
      <c r="AC124" s="145"/>
      <c r="AD124" s="145"/>
      <c r="AE124" s="145"/>
      <c r="AF124" s="145"/>
      <c r="AG124" s="145"/>
      <c r="AH124" s="145"/>
      <c r="AI124" s="145"/>
      <c r="AJ124" s="145"/>
      <c r="AK124" s="145"/>
      <c r="AL124" s="145"/>
      <c r="AM124" s="145"/>
      <c r="AN124" s="145"/>
      <c r="AO124" s="145"/>
      <c r="AP124" s="145"/>
      <c r="AQ124" s="145"/>
      <c r="AR124" s="145"/>
      <c r="AS124" s="145"/>
      <c r="AT124" s="145"/>
      <c r="AU124" s="145"/>
      <c r="AV124" s="145"/>
      <c r="AW124" s="145"/>
      <c r="AX124" s="145"/>
      <c r="AY124" s="145"/>
      <c r="AZ124" s="145"/>
      <c r="BA124" s="145"/>
      <c r="BB124" s="145"/>
      <c r="BC124" s="145"/>
      <c r="BD124" s="145"/>
      <c r="BE124" s="145"/>
      <c r="BF124" s="145"/>
      <c r="BG124" s="145"/>
      <c r="BH124" s="145"/>
      <c r="BI124" s="145"/>
      <c r="BJ124" s="145"/>
      <c r="BK124" s="145"/>
      <c r="BL124" s="145"/>
      <c r="BM124" s="145"/>
      <c r="BN124" s="145"/>
      <c r="BO124" s="145"/>
      <c r="BP124" s="145"/>
      <c r="BQ124" s="145"/>
      <c r="BR124" s="145"/>
      <c r="BS124" s="145"/>
      <c r="BT124" s="145"/>
      <c r="BU124" s="145"/>
      <c r="BV124" s="145"/>
      <c r="BW124" s="145"/>
      <c r="BX124" s="145"/>
      <c r="BY124" s="145"/>
      <c r="BZ124" s="145"/>
      <c r="CA124" s="145"/>
      <c r="CB124" s="145"/>
      <c r="CC124" s="145"/>
      <c r="CD124" s="145"/>
      <c r="CE124" s="145"/>
      <c r="CF124" s="145"/>
      <c r="CG124" s="145"/>
      <c r="CH124" s="145"/>
      <c r="CI124" s="145"/>
      <c r="CJ124" s="145"/>
      <c r="CK124" s="145"/>
      <c r="CL124" s="145"/>
    </row>
    <row r="125" hidden="1" outlineLevel="1">
      <c r="A125" s="158" t="str">
        <f t="shared" si="8"/>
        <v>TC_06.108</v>
      </c>
      <c r="B125" s="267" t="s">
        <v>73</v>
      </c>
      <c r="C125" s="375" t="s">
        <v>2516</v>
      </c>
      <c r="D125" s="375" t="s">
        <v>2514</v>
      </c>
      <c r="E125" s="375" t="s">
        <v>2517</v>
      </c>
      <c r="F125" s="375" t="s">
        <v>2367</v>
      </c>
      <c r="G125" s="263"/>
      <c r="H125" s="263"/>
      <c r="I125" s="266"/>
      <c r="J125" s="266"/>
      <c r="K125" s="266"/>
      <c r="L125" s="266"/>
      <c r="M125" s="266"/>
      <c r="N125" s="266"/>
      <c r="O125" s="266"/>
      <c r="P125" s="266"/>
      <c r="Q125" s="266"/>
      <c r="R125" s="266"/>
      <c r="S125" s="263"/>
      <c r="T125" s="266"/>
      <c r="U125" s="266"/>
      <c r="V125" s="266"/>
      <c r="W125" s="266"/>
      <c r="X125" s="266"/>
      <c r="Y125" s="266"/>
      <c r="Z125" s="266"/>
      <c r="AA125" s="145"/>
      <c r="AB125" s="145"/>
      <c r="AC125" s="145"/>
      <c r="AD125" s="145"/>
      <c r="AE125" s="145"/>
      <c r="AF125" s="145"/>
      <c r="AG125" s="145"/>
      <c r="AH125" s="145"/>
      <c r="AI125" s="145"/>
      <c r="AJ125" s="145"/>
      <c r="AK125" s="145"/>
      <c r="AL125" s="145"/>
      <c r="AM125" s="145"/>
      <c r="AN125" s="145"/>
      <c r="AO125" s="145"/>
      <c r="AP125" s="145"/>
      <c r="AQ125" s="145"/>
      <c r="AR125" s="145"/>
      <c r="AS125" s="145"/>
      <c r="AT125" s="145"/>
      <c r="AU125" s="145"/>
      <c r="AV125" s="145"/>
      <c r="AW125" s="145"/>
      <c r="AX125" s="145"/>
      <c r="AY125" s="145"/>
      <c r="AZ125" s="145"/>
      <c r="BA125" s="145"/>
      <c r="BB125" s="145"/>
      <c r="BC125" s="145"/>
      <c r="BD125" s="145"/>
      <c r="BE125" s="145"/>
      <c r="BF125" s="145"/>
      <c r="BG125" s="145"/>
      <c r="BH125" s="145"/>
      <c r="BI125" s="145"/>
      <c r="BJ125" s="145"/>
      <c r="BK125" s="145"/>
      <c r="BL125" s="145"/>
      <c r="BM125" s="145"/>
      <c r="BN125" s="145"/>
      <c r="BO125" s="145"/>
      <c r="BP125" s="145"/>
      <c r="BQ125" s="145"/>
      <c r="BR125" s="145"/>
      <c r="BS125" s="145"/>
      <c r="BT125" s="145"/>
      <c r="BU125" s="145"/>
      <c r="BV125" s="145"/>
      <c r="BW125" s="145"/>
      <c r="BX125" s="145"/>
      <c r="BY125" s="145"/>
      <c r="BZ125" s="145"/>
      <c r="CA125" s="145"/>
      <c r="CB125" s="145"/>
      <c r="CC125" s="145"/>
      <c r="CD125" s="145"/>
      <c r="CE125" s="145"/>
      <c r="CF125" s="145"/>
      <c r="CG125" s="145"/>
      <c r="CH125" s="145"/>
      <c r="CI125" s="145"/>
      <c r="CJ125" s="145"/>
      <c r="CK125" s="145"/>
      <c r="CL125" s="145"/>
    </row>
    <row r="126" hidden="1" outlineLevel="1">
      <c r="A126" s="158" t="str">
        <f t="shared" si="8"/>
        <v>TC_06.109</v>
      </c>
      <c r="B126" s="267" t="s">
        <v>73</v>
      </c>
      <c r="C126" s="265" t="s">
        <v>2368</v>
      </c>
      <c r="D126" s="375" t="s">
        <v>2518</v>
      </c>
      <c r="E126" s="375" t="s">
        <v>2519</v>
      </c>
      <c r="F126" s="265" t="s">
        <v>2371</v>
      </c>
      <c r="G126" s="263"/>
      <c r="H126" s="263"/>
      <c r="I126" s="266"/>
      <c r="J126" s="266"/>
      <c r="K126" s="266"/>
      <c r="L126" s="266"/>
      <c r="M126" s="266"/>
      <c r="N126" s="266"/>
      <c r="O126" s="266"/>
      <c r="P126" s="266"/>
      <c r="Q126" s="266"/>
      <c r="R126" s="266"/>
      <c r="S126" s="263"/>
      <c r="T126" s="266"/>
      <c r="U126" s="266"/>
      <c r="V126" s="266"/>
      <c r="W126" s="266"/>
      <c r="X126" s="266"/>
      <c r="Y126" s="266"/>
      <c r="Z126" s="266"/>
      <c r="AA126" s="145"/>
      <c r="AB126" s="145"/>
      <c r="AC126" s="145"/>
      <c r="AD126" s="145"/>
      <c r="AE126" s="145"/>
      <c r="AF126" s="145"/>
      <c r="AG126" s="145"/>
      <c r="AH126" s="145"/>
      <c r="AI126" s="145"/>
      <c r="AJ126" s="145"/>
      <c r="AK126" s="145"/>
      <c r="AL126" s="145"/>
      <c r="AM126" s="145"/>
      <c r="AN126" s="145"/>
      <c r="AO126" s="145"/>
      <c r="AP126" s="145"/>
      <c r="AQ126" s="145"/>
      <c r="AR126" s="145"/>
      <c r="AS126" s="145"/>
      <c r="AT126" s="145"/>
      <c r="AU126" s="145"/>
      <c r="AV126" s="145"/>
      <c r="AW126" s="145"/>
      <c r="AX126" s="145"/>
      <c r="AY126" s="145"/>
      <c r="AZ126" s="145"/>
      <c r="BA126" s="145"/>
      <c r="BB126" s="145"/>
      <c r="BC126" s="145"/>
      <c r="BD126" s="145"/>
      <c r="BE126" s="145"/>
      <c r="BF126" s="145"/>
      <c r="BG126" s="145"/>
      <c r="BH126" s="145"/>
      <c r="BI126" s="145"/>
      <c r="BJ126" s="145"/>
      <c r="BK126" s="145"/>
      <c r="BL126" s="145"/>
      <c r="BM126" s="145"/>
      <c r="BN126" s="145"/>
      <c r="BO126" s="145"/>
      <c r="BP126" s="145"/>
      <c r="BQ126" s="145"/>
      <c r="BR126" s="145"/>
      <c r="BS126" s="145"/>
      <c r="BT126" s="145"/>
      <c r="BU126" s="145"/>
      <c r="BV126" s="145"/>
      <c r="BW126" s="145"/>
      <c r="BX126" s="145"/>
      <c r="BY126" s="145"/>
      <c r="BZ126" s="145"/>
      <c r="CA126" s="145"/>
      <c r="CB126" s="145"/>
      <c r="CC126" s="145"/>
      <c r="CD126" s="145"/>
      <c r="CE126" s="145"/>
      <c r="CF126" s="145"/>
      <c r="CG126" s="145"/>
      <c r="CH126" s="145"/>
      <c r="CI126" s="145"/>
      <c r="CJ126" s="145"/>
      <c r="CK126" s="145"/>
      <c r="CL126" s="145"/>
    </row>
    <row r="127" hidden="1" outlineLevel="1">
      <c r="A127" s="158" t="str">
        <f t="shared" si="8"/>
        <v>TC_06.110</v>
      </c>
      <c r="B127" s="565" t="s">
        <v>75</v>
      </c>
      <c r="C127" s="561" t="s">
        <v>2520</v>
      </c>
      <c r="D127" s="561" t="s">
        <v>2521</v>
      </c>
      <c r="E127" s="561" t="s">
        <v>2522</v>
      </c>
      <c r="F127" s="566" t="s">
        <v>2375</v>
      </c>
      <c r="G127" s="263"/>
      <c r="H127" s="263"/>
      <c r="I127" s="266"/>
      <c r="J127" s="266"/>
      <c r="K127" s="266"/>
      <c r="L127" s="266"/>
      <c r="M127" s="266"/>
      <c r="N127" s="266"/>
      <c r="O127" s="266"/>
      <c r="P127" s="266"/>
      <c r="Q127" s="266"/>
      <c r="R127" s="266"/>
      <c r="S127" s="263"/>
      <c r="T127" s="266"/>
      <c r="U127" s="266"/>
      <c r="V127" s="266"/>
      <c r="W127" s="266"/>
      <c r="X127" s="266"/>
      <c r="Y127" s="266"/>
      <c r="Z127" s="266"/>
      <c r="AA127" s="145"/>
      <c r="AB127" s="145"/>
      <c r="AC127" s="145"/>
      <c r="AD127" s="145"/>
      <c r="AE127" s="145"/>
      <c r="AF127" s="145"/>
      <c r="AG127" s="145"/>
      <c r="AH127" s="145"/>
      <c r="AI127" s="145"/>
      <c r="AJ127" s="145"/>
      <c r="AK127" s="145"/>
      <c r="AL127" s="145"/>
      <c r="AM127" s="145"/>
      <c r="AN127" s="145"/>
      <c r="AO127" s="145"/>
      <c r="AP127" s="145"/>
      <c r="AQ127" s="145"/>
      <c r="AR127" s="145"/>
      <c r="AS127" s="145"/>
      <c r="AT127" s="145"/>
      <c r="AU127" s="145"/>
      <c r="AV127" s="145"/>
      <c r="AW127" s="145"/>
      <c r="AX127" s="145"/>
      <c r="AY127" s="145"/>
      <c r="AZ127" s="145"/>
      <c r="BA127" s="145"/>
      <c r="BB127" s="145"/>
      <c r="BC127" s="145"/>
      <c r="BD127" s="145"/>
      <c r="BE127" s="145"/>
      <c r="BF127" s="145"/>
      <c r="BG127" s="145"/>
      <c r="BH127" s="145"/>
      <c r="BI127" s="145"/>
      <c r="BJ127" s="145"/>
      <c r="BK127" s="145"/>
      <c r="BL127" s="145"/>
      <c r="BM127" s="145"/>
      <c r="BN127" s="145"/>
      <c r="BO127" s="145"/>
      <c r="BP127" s="145"/>
      <c r="BQ127" s="145"/>
      <c r="BR127" s="145"/>
      <c r="BS127" s="145"/>
      <c r="BT127" s="145"/>
      <c r="BU127" s="145"/>
      <c r="BV127" s="145"/>
      <c r="BW127" s="145"/>
      <c r="BX127" s="145"/>
      <c r="BY127" s="145"/>
      <c r="BZ127" s="145"/>
      <c r="CA127" s="145"/>
      <c r="CB127" s="145"/>
      <c r="CC127" s="145"/>
      <c r="CD127" s="145"/>
      <c r="CE127" s="145"/>
      <c r="CF127" s="145"/>
      <c r="CG127" s="145"/>
      <c r="CH127" s="145"/>
      <c r="CI127" s="145"/>
      <c r="CJ127" s="145"/>
      <c r="CK127" s="145"/>
      <c r="CL127" s="145"/>
    </row>
    <row r="128" hidden="1" outlineLevel="1">
      <c r="A128" s="158" t="str">
        <f t="shared" si="8"/>
        <v>TC_06.111</v>
      </c>
      <c r="B128" s="267" t="s">
        <v>73</v>
      </c>
      <c r="C128" s="273" t="s">
        <v>2376</v>
      </c>
      <c r="D128" s="375" t="s">
        <v>2523</v>
      </c>
      <c r="E128" s="375" t="s">
        <v>2524</v>
      </c>
      <c r="F128" s="265" t="s">
        <v>2379</v>
      </c>
      <c r="G128" s="263"/>
      <c r="H128" s="263"/>
      <c r="I128" s="266"/>
      <c r="J128" s="266"/>
      <c r="K128" s="266"/>
      <c r="L128" s="266"/>
      <c r="M128" s="266"/>
      <c r="N128" s="266"/>
      <c r="O128" s="266"/>
      <c r="P128" s="266"/>
      <c r="Q128" s="266"/>
      <c r="R128" s="266"/>
      <c r="S128" s="263"/>
      <c r="T128" s="266"/>
      <c r="U128" s="266"/>
      <c r="V128" s="266"/>
      <c r="W128" s="266"/>
      <c r="X128" s="266"/>
      <c r="Y128" s="266"/>
      <c r="Z128" s="266"/>
      <c r="AA128" s="145"/>
      <c r="AB128" s="145"/>
      <c r="AC128" s="145"/>
      <c r="AD128" s="145"/>
      <c r="AE128" s="145"/>
      <c r="AF128" s="145"/>
      <c r="AG128" s="145"/>
      <c r="AH128" s="145"/>
      <c r="AI128" s="145"/>
      <c r="AJ128" s="145"/>
      <c r="AK128" s="145"/>
      <c r="AL128" s="145"/>
      <c r="AM128" s="145"/>
      <c r="AN128" s="145"/>
      <c r="AO128" s="145"/>
      <c r="AP128" s="145"/>
      <c r="AQ128" s="145"/>
      <c r="AR128" s="145"/>
      <c r="AS128" s="145"/>
      <c r="AT128" s="145"/>
      <c r="AU128" s="145"/>
      <c r="AV128" s="145"/>
      <c r="AW128" s="145"/>
      <c r="AX128" s="145"/>
      <c r="AY128" s="145"/>
      <c r="AZ128" s="145"/>
      <c r="BA128" s="145"/>
      <c r="BB128" s="145"/>
      <c r="BC128" s="145"/>
      <c r="BD128" s="145"/>
      <c r="BE128" s="145"/>
      <c r="BF128" s="145"/>
      <c r="BG128" s="145"/>
      <c r="BH128" s="145"/>
      <c r="BI128" s="145"/>
      <c r="BJ128" s="145"/>
      <c r="BK128" s="145"/>
      <c r="BL128" s="145"/>
      <c r="BM128" s="145"/>
      <c r="BN128" s="145"/>
      <c r="BO128" s="145"/>
      <c r="BP128" s="145"/>
      <c r="BQ128" s="145"/>
      <c r="BR128" s="145"/>
      <c r="BS128" s="145"/>
      <c r="BT128" s="145"/>
      <c r="BU128" s="145"/>
      <c r="BV128" s="145"/>
      <c r="BW128" s="145"/>
      <c r="BX128" s="145"/>
      <c r="BY128" s="145"/>
      <c r="BZ128" s="145"/>
      <c r="CA128" s="145"/>
      <c r="CB128" s="145"/>
      <c r="CC128" s="145"/>
      <c r="CD128" s="145"/>
      <c r="CE128" s="145"/>
      <c r="CF128" s="145"/>
      <c r="CG128" s="145"/>
      <c r="CH128" s="145"/>
      <c r="CI128" s="145"/>
      <c r="CJ128" s="145"/>
      <c r="CK128" s="145"/>
      <c r="CL128" s="145"/>
    </row>
    <row r="129" hidden="1" outlineLevel="1">
      <c r="A129" s="158" t="str">
        <f t="shared" si="8"/>
        <v>TC_06.112</v>
      </c>
      <c r="B129" s="267" t="s">
        <v>73</v>
      </c>
      <c r="C129" s="265" t="s">
        <v>2380</v>
      </c>
      <c r="D129" s="375" t="s">
        <v>2525</v>
      </c>
      <c r="E129" s="375" t="s">
        <v>2526</v>
      </c>
      <c r="F129" s="375" t="s">
        <v>2383</v>
      </c>
      <c r="G129" s="263"/>
      <c r="H129" s="263"/>
      <c r="I129" s="266"/>
      <c r="J129" s="266"/>
      <c r="K129" s="266"/>
      <c r="L129" s="266"/>
      <c r="M129" s="266"/>
      <c r="N129" s="266"/>
      <c r="O129" s="266"/>
      <c r="P129" s="266"/>
      <c r="Q129" s="266"/>
      <c r="R129" s="266"/>
      <c r="S129" s="263"/>
      <c r="T129" s="266"/>
      <c r="U129" s="266"/>
      <c r="V129" s="266"/>
      <c r="W129" s="266"/>
      <c r="X129" s="266"/>
      <c r="Y129" s="266"/>
      <c r="Z129" s="266"/>
      <c r="AA129" s="145"/>
      <c r="AB129" s="145"/>
      <c r="AC129" s="145"/>
      <c r="AD129" s="145"/>
      <c r="AE129" s="145"/>
      <c r="AF129" s="145"/>
      <c r="AG129" s="145"/>
      <c r="AH129" s="145"/>
      <c r="AI129" s="145"/>
      <c r="AJ129" s="145"/>
      <c r="AK129" s="145"/>
      <c r="AL129" s="145"/>
      <c r="AM129" s="145"/>
      <c r="AN129" s="145"/>
      <c r="AO129" s="145"/>
      <c r="AP129" s="145"/>
      <c r="AQ129" s="145"/>
      <c r="AR129" s="145"/>
      <c r="AS129" s="145"/>
      <c r="AT129" s="145"/>
      <c r="AU129" s="145"/>
      <c r="AV129" s="145"/>
      <c r="AW129" s="145"/>
      <c r="AX129" s="145"/>
      <c r="AY129" s="145"/>
      <c r="AZ129" s="145"/>
      <c r="BA129" s="145"/>
      <c r="BB129" s="145"/>
      <c r="BC129" s="145"/>
      <c r="BD129" s="145"/>
      <c r="BE129" s="145"/>
      <c r="BF129" s="145"/>
      <c r="BG129" s="145"/>
      <c r="BH129" s="145"/>
      <c r="BI129" s="145"/>
      <c r="BJ129" s="145"/>
      <c r="BK129" s="145"/>
      <c r="BL129" s="145"/>
      <c r="BM129" s="145"/>
      <c r="BN129" s="145"/>
      <c r="BO129" s="145"/>
      <c r="BP129" s="145"/>
      <c r="BQ129" s="145"/>
      <c r="BR129" s="145"/>
      <c r="BS129" s="145"/>
      <c r="BT129" s="145"/>
      <c r="BU129" s="145"/>
      <c r="BV129" s="145"/>
      <c r="BW129" s="145"/>
      <c r="BX129" s="145"/>
      <c r="BY129" s="145"/>
      <c r="BZ129" s="145"/>
      <c r="CA129" s="145"/>
      <c r="CB129" s="145"/>
      <c r="CC129" s="145"/>
      <c r="CD129" s="145"/>
      <c r="CE129" s="145"/>
      <c r="CF129" s="145"/>
      <c r="CG129" s="145"/>
      <c r="CH129" s="145"/>
      <c r="CI129" s="145"/>
      <c r="CJ129" s="145"/>
      <c r="CK129" s="145"/>
      <c r="CL129" s="145"/>
    </row>
    <row r="130" hidden="1" outlineLevel="1">
      <c r="A130" s="158" t="str">
        <f t="shared" si="8"/>
        <v>TC_06.113</v>
      </c>
      <c r="B130" s="267" t="s">
        <v>73</v>
      </c>
      <c r="C130" s="375" t="s">
        <v>2527</v>
      </c>
      <c r="D130" s="375" t="s">
        <v>2528</v>
      </c>
      <c r="E130" s="375" t="s">
        <v>2529</v>
      </c>
      <c r="F130" s="375" t="s">
        <v>2530</v>
      </c>
      <c r="G130" s="263"/>
      <c r="H130" s="263"/>
      <c r="I130" s="266"/>
      <c r="J130" s="266"/>
      <c r="K130" s="266"/>
      <c r="L130" s="266"/>
      <c r="M130" s="266"/>
      <c r="N130" s="266"/>
      <c r="O130" s="266"/>
      <c r="P130" s="266"/>
      <c r="Q130" s="266"/>
      <c r="R130" s="266"/>
      <c r="S130" s="263"/>
      <c r="T130" s="266"/>
      <c r="U130" s="266"/>
      <c r="V130" s="266"/>
      <c r="W130" s="266"/>
      <c r="X130" s="266"/>
      <c r="Y130" s="266"/>
      <c r="Z130" s="266"/>
      <c r="AA130" s="145"/>
      <c r="AB130" s="145"/>
      <c r="AC130" s="145"/>
      <c r="AD130" s="145"/>
      <c r="AE130" s="145"/>
      <c r="AF130" s="145"/>
      <c r="AG130" s="145"/>
      <c r="AH130" s="145"/>
      <c r="AI130" s="145"/>
      <c r="AJ130" s="145"/>
      <c r="AK130" s="145"/>
      <c r="AL130" s="145"/>
      <c r="AM130" s="145"/>
      <c r="AN130" s="145"/>
      <c r="AO130" s="145"/>
      <c r="AP130" s="145"/>
      <c r="AQ130" s="145"/>
      <c r="AR130" s="145"/>
      <c r="AS130" s="145"/>
      <c r="AT130" s="145"/>
      <c r="AU130" s="145"/>
      <c r="AV130" s="145"/>
      <c r="AW130" s="145"/>
      <c r="AX130" s="145"/>
      <c r="AY130" s="145"/>
      <c r="AZ130" s="145"/>
      <c r="BA130" s="145"/>
      <c r="BB130" s="145"/>
      <c r="BC130" s="145"/>
      <c r="BD130" s="145"/>
      <c r="BE130" s="145"/>
      <c r="BF130" s="145"/>
      <c r="BG130" s="145"/>
      <c r="BH130" s="145"/>
      <c r="BI130" s="145"/>
      <c r="BJ130" s="145"/>
      <c r="BK130" s="145"/>
      <c r="BL130" s="145"/>
      <c r="BM130" s="145"/>
      <c r="BN130" s="145"/>
      <c r="BO130" s="145"/>
      <c r="BP130" s="145"/>
      <c r="BQ130" s="145"/>
      <c r="BR130" s="145"/>
      <c r="BS130" s="145"/>
      <c r="BT130" s="145"/>
      <c r="BU130" s="145"/>
      <c r="BV130" s="145"/>
      <c r="BW130" s="145"/>
      <c r="BX130" s="145"/>
      <c r="BY130" s="145"/>
      <c r="BZ130" s="145"/>
      <c r="CA130" s="145"/>
      <c r="CB130" s="145"/>
      <c r="CC130" s="145"/>
      <c r="CD130" s="145"/>
      <c r="CE130" s="145"/>
      <c r="CF130" s="145"/>
      <c r="CG130" s="145"/>
      <c r="CH130" s="145"/>
      <c r="CI130" s="145"/>
      <c r="CJ130" s="145"/>
      <c r="CK130" s="145"/>
      <c r="CL130" s="145"/>
    </row>
    <row r="131" hidden="1" outlineLevel="1">
      <c r="A131" s="158" t="str">
        <f t="shared" si="8"/>
        <v>TC_06.114</v>
      </c>
      <c r="B131" s="267" t="s">
        <v>73</v>
      </c>
      <c r="C131" s="375" t="s">
        <v>2531</v>
      </c>
      <c r="D131" s="375" t="s">
        <v>2528</v>
      </c>
      <c r="E131" s="375" t="s">
        <v>2532</v>
      </c>
      <c r="F131" s="265" t="s">
        <v>2305</v>
      </c>
      <c r="G131" s="263"/>
      <c r="H131" s="263"/>
      <c r="I131" s="266"/>
      <c r="J131" s="266"/>
      <c r="K131" s="266"/>
      <c r="L131" s="266"/>
      <c r="M131" s="266"/>
      <c r="N131" s="266"/>
      <c r="O131" s="266"/>
      <c r="P131" s="266"/>
      <c r="Q131" s="266"/>
      <c r="R131" s="266"/>
      <c r="S131" s="263"/>
      <c r="T131" s="266"/>
      <c r="U131" s="266"/>
      <c r="V131" s="266"/>
      <c r="W131" s="266"/>
      <c r="X131" s="266"/>
      <c r="Y131" s="266"/>
      <c r="Z131" s="266"/>
      <c r="AA131" s="145"/>
      <c r="AB131" s="145"/>
      <c r="AC131" s="145"/>
      <c r="AD131" s="145"/>
      <c r="AE131" s="145"/>
      <c r="AF131" s="145"/>
      <c r="AG131" s="145"/>
      <c r="AH131" s="145"/>
      <c r="AI131" s="145"/>
      <c r="AJ131" s="145"/>
      <c r="AK131" s="145"/>
      <c r="AL131" s="145"/>
      <c r="AM131" s="145"/>
      <c r="AN131" s="145"/>
      <c r="AO131" s="145"/>
      <c r="AP131" s="145"/>
      <c r="AQ131" s="145"/>
      <c r="AR131" s="145"/>
      <c r="AS131" s="145"/>
      <c r="AT131" s="145"/>
      <c r="AU131" s="145"/>
      <c r="AV131" s="145"/>
      <c r="AW131" s="145"/>
      <c r="AX131" s="145"/>
      <c r="AY131" s="145"/>
      <c r="AZ131" s="145"/>
      <c r="BA131" s="145"/>
      <c r="BB131" s="145"/>
      <c r="BC131" s="145"/>
      <c r="BD131" s="145"/>
      <c r="BE131" s="145"/>
      <c r="BF131" s="145"/>
      <c r="BG131" s="145"/>
      <c r="BH131" s="145"/>
      <c r="BI131" s="145"/>
      <c r="BJ131" s="145"/>
      <c r="BK131" s="145"/>
      <c r="BL131" s="145"/>
      <c r="BM131" s="145"/>
      <c r="BN131" s="145"/>
      <c r="BO131" s="145"/>
      <c r="BP131" s="145"/>
      <c r="BQ131" s="145"/>
      <c r="BR131" s="145"/>
      <c r="BS131" s="145"/>
      <c r="BT131" s="145"/>
      <c r="BU131" s="145"/>
      <c r="BV131" s="145"/>
      <c r="BW131" s="145"/>
      <c r="BX131" s="145"/>
      <c r="BY131" s="145"/>
      <c r="BZ131" s="145"/>
      <c r="CA131" s="145"/>
      <c r="CB131" s="145"/>
      <c r="CC131" s="145"/>
      <c r="CD131" s="145"/>
      <c r="CE131" s="145"/>
      <c r="CF131" s="145"/>
      <c r="CG131" s="145"/>
      <c r="CH131" s="145"/>
      <c r="CI131" s="145"/>
      <c r="CJ131" s="145"/>
      <c r="CK131" s="145"/>
      <c r="CL131" s="145"/>
    </row>
    <row r="132" hidden="1" outlineLevel="1">
      <c r="A132" s="158" t="str">
        <f t="shared" si="8"/>
        <v>TC_06.115</v>
      </c>
      <c r="B132" s="267" t="s">
        <v>73</v>
      </c>
      <c r="C132" s="375" t="s">
        <v>2533</v>
      </c>
      <c r="D132" s="375" t="s">
        <v>2528</v>
      </c>
      <c r="E132" s="375" t="s">
        <v>2534</v>
      </c>
      <c r="F132" s="265" t="s">
        <v>2308</v>
      </c>
      <c r="G132" s="263"/>
      <c r="H132" s="263"/>
      <c r="I132" s="266"/>
      <c r="J132" s="266"/>
      <c r="K132" s="266"/>
      <c r="L132" s="266"/>
      <c r="M132" s="266"/>
      <c r="N132" s="266"/>
      <c r="O132" s="266"/>
      <c r="P132" s="266"/>
      <c r="Q132" s="266"/>
      <c r="R132" s="266"/>
      <c r="S132" s="263"/>
      <c r="T132" s="266"/>
      <c r="U132" s="266"/>
      <c r="V132" s="266"/>
      <c r="W132" s="266"/>
      <c r="X132" s="266"/>
      <c r="Y132" s="266"/>
      <c r="Z132" s="266"/>
      <c r="AA132" s="145"/>
      <c r="AB132" s="145"/>
      <c r="AC132" s="145"/>
      <c r="AD132" s="145"/>
      <c r="AE132" s="145"/>
      <c r="AF132" s="145"/>
      <c r="AG132" s="145"/>
      <c r="AH132" s="145"/>
      <c r="AI132" s="145"/>
      <c r="AJ132" s="145"/>
      <c r="AK132" s="145"/>
      <c r="AL132" s="145"/>
      <c r="AM132" s="145"/>
      <c r="AN132" s="145"/>
      <c r="AO132" s="145"/>
      <c r="AP132" s="145"/>
      <c r="AQ132" s="145"/>
      <c r="AR132" s="145"/>
      <c r="AS132" s="145"/>
      <c r="AT132" s="145"/>
      <c r="AU132" s="145"/>
      <c r="AV132" s="145"/>
      <c r="AW132" s="145"/>
      <c r="AX132" s="145"/>
      <c r="AY132" s="145"/>
      <c r="AZ132" s="145"/>
      <c r="BA132" s="145"/>
      <c r="BB132" s="145"/>
      <c r="BC132" s="145"/>
      <c r="BD132" s="145"/>
      <c r="BE132" s="145"/>
      <c r="BF132" s="145"/>
      <c r="BG132" s="145"/>
      <c r="BH132" s="145"/>
      <c r="BI132" s="145"/>
      <c r="BJ132" s="145"/>
      <c r="BK132" s="145"/>
      <c r="BL132" s="145"/>
      <c r="BM132" s="145"/>
      <c r="BN132" s="145"/>
      <c r="BO132" s="145"/>
      <c r="BP132" s="145"/>
      <c r="BQ132" s="145"/>
      <c r="BR132" s="145"/>
      <c r="BS132" s="145"/>
      <c r="BT132" s="145"/>
      <c r="BU132" s="145"/>
      <c r="BV132" s="145"/>
      <c r="BW132" s="145"/>
      <c r="BX132" s="145"/>
      <c r="BY132" s="145"/>
      <c r="BZ132" s="145"/>
      <c r="CA132" s="145"/>
      <c r="CB132" s="145"/>
      <c r="CC132" s="145"/>
      <c r="CD132" s="145"/>
      <c r="CE132" s="145"/>
      <c r="CF132" s="145"/>
      <c r="CG132" s="145"/>
      <c r="CH132" s="145"/>
      <c r="CI132" s="145"/>
      <c r="CJ132" s="145"/>
      <c r="CK132" s="145"/>
      <c r="CL132" s="145"/>
    </row>
    <row r="133" hidden="1" outlineLevel="1">
      <c r="A133" s="158" t="str">
        <f t="shared" si="8"/>
        <v>TC_06.116</v>
      </c>
      <c r="B133" s="267" t="s">
        <v>73</v>
      </c>
      <c r="C133" s="375" t="s">
        <v>2535</v>
      </c>
      <c r="D133" s="375" t="s">
        <v>2528</v>
      </c>
      <c r="E133" s="375" t="s">
        <v>2536</v>
      </c>
      <c r="F133" s="265" t="s">
        <v>2311</v>
      </c>
      <c r="G133" s="263"/>
      <c r="H133" s="263"/>
      <c r="I133" s="266"/>
      <c r="J133" s="266"/>
      <c r="K133" s="266"/>
      <c r="L133" s="266"/>
      <c r="M133" s="266"/>
      <c r="N133" s="266"/>
      <c r="O133" s="266"/>
      <c r="P133" s="266"/>
      <c r="Q133" s="266"/>
      <c r="R133" s="266"/>
      <c r="S133" s="263"/>
      <c r="T133" s="266"/>
      <c r="U133" s="266"/>
      <c r="V133" s="266"/>
      <c r="W133" s="266"/>
      <c r="X133" s="266"/>
      <c r="Y133" s="266"/>
      <c r="Z133" s="266"/>
      <c r="AA133" s="145"/>
      <c r="AB133" s="145"/>
      <c r="AC133" s="145"/>
      <c r="AD133" s="145"/>
      <c r="AE133" s="145"/>
      <c r="AF133" s="145"/>
      <c r="AG133" s="145"/>
      <c r="AH133" s="145"/>
      <c r="AI133" s="145"/>
      <c r="AJ133" s="145"/>
      <c r="AK133" s="145"/>
      <c r="AL133" s="145"/>
      <c r="AM133" s="145"/>
      <c r="AN133" s="145"/>
      <c r="AO133" s="145"/>
      <c r="AP133" s="145"/>
      <c r="AQ133" s="145"/>
      <c r="AR133" s="145"/>
      <c r="AS133" s="145"/>
      <c r="AT133" s="145"/>
      <c r="AU133" s="145"/>
      <c r="AV133" s="145"/>
      <c r="AW133" s="145"/>
      <c r="AX133" s="145"/>
      <c r="AY133" s="145"/>
      <c r="AZ133" s="145"/>
      <c r="BA133" s="145"/>
      <c r="BB133" s="145"/>
      <c r="BC133" s="145"/>
      <c r="BD133" s="145"/>
      <c r="BE133" s="145"/>
      <c r="BF133" s="145"/>
      <c r="BG133" s="145"/>
      <c r="BH133" s="145"/>
      <c r="BI133" s="145"/>
      <c r="BJ133" s="145"/>
      <c r="BK133" s="145"/>
      <c r="BL133" s="145"/>
      <c r="BM133" s="145"/>
      <c r="BN133" s="145"/>
      <c r="BO133" s="145"/>
      <c r="BP133" s="145"/>
      <c r="BQ133" s="145"/>
      <c r="BR133" s="145"/>
      <c r="BS133" s="145"/>
      <c r="BT133" s="145"/>
      <c r="BU133" s="145"/>
      <c r="BV133" s="145"/>
      <c r="BW133" s="145"/>
      <c r="BX133" s="145"/>
      <c r="BY133" s="145"/>
      <c r="BZ133" s="145"/>
      <c r="CA133" s="145"/>
      <c r="CB133" s="145"/>
      <c r="CC133" s="145"/>
      <c r="CD133" s="145"/>
      <c r="CE133" s="145"/>
      <c r="CF133" s="145"/>
      <c r="CG133" s="145"/>
      <c r="CH133" s="145"/>
      <c r="CI133" s="145"/>
      <c r="CJ133" s="145"/>
      <c r="CK133" s="145"/>
      <c r="CL133" s="145"/>
    </row>
    <row r="134" hidden="1" outlineLevel="1">
      <c r="A134" s="158" t="str">
        <f t="shared" si="8"/>
        <v>TC_06.117</v>
      </c>
      <c r="B134" s="267" t="s">
        <v>73</v>
      </c>
      <c r="C134" s="375" t="s">
        <v>2537</v>
      </c>
      <c r="D134" s="375" t="s">
        <v>2528</v>
      </c>
      <c r="E134" s="375" t="s">
        <v>2538</v>
      </c>
      <c r="F134" s="375" t="s">
        <v>2539</v>
      </c>
      <c r="G134" s="263"/>
      <c r="H134" s="263"/>
      <c r="I134" s="266"/>
      <c r="J134" s="266"/>
      <c r="K134" s="266"/>
      <c r="L134" s="266"/>
      <c r="M134" s="266"/>
      <c r="N134" s="266"/>
      <c r="O134" s="266"/>
      <c r="P134" s="266"/>
      <c r="Q134" s="266"/>
      <c r="R134" s="266"/>
      <c r="S134" s="263"/>
      <c r="T134" s="266"/>
      <c r="U134" s="266"/>
      <c r="V134" s="266"/>
      <c r="W134" s="266"/>
      <c r="X134" s="266"/>
      <c r="Y134" s="266"/>
      <c r="Z134" s="266"/>
      <c r="AA134" s="145"/>
      <c r="AB134" s="145"/>
      <c r="AC134" s="145"/>
      <c r="AD134" s="145"/>
      <c r="AE134" s="145"/>
      <c r="AF134" s="145"/>
      <c r="AG134" s="145"/>
      <c r="AH134" s="145"/>
      <c r="AI134" s="145"/>
      <c r="AJ134" s="145"/>
      <c r="AK134" s="145"/>
      <c r="AL134" s="145"/>
      <c r="AM134" s="145"/>
      <c r="AN134" s="145"/>
      <c r="AO134" s="145"/>
      <c r="AP134" s="145"/>
      <c r="AQ134" s="145"/>
      <c r="AR134" s="145"/>
      <c r="AS134" s="145"/>
      <c r="AT134" s="145"/>
      <c r="AU134" s="145"/>
      <c r="AV134" s="145"/>
      <c r="AW134" s="145"/>
      <c r="AX134" s="145"/>
      <c r="AY134" s="145"/>
      <c r="AZ134" s="145"/>
      <c r="BA134" s="145"/>
      <c r="BB134" s="145"/>
      <c r="BC134" s="145"/>
      <c r="BD134" s="145"/>
      <c r="BE134" s="145"/>
      <c r="BF134" s="145"/>
      <c r="BG134" s="145"/>
      <c r="BH134" s="145"/>
      <c r="BI134" s="145"/>
      <c r="BJ134" s="145"/>
      <c r="BK134" s="145"/>
      <c r="BL134" s="145"/>
      <c r="BM134" s="145"/>
      <c r="BN134" s="145"/>
      <c r="BO134" s="145"/>
      <c r="BP134" s="145"/>
      <c r="BQ134" s="145"/>
      <c r="BR134" s="145"/>
      <c r="BS134" s="145"/>
      <c r="BT134" s="145"/>
      <c r="BU134" s="145"/>
      <c r="BV134" s="145"/>
      <c r="BW134" s="145"/>
      <c r="BX134" s="145"/>
      <c r="BY134" s="145"/>
      <c r="BZ134" s="145"/>
      <c r="CA134" s="145"/>
      <c r="CB134" s="145"/>
      <c r="CC134" s="145"/>
      <c r="CD134" s="145"/>
      <c r="CE134" s="145"/>
      <c r="CF134" s="145"/>
      <c r="CG134" s="145"/>
      <c r="CH134" s="145"/>
      <c r="CI134" s="145"/>
      <c r="CJ134" s="145"/>
      <c r="CK134" s="145"/>
      <c r="CL134" s="145"/>
    </row>
    <row r="135" hidden="1" outlineLevel="1">
      <c r="A135" s="158" t="str">
        <f t="shared" si="8"/>
        <v>TC_06.118</v>
      </c>
      <c r="B135" s="267" t="s">
        <v>73</v>
      </c>
      <c r="C135" s="375" t="s">
        <v>2540</v>
      </c>
      <c r="D135" s="375" t="s">
        <v>2528</v>
      </c>
      <c r="E135" s="375" t="s">
        <v>2541</v>
      </c>
      <c r="F135" s="375" t="s">
        <v>2542</v>
      </c>
      <c r="G135" s="263"/>
      <c r="H135" s="263"/>
      <c r="I135" s="266"/>
      <c r="J135" s="266"/>
      <c r="K135" s="266"/>
      <c r="L135" s="266"/>
      <c r="M135" s="266"/>
      <c r="N135" s="266"/>
      <c r="O135" s="266"/>
      <c r="P135" s="266"/>
      <c r="Q135" s="266"/>
      <c r="R135" s="266"/>
      <c r="S135" s="263"/>
      <c r="T135" s="266"/>
      <c r="U135" s="266"/>
      <c r="V135" s="266"/>
      <c r="W135" s="266"/>
      <c r="X135" s="266"/>
      <c r="Y135" s="266"/>
      <c r="Z135" s="266"/>
      <c r="AA135" s="145"/>
      <c r="AB135" s="145"/>
      <c r="AC135" s="145"/>
      <c r="AD135" s="145"/>
      <c r="AE135" s="145"/>
      <c r="AF135" s="145"/>
      <c r="AG135" s="145"/>
      <c r="AH135" s="145"/>
      <c r="AI135" s="145"/>
      <c r="AJ135" s="145"/>
      <c r="AK135" s="145"/>
      <c r="AL135" s="145"/>
      <c r="AM135" s="145"/>
      <c r="AN135" s="145"/>
      <c r="AO135" s="145"/>
      <c r="AP135" s="145"/>
      <c r="AQ135" s="145"/>
      <c r="AR135" s="145"/>
      <c r="AS135" s="145"/>
      <c r="AT135" s="145"/>
      <c r="AU135" s="145"/>
      <c r="AV135" s="145"/>
      <c r="AW135" s="145"/>
      <c r="AX135" s="145"/>
      <c r="AY135" s="145"/>
      <c r="AZ135" s="145"/>
      <c r="BA135" s="145"/>
      <c r="BB135" s="145"/>
      <c r="BC135" s="145"/>
      <c r="BD135" s="145"/>
      <c r="BE135" s="145"/>
      <c r="BF135" s="145"/>
      <c r="BG135" s="145"/>
      <c r="BH135" s="145"/>
      <c r="BI135" s="145"/>
      <c r="BJ135" s="145"/>
      <c r="BK135" s="145"/>
      <c r="BL135" s="145"/>
      <c r="BM135" s="145"/>
      <c r="BN135" s="145"/>
      <c r="BO135" s="145"/>
      <c r="BP135" s="145"/>
      <c r="BQ135" s="145"/>
      <c r="BR135" s="145"/>
      <c r="BS135" s="145"/>
      <c r="BT135" s="145"/>
      <c r="BU135" s="145"/>
      <c r="BV135" s="145"/>
      <c r="BW135" s="145"/>
      <c r="BX135" s="145"/>
      <c r="BY135" s="145"/>
      <c r="BZ135" s="145"/>
      <c r="CA135" s="145"/>
      <c r="CB135" s="145"/>
      <c r="CC135" s="145"/>
      <c r="CD135" s="145"/>
      <c r="CE135" s="145"/>
      <c r="CF135" s="145"/>
      <c r="CG135" s="145"/>
      <c r="CH135" s="145"/>
      <c r="CI135" s="145"/>
      <c r="CJ135" s="145"/>
      <c r="CK135" s="145"/>
      <c r="CL135" s="145"/>
    </row>
    <row r="136" hidden="1" outlineLevel="1">
      <c r="A136" s="158" t="str">
        <f t="shared" si="8"/>
        <v>TC_06.119</v>
      </c>
      <c r="B136" s="267" t="s">
        <v>73</v>
      </c>
      <c r="C136" s="375" t="s">
        <v>2543</v>
      </c>
      <c r="D136" s="375" t="s">
        <v>2528</v>
      </c>
      <c r="E136" s="375" t="s">
        <v>2544</v>
      </c>
      <c r="F136" s="375" t="s">
        <v>2545</v>
      </c>
      <c r="G136" s="263"/>
      <c r="H136" s="263"/>
      <c r="I136" s="266"/>
      <c r="J136" s="266"/>
      <c r="K136" s="266"/>
      <c r="L136" s="266"/>
      <c r="M136" s="266"/>
      <c r="N136" s="266"/>
      <c r="O136" s="266"/>
      <c r="P136" s="266"/>
      <c r="Q136" s="266"/>
      <c r="R136" s="266"/>
      <c r="S136" s="263"/>
      <c r="T136" s="266"/>
      <c r="U136" s="266"/>
      <c r="V136" s="266"/>
      <c r="W136" s="266"/>
      <c r="X136" s="266"/>
      <c r="Y136" s="266"/>
      <c r="Z136" s="266"/>
      <c r="AA136" s="145"/>
      <c r="AB136" s="145"/>
      <c r="AC136" s="145"/>
      <c r="AD136" s="145"/>
      <c r="AE136" s="145"/>
      <c r="AF136" s="145"/>
      <c r="AG136" s="145"/>
      <c r="AH136" s="145"/>
      <c r="AI136" s="145"/>
      <c r="AJ136" s="145"/>
      <c r="AK136" s="145"/>
      <c r="AL136" s="145"/>
      <c r="AM136" s="145"/>
      <c r="AN136" s="145"/>
      <c r="AO136" s="145"/>
      <c r="AP136" s="145"/>
      <c r="AQ136" s="145"/>
      <c r="AR136" s="145"/>
      <c r="AS136" s="145"/>
      <c r="AT136" s="145"/>
      <c r="AU136" s="145"/>
      <c r="AV136" s="145"/>
      <c r="AW136" s="145"/>
      <c r="AX136" s="145"/>
      <c r="AY136" s="145"/>
      <c r="AZ136" s="145"/>
      <c r="BA136" s="145"/>
      <c r="BB136" s="145"/>
      <c r="BC136" s="145"/>
      <c r="BD136" s="145"/>
      <c r="BE136" s="145"/>
      <c r="BF136" s="145"/>
      <c r="BG136" s="145"/>
      <c r="BH136" s="145"/>
      <c r="BI136" s="145"/>
      <c r="BJ136" s="145"/>
      <c r="BK136" s="145"/>
      <c r="BL136" s="145"/>
      <c r="BM136" s="145"/>
      <c r="BN136" s="145"/>
      <c r="BO136" s="145"/>
      <c r="BP136" s="145"/>
      <c r="BQ136" s="145"/>
      <c r="BR136" s="145"/>
      <c r="BS136" s="145"/>
      <c r="BT136" s="145"/>
      <c r="BU136" s="145"/>
      <c r="BV136" s="145"/>
      <c r="BW136" s="145"/>
      <c r="BX136" s="145"/>
      <c r="BY136" s="145"/>
      <c r="BZ136" s="145"/>
      <c r="CA136" s="145"/>
      <c r="CB136" s="145"/>
      <c r="CC136" s="145"/>
      <c r="CD136" s="145"/>
      <c r="CE136" s="145"/>
      <c r="CF136" s="145"/>
      <c r="CG136" s="145"/>
      <c r="CH136" s="145"/>
      <c r="CI136" s="145"/>
      <c r="CJ136" s="145"/>
      <c r="CK136" s="145"/>
      <c r="CL136" s="145"/>
    </row>
    <row r="137" hidden="1" outlineLevel="1">
      <c r="A137" s="158" t="str">
        <f t="shared" si="8"/>
        <v>TC_06.120</v>
      </c>
      <c r="B137" s="267" t="s">
        <v>73</v>
      </c>
      <c r="C137" s="375" t="s">
        <v>2546</v>
      </c>
      <c r="D137" s="375" t="s">
        <v>2528</v>
      </c>
      <c r="E137" s="375" t="s">
        <v>2547</v>
      </c>
      <c r="F137" s="567" t="s">
        <v>2323</v>
      </c>
      <c r="G137" s="263"/>
      <c r="H137" s="263"/>
      <c r="I137" s="266"/>
      <c r="J137" s="266"/>
      <c r="K137" s="266"/>
      <c r="L137" s="266"/>
      <c r="M137" s="266"/>
      <c r="N137" s="266"/>
      <c r="O137" s="266"/>
      <c r="P137" s="266"/>
      <c r="Q137" s="266"/>
      <c r="R137" s="266"/>
      <c r="S137" s="263"/>
      <c r="T137" s="266"/>
      <c r="U137" s="266"/>
      <c r="V137" s="266"/>
      <c r="W137" s="266"/>
      <c r="X137" s="266"/>
      <c r="Y137" s="266"/>
      <c r="Z137" s="266"/>
      <c r="AA137" s="145"/>
      <c r="AB137" s="145"/>
      <c r="AC137" s="145"/>
      <c r="AD137" s="145"/>
      <c r="AE137" s="145"/>
      <c r="AF137" s="145"/>
      <c r="AG137" s="145"/>
      <c r="AH137" s="145"/>
      <c r="AI137" s="145"/>
      <c r="AJ137" s="145"/>
      <c r="AK137" s="145"/>
      <c r="AL137" s="145"/>
      <c r="AM137" s="145"/>
      <c r="AN137" s="145"/>
      <c r="AO137" s="145"/>
      <c r="AP137" s="145"/>
      <c r="AQ137" s="145"/>
      <c r="AR137" s="145"/>
      <c r="AS137" s="145"/>
      <c r="AT137" s="145"/>
      <c r="AU137" s="145"/>
      <c r="AV137" s="145"/>
      <c r="AW137" s="145"/>
      <c r="AX137" s="145"/>
      <c r="AY137" s="145"/>
      <c r="AZ137" s="145"/>
      <c r="BA137" s="145"/>
      <c r="BB137" s="145"/>
      <c r="BC137" s="145"/>
      <c r="BD137" s="145"/>
      <c r="BE137" s="145"/>
      <c r="BF137" s="145"/>
      <c r="BG137" s="145"/>
      <c r="BH137" s="145"/>
      <c r="BI137" s="145"/>
      <c r="BJ137" s="145"/>
      <c r="BK137" s="145"/>
      <c r="BL137" s="145"/>
      <c r="BM137" s="145"/>
      <c r="BN137" s="145"/>
      <c r="BO137" s="145"/>
      <c r="BP137" s="145"/>
      <c r="BQ137" s="145"/>
      <c r="BR137" s="145"/>
      <c r="BS137" s="145"/>
      <c r="BT137" s="145"/>
      <c r="BU137" s="145"/>
      <c r="BV137" s="145"/>
      <c r="BW137" s="145"/>
      <c r="BX137" s="145"/>
      <c r="BY137" s="145"/>
      <c r="BZ137" s="145"/>
      <c r="CA137" s="145"/>
      <c r="CB137" s="145"/>
      <c r="CC137" s="145"/>
      <c r="CD137" s="145"/>
      <c r="CE137" s="145"/>
      <c r="CF137" s="145"/>
      <c r="CG137" s="145"/>
      <c r="CH137" s="145"/>
      <c r="CI137" s="145"/>
      <c r="CJ137" s="145"/>
      <c r="CK137" s="145"/>
      <c r="CL137" s="145"/>
    </row>
    <row r="138" hidden="1" outlineLevel="1">
      <c r="A138" s="158" t="str">
        <f t="shared" si="8"/>
        <v>TC_06.121</v>
      </c>
      <c r="B138" s="267" t="s">
        <v>73</v>
      </c>
      <c r="C138" s="375" t="s">
        <v>2548</v>
      </c>
      <c r="D138" s="375" t="s">
        <v>2549</v>
      </c>
      <c r="E138" s="375" t="s">
        <v>2550</v>
      </c>
      <c r="F138" s="265" t="s">
        <v>2327</v>
      </c>
      <c r="G138" s="263"/>
      <c r="H138" s="263"/>
      <c r="I138" s="266"/>
      <c r="J138" s="266"/>
      <c r="K138" s="266"/>
      <c r="L138" s="266"/>
      <c r="M138" s="266"/>
      <c r="N138" s="266"/>
      <c r="O138" s="266"/>
      <c r="P138" s="266"/>
      <c r="Q138" s="266"/>
      <c r="R138" s="266"/>
      <c r="S138" s="263"/>
      <c r="T138" s="266"/>
      <c r="U138" s="266"/>
      <c r="V138" s="266"/>
      <c r="W138" s="266"/>
      <c r="X138" s="266"/>
      <c r="Y138" s="266"/>
      <c r="Z138" s="266"/>
      <c r="AA138" s="145"/>
      <c r="AB138" s="145"/>
      <c r="AC138" s="145"/>
      <c r="AD138" s="145"/>
      <c r="AE138" s="145"/>
      <c r="AF138" s="145"/>
      <c r="AG138" s="145"/>
      <c r="AH138" s="145"/>
      <c r="AI138" s="145"/>
      <c r="AJ138" s="145"/>
      <c r="AK138" s="145"/>
      <c r="AL138" s="145"/>
      <c r="AM138" s="145"/>
      <c r="AN138" s="145"/>
      <c r="AO138" s="145"/>
      <c r="AP138" s="145"/>
      <c r="AQ138" s="145"/>
      <c r="AR138" s="145"/>
      <c r="AS138" s="145"/>
      <c r="AT138" s="145"/>
      <c r="AU138" s="145"/>
      <c r="AV138" s="145"/>
      <c r="AW138" s="145"/>
      <c r="AX138" s="145"/>
      <c r="AY138" s="145"/>
      <c r="AZ138" s="145"/>
      <c r="BA138" s="145"/>
      <c r="BB138" s="145"/>
      <c r="BC138" s="145"/>
      <c r="BD138" s="145"/>
      <c r="BE138" s="145"/>
      <c r="BF138" s="145"/>
      <c r="BG138" s="145"/>
      <c r="BH138" s="145"/>
      <c r="BI138" s="145"/>
      <c r="BJ138" s="145"/>
      <c r="BK138" s="145"/>
      <c r="BL138" s="145"/>
      <c r="BM138" s="145"/>
      <c r="BN138" s="145"/>
      <c r="BO138" s="145"/>
      <c r="BP138" s="145"/>
      <c r="BQ138" s="145"/>
      <c r="BR138" s="145"/>
      <c r="BS138" s="145"/>
      <c r="BT138" s="145"/>
      <c r="BU138" s="145"/>
      <c r="BV138" s="145"/>
      <c r="BW138" s="145"/>
      <c r="BX138" s="145"/>
      <c r="BY138" s="145"/>
      <c r="BZ138" s="145"/>
      <c r="CA138" s="145"/>
      <c r="CB138" s="145"/>
      <c r="CC138" s="145"/>
      <c r="CD138" s="145"/>
      <c r="CE138" s="145"/>
      <c r="CF138" s="145"/>
      <c r="CG138" s="145"/>
      <c r="CH138" s="145"/>
      <c r="CI138" s="145"/>
      <c r="CJ138" s="145"/>
      <c r="CK138" s="145"/>
      <c r="CL138" s="145"/>
    </row>
    <row r="139" hidden="1" outlineLevel="1">
      <c r="A139" s="158" t="str">
        <f t="shared" si="8"/>
        <v>TC_06.122</v>
      </c>
      <c r="B139" s="267" t="s">
        <v>75</v>
      </c>
      <c r="C139" s="375" t="s">
        <v>2551</v>
      </c>
      <c r="D139" s="375" t="s">
        <v>2552</v>
      </c>
      <c r="E139" s="375" t="s">
        <v>2553</v>
      </c>
      <c r="F139" s="375" t="s">
        <v>2554</v>
      </c>
      <c r="G139" s="263"/>
      <c r="H139" s="263"/>
      <c r="I139" s="266"/>
      <c r="J139" s="266"/>
      <c r="K139" s="266"/>
      <c r="L139" s="266"/>
      <c r="M139" s="266"/>
      <c r="N139" s="266"/>
      <c r="O139" s="266"/>
      <c r="P139" s="266"/>
      <c r="Q139" s="266"/>
      <c r="R139" s="266"/>
      <c r="S139" s="263"/>
      <c r="T139" s="266"/>
      <c r="U139" s="266"/>
      <c r="V139" s="266"/>
      <c r="W139" s="266"/>
      <c r="X139" s="266"/>
      <c r="Y139" s="266"/>
      <c r="Z139" s="266"/>
      <c r="AA139" s="145"/>
      <c r="AB139" s="145"/>
      <c r="AC139" s="145"/>
      <c r="AD139" s="145"/>
      <c r="AE139" s="145"/>
      <c r="AF139" s="145"/>
      <c r="AG139" s="145"/>
      <c r="AH139" s="145"/>
      <c r="AI139" s="145"/>
      <c r="AJ139" s="145"/>
      <c r="AK139" s="145"/>
      <c r="AL139" s="145"/>
      <c r="AM139" s="145"/>
      <c r="AN139" s="145"/>
      <c r="AO139" s="145"/>
      <c r="AP139" s="145"/>
      <c r="AQ139" s="145"/>
      <c r="AR139" s="145"/>
      <c r="AS139" s="145"/>
      <c r="AT139" s="145"/>
      <c r="AU139" s="145"/>
      <c r="AV139" s="145"/>
      <c r="AW139" s="145"/>
      <c r="AX139" s="145"/>
      <c r="AY139" s="145"/>
      <c r="AZ139" s="145"/>
      <c r="BA139" s="145"/>
      <c r="BB139" s="145"/>
      <c r="BC139" s="145"/>
      <c r="BD139" s="145"/>
      <c r="BE139" s="145"/>
      <c r="BF139" s="145"/>
      <c r="BG139" s="145"/>
      <c r="BH139" s="145"/>
      <c r="BI139" s="145"/>
      <c r="BJ139" s="145"/>
      <c r="BK139" s="145"/>
      <c r="BL139" s="145"/>
      <c r="BM139" s="145"/>
      <c r="BN139" s="145"/>
      <c r="BO139" s="145"/>
      <c r="BP139" s="145"/>
      <c r="BQ139" s="145"/>
      <c r="BR139" s="145"/>
      <c r="BS139" s="145"/>
      <c r="BT139" s="145"/>
      <c r="BU139" s="145"/>
      <c r="BV139" s="145"/>
      <c r="BW139" s="145"/>
      <c r="BX139" s="145"/>
      <c r="BY139" s="145"/>
      <c r="BZ139" s="145"/>
      <c r="CA139" s="145"/>
      <c r="CB139" s="145"/>
      <c r="CC139" s="145"/>
      <c r="CD139" s="145"/>
      <c r="CE139" s="145"/>
      <c r="CF139" s="145"/>
      <c r="CG139" s="145"/>
      <c r="CH139" s="145"/>
      <c r="CI139" s="145"/>
      <c r="CJ139" s="145"/>
      <c r="CK139" s="145"/>
      <c r="CL139" s="145"/>
    </row>
    <row r="140" hidden="1" outlineLevel="1">
      <c r="A140" s="158" t="str">
        <f t="shared" si="8"/>
        <v>TC_06.123</v>
      </c>
      <c r="B140" s="267" t="s">
        <v>75</v>
      </c>
      <c r="C140" s="375" t="s">
        <v>2555</v>
      </c>
      <c r="D140" s="375" t="s">
        <v>2556</v>
      </c>
      <c r="E140" s="375" t="s">
        <v>2557</v>
      </c>
      <c r="F140" s="265" t="s">
        <v>2414</v>
      </c>
      <c r="G140" s="263"/>
      <c r="H140" s="263"/>
      <c r="I140" s="266"/>
      <c r="J140" s="266"/>
      <c r="K140" s="266"/>
      <c r="L140" s="266"/>
      <c r="M140" s="266"/>
      <c r="N140" s="266"/>
      <c r="O140" s="266"/>
      <c r="P140" s="266"/>
      <c r="Q140" s="266"/>
      <c r="R140" s="266"/>
      <c r="S140" s="263"/>
      <c r="T140" s="266"/>
      <c r="U140" s="266"/>
      <c r="V140" s="266"/>
      <c r="W140" s="266"/>
      <c r="X140" s="266"/>
      <c r="Y140" s="266"/>
      <c r="Z140" s="266"/>
      <c r="AA140" s="145"/>
      <c r="AB140" s="145"/>
      <c r="AC140" s="145"/>
      <c r="AD140" s="145"/>
      <c r="AE140" s="145"/>
      <c r="AF140" s="145"/>
      <c r="AG140" s="145"/>
      <c r="AH140" s="145"/>
      <c r="AI140" s="145"/>
      <c r="AJ140" s="145"/>
      <c r="AK140" s="145"/>
      <c r="AL140" s="145"/>
      <c r="AM140" s="145"/>
      <c r="AN140" s="145"/>
      <c r="AO140" s="145"/>
      <c r="AP140" s="145"/>
      <c r="AQ140" s="145"/>
      <c r="AR140" s="145"/>
      <c r="AS140" s="145"/>
      <c r="AT140" s="145"/>
      <c r="AU140" s="145"/>
      <c r="AV140" s="145"/>
      <c r="AW140" s="145"/>
      <c r="AX140" s="145"/>
      <c r="AY140" s="145"/>
      <c r="AZ140" s="145"/>
      <c r="BA140" s="145"/>
      <c r="BB140" s="145"/>
      <c r="BC140" s="145"/>
      <c r="BD140" s="145"/>
      <c r="BE140" s="145"/>
      <c r="BF140" s="145"/>
      <c r="BG140" s="145"/>
      <c r="BH140" s="145"/>
      <c r="BI140" s="145"/>
      <c r="BJ140" s="145"/>
      <c r="BK140" s="145"/>
      <c r="BL140" s="145"/>
      <c r="BM140" s="145"/>
      <c r="BN140" s="145"/>
      <c r="BO140" s="145"/>
      <c r="BP140" s="145"/>
      <c r="BQ140" s="145"/>
      <c r="BR140" s="145"/>
      <c r="BS140" s="145"/>
      <c r="BT140" s="145"/>
      <c r="BU140" s="145"/>
      <c r="BV140" s="145"/>
      <c r="BW140" s="145"/>
      <c r="BX140" s="145"/>
      <c r="BY140" s="145"/>
      <c r="BZ140" s="145"/>
      <c r="CA140" s="145"/>
      <c r="CB140" s="145"/>
      <c r="CC140" s="145"/>
      <c r="CD140" s="145"/>
      <c r="CE140" s="145"/>
      <c r="CF140" s="145"/>
      <c r="CG140" s="145"/>
      <c r="CH140" s="145"/>
      <c r="CI140" s="145"/>
      <c r="CJ140" s="145"/>
      <c r="CK140" s="145"/>
      <c r="CL140" s="145"/>
    </row>
    <row r="141" hidden="1" outlineLevel="1">
      <c r="A141" s="158" t="str">
        <f t="shared" si="8"/>
        <v>TC_06.124</v>
      </c>
      <c r="B141" s="267" t="s">
        <v>75</v>
      </c>
      <c r="C141" s="375" t="s">
        <v>2558</v>
      </c>
      <c r="D141" s="375" t="s">
        <v>2559</v>
      </c>
      <c r="E141" s="375" t="s">
        <v>2560</v>
      </c>
      <c r="F141" s="375" t="s">
        <v>2561</v>
      </c>
      <c r="G141" s="263"/>
      <c r="H141" s="263"/>
      <c r="I141" s="266"/>
      <c r="J141" s="266"/>
      <c r="K141" s="266"/>
      <c r="L141" s="266"/>
      <c r="M141" s="266"/>
      <c r="N141" s="266"/>
      <c r="O141" s="266"/>
      <c r="P141" s="266"/>
      <c r="Q141" s="266"/>
      <c r="R141" s="266"/>
      <c r="S141" s="263"/>
      <c r="T141" s="266"/>
      <c r="U141" s="266"/>
      <c r="V141" s="266"/>
      <c r="W141" s="266"/>
      <c r="X141" s="266"/>
      <c r="Y141" s="266"/>
      <c r="Z141" s="266"/>
      <c r="AA141" s="145"/>
      <c r="AB141" s="145"/>
      <c r="AC141" s="145"/>
      <c r="AD141" s="145"/>
      <c r="AE141" s="145"/>
      <c r="AF141" s="145"/>
      <c r="AG141" s="145"/>
      <c r="AH141" s="145"/>
      <c r="AI141" s="145"/>
      <c r="AJ141" s="145"/>
      <c r="AK141" s="145"/>
      <c r="AL141" s="145"/>
      <c r="AM141" s="145"/>
      <c r="AN141" s="145"/>
      <c r="AO141" s="145"/>
      <c r="AP141" s="145"/>
      <c r="AQ141" s="145"/>
      <c r="AR141" s="145"/>
      <c r="AS141" s="145"/>
      <c r="AT141" s="145"/>
      <c r="AU141" s="145"/>
      <c r="AV141" s="145"/>
      <c r="AW141" s="145"/>
      <c r="AX141" s="145"/>
      <c r="AY141" s="145"/>
      <c r="AZ141" s="145"/>
      <c r="BA141" s="145"/>
      <c r="BB141" s="145"/>
      <c r="BC141" s="145"/>
      <c r="BD141" s="145"/>
      <c r="BE141" s="145"/>
      <c r="BF141" s="145"/>
      <c r="BG141" s="145"/>
      <c r="BH141" s="145"/>
      <c r="BI141" s="145"/>
      <c r="BJ141" s="145"/>
      <c r="BK141" s="145"/>
      <c r="BL141" s="145"/>
      <c r="BM141" s="145"/>
      <c r="BN141" s="145"/>
      <c r="BO141" s="145"/>
      <c r="BP141" s="145"/>
      <c r="BQ141" s="145"/>
      <c r="BR141" s="145"/>
      <c r="BS141" s="145"/>
      <c r="BT141" s="145"/>
      <c r="BU141" s="145"/>
      <c r="BV141" s="145"/>
      <c r="BW141" s="145"/>
      <c r="BX141" s="145"/>
      <c r="BY141" s="145"/>
      <c r="BZ141" s="145"/>
      <c r="CA141" s="145"/>
      <c r="CB141" s="145"/>
      <c r="CC141" s="145"/>
      <c r="CD141" s="145"/>
      <c r="CE141" s="145"/>
      <c r="CF141" s="145"/>
      <c r="CG141" s="145"/>
      <c r="CH141" s="145"/>
      <c r="CI141" s="145"/>
      <c r="CJ141" s="145"/>
      <c r="CK141" s="145"/>
      <c r="CL141" s="145"/>
    </row>
    <row r="142" hidden="1" outlineLevel="1">
      <c r="A142" s="158" t="str">
        <f t="shared" si="8"/>
        <v>TC_06.125</v>
      </c>
      <c r="B142" s="267" t="s">
        <v>75</v>
      </c>
      <c r="C142" s="375" t="s">
        <v>2419</v>
      </c>
      <c r="D142" s="375" t="s">
        <v>2420</v>
      </c>
      <c r="E142" s="375" t="s">
        <v>2562</v>
      </c>
      <c r="F142" s="375" t="s">
        <v>2422</v>
      </c>
      <c r="G142" s="263"/>
      <c r="H142" s="263"/>
      <c r="I142" s="266"/>
      <c r="J142" s="266"/>
      <c r="K142" s="266"/>
      <c r="L142" s="266"/>
      <c r="M142" s="266"/>
      <c r="N142" s="266"/>
      <c r="O142" s="266"/>
      <c r="P142" s="266"/>
      <c r="Q142" s="266"/>
      <c r="R142" s="266"/>
      <c r="S142" s="263"/>
      <c r="T142" s="266"/>
      <c r="U142" s="266"/>
      <c r="V142" s="266"/>
      <c r="W142" s="266"/>
      <c r="X142" s="266"/>
      <c r="Y142" s="266"/>
      <c r="Z142" s="266"/>
      <c r="AA142" s="145"/>
      <c r="AB142" s="145"/>
      <c r="AC142" s="145"/>
      <c r="AD142" s="145"/>
      <c r="AE142" s="145"/>
      <c r="AF142" s="145"/>
      <c r="AG142" s="145"/>
      <c r="AH142" s="145"/>
      <c r="AI142" s="145"/>
      <c r="AJ142" s="145"/>
      <c r="AK142" s="145"/>
      <c r="AL142" s="145"/>
      <c r="AM142" s="145"/>
      <c r="AN142" s="145"/>
      <c r="AO142" s="145"/>
      <c r="AP142" s="145"/>
      <c r="AQ142" s="145"/>
      <c r="AR142" s="145"/>
      <c r="AS142" s="145"/>
      <c r="AT142" s="145"/>
      <c r="AU142" s="145"/>
      <c r="AV142" s="145"/>
      <c r="AW142" s="145"/>
      <c r="AX142" s="145"/>
      <c r="AY142" s="145"/>
      <c r="AZ142" s="145"/>
      <c r="BA142" s="145"/>
      <c r="BB142" s="145"/>
      <c r="BC142" s="145"/>
      <c r="BD142" s="145"/>
      <c r="BE142" s="145"/>
      <c r="BF142" s="145"/>
      <c r="BG142" s="145"/>
      <c r="BH142" s="145"/>
      <c r="BI142" s="145"/>
      <c r="BJ142" s="145"/>
      <c r="BK142" s="145"/>
      <c r="BL142" s="145"/>
      <c r="BM142" s="145"/>
      <c r="BN142" s="145"/>
      <c r="BO142" s="145"/>
      <c r="BP142" s="145"/>
      <c r="BQ142" s="145"/>
      <c r="BR142" s="145"/>
      <c r="BS142" s="145"/>
      <c r="BT142" s="145"/>
      <c r="BU142" s="145"/>
      <c r="BV142" s="145"/>
      <c r="BW142" s="145"/>
      <c r="BX142" s="145"/>
      <c r="BY142" s="145"/>
      <c r="BZ142" s="145"/>
      <c r="CA142" s="145"/>
      <c r="CB142" s="145"/>
      <c r="CC142" s="145"/>
      <c r="CD142" s="145"/>
      <c r="CE142" s="145"/>
      <c r="CF142" s="145"/>
      <c r="CG142" s="145"/>
      <c r="CH142" s="145"/>
      <c r="CI142" s="145"/>
      <c r="CJ142" s="145"/>
      <c r="CK142" s="145"/>
      <c r="CL142" s="145"/>
    </row>
    <row r="143" hidden="1" outlineLevel="1">
      <c r="A143" s="158" t="str">
        <f t="shared" si="8"/>
        <v>TC_06.126</v>
      </c>
      <c r="B143" s="267" t="s">
        <v>75</v>
      </c>
      <c r="C143" s="375" t="s">
        <v>2423</v>
      </c>
      <c r="D143" s="375" t="s">
        <v>2424</v>
      </c>
      <c r="E143" s="375" t="s">
        <v>2563</v>
      </c>
      <c r="F143" s="375" t="s">
        <v>2426</v>
      </c>
      <c r="G143" s="263"/>
      <c r="H143" s="263"/>
      <c r="I143" s="266"/>
      <c r="J143" s="266"/>
      <c r="K143" s="266"/>
      <c r="L143" s="266"/>
      <c r="M143" s="266"/>
      <c r="N143" s="266"/>
      <c r="O143" s="266"/>
      <c r="P143" s="266"/>
      <c r="Q143" s="266"/>
      <c r="R143" s="266"/>
      <c r="S143" s="263"/>
      <c r="T143" s="266"/>
      <c r="U143" s="266"/>
      <c r="V143" s="266"/>
      <c r="W143" s="266"/>
      <c r="X143" s="266"/>
      <c r="Y143" s="266"/>
      <c r="Z143" s="266"/>
      <c r="AA143" s="145"/>
      <c r="AB143" s="145"/>
      <c r="AC143" s="145"/>
      <c r="AD143" s="145"/>
      <c r="AE143" s="145"/>
      <c r="AF143" s="145"/>
      <c r="AG143" s="145"/>
      <c r="AH143" s="145"/>
      <c r="AI143" s="145"/>
      <c r="AJ143" s="145"/>
      <c r="AK143" s="145"/>
      <c r="AL143" s="145"/>
      <c r="AM143" s="145"/>
      <c r="AN143" s="145"/>
      <c r="AO143" s="145"/>
      <c r="AP143" s="145"/>
      <c r="AQ143" s="145"/>
      <c r="AR143" s="145"/>
      <c r="AS143" s="145"/>
      <c r="AT143" s="145"/>
      <c r="AU143" s="145"/>
      <c r="AV143" s="145"/>
      <c r="AW143" s="145"/>
      <c r="AX143" s="145"/>
      <c r="AY143" s="145"/>
      <c r="AZ143" s="145"/>
      <c r="BA143" s="145"/>
      <c r="BB143" s="145"/>
      <c r="BC143" s="145"/>
      <c r="BD143" s="145"/>
      <c r="BE143" s="145"/>
      <c r="BF143" s="145"/>
      <c r="BG143" s="145"/>
      <c r="BH143" s="145"/>
      <c r="BI143" s="145"/>
      <c r="BJ143" s="145"/>
      <c r="BK143" s="145"/>
      <c r="BL143" s="145"/>
      <c r="BM143" s="145"/>
      <c r="BN143" s="145"/>
      <c r="BO143" s="145"/>
      <c r="BP143" s="145"/>
      <c r="BQ143" s="145"/>
      <c r="BR143" s="145"/>
      <c r="BS143" s="145"/>
      <c r="BT143" s="145"/>
      <c r="BU143" s="145"/>
      <c r="BV143" s="145"/>
      <c r="BW143" s="145"/>
      <c r="BX143" s="145"/>
      <c r="BY143" s="145"/>
      <c r="BZ143" s="145"/>
      <c r="CA143" s="145"/>
      <c r="CB143" s="145"/>
      <c r="CC143" s="145"/>
      <c r="CD143" s="145"/>
      <c r="CE143" s="145"/>
      <c r="CF143" s="145"/>
      <c r="CG143" s="145"/>
      <c r="CH143" s="145"/>
      <c r="CI143" s="145"/>
      <c r="CJ143" s="145"/>
      <c r="CK143" s="145"/>
      <c r="CL143" s="145"/>
    </row>
    <row r="144" hidden="1" outlineLevel="1">
      <c r="A144" s="158" t="str">
        <f t="shared" si="8"/>
        <v>TC_06.127</v>
      </c>
      <c r="B144" s="267" t="s">
        <v>73</v>
      </c>
      <c r="C144" s="375" t="s">
        <v>2564</v>
      </c>
      <c r="D144" s="375" t="s">
        <v>2565</v>
      </c>
      <c r="E144" s="375" t="s">
        <v>2566</v>
      </c>
      <c r="F144" s="265" t="s">
        <v>2430</v>
      </c>
      <c r="G144" s="263"/>
      <c r="H144" s="263"/>
      <c r="I144" s="266"/>
      <c r="J144" s="266"/>
      <c r="K144" s="266"/>
      <c r="L144" s="266"/>
      <c r="M144" s="266"/>
      <c r="N144" s="266"/>
      <c r="O144" s="266"/>
      <c r="P144" s="266"/>
      <c r="Q144" s="266"/>
      <c r="R144" s="266"/>
      <c r="S144" s="263"/>
      <c r="T144" s="266"/>
      <c r="U144" s="266"/>
      <c r="V144" s="266"/>
      <c r="W144" s="266"/>
      <c r="X144" s="266"/>
      <c r="Y144" s="266"/>
      <c r="Z144" s="266"/>
      <c r="AA144" s="145"/>
      <c r="AB144" s="145"/>
      <c r="AC144" s="145"/>
      <c r="AD144" s="145"/>
      <c r="AE144" s="145"/>
      <c r="AF144" s="145"/>
      <c r="AG144" s="145"/>
      <c r="AH144" s="145"/>
      <c r="AI144" s="145"/>
      <c r="AJ144" s="145"/>
      <c r="AK144" s="145"/>
      <c r="AL144" s="145"/>
      <c r="AM144" s="145"/>
      <c r="AN144" s="145"/>
      <c r="AO144" s="145"/>
      <c r="AP144" s="145"/>
      <c r="AQ144" s="145"/>
      <c r="AR144" s="145"/>
      <c r="AS144" s="145"/>
      <c r="AT144" s="145"/>
      <c r="AU144" s="145"/>
      <c r="AV144" s="145"/>
      <c r="AW144" s="145"/>
      <c r="AX144" s="145"/>
      <c r="AY144" s="145"/>
      <c r="AZ144" s="145"/>
      <c r="BA144" s="145"/>
      <c r="BB144" s="145"/>
      <c r="BC144" s="145"/>
      <c r="BD144" s="145"/>
      <c r="BE144" s="145"/>
      <c r="BF144" s="145"/>
      <c r="BG144" s="145"/>
      <c r="BH144" s="145"/>
      <c r="BI144" s="145"/>
      <c r="BJ144" s="145"/>
      <c r="BK144" s="145"/>
      <c r="BL144" s="145"/>
      <c r="BM144" s="145"/>
      <c r="BN144" s="145"/>
      <c r="BO144" s="145"/>
      <c r="BP144" s="145"/>
      <c r="BQ144" s="145"/>
      <c r="BR144" s="145"/>
      <c r="BS144" s="145"/>
      <c r="BT144" s="145"/>
      <c r="BU144" s="145"/>
      <c r="BV144" s="145"/>
      <c r="BW144" s="145"/>
      <c r="BX144" s="145"/>
      <c r="BY144" s="145"/>
      <c r="BZ144" s="145"/>
      <c r="CA144" s="145"/>
      <c r="CB144" s="145"/>
      <c r="CC144" s="145"/>
      <c r="CD144" s="145"/>
      <c r="CE144" s="145"/>
      <c r="CF144" s="145"/>
      <c r="CG144" s="145"/>
      <c r="CH144" s="145"/>
      <c r="CI144" s="145"/>
      <c r="CJ144" s="145"/>
      <c r="CK144" s="145"/>
      <c r="CL144" s="145"/>
    </row>
    <row r="145" hidden="1" outlineLevel="1">
      <c r="A145" s="158" t="str">
        <f t="shared" si="8"/>
        <v>TC_06.128</v>
      </c>
      <c r="B145" s="267" t="s">
        <v>73</v>
      </c>
      <c r="C145" s="265" t="s">
        <v>2431</v>
      </c>
      <c r="D145" s="375" t="s">
        <v>2567</v>
      </c>
      <c r="E145" s="375" t="s">
        <v>2568</v>
      </c>
      <c r="F145" s="265" t="s">
        <v>2434</v>
      </c>
      <c r="G145" s="263"/>
      <c r="H145" s="263"/>
      <c r="I145" s="266"/>
      <c r="J145" s="266"/>
      <c r="K145" s="266"/>
      <c r="L145" s="266"/>
      <c r="M145" s="266"/>
      <c r="N145" s="266"/>
      <c r="O145" s="266"/>
      <c r="P145" s="266"/>
      <c r="Q145" s="266"/>
      <c r="R145" s="266"/>
      <c r="S145" s="263"/>
      <c r="T145" s="266"/>
      <c r="U145" s="266"/>
      <c r="V145" s="266"/>
      <c r="W145" s="266"/>
      <c r="X145" s="266"/>
      <c r="Y145" s="266"/>
      <c r="Z145" s="266"/>
      <c r="AA145" s="145"/>
      <c r="AB145" s="145"/>
      <c r="AC145" s="145"/>
      <c r="AD145" s="145"/>
      <c r="AE145" s="145"/>
      <c r="AF145" s="145"/>
      <c r="AG145" s="145"/>
      <c r="AH145" s="145"/>
      <c r="AI145" s="145"/>
      <c r="AJ145" s="145"/>
      <c r="AK145" s="145"/>
      <c r="AL145" s="145"/>
      <c r="AM145" s="145"/>
      <c r="AN145" s="145"/>
      <c r="AO145" s="145"/>
      <c r="AP145" s="145"/>
      <c r="AQ145" s="145"/>
      <c r="AR145" s="145"/>
      <c r="AS145" s="145"/>
      <c r="AT145" s="145"/>
      <c r="AU145" s="145"/>
      <c r="AV145" s="145"/>
      <c r="AW145" s="145"/>
      <c r="AX145" s="145"/>
      <c r="AY145" s="145"/>
      <c r="AZ145" s="145"/>
      <c r="BA145" s="145"/>
      <c r="BB145" s="145"/>
      <c r="BC145" s="145"/>
      <c r="BD145" s="145"/>
      <c r="BE145" s="145"/>
      <c r="BF145" s="145"/>
      <c r="BG145" s="145"/>
      <c r="BH145" s="145"/>
      <c r="BI145" s="145"/>
      <c r="BJ145" s="145"/>
      <c r="BK145" s="145"/>
      <c r="BL145" s="145"/>
      <c r="BM145" s="145"/>
      <c r="BN145" s="145"/>
      <c r="BO145" s="145"/>
      <c r="BP145" s="145"/>
      <c r="BQ145" s="145"/>
      <c r="BR145" s="145"/>
      <c r="BS145" s="145"/>
      <c r="BT145" s="145"/>
      <c r="BU145" s="145"/>
      <c r="BV145" s="145"/>
      <c r="BW145" s="145"/>
      <c r="BX145" s="145"/>
      <c r="BY145" s="145"/>
      <c r="BZ145" s="145"/>
      <c r="CA145" s="145"/>
      <c r="CB145" s="145"/>
      <c r="CC145" s="145"/>
      <c r="CD145" s="145"/>
      <c r="CE145" s="145"/>
      <c r="CF145" s="145"/>
      <c r="CG145" s="145"/>
      <c r="CH145" s="145"/>
      <c r="CI145" s="145"/>
      <c r="CJ145" s="145"/>
      <c r="CK145" s="145"/>
      <c r="CL145" s="145"/>
    </row>
    <row r="146" collapsed="1">
      <c r="A146" s="562" t="s">
        <v>2569</v>
      </c>
      <c r="B146" s="148"/>
      <c r="C146" s="148"/>
      <c r="D146" s="148"/>
      <c r="E146" s="148"/>
      <c r="F146" s="171"/>
      <c r="G146" s="263"/>
      <c r="H146" s="263"/>
      <c r="I146" s="266"/>
      <c r="J146" s="266"/>
      <c r="K146" s="266"/>
      <c r="L146" s="266"/>
      <c r="M146" s="266"/>
      <c r="N146" s="266"/>
      <c r="O146" s="266"/>
      <c r="P146" s="266"/>
      <c r="Q146" s="266"/>
      <c r="R146" s="266"/>
      <c r="S146" s="263"/>
      <c r="T146" s="266"/>
      <c r="U146" s="266"/>
      <c r="V146" s="266"/>
      <c r="W146" s="266"/>
      <c r="X146" s="266"/>
      <c r="Y146" s="266"/>
      <c r="Z146" s="266"/>
      <c r="AA146" s="145"/>
      <c r="AB146" s="145"/>
      <c r="AC146" s="145"/>
      <c r="AD146" s="145"/>
      <c r="AE146" s="145"/>
      <c r="AF146" s="145"/>
      <c r="AG146" s="145"/>
      <c r="AH146" s="145"/>
      <c r="AI146" s="145"/>
      <c r="AJ146" s="145"/>
      <c r="AK146" s="145"/>
      <c r="AL146" s="145"/>
      <c r="AM146" s="145"/>
      <c r="AN146" s="145"/>
      <c r="AO146" s="145"/>
      <c r="AP146" s="145"/>
      <c r="AQ146" s="145"/>
      <c r="AR146" s="145"/>
      <c r="AS146" s="145"/>
      <c r="AT146" s="145"/>
      <c r="AU146" s="145"/>
      <c r="AV146" s="145"/>
      <c r="AW146" s="145"/>
      <c r="AX146" s="145"/>
      <c r="AY146" s="145"/>
      <c r="AZ146" s="145"/>
      <c r="BA146" s="145"/>
      <c r="BB146" s="145"/>
      <c r="BC146" s="145"/>
      <c r="BD146" s="145"/>
      <c r="BE146" s="145"/>
      <c r="BF146" s="145"/>
      <c r="BG146" s="145"/>
      <c r="BH146" s="145"/>
      <c r="BI146" s="145"/>
      <c r="BJ146" s="145"/>
      <c r="BK146" s="145"/>
      <c r="BL146" s="145"/>
      <c r="BM146" s="145"/>
      <c r="BN146" s="145"/>
      <c r="BO146" s="145"/>
      <c r="BP146" s="145"/>
      <c r="BQ146" s="145"/>
      <c r="BR146" s="145"/>
      <c r="BS146" s="145"/>
      <c r="BT146" s="145"/>
      <c r="BU146" s="145"/>
      <c r="BV146" s="145"/>
      <c r="BW146" s="145"/>
      <c r="BX146" s="145"/>
      <c r="BY146" s="145"/>
      <c r="BZ146" s="145"/>
      <c r="CA146" s="145"/>
      <c r="CB146" s="145"/>
      <c r="CC146" s="145"/>
      <c r="CD146" s="145"/>
      <c r="CE146" s="145"/>
      <c r="CF146" s="145"/>
      <c r="CG146" s="145"/>
      <c r="CH146" s="145"/>
      <c r="CI146" s="145"/>
      <c r="CJ146" s="145"/>
      <c r="CK146" s="145"/>
      <c r="CL146" s="145"/>
    </row>
    <row r="147" hidden="1" outlineLevel="1">
      <c r="A147" s="158" t="str">
        <f t="shared" ref="A147:A171" si="9">IF(E147="","",$C$3&amp;"."&amp;COUNTA($E$8:E147)&amp;"")</f>
        <v>TC_06.129</v>
      </c>
      <c r="B147" s="267" t="s">
        <v>75</v>
      </c>
      <c r="C147" s="375" t="s">
        <v>2570</v>
      </c>
      <c r="D147" s="375" t="s">
        <v>2571</v>
      </c>
      <c r="E147" s="375" t="s">
        <v>2572</v>
      </c>
      <c r="F147" s="375" t="s">
        <v>2573</v>
      </c>
      <c r="G147" s="263"/>
      <c r="H147" s="263"/>
      <c r="I147" s="266"/>
      <c r="J147" s="266"/>
      <c r="K147" s="266"/>
      <c r="L147" s="266"/>
      <c r="M147" s="266"/>
      <c r="N147" s="266"/>
      <c r="O147" s="266"/>
      <c r="P147" s="266"/>
      <c r="Q147" s="266"/>
      <c r="R147" s="266"/>
      <c r="S147" s="263"/>
      <c r="T147" s="266"/>
      <c r="U147" s="266"/>
      <c r="V147" s="266"/>
      <c r="W147" s="266"/>
      <c r="X147" s="266"/>
      <c r="Y147" s="266"/>
      <c r="Z147" s="266"/>
      <c r="AA147" s="145"/>
      <c r="AB147" s="145"/>
      <c r="AC147" s="145"/>
      <c r="AD147" s="145"/>
      <c r="AE147" s="145"/>
      <c r="AF147" s="145"/>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c r="BC147" s="145"/>
      <c r="BD147" s="145"/>
      <c r="BE147" s="145"/>
      <c r="BF147" s="145"/>
      <c r="BG147" s="145"/>
      <c r="BH147" s="145"/>
      <c r="BI147" s="145"/>
      <c r="BJ147" s="145"/>
      <c r="BK147" s="145"/>
      <c r="BL147" s="145"/>
      <c r="BM147" s="145"/>
      <c r="BN147" s="145"/>
      <c r="BO147" s="145"/>
      <c r="BP147" s="145"/>
      <c r="BQ147" s="145"/>
      <c r="BR147" s="145"/>
      <c r="BS147" s="145"/>
      <c r="BT147" s="145"/>
      <c r="BU147" s="145"/>
      <c r="BV147" s="145"/>
      <c r="BW147" s="145"/>
      <c r="BX147" s="145"/>
      <c r="BY147" s="145"/>
      <c r="BZ147" s="145"/>
      <c r="CA147" s="145"/>
      <c r="CB147" s="145"/>
      <c r="CC147" s="145"/>
      <c r="CD147" s="145"/>
      <c r="CE147" s="145"/>
      <c r="CF147" s="145"/>
      <c r="CG147" s="145"/>
      <c r="CH147" s="145"/>
      <c r="CI147" s="145"/>
      <c r="CJ147" s="145"/>
      <c r="CK147" s="145"/>
      <c r="CL147" s="145"/>
    </row>
    <row r="148" hidden="1" outlineLevel="1">
      <c r="A148" s="158" t="str">
        <f t="shared" si="9"/>
        <v>TC_06.130</v>
      </c>
      <c r="B148" s="267" t="s">
        <v>73</v>
      </c>
      <c r="C148" s="375" t="s">
        <v>2574</v>
      </c>
      <c r="D148" s="375" t="s">
        <v>2575</v>
      </c>
      <c r="E148" s="375" t="s">
        <v>2576</v>
      </c>
      <c r="F148" s="375" t="s">
        <v>2356</v>
      </c>
      <c r="G148" s="263"/>
      <c r="H148" s="263"/>
      <c r="I148" s="266"/>
      <c r="J148" s="266"/>
      <c r="K148" s="266"/>
      <c r="L148" s="266"/>
      <c r="M148" s="266"/>
      <c r="N148" s="266"/>
      <c r="O148" s="266"/>
      <c r="P148" s="266"/>
      <c r="Q148" s="266"/>
      <c r="R148" s="266"/>
      <c r="S148" s="263"/>
      <c r="T148" s="266"/>
      <c r="U148" s="266"/>
      <c r="V148" s="266"/>
      <c r="W148" s="266"/>
      <c r="X148" s="266"/>
      <c r="Y148" s="266"/>
      <c r="Z148" s="266"/>
      <c r="AA148" s="145"/>
      <c r="AB148" s="145"/>
      <c r="AC148" s="145"/>
      <c r="AD148" s="145"/>
      <c r="AE148" s="145"/>
      <c r="AF148" s="145"/>
      <c r="AG148" s="145"/>
      <c r="AH148" s="145"/>
      <c r="AI148" s="145"/>
      <c r="AJ148" s="145"/>
      <c r="AK148" s="145"/>
      <c r="AL148" s="145"/>
      <c r="AM148" s="145"/>
      <c r="AN148" s="145"/>
      <c r="AO148" s="145"/>
      <c r="AP148" s="145"/>
      <c r="AQ148" s="145"/>
      <c r="AR148" s="145"/>
      <c r="AS148" s="145"/>
      <c r="AT148" s="145"/>
      <c r="AU148" s="145"/>
      <c r="AV148" s="145"/>
      <c r="AW148" s="145"/>
      <c r="AX148" s="145"/>
      <c r="AY148" s="145"/>
      <c r="AZ148" s="145"/>
      <c r="BA148" s="145"/>
      <c r="BB148" s="145"/>
      <c r="BC148" s="145"/>
      <c r="BD148" s="145"/>
      <c r="BE148" s="145"/>
      <c r="BF148" s="145"/>
      <c r="BG148" s="145"/>
      <c r="BH148" s="145"/>
      <c r="BI148" s="145"/>
      <c r="BJ148" s="145"/>
      <c r="BK148" s="145"/>
      <c r="BL148" s="145"/>
      <c r="BM148" s="145"/>
      <c r="BN148" s="145"/>
      <c r="BO148" s="145"/>
      <c r="BP148" s="145"/>
      <c r="BQ148" s="145"/>
      <c r="BR148" s="145"/>
      <c r="BS148" s="145"/>
      <c r="BT148" s="145"/>
      <c r="BU148" s="145"/>
      <c r="BV148" s="145"/>
      <c r="BW148" s="145"/>
      <c r="BX148" s="145"/>
      <c r="BY148" s="145"/>
      <c r="BZ148" s="145"/>
      <c r="CA148" s="145"/>
      <c r="CB148" s="145"/>
      <c r="CC148" s="145"/>
      <c r="CD148" s="145"/>
      <c r="CE148" s="145"/>
      <c r="CF148" s="145"/>
      <c r="CG148" s="145"/>
      <c r="CH148" s="145"/>
      <c r="CI148" s="145"/>
      <c r="CJ148" s="145"/>
      <c r="CK148" s="145"/>
      <c r="CL148" s="145"/>
    </row>
    <row r="149" hidden="1" outlineLevel="1">
      <c r="A149" s="158" t="str">
        <f t="shared" si="9"/>
        <v>TC_06.131</v>
      </c>
      <c r="B149" s="267" t="s">
        <v>73</v>
      </c>
      <c r="C149" s="375" t="s">
        <v>2577</v>
      </c>
      <c r="D149" s="375" t="s">
        <v>2578</v>
      </c>
      <c r="E149" s="375" t="s">
        <v>2579</v>
      </c>
      <c r="F149" s="375" t="s">
        <v>2360</v>
      </c>
      <c r="G149" s="263"/>
      <c r="H149" s="263"/>
      <c r="I149" s="266"/>
      <c r="J149" s="266"/>
      <c r="K149" s="266"/>
      <c r="L149" s="266"/>
      <c r="M149" s="266"/>
      <c r="N149" s="266"/>
      <c r="O149" s="266"/>
      <c r="P149" s="266"/>
      <c r="Q149" s="266"/>
      <c r="R149" s="266"/>
      <c r="S149" s="263"/>
      <c r="T149" s="266"/>
      <c r="U149" s="266"/>
      <c r="V149" s="266"/>
      <c r="W149" s="266"/>
      <c r="X149" s="266"/>
      <c r="Y149" s="266"/>
      <c r="Z149" s="266"/>
      <c r="AA149" s="145"/>
      <c r="AB149" s="145"/>
      <c r="AC149" s="145"/>
      <c r="AD149" s="145"/>
      <c r="AE149" s="145"/>
      <c r="AF149" s="145"/>
      <c r="AG149" s="145"/>
      <c r="AH149" s="145"/>
      <c r="AI149" s="145"/>
      <c r="AJ149" s="145"/>
      <c r="AK149" s="145"/>
      <c r="AL149" s="145"/>
      <c r="AM149" s="145"/>
      <c r="AN149" s="145"/>
      <c r="AO149" s="145"/>
      <c r="AP149" s="145"/>
      <c r="AQ149" s="145"/>
      <c r="AR149" s="145"/>
      <c r="AS149" s="145"/>
      <c r="AT149" s="145"/>
      <c r="AU149" s="145"/>
      <c r="AV149" s="145"/>
      <c r="AW149" s="145"/>
      <c r="AX149" s="145"/>
      <c r="AY149" s="145"/>
      <c r="AZ149" s="145"/>
      <c r="BA149" s="145"/>
      <c r="BB149" s="145"/>
      <c r="BC149" s="145"/>
      <c r="BD149" s="145"/>
      <c r="BE149" s="145"/>
      <c r="BF149" s="145"/>
      <c r="BG149" s="145"/>
      <c r="BH149" s="145"/>
      <c r="BI149" s="145"/>
      <c r="BJ149" s="145"/>
      <c r="BK149" s="145"/>
      <c r="BL149" s="145"/>
      <c r="BM149" s="145"/>
      <c r="BN149" s="145"/>
      <c r="BO149" s="145"/>
      <c r="BP149" s="145"/>
      <c r="BQ149" s="145"/>
      <c r="BR149" s="145"/>
      <c r="BS149" s="145"/>
      <c r="BT149" s="145"/>
      <c r="BU149" s="145"/>
      <c r="BV149" s="145"/>
      <c r="BW149" s="145"/>
      <c r="BX149" s="145"/>
      <c r="BY149" s="145"/>
      <c r="BZ149" s="145"/>
      <c r="CA149" s="145"/>
      <c r="CB149" s="145"/>
      <c r="CC149" s="145"/>
      <c r="CD149" s="145"/>
      <c r="CE149" s="145"/>
      <c r="CF149" s="145"/>
      <c r="CG149" s="145"/>
      <c r="CH149" s="145"/>
      <c r="CI149" s="145"/>
      <c r="CJ149" s="145"/>
      <c r="CK149" s="145"/>
      <c r="CL149" s="145"/>
    </row>
    <row r="150" hidden="1" outlineLevel="1">
      <c r="A150" s="158" t="str">
        <f t="shared" si="9"/>
        <v>TC_06.132</v>
      </c>
      <c r="B150" s="267" t="s">
        <v>73</v>
      </c>
      <c r="C150" s="375" t="s">
        <v>2580</v>
      </c>
      <c r="D150" s="375" t="s">
        <v>2581</v>
      </c>
      <c r="E150" s="375" t="s">
        <v>2582</v>
      </c>
      <c r="F150" s="375" t="s">
        <v>2364</v>
      </c>
      <c r="G150" s="263"/>
      <c r="H150" s="263"/>
      <c r="I150" s="266"/>
      <c r="J150" s="266"/>
      <c r="K150" s="266"/>
      <c r="L150" s="266"/>
      <c r="M150" s="266"/>
      <c r="N150" s="266"/>
      <c r="O150" s="266"/>
      <c r="P150" s="266"/>
      <c r="Q150" s="266"/>
      <c r="R150" s="266"/>
      <c r="S150" s="263"/>
      <c r="T150" s="266"/>
      <c r="U150" s="266"/>
      <c r="V150" s="266"/>
      <c r="W150" s="266"/>
      <c r="X150" s="266"/>
      <c r="Y150" s="266"/>
      <c r="Z150" s="266"/>
      <c r="AA150" s="145"/>
      <c r="AB150" s="145"/>
      <c r="AC150" s="145"/>
      <c r="AD150" s="145"/>
      <c r="AE150" s="145"/>
      <c r="AF150" s="145"/>
      <c r="AG150" s="145"/>
      <c r="AH150" s="145"/>
      <c r="AI150" s="145"/>
      <c r="AJ150" s="145"/>
      <c r="AK150" s="145"/>
      <c r="AL150" s="145"/>
      <c r="AM150" s="145"/>
      <c r="AN150" s="145"/>
      <c r="AO150" s="145"/>
      <c r="AP150" s="145"/>
      <c r="AQ150" s="145"/>
      <c r="AR150" s="145"/>
      <c r="AS150" s="145"/>
      <c r="AT150" s="145"/>
      <c r="AU150" s="145"/>
      <c r="AV150" s="145"/>
      <c r="AW150" s="145"/>
      <c r="AX150" s="145"/>
      <c r="AY150" s="145"/>
      <c r="AZ150" s="145"/>
      <c r="BA150" s="145"/>
      <c r="BB150" s="145"/>
      <c r="BC150" s="145"/>
      <c r="BD150" s="145"/>
      <c r="BE150" s="145"/>
      <c r="BF150" s="145"/>
      <c r="BG150" s="145"/>
      <c r="BH150" s="145"/>
      <c r="BI150" s="145"/>
      <c r="BJ150" s="145"/>
      <c r="BK150" s="145"/>
      <c r="BL150" s="145"/>
      <c r="BM150" s="145"/>
      <c r="BN150" s="145"/>
      <c r="BO150" s="145"/>
      <c r="BP150" s="145"/>
      <c r="BQ150" s="145"/>
      <c r="BR150" s="145"/>
      <c r="BS150" s="145"/>
      <c r="BT150" s="145"/>
      <c r="BU150" s="145"/>
      <c r="BV150" s="145"/>
      <c r="BW150" s="145"/>
      <c r="BX150" s="145"/>
      <c r="BY150" s="145"/>
      <c r="BZ150" s="145"/>
      <c r="CA150" s="145"/>
      <c r="CB150" s="145"/>
      <c r="CC150" s="145"/>
      <c r="CD150" s="145"/>
      <c r="CE150" s="145"/>
      <c r="CF150" s="145"/>
      <c r="CG150" s="145"/>
      <c r="CH150" s="145"/>
      <c r="CI150" s="145"/>
      <c r="CJ150" s="145"/>
      <c r="CK150" s="145"/>
      <c r="CL150" s="145"/>
    </row>
    <row r="151" hidden="1" outlineLevel="1">
      <c r="A151" s="158" t="str">
        <f t="shared" si="9"/>
        <v>TC_06.133</v>
      </c>
      <c r="B151" s="267" t="s">
        <v>73</v>
      </c>
      <c r="C151" s="375" t="s">
        <v>2583</v>
      </c>
      <c r="D151" s="375" t="s">
        <v>2581</v>
      </c>
      <c r="E151" s="375" t="s">
        <v>2584</v>
      </c>
      <c r="F151" s="375" t="s">
        <v>2367</v>
      </c>
      <c r="G151" s="263"/>
      <c r="H151" s="263"/>
      <c r="I151" s="266"/>
      <c r="J151" s="266"/>
      <c r="K151" s="266"/>
      <c r="L151" s="266"/>
      <c r="M151" s="266"/>
      <c r="N151" s="266"/>
      <c r="O151" s="266"/>
      <c r="P151" s="266"/>
      <c r="Q151" s="266"/>
      <c r="R151" s="266"/>
      <c r="S151" s="263"/>
      <c r="T151" s="266"/>
      <c r="U151" s="266"/>
      <c r="V151" s="266"/>
      <c r="W151" s="266"/>
      <c r="X151" s="266"/>
      <c r="Y151" s="266"/>
      <c r="Z151" s="266"/>
      <c r="AA151" s="145"/>
      <c r="AB151" s="145"/>
      <c r="AC151" s="145"/>
      <c r="AD151" s="145"/>
      <c r="AE151" s="145"/>
      <c r="AF151" s="145"/>
      <c r="AG151" s="145"/>
      <c r="AH151" s="145"/>
      <c r="AI151" s="145"/>
      <c r="AJ151" s="145"/>
      <c r="AK151" s="145"/>
      <c r="AL151" s="145"/>
      <c r="AM151" s="145"/>
      <c r="AN151" s="145"/>
      <c r="AO151" s="145"/>
      <c r="AP151" s="145"/>
      <c r="AQ151" s="145"/>
      <c r="AR151" s="145"/>
      <c r="AS151" s="145"/>
      <c r="AT151" s="145"/>
      <c r="AU151" s="145"/>
      <c r="AV151" s="145"/>
      <c r="AW151" s="145"/>
      <c r="AX151" s="145"/>
      <c r="AY151" s="145"/>
      <c r="AZ151" s="145"/>
      <c r="BA151" s="145"/>
      <c r="BB151" s="145"/>
      <c r="BC151" s="145"/>
      <c r="BD151" s="145"/>
      <c r="BE151" s="145"/>
      <c r="BF151" s="145"/>
      <c r="BG151" s="145"/>
      <c r="BH151" s="145"/>
      <c r="BI151" s="145"/>
      <c r="BJ151" s="145"/>
      <c r="BK151" s="145"/>
      <c r="BL151" s="145"/>
      <c r="BM151" s="145"/>
      <c r="BN151" s="145"/>
      <c r="BO151" s="145"/>
      <c r="BP151" s="145"/>
      <c r="BQ151" s="145"/>
      <c r="BR151" s="145"/>
      <c r="BS151" s="145"/>
      <c r="BT151" s="145"/>
      <c r="BU151" s="145"/>
      <c r="BV151" s="145"/>
      <c r="BW151" s="145"/>
      <c r="BX151" s="145"/>
      <c r="BY151" s="145"/>
      <c r="BZ151" s="145"/>
      <c r="CA151" s="145"/>
      <c r="CB151" s="145"/>
      <c r="CC151" s="145"/>
      <c r="CD151" s="145"/>
      <c r="CE151" s="145"/>
      <c r="CF151" s="145"/>
      <c r="CG151" s="145"/>
      <c r="CH151" s="145"/>
      <c r="CI151" s="145"/>
      <c r="CJ151" s="145"/>
      <c r="CK151" s="145"/>
      <c r="CL151" s="145"/>
    </row>
    <row r="152" hidden="1" outlineLevel="1">
      <c r="A152" s="158" t="str">
        <f t="shared" si="9"/>
        <v>TC_06.134</v>
      </c>
      <c r="B152" s="267" t="s">
        <v>73</v>
      </c>
      <c r="C152" s="265" t="s">
        <v>2368</v>
      </c>
      <c r="D152" s="375" t="s">
        <v>2585</v>
      </c>
      <c r="E152" s="375" t="s">
        <v>2586</v>
      </c>
      <c r="F152" s="265" t="s">
        <v>2371</v>
      </c>
      <c r="G152" s="263"/>
      <c r="H152" s="263"/>
      <c r="I152" s="266"/>
      <c r="J152" s="266"/>
      <c r="K152" s="266"/>
      <c r="L152" s="266"/>
      <c r="M152" s="266"/>
      <c r="N152" s="266"/>
      <c r="O152" s="266"/>
      <c r="P152" s="266"/>
      <c r="Q152" s="266"/>
      <c r="R152" s="266"/>
      <c r="S152" s="263"/>
      <c r="T152" s="266"/>
      <c r="U152" s="266"/>
      <c r="V152" s="266"/>
      <c r="W152" s="266"/>
      <c r="X152" s="266"/>
      <c r="Y152" s="266"/>
      <c r="Z152" s="266"/>
      <c r="AA152" s="145"/>
      <c r="AB152" s="145"/>
      <c r="AC152" s="145"/>
      <c r="AD152" s="145"/>
      <c r="AE152" s="145"/>
      <c r="AF152" s="145"/>
      <c r="AG152" s="145"/>
      <c r="AH152" s="145"/>
      <c r="AI152" s="145"/>
      <c r="AJ152" s="145"/>
      <c r="AK152" s="145"/>
      <c r="AL152" s="145"/>
      <c r="AM152" s="145"/>
      <c r="AN152" s="145"/>
      <c r="AO152" s="145"/>
      <c r="AP152" s="145"/>
      <c r="AQ152" s="145"/>
      <c r="AR152" s="145"/>
      <c r="AS152" s="145"/>
      <c r="AT152" s="145"/>
      <c r="AU152" s="145"/>
      <c r="AV152" s="145"/>
      <c r="AW152" s="145"/>
      <c r="AX152" s="145"/>
      <c r="AY152" s="145"/>
      <c r="AZ152" s="145"/>
      <c r="BA152" s="145"/>
      <c r="BB152" s="145"/>
      <c r="BC152" s="145"/>
      <c r="BD152" s="145"/>
      <c r="BE152" s="145"/>
      <c r="BF152" s="145"/>
      <c r="BG152" s="145"/>
      <c r="BH152" s="145"/>
      <c r="BI152" s="145"/>
      <c r="BJ152" s="145"/>
      <c r="BK152" s="145"/>
      <c r="BL152" s="145"/>
      <c r="BM152" s="145"/>
      <c r="BN152" s="145"/>
      <c r="BO152" s="145"/>
      <c r="BP152" s="145"/>
      <c r="BQ152" s="145"/>
      <c r="BR152" s="145"/>
      <c r="BS152" s="145"/>
      <c r="BT152" s="145"/>
      <c r="BU152" s="145"/>
      <c r="BV152" s="145"/>
      <c r="BW152" s="145"/>
      <c r="BX152" s="145"/>
      <c r="BY152" s="145"/>
      <c r="BZ152" s="145"/>
      <c r="CA152" s="145"/>
      <c r="CB152" s="145"/>
      <c r="CC152" s="145"/>
      <c r="CD152" s="145"/>
      <c r="CE152" s="145"/>
      <c r="CF152" s="145"/>
      <c r="CG152" s="145"/>
      <c r="CH152" s="145"/>
      <c r="CI152" s="145"/>
      <c r="CJ152" s="145"/>
      <c r="CK152" s="145"/>
      <c r="CL152" s="145"/>
    </row>
    <row r="153" hidden="1" outlineLevel="1">
      <c r="A153" s="158" t="str">
        <f t="shared" si="9"/>
        <v>TC_06.135</v>
      </c>
      <c r="B153" s="565" t="s">
        <v>75</v>
      </c>
      <c r="C153" s="561" t="s">
        <v>2587</v>
      </c>
      <c r="D153" s="561" t="s">
        <v>2588</v>
      </c>
      <c r="E153" s="561" t="s">
        <v>2589</v>
      </c>
      <c r="F153" s="566" t="s">
        <v>2375</v>
      </c>
      <c r="G153" s="263"/>
      <c r="H153" s="263"/>
      <c r="I153" s="266"/>
      <c r="J153" s="266"/>
      <c r="K153" s="266"/>
      <c r="L153" s="266"/>
      <c r="M153" s="266"/>
      <c r="N153" s="266"/>
      <c r="O153" s="266"/>
      <c r="P153" s="266"/>
      <c r="Q153" s="266"/>
      <c r="R153" s="266"/>
      <c r="S153" s="263"/>
      <c r="T153" s="266"/>
      <c r="U153" s="266"/>
      <c r="V153" s="266"/>
      <c r="W153" s="266"/>
      <c r="X153" s="266"/>
      <c r="Y153" s="266"/>
      <c r="Z153" s="266"/>
      <c r="AA153" s="145"/>
      <c r="AB153" s="145"/>
      <c r="AC153" s="145"/>
      <c r="AD153" s="145"/>
      <c r="AE153" s="145"/>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c r="BC153" s="145"/>
      <c r="BD153" s="145"/>
      <c r="BE153" s="145"/>
      <c r="BF153" s="145"/>
      <c r="BG153" s="145"/>
      <c r="BH153" s="145"/>
      <c r="BI153" s="145"/>
      <c r="BJ153" s="145"/>
      <c r="BK153" s="145"/>
      <c r="BL153" s="145"/>
      <c r="BM153" s="145"/>
      <c r="BN153" s="145"/>
      <c r="BO153" s="145"/>
      <c r="BP153" s="145"/>
      <c r="BQ153" s="145"/>
      <c r="BR153" s="145"/>
      <c r="BS153" s="145"/>
      <c r="BT153" s="145"/>
      <c r="BU153" s="145"/>
      <c r="BV153" s="145"/>
      <c r="BW153" s="145"/>
      <c r="BX153" s="145"/>
      <c r="BY153" s="145"/>
      <c r="BZ153" s="145"/>
      <c r="CA153" s="145"/>
      <c r="CB153" s="145"/>
      <c r="CC153" s="145"/>
      <c r="CD153" s="145"/>
      <c r="CE153" s="145"/>
      <c r="CF153" s="145"/>
      <c r="CG153" s="145"/>
      <c r="CH153" s="145"/>
      <c r="CI153" s="145"/>
      <c r="CJ153" s="145"/>
      <c r="CK153" s="145"/>
      <c r="CL153" s="145"/>
    </row>
    <row r="154" hidden="1" outlineLevel="1">
      <c r="A154" s="158" t="str">
        <f t="shared" si="9"/>
        <v>TC_06.136</v>
      </c>
      <c r="B154" s="267" t="s">
        <v>73</v>
      </c>
      <c r="C154" s="273" t="s">
        <v>2376</v>
      </c>
      <c r="D154" s="375" t="s">
        <v>2590</v>
      </c>
      <c r="E154" s="375" t="s">
        <v>2591</v>
      </c>
      <c r="F154" s="265" t="s">
        <v>2379</v>
      </c>
      <c r="G154" s="263"/>
      <c r="H154" s="263"/>
      <c r="I154" s="266"/>
      <c r="J154" s="266"/>
      <c r="K154" s="266"/>
      <c r="L154" s="266"/>
      <c r="M154" s="266"/>
      <c r="N154" s="266"/>
      <c r="O154" s="266"/>
      <c r="P154" s="266"/>
      <c r="Q154" s="266"/>
      <c r="R154" s="266"/>
      <c r="S154" s="263"/>
      <c r="T154" s="266"/>
      <c r="U154" s="266"/>
      <c r="V154" s="266"/>
      <c r="W154" s="266"/>
      <c r="X154" s="266"/>
      <c r="Y154" s="266"/>
      <c r="Z154" s="266"/>
      <c r="AA154" s="145"/>
      <c r="AB154" s="145"/>
      <c r="AC154" s="145"/>
      <c r="AD154" s="145"/>
      <c r="AE154" s="145"/>
      <c r="AF154" s="145"/>
      <c r="AG154" s="145"/>
      <c r="AH154" s="145"/>
      <c r="AI154" s="145"/>
      <c r="AJ154" s="145"/>
      <c r="AK154" s="145"/>
      <c r="AL154" s="145"/>
      <c r="AM154" s="145"/>
      <c r="AN154" s="145"/>
      <c r="AO154" s="145"/>
      <c r="AP154" s="145"/>
      <c r="AQ154" s="145"/>
      <c r="AR154" s="145"/>
      <c r="AS154" s="145"/>
      <c r="AT154" s="145"/>
      <c r="AU154" s="145"/>
      <c r="AV154" s="145"/>
      <c r="AW154" s="145"/>
      <c r="AX154" s="145"/>
      <c r="AY154" s="145"/>
      <c r="AZ154" s="145"/>
      <c r="BA154" s="145"/>
      <c r="BB154" s="145"/>
      <c r="BC154" s="145"/>
      <c r="BD154" s="145"/>
      <c r="BE154" s="145"/>
      <c r="BF154" s="145"/>
      <c r="BG154" s="145"/>
      <c r="BH154" s="145"/>
      <c r="BI154" s="145"/>
      <c r="BJ154" s="145"/>
      <c r="BK154" s="145"/>
      <c r="BL154" s="145"/>
      <c r="BM154" s="145"/>
      <c r="BN154" s="145"/>
      <c r="BO154" s="145"/>
      <c r="BP154" s="145"/>
      <c r="BQ154" s="145"/>
      <c r="BR154" s="145"/>
      <c r="BS154" s="145"/>
      <c r="BT154" s="145"/>
      <c r="BU154" s="145"/>
      <c r="BV154" s="145"/>
      <c r="BW154" s="145"/>
      <c r="BX154" s="145"/>
      <c r="BY154" s="145"/>
      <c r="BZ154" s="145"/>
      <c r="CA154" s="145"/>
      <c r="CB154" s="145"/>
      <c r="CC154" s="145"/>
      <c r="CD154" s="145"/>
      <c r="CE154" s="145"/>
      <c r="CF154" s="145"/>
      <c r="CG154" s="145"/>
      <c r="CH154" s="145"/>
      <c r="CI154" s="145"/>
      <c r="CJ154" s="145"/>
      <c r="CK154" s="145"/>
      <c r="CL154" s="145"/>
    </row>
    <row r="155" hidden="1" outlineLevel="1">
      <c r="A155" s="158" t="str">
        <f t="shared" si="9"/>
        <v>TC_06.137</v>
      </c>
      <c r="B155" s="267" t="s">
        <v>73</v>
      </c>
      <c r="C155" s="265" t="s">
        <v>2380</v>
      </c>
      <c r="D155" s="375" t="s">
        <v>2592</v>
      </c>
      <c r="E155" s="375" t="s">
        <v>2593</v>
      </c>
      <c r="F155" s="375" t="s">
        <v>2383</v>
      </c>
      <c r="G155" s="263"/>
      <c r="H155" s="263"/>
      <c r="I155" s="266"/>
      <c r="J155" s="266"/>
      <c r="K155" s="266"/>
      <c r="L155" s="266"/>
      <c r="M155" s="266"/>
      <c r="N155" s="266"/>
      <c r="O155" s="266"/>
      <c r="P155" s="266"/>
      <c r="Q155" s="266"/>
      <c r="R155" s="266"/>
      <c r="S155" s="263"/>
      <c r="T155" s="266"/>
      <c r="U155" s="266"/>
      <c r="V155" s="266"/>
      <c r="W155" s="266"/>
      <c r="X155" s="266"/>
      <c r="Y155" s="266"/>
      <c r="Z155" s="266"/>
      <c r="AA155" s="145"/>
      <c r="AB155" s="145"/>
      <c r="AC155" s="145"/>
      <c r="AD155" s="145"/>
      <c r="AE155" s="145"/>
      <c r="AF155" s="145"/>
      <c r="AG155" s="145"/>
      <c r="AH155" s="145"/>
      <c r="AI155" s="145"/>
      <c r="AJ155" s="145"/>
      <c r="AK155" s="145"/>
      <c r="AL155" s="145"/>
      <c r="AM155" s="145"/>
      <c r="AN155" s="145"/>
      <c r="AO155" s="145"/>
      <c r="AP155" s="145"/>
      <c r="AQ155" s="145"/>
      <c r="AR155" s="145"/>
      <c r="AS155" s="145"/>
      <c r="AT155" s="145"/>
      <c r="AU155" s="145"/>
      <c r="AV155" s="145"/>
      <c r="AW155" s="145"/>
      <c r="AX155" s="145"/>
      <c r="AY155" s="145"/>
      <c r="AZ155" s="145"/>
      <c r="BA155" s="145"/>
      <c r="BB155" s="145"/>
      <c r="BC155" s="145"/>
      <c r="BD155" s="145"/>
      <c r="BE155" s="145"/>
      <c r="BF155" s="145"/>
      <c r="BG155" s="145"/>
      <c r="BH155" s="145"/>
      <c r="BI155" s="145"/>
      <c r="BJ155" s="145"/>
      <c r="BK155" s="145"/>
      <c r="BL155" s="145"/>
      <c r="BM155" s="145"/>
      <c r="BN155" s="145"/>
      <c r="BO155" s="145"/>
      <c r="BP155" s="145"/>
      <c r="BQ155" s="145"/>
      <c r="BR155" s="145"/>
      <c r="BS155" s="145"/>
      <c r="BT155" s="145"/>
      <c r="BU155" s="145"/>
      <c r="BV155" s="145"/>
      <c r="BW155" s="145"/>
      <c r="BX155" s="145"/>
      <c r="BY155" s="145"/>
      <c r="BZ155" s="145"/>
      <c r="CA155" s="145"/>
      <c r="CB155" s="145"/>
      <c r="CC155" s="145"/>
      <c r="CD155" s="145"/>
      <c r="CE155" s="145"/>
      <c r="CF155" s="145"/>
      <c r="CG155" s="145"/>
      <c r="CH155" s="145"/>
      <c r="CI155" s="145"/>
      <c r="CJ155" s="145"/>
      <c r="CK155" s="145"/>
      <c r="CL155" s="145"/>
    </row>
    <row r="156" hidden="1" outlineLevel="1">
      <c r="A156" s="158" t="str">
        <f t="shared" si="9"/>
        <v>TC_06.138</v>
      </c>
      <c r="B156" s="267" t="s">
        <v>73</v>
      </c>
      <c r="C156" s="375" t="s">
        <v>2594</v>
      </c>
      <c r="D156" s="375" t="s">
        <v>2595</v>
      </c>
      <c r="E156" s="375" t="s">
        <v>2596</v>
      </c>
      <c r="F156" s="375" t="s">
        <v>2597</v>
      </c>
      <c r="G156" s="263"/>
      <c r="H156" s="263"/>
      <c r="I156" s="266"/>
      <c r="J156" s="266"/>
      <c r="K156" s="266"/>
      <c r="L156" s="266"/>
      <c r="M156" s="266"/>
      <c r="N156" s="266"/>
      <c r="O156" s="266"/>
      <c r="P156" s="266"/>
      <c r="Q156" s="266"/>
      <c r="R156" s="266"/>
      <c r="S156" s="263"/>
      <c r="T156" s="266"/>
      <c r="U156" s="266"/>
      <c r="V156" s="266"/>
      <c r="W156" s="266"/>
      <c r="X156" s="266"/>
      <c r="Y156" s="266"/>
      <c r="Z156" s="266"/>
      <c r="AA156" s="145"/>
      <c r="AB156" s="145"/>
      <c r="AC156" s="145"/>
      <c r="AD156" s="145"/>
      <c r="AE156" s="145"/>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c r="BC156" s="145"/>
      <c r="BD156" s="145"/>
      <c r="BE156" s="145"/>
      <c r="BF156" s="145"/>
      <c r="BG156" s="145"/>
      <c r="BH156" s="145"/>
      <c r="BI156" s="145"/>
      <c r="BJ156" s="145"/>
      <c r="BK156" s="145"/>
      <c r="BL156" s="145"/>
      <c r="BM156" s="145"/>
      <c r="BN156" s="145"/>
      <c r="BO156" s="145"/>
      <c r="BP156" s="145"/>
      <c r="BQ156" s="145"/>
      <c r="BR156" s="145"/>
      <c r="BS156" s="145"/>
      <c r="BT156" s="145"/>
      <c r="BU156" s="145"/>
      <c r="BV156" s="145"/>
      <c r="BW156" s="145"/>
      <c r="BX156" s="145"/>
      <c r="BY156" s="145"/>
      <c r="BZ156" s="145"/>
      <c r="CA156" s="145"/>
      <c r="CB156" s="145"/>
      <c r="CC156" s="145"/>
      <c r="CD156" s="145"/>
      <c r="CE156" s="145"/>
      <c r="CF156" s="145"/>
      <c r="CG156" s="145"/>
      <c r="CH156" s="145"/>
      <c r="CI156" s="145"/>
      <c r="CJ156" s="145"/>
      <c r="CK156" s="145"/>
      <c r="CL156" s="145"/>
    </row>
    <row r="157" hidden="1" outlineLevel="1">
      <c r="A157" s="158" t="str">
        <f t="shared" si="9"/>
        <v>TC_06.139</v>
      </c>
      <c r="B157" s="267" t="s">
        <v>73</v>
      </c>
      <c r="C157" s="375" t="s">
        <v>2598</v>
      </c>
      <c r="D157" s="375" t="s">
        <v>2595</v>
      </c>
      <c r="E157" s="375" t="s">
        <v>2599</v>
      </c>
      <c r="F157" s="265" t="s">
        <v>2305</v>
      </c>
      <c r="G157" s="263"/>
      <c r="H157" s="263"/>
      <c r="I157" s="266"/>
      <c r="J157" s="266"/>
      <c r="K157" s="266"/>
      <c r="L157" s="266"/>
      <c r="M157" s="266"/>
      <c r="N157" s="266"/>
      <c r="O157" s="266"/>
      <c r="P157" s="266"/>
      <c r="Q157" s="266"/>
      <c r="R157" s="266"/>
      <c r="S157" s="263"/>
      <c r="T157" s="266"/>
      <c r="U157" s="266"/>
      <c r="V157" s="266"/>
      <c r="W157" s="266"/>
      <c r="X157" s="266"/>
      <c r="Y157" s="266"/>
      <c r="Z157" s="266"/>
      <c r="AA157" s="145"/>
      <c r="AB157" s="145"/>
      <c r="AC157" s="145"/>
      <c r="AD157" s="145"/>
      <c r="AE157" s="145"/>
      <c r="AF157" s="145"/>
      <c r="AG157" s="145"/>
      <c r="AH157" s="145"/>
      <c r="AI157" s="145"/>
      <c r="AJ157" s="145"/>
      <c r="AK157" s="145"/>
      <c r="AL157" s="145"/>
      <c r="AM157" s="145"/>
      <c r="AN157" s="145"/>
      <c r="AO157" s="145"/>
      <c r="AP157" s="145"/>
      <c r="AQ157" s="145"/>
      <c r="AR157" s="145"/>
      <c r="AS157" s="145"/>
      <c r="AT157" s="145"/>
      <c r="AU157" s="145"/>
      <c r="AV157" s="145"/>
      <c r="AW157" s="145"/>
      <c r="AX157" s="145"/>
      <c r="AY157" s="145"/>
      <c r="AZ157" s="145"/>
      <c r="BA157" s="145"/>
      <c r="BB157" s="145"/>
      <c r="BC157" s="145"/>
      <c r="BD157" s="145"/>
      <c r="BE157" s="145"/>
      <c r="BF157" s="145"/>
      <c r="BG157" s="145"/>
      <c r="BH157" s="145"/>
      <c r="BI157" s="145"/>
      <c r="BJ157" s="145"/>
      <c r="BK157" s="145"/>
      <c r="BL157" s="145"/>
      <c r="BM157" s="145"/>
      <c r="BN157" s="145"/>
      <c r="BO157" s="145"/>
      <c r="BP157" s="145"/>
      <c r="BQ157" s="145"/>
      <c r="BR157" s="145"/>
      <c r="BS157" s="145"/>
      <c r="BT157" s="145"/>
      <c r="BU157" s="145"/>
      <c r="BV157" s="145"/>
      <c r="BW157" s="145"/>
      <c r="BX157" s="145"/>
      <c r="BY157" s="145"/>
      <c r="BZ157" s="145"/>
      <c r="CA157" s="145"/>
      <c r="CB157" s="145"/>
      <c r="CC157" s="145"/>
      <c r="CD157" s="145"/>
      <c r="CE157" s="145"/>
      <c r="CF157" s="145"/>
      <c r="CG157" s="145"/>
      <c r="CH157" s="145"/>
      <c r="CI157" s="145"/>
      <c r="CJ157" s="145"/>
      <c r="CK157" s="145"/>
      <c r="CL157" s="145"/>
    </row>
    <row r="158" hidden="1" outlineLevel="1">
      <c r="A158" s="158" t="str">
        <f t="shared" si="9"/>
        <v>TC_06.140</v>
      </c>
      <c r="B158" s="267" t="s">
        <v>73</v>
      </c>
      <c r="C158" s="375" t="s">
        <v>2600</v>
      </c>
      <c r="D158" s="375" t="s">
        <v>2595</v>
      </c>
      <c r="E158" s="375" t="s">
        <v>2601</v>
      </c>
      <c r="F158" s="265" t="s">
        <v>2308</v>
      </c>
      <c r="G158" s="263"/>
      <c r="H158" s="263"/>
      <c r="I158" s="266"/>
      <c r="J158" s="266"/>
      <c r="K158" s="266"/>
      <c r="L158" s="266"/>
      <c r="M158" s="266"/>
      <c r="N158" s="266"/>
      <c r="O158" s="266"/>
      <c r="P158" s="266"/>
      <c r="Q158" s="266"/>
      <c r="R158" s="266"/>
      <c r="S158" s="263"/>
      <c r="T158" s="266"/>
      <c r="U158" s="266"/>
      <c r="V158" s="266"/>
      <c r="W158" s="266"/>
      <c r="X158" s="266"/>
      <c r="Y158" s="266"/>
      <c r="Z158" s="266"/>
      <c r="AA158" s="145"/>
      <c r="AB158" s="145"/>
      <c r="AC158" s="145"/>
      <c r="AD158" s="145"/>
      <c r="AE158" s="145"/>
      <c r="AF158" s="145"/>
      <c r="AG158" s="145"/>
      <c r="AH158" s="145"/>
      <c r="AI158" s="145"/>
      <c r="AJ158" s="145"/>
      <c r="AK158" s="145"/>
      <c r="AL158" s="145"/>
      <c r="AM158" s="145"/>
      <c r="AN158" s="145"/>
      <c r="AO158" s="145"/>
      <c r="AP158" s="145"/>
      <c r="AQ158" s="145"/>
      <c r="AR158" s="145"/>
      <c r="AS158" s="145"/>
      <c r="AT158" s="145"/>
      <c r="AU158" s="145"/>
      <c r="AV158" s="145"/>
      <c r="AW158" s="145"/>
      <c r="AX158" s="145"/>
      <c r="AY158" s="145"/>
      <c r="AZ158" s="145"/>
      <c r="BA158" s="145"/>
      <c r="BB158" s="145"/>
      <c r="BC158" s="145"/>
      <c r="BD158" s="145"/>
      <c r="BE158" s="145"/>
      <c r="BF158" s="145"/>
      <c r="BG158" s="145"/>
      <c r="BH158" s="145"/>
      <c r="BI158" s="145"/>
      <c r="BJ158" s="145"/>
      <c r="BK158" s="145"/>
      <c r="BL158" s="145"/>
      <c r="BM158" s="145"/>
      <c r="BN158" s="145"/>
      <c r="BO158" s="145"/>
      <c r="BP158" s="145"/>
      <c r="BQ158" s="145"/>
      <c r="BR158" s="145"/>
      <c r="BS158" s="145"/>
      <c r="BT158" s="145"/>
      <c r="BU158" s="145"/>
      <c r="BV158" s="145"/>
      <c r="BW158" s="145"/>
      <c r="BX158" s="145"/>
      <c r="BY158" s="145"/>
      <c r="BZ158" s="145"/>
      <c r="CA158" s="145"/>
      <c r="CB158" s="145"/>
      <c r="CC158" s="145"/>
      <c r="CD158" s="145"/>
      <c r="CE158" s="145"/>
      <c r="CF158" s="145"/>
      <c r="CG158" s="145"/>
      <c r="CH158" s="145"/>
      <c r="CI158" s="145"/>
      <c r="CJ158" s="145"/>
      <c r="CK158" s="145"/>
      <c r="CL158" s="145"/>
    </row>
    <row r="159" hidden="1" outlineLevel="1">
      <c r="A159" s="158" t="str">
        <f t="shared" si="9"/>
        <v>TC_06.141</v>
      </c>
      <c r="B159" s="267" t="s">
        <v>73</v>
      </c>
      <c r="C159" s="375" t="s">
        <v>2602</v>
      </c>
      <c r="D159" s="375" t="s">
        <v>2595</v>
      </c>
      <c r="E159" s="375" t="s">
        <v>2603</v>
      </c>
      <c r="F159" s="265" t="s">
        <v>2311</v>
      </c>
      <c r="G159" s="263"/>
      <c r="H159" s="263"/>
      <c r="I159" s="266"/>
      <c r="J159" s="266"/>
      <c r="K159" s="266"/>
      <c r="L159" s="266"/>
      <c r="M159" s="266"/>
      <c r="N159" s="266"/>
      <c r="O159" s="266"/>
      <c r="P159" s="266"/>
      <c r="Q159" s="266"/>
      <c r="R159" s="266"/>
      <c r="S159" s="263"/>
      <c r="T159" s="266"/>
      <c r="U159" s="266"/>
      <c r="V159" s="266"/>
      <c r="W159" s="266"/>
      <c r="X159" s="266"/>
      <c r="Y159" s="266"/>
      <c r="Z159" s="266"/>
      <c r="AA159" s="145"/>
      <c r="AB159" s="145"/>
      <c r="AC159" s="145"/>
      <c r="AD159" s="145"/>
      <c r="AE159" s="145"/>
      <c r="AF159" s="145"/>
      <c r="AG159" s="145"/>
      <c r="AH159" s="145"/>
      <c r="AI159" s="145"/>
      <c r="AJ159" s="145"/>
      <c r="AK159" s="145"/>
      <c r="AL159" s="145"/>
      <c r="AM159" s="145"/>
      <c r="AN159" s="145"/>
      <c r="AO159" s="145"/>
      <c r="AP159" s="145"/>
      <c r="AQ159" s="145"/>
      <c r="AR159" s="145"/>
      <c r="AS159" s="145"/>
      <c r="AT159" s="145"/>
      <c r="AU159" s="145"/>
      <c r="AV159" s="145"/>
      <c r="AW159" s="145"/>
      <c r="AX159" s="145"/>
      <c r="AY159" s="145"/>
      <c r="AZ159" s="145"/>
      <c r="BA159" s="145"/>
      <c r="BB159" s="145"/>
      <c r="BC159" s="145"/>
      <c r="BD159" s="145"/>
      <c r="BE159" s="145"/>
      <c r="BF159" s="145"/>
      <c r="BG159" s="145"/>
      <c r="BH159" s="145"/>
      <c r="BI159" s="145"/>
      <c r="BJ159" s="145"/>
      <c r="BK159" s="145"/>
      <c r="BL159" s="145"/>
      <c r="BM159" s="145"/>
      <c r="BN159" s="145"/>
      <c r="BO159" s="145"/>
      <c r="BP159" s="145"/>
      <c r="BQ159" s="145"/>
      <c r="BR159" s="145"/>
      <c r="BS159" s="145"/>
      <c r="BT159" s="145"/>
      <c r="BU159" s="145"/>
      <c r="BV159" s="145"/>
      <c r="BW159" s="145"/>
      <c r="BX159" s="145"/>
      <c r="BY159" s="145"/>
      <c r="BZ159" s="145"/>
      <c r="CA159" s="145"/>
      <c r="CB159" s="145"/>
      <c r="CC159" s="145"/>
      <c r="CD159" s="145"/>
      <c r="CE159" s="145"/>
      <c r="CF159" s="145"/>
      <c r="CG159" s="145"/>
      <c r="CH159" s="145"/>
      <c r="CI159" s="145"/>
      <c r="CJ159" s="145"/>
      <c r="CK159" s="145"/>
      <c r="CL159" s="145"/>
    </row>
    <row r="160" hidden="1" outlineLevel="1">
      <c r="A160" s="158" t="str">
        <f t="shared" si="9"/>
        <v>TC_06.142</v>
      </c>
      <c r="B160" s="267" t="s">
        <v>73</v>
      </c>
      <c r="C160" s="375" t="s">
        <v>2604</v>
      </c>
      <c r="D160" s="375" t="s">
        <v>2595</v>
      </c>
      <c r="E160" s="375" t="s">
        <v>2605</v>
      </c>
      <c r="F160" s="375" t="s">
        <v>2606</v>
      </c>
      <c r="G160" s="263"/>
      <c r="H160" s="263"/>
      <c r="I160" s="266"/>
      <c r="J160" s="266"/>
      <c r="K160" s="266"/>
      <c r="L160" s="266"/>
      <c r="M160" s="266"/>
      <c r="N160" s="266"/>
      <c r="O160" s="266"/>
      <c r="P160" s="266"/>
      <c r="Q160" s="266"/>
      <c r="R160" s="266"/>
      <c r="S160" s="263"/>
      <c r="T160" s="266"/>
      <c r="U160" s="266"/>
      <c r="V160" s="266"/>
      <c r="W160" s="266"/>
      <c r="X160" s="266"/>
      <c r="Y160" s="266"/>
      <c r="Z160" s="266"/>
      <c r="AA160" s="145"/>
      <c r="AB160" s="145"/>
      <c r="AC160" s="145"/>
      <c r="AD160" s="145"/>
      <c r="AE160" s="145"/>
      <c r="AF160" s="145"/>
      <c r="AG160" s="145"/>
      <c r="AH160" s="145"/>
      <c r="AI160" s="145"/>
      <c r="AJ160" s="145"/>
      <c r="AK160" s="145"/>
      <c r="AL160" s="145"/>
      <c r="AM160" s="145"/>
      <c r="AN160" s="145"/>
      <c r="AO160" s="145"/>
      <c r="AP160" s="145"/>
      <c r="AQ160" s="145"/>
      <c r="AR160" s="145"/>
      <c r="AS160" s="145"/>
      <c r="AT160" s="145"/>
      <c r="AU160" s="145"/>
      <c r="AV160" s="145"/>
      <c r="AW160" s="145"/>
      <c r="AX160" s="145"/>
      <c r="AY160" s="145"/>
      <c r="AZ160" s="145"/>
      <c r="BA160" s="145"/>
      <c r="BB160" s="145"/>
      <c r="BC160" s="145"/>
      <c r="BD160" s="145"/>
      <c r="BE160" s="145"/>
      <c r="BF160" s="145"/>
      <c r="BG160" s="145"/>
      <c r="BH160" s="145"/>
      <c r="BI160" s="145"/>
      <c r="BJ160" s="145"/>
      <c r="BK160" s="145"/>
      <c r="BL160" s="145"/>
      <c r="BM160" s="145"/>
      <c r="BN160" s="145"/>
      <c r="BO160" s="145"/>
      <c r="BP160" s="145"/>
      <c r="BQ160" s="145"/>
      <c r="BR160" s="145"/>
      <c r="BS160" s="145"/>
      <c r="BT160" s="145"/>
      <c r="BU160" s="145"/>
      <c r="BV160" s="145"/>
      <c r="BW160" s="145"/>
      <c r="BX160" s="145"/>
      <c r="BY160" s="145"/>
      <c r="BZ160" s="145"/>
      <c r="CA160" s="145"/>
      <c r="CB160" s="145"/>
      <c r="CC160" s="145"/>
      <c r="CD160" s="145"/>
      <c r="CE160" s="145"/>
      <c r="CF160" s="145"/>
      <c r="CG160" s="145"/>
      <c r="CH160" s="145"/>
      <c r="CI160" s="145"/>
      <c r="CJ160" s="145"/>
      <c r="CK160" s="145"/>
      <c r="CL160" s="145"/>
    </row>
    <row r="161" hidden="1" outlineLevel="1">
      <c r="A161" s="158" t="str">
        <f t="shared" si="9"/>
        <v>TC_06.143</v>
      </c>
      <c r="B161" s="267" t="s">
        <v>73</v>
      </c>
      <c r="C161" s="375" t="s">
        <v>2607</v>
      </c>
      <c r="D161" s="375" t="s">
        <v>2595</v>
      </c>
      <c r="E161" s="375" t="s">
        <v>2608</v>
      </c>
      <c r="F161" s="375" t="s">
        <v>2609</v>
      </c>
      <c r="G161" s="263"/>
      <c r="H161" s="263"/>
      <c r="I161" s="266"/>
      <c r="J161" s="266"/>
      <c r="K161" s="266"/>
      <c r="L161" s="266"/>
      <c r="M161" s="266"/>
      <c r="N161" s="266"/>
      <c r="O161" s="266"/>
      <c r="P161" s="266"/>
      <c r="Q161" s="266"/>
      <c r="R161" s="266"/>
      <c r="S161" s="263"/>
      <c r="T161" s="266"/>
      <c r="U161" s="266"/>
      <c r="V161" s="266"/>
      <c r="W161" s="266"/>
      <c r="X161" s="266"/>
      <c r="Y161" s="266"/>
      <c r="Z161" s="266"/>
      <c r="AA161" s="145"/>
      <c r="AB161" s="145"/>
      <c r="AC161" s="145"/>
      <c r="AD161" s="145"/>
      <c r="AE161" s="145"/>
      <c r="AF161" s="145"/>
      <c r="AG161" s="145"/>
      <c r="AH161" s="145"/>
      <c r="AI161" s="145"/>
      <c r="AJ161" s="145"/>
      <c r="AK161" s="145"/>
      <c r="AL161" s="145"/>
      <c r="AM161" s="145"/>
      <c r="AN161" s="145"/>
      <c r="AO161" s="145"/>
      <c r="AP161" s="145"/>
      <c r="AQ161" s="145"/>
      <c r="AR161" s="145"/>
      <c r="AS161" s="145"/>
      <c r="AT161" s="145"/>
      <c r="AU161" s="145"/>
      <c r="AV161" s="145"/>
      <c r="AW161" s="145"/>
      <c r="AX161" s="145"/>
      <c r="AY161" s="145"/>
      <c r="AZ161" s="145"/>
      <c r="BA161" s="145"/>
      <c r="BB161" s="145"/>
      <c r="BC161" s="145"/>
      <c r="BD161" s="145"/>
      <c r="BE161" s="145"/>
      <c r="BF161" s="145"/>
      <c r="BG161" s="145"/>
      <c r="BH161" s="145"/>
      <c r="BI161" s="145"/>
      <c r="BJ161" s="145"/>
      <c r="BK161" s="145"/>
      <c r="BL161" s="145"/>
      <c r="BM161" s="145"/>
      <c r="BN161" s="145"/>
      <c r="BO161" s="145"/>
      <c r="BP161" s="145"/>
      <c r="BQ161" s="145"/>
      <c r="BR161" s="145"/>
      <c r="BS161" s="145"/>
      <c r="BT161" s="145"/>
      <c r="BU161" s="145"/>
      <c r="BV161" s="145"/>
      <c r="BW161" s="145"/>
      <c r="BX161" s="145"/>
      <c r="BY161" s="145"/>
      <c r="BZ161" s="145"/>
      <c r="CA161" s="145"/>
      <c r="CB161" s="145"/>
      <c r="CC161" s="145"/>
      <c r="CD161" s="145"/>
      <c r="CE161" s="145"/>
      <c r="CF161" s="145"/>
      <c r="CG161" s="145"/>
      <c r="CH161" s="145"/>
      <c r="CI161" s="145"/>
      <c r="CJ161" s="145"/>
      <c r="CK161" s="145"/>
      <c r="CL161" s="145"/>
    </row>
    <row r="162" hidden="1" outlineLevel="1">
      <c r="A162" s="158" t="str">
        <f t="shared" si="9"/>
        <v>TC_06.144</v>
      </c>
      <c r="B162" s="267" t="s">
        <v>73</v>
      </c>
      <c r="C162" s="375" t="s">
        <v>2610</v>
      </c>
      <c r="D162" s="375" t="s">
        <v>2595</v>
      </c>
      <c r="E162" s="375" t="s">
        <v>2611</v>
      </c>
      <c r="F162" s="375" t="s">
        <v>2612</v>
      </c>
      <c r="G162" s="263"/>
      <c r="H162" s="263"/>
      <c r="I162" s="266"/>
      <c r="J162" s="266"/>
      <c r="K162" s="266"/>
      <c r="L162" s="266"/>
      <c r="M162" s="266"/>
      <c r="N162" s="266"/>
      <c r="O162" s="266"/>
      <c r="P162" s="266"/>
      <c r="Q162" s="266"/>
      <c r="R162" s="266"/>
      <c r="S162" s="263"/>
      <c r="T162" s="266"/>
      <c r="U162" s="266"/>
      <c r="V162" s="266"/>
      <c r="W162" s="266"/>
      <c r="X162" s="266"/>
      <c r="Y162" s="266"/>
      <c r="Z162" s="266"/>
      <c r="AA162" s="145"/>
      <c r="AB162" s="145"/>
      <c r="AC162" s="145"/>
      <c r="AD162" s="145"/>
      <c r="AE162" s="145"/>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c r="BC162" s="145"/>
      <c r="BD162" s="145"/>
      <c r="BE162" s="145"/>
      <c r="BF162" s="145"/>
      <c r="BG162" s="145"/>
      <c r="BH162" s="145"/>
      <c r="BI162" s="145"/>
      <c r="BJ162" s="145"/>
      <c r="BK162" s="145"/>
      <c r="BL162" s="145"/>
      <c r="BM162" s="145"/>
      <c r="BN162" s="145"/>
      <c r="BO162" s="145"/>
      <c r="BP162" s="145"/>
      <c r="BQ162" s="145"/>
      <c r="BR162" s="145"/>
      <c r="BS162" s="145"/>
      <c r="BT162" s="145"/>
      <c r="BU162" s="145"/>
      <c r="BV162" s="145"/>
      <c r="BW162" s="145"/>
      <c r="BX162" s="145"/>
      <c r="BY162" s="145"/>
      <c r="BZ162" s="145"/>
      <c r="CA162" s="145"/>
      <c r="CB162" s="145"/>
      <c r="CC162" s="145"/>
      <c r="CD162" s="145"/>
      <c r="CE162" s="145"/>
      <c r="CF162" s="145"/>
      <c r="CG162" s="145"/>
      <c r="CH162" s="145"/>
      <c r="CI162" s="145"/>
      <c r="CJ162" s="145"/>
      <c r="CK162" s="145"/>
      <c r="CL162" s="145"/>
    </row>
    <row r="163" hidden="1" outlineLevel="1">
      <c r="A163" s="158" t="str">
        <f t="shared" si="9"/>
        <v>TC_06.145</v>
      </c>
      <c r="B163" s="267" t="s">
        <v>73</v>
      </c>
      <c r="C163" s="375" t="s">
        <v>2613</v>
      </c>
      <c r="D163" s="375" t="s">
        <v>2595</v>
      </c>
      <c r="E163" s="375" t="s">
        <v>2614</v>
      </c>
      <c r="F163" s="567" t="s">
        <v>2323</v>
      </c>
      <c r="G163" s="263"/>
      <c r="H163" s="263"/>
      <c r="I163" s="266"/>
      <c r="J163" s="266"/>
      <c r="K163" s="266"/>
      <c r="L163" s="266"/>
      <c r="M163" s="266"/>
      <c r="N163" s="266"/>
      <c r="O163" s="266"/>
      <c r="P163" s="266"/>
      <c r="Q163" s="266"/>
      <c r="R163" s="266"/>
      <c r="S163" s="263"/>
      <c r="T163" s="266"/>
      <c r="U163" s="266"/>
      <c r="V163" s="266"/>
      <c r="W163" s="266"/>
      <c r="X163" s="266"/>
      <c r="Y163" s="266"/>
      <c r="Z163" s="266"/>
      <c r="AA163" s="145"/>
      <c r="AB163" s="145"/>
      <c r="AC163" s="145"/>
      <c r="AD163" s="145"/>
      <c r="AE163" s="145"/>
      <c r="AF163" s="145"/>
      <c r="AG163" s="145"/>
      <c r="AH163" s="145"/>
      <c r="AI163" s="145"/>
      <c r="AJ163" s="145"/>
      <c r="AK163" s="145"/>
      <c r="AL163" s="145"/>
      <c r="AM163" s="145"/>
      <c r="AN163" s="145"/>
      <c r="AO163" s="145"/>
      <c r="AP163" s="145"/>
      <c r="AQ163" s="145"/>
      <c r="AR163" s="145"/>
      <c r="AS163" s="145"/>
      <c r="AT163" s="145"/>
      <c r="AU163" s="145"/>
      <c r="AV163" s="145"/>
      <c r="AW163" s="145"/>
      <c r="AX163" s="145"/>
      <c r="AY163" s="145"/>
      <c r="AZ163" s="145"/>
      <c r="BA163" s="145"/>
      <c r="BB163" s="145"/>
      <c r="BC163" s="145"/>
      <c r="BD163" s="145"/>
      <c r="BE163" s="145"/>
      <c r="BF163" s="145"/>
      <c r="BG163" s="145"/>
      <c r="BH163" s="145"/>
      <c r="BI163" s="145"/>
      <c r="BJ163" s="145"/>
      <c r="BK163" s="145"/>
      <c r="BL163" s="145"/>
      <c r="BM163" s="145"/>
      <c r="BN163" s="145"/>
      <c r="BO163" s="145"/>
      <c r="BP163" s="145"/>
      <c r="BQ163" s="145"/>
      <c r="BR163" s="145"/>
      <c r="BS163" s="145"/>
      <c r="BT163" s="145"/>
      <c r="BU163" s="145"/>
      <c r="BV163" s="145"/>
      <c r="BW163" s="145"/>
      <c r="BX163" s="145"/>
      <c r="BY163" s="145"/>
      <c r="BZ163" s="145"/>
      <c r="CA163" s="145"/>
      <c r="CB163" s="145"/>
      <c r="CC163" s="145"/>
      <c r="CD163" s="145"/>
      <c r="CE163" s="145"/>
      <c r="CF163" s="145"/>
      <c r="CG163" s="145"/>
      <c r="CH163" s="145"/>
      <c r="CI163" s="145"/>
      <c r="CJ163" s="145"/>
      <c r="CK163" s="145"/>
      <c r="CL163" s="145"/>
    </row>
    <row r="164" hidden="1" outlineLevel="1">
      <c r="A164" s="158" t="str">
        <f t="shared" si="9"/>
        <v>TC_06.146</v>
      </c>
      <c r="B164" s="267" t="s">
        <v>73</v>
      </c>
      <c r="C164" s="375" t="s">
        <v>2615</v>
      </c>
      <c r="D164" s="375" t="s">
        <v>2616</v>
      </c>
      <c r="E164" s="375" t="s">
        <v>2617</v>
      </c>
      <c r="F164" s="265" t="s">
        <v>2327</v>
      </c>
      <c r="G164" s="263"/>
      <c r="H164" s="263"/>
      <c r="I164" s="266"/>
      <c r="J164" s="266"/>
      <c r="K164" s="266"/>
      <c r="L164" s="266"/>
      <c r="M164" s="266"/>
      <c r="N164" s="266"/>
      <c r="O164" s="266"/>
      <c r="P164" s="266"/>
      <c r="Q164" s="266"/>
      <c r="R164" s="266"/>
      <c r="S164" s="263"/>
      <c r="T164" s="266"/>
      <c r="U164" s="266"/>
      <c r="V164" s="266"/>
      <c r="W164" s="266"/>
      <c r="X164" s="266"/>
      <c r="Y164" s="266"/>
      <c r="Z164" s="266"/>
      <c r="AA164" s="145"/>
      <c r="AB164" s="145"/>
      <c r="AC164" s="145"/>
      <c r="AD164" s="145"/>
      <c r="AE164" s="145"/>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c r="BC164" s="145"/>
      <c r="BD164" s="145"/>
      <c r="BE164" s="145"/>
      <c r="BF164" s="145"/>
      <c r="BG164" s="145"/>
      <c r="BH164" s="145"/>
      <c r="BI164" s="145"/>
      <c r="BJ164" s="145"/>
      <c r="BK164" s="145"/>
      <c r="BL164" s="145"/>
      <c r="BM164" s="145"/>
      <c r="BN164" s="145"/>
      <c r="BO164" s="145"/>
      <c r="BP164" s="145"/>
      <c r="BQ164" s="145"/>
      <c r="BR164" s="145"/>
      <c r="BS164" s="145"/>
      <c r="BT164" s="145"/>
      <c r="BU164" s="145"/>
      <c r="BV164" s="145"/>
      <c r="BW164" s="145"/>
      <c r="BX164" s="145"/>
      <c r="BY164" s="145"/>
      <c r="BZ164" s="145"/>
      <c r="CA164" s="145"/>
      <c r="CB164" s="145"/>
      <c r="CC164" s="145"/>
      <c r="CD164" s="145"/>
      <c r="CE164" s="145"/>
      <c r="CF164" s="145"/>
      <c r="CG164" s="145"/>
      <c r="CH164" s="145"/>
      <c r="CI164" s="145"/>
      <c r="CJ164" s="145"/>
      <c r="CK164" s="145"/>
      <c r="CL164" s="145"/>
    </row>
    <row r="165" hidden="1" outlineLevel="1">
      <c r="A165" s="158" t="str">
        <f t="shared" si="9"/>
        <v>TC_06.147</v>
      </c>
      <c r="B165" s="267" t="s">
        <v>75</v>
      </c>
      <c r="C165" s="375" t="s">
        <v>2618</v>
      </c>
      <c r="D165" s="375" t="s">
        <v>2619</v>
      </c>
      <c r="E165" s="375" t="s">
        <v>2620</v>
      </c>
      <c r="F165" s="375" t="s">
        <v>2621</v>
      </c>
      <c r="G165" s="263"/>
      <c r="H165" s="263"/>
      <c r="I165" s="266"/>
      <c r="J165" s="266"/>
      <c r="K165" s="266"/>
      <c r="L165" s="266"/>
      <c r="M165" s="266"/>
      <c r="N165" s="266"/>
      <c r="O165" s="266"/>
      <c r="P165" s="266"/>
      <c r="Q165" s="266"/>
      <c r="R165" s="266"/>
      <c r="S165" s="263"/>
      <c r="T165" s="266"/>
      <c r="U165" s="266"/>
      <c r="V165" s="266"/>
      <c r="W165" s="266"/>
      <c r="X165" s="266"/>
      <c r="Y165" s="266"/>
      <c r="Z165" s="266"/>
      <c r="AA165" s="145"/>
      <c r="AB165" s="145"/>
      <c r="AC165" s="145"/>
      <c r="AD165" s="145"/>
      <c r="AE165" s="145"/>
      <c r="AF165" s="145"/>
      <c r="AG165" s="145"/>
      <c r="AH165" s="145"/>
      <c r="AI165" s="145"/>
      <c r="AJ165" s="145"/>
      <c r="AK165" s="145"/>
      <c r="AL165" s="145"/>
      <c r="AM165" s="145"/>
      <c r="AN165" s="145"/>
      <c r="AO165" s="145"/>
      <c r="AP165" s="145"/>
      <c r="AQ165" s="145"/>
      <c r="AR165" s="145"/>
      <c r="AS165" s="145"/>
      <c r="AT165" s="145"/>
      <c r="AU165" s="145"/>
      <c r="AV165" s="145"/>
      <c r="AW165" s="145"/>
      <c r="AX165" s="145"/>
      <c r="AY165" s="145"/>
      <c r="AZ165" s="145"/>
      <c r="BA165" s="145"/>
      <c r="BB165" s="145"/>
      <c r="BC165" s="145"/>
      <c r="BD165" s="145"/>
      <c r="BE165" s="145"/>
      <c r="BF165" s="145"/>
      <c r="BG165" s="145"/>
      <c r="BH165" s="145"/>
      <c r="BI165" s="145"/>
      <c r="BJ165" s="145"/>
      <c r="BK165" s="145"/>
      <c r="BL165" s="145"/>
      <c r="BM165" s="145"/>
      <c r="BN165" s="145"/>
      <c r="BO165" s="145"/>
      <c r="BP165" s="145"/>
      <c r="BQ165" s="145"/>
      <c r="BR165" s="145"/>
      <c r="BS165" s="145"/>
      <c r="BT165" s="145"/>
      <c r="BU165" s="145"/>
      <c r="BV165" s="145"/>
      <c r="BW165" s="145"/>
      <c r="BX165" s="145"/>
      <c r="BY165" s="145"/>
      <c r="BZ165" s="145"/>
      <c r="CA165" s="145"/>
      <c r="CB165" s="145"/>
      <c r="CC165" s="145"/>
      <c r="CD165" s="145"/>
      <c r="CE165" s="145"/>
      <c r="CF165" s="145"/>
      <c r="CG165" s="145"/>
      <c r="CH165" s="145"/>
      <c r="CI165" s="145"/>
      <c r="CJ165" s="145"/>
      <c r="CK165" s="145"/>
      <c r="CL165" s="145"/>
    </row>
    <row r="166" hidden="1" outlineLevel="1">
      <c r="A166" s="158" t="str">
        <f t="shared" si="9"/>
        <v>TC_06.148</v>
      </c>
      <c r="B166" s="267" t="s">
        <v>75</v>
      </c>
      <c r="C166" s="375" t="s">
        <v>2622</v>
      </c>
      <c r="D166" s="375" t="s">
        <v>2623</v>
      </c>
      <c r="E166" s="375" t="s">
        <v>2624</v>
      </c>
      <c r="F166" s="265" t="s">
        <v>2414</v>
      </c>
      <c r="G166" s="263"/>
      <c r="H166" s="263"/>
      <c r="I166" s="266"/>
      <c r="J166" s="266"/>
      <c r="K166" s="266"/>
      <c r="L166" s="266"/>
      <c r="M166" s="266"/>
      <c r="N166" s="266"/>
      <c r="O166" s="266"/>
      <c r="P166" s="266"/>
      <c r="Q166" s="266"/>
      <c r="R166" s="266"/>
      <c r="S166" s="263"/>
      <c r="T166" s="266"/>
      <c r="U166" s="266"/>
      <c r="V166" s="266"/>
      <c r="W166" s="266"/>
      <c r="X166" s="266"/>
      <c r="Y166" s="266"/>
      <c r="Z166" s="266"/>
      <c r="AA166" s="145"/>
      <c r="AB166" s="145"/>
      <c r="AC166" s="145"/>
      <c r="AD166" s="145"/>
      <c r="AE166" s="145"/>
      <c r="AF166" s="145"/>
      <c r="AG166" s="145"/>
      <c r="AH166" s="145"/>
      <c r="AI166" s="145"/>
      <c r="AJ166" s="145"/>
      <c r="AK166" s="145"/>
      <c r="AL166" s="145"/>
      <c r="AM166" s="145"/>
      <c r="AN166" s="145"/>
      <c r="AO166" s="145"/>
      <c r="AP166" s="145"/>
      <c r="AQ166" s="145"/>
      <c r="AR166" s="145"/>
      <c r="AS166" s="145"/>
      <c r="AT166" s="145"/>
      <c r="AU166" s="145"/>
      <c r="AV166" s="145"/>
      <c r="AW166" s="145"/>
      <c r="AX166" s="145"/>
      <c r="AY166" s="145"/>
      <c r="AZ166" s="145"/>
      <c r="BA166" s="145"/>
      <c r="BB166" s="145"/>
      <c r="BC166" s="145"/>
      <c r="BD166" s="145"/>
      <c r="BE166" s="145"/>
      <c r="BF166" s="145"/>
      <c r="BG166" s="145"/>
      <c r="BH166" s="145"/>
      <c r="BI166" s="145"/>
      <c r="BJ166" s="145"/>
      <c r="BK166" s="145"/>
      <c r="BL166" s="145"/>
      <c r="BM166" s="145"/>
      <c r="BN166" s="145"/>
      <c r="BO166" s="145"/>
      <c r="BP166" s="145"/>
      <c r="BQ166" s="145"/>
      <c r="BR166" s="145"/>
      <c r="BS166" s="145"/>
      <c r="BT166" s="145"/>
      <c r="BU166" s="145"/>
      <c r="BV166" s="145"/>
      <c r="BW166" s="145"/>
      <c r="BX166" s="145"/>
      <c r="BY166" s="145"/>
      <c r="BZ166" s="145"/>
      <c r="CA166" s="145"/>
      <c r="CB166" s="145"/>
      <c r="CC166" s="145"/>
      <c r="CD166" s="145"/>
      <c r="CE166" s="145"/>
      <c r="CF166" s="145"/>
      <c r="CG166" s="145"/>
      <c r="CH166" s="145"/>
      <c r="CI166" s="145"/>
      <c r="CJ166" s="145"/>
      <c r="CK166" s="145"/>
      <c r="CL166" s="145"/>
    </row>
    <row r="167" hidden="1" outlineLevel="1">
      <c r="A167" s="158" t="str">
        <f t="shared" si="9"/>
        <v>TC_06.149</v>
      </c>
      <c r="B167" s="267" t="s">
        <v>75</v>
      </c>
      <c r="C167" s="375" t="s">
        <v>2625</v>
      </c>
      <c r="D167" s="375" t="s">
        <v>2626</v>
      </c>
      <c r="E167" s="375" t="s">
        <v>2627</v>
      </c>
      <c r="F167" s="375" t="s">
        <v>2628</v>
      </c>
      <c r="G167" s="263"/>
      <c r="H167" s="263"/>
      <c r="I167" s="266"/>
      <c r="J167" s="266"/>
      <c r="K167" s="266"/>
      <c r="L167" s="266"/>
      <c r="M167" s="266"/>
      <c r="N167" s="266"/>
      <c r="O167" s="266"/>
      <c r="P167" s="266"/>
      <c r="Q167" s="266"/>
      <c r="R167" s="266"/>
      <c r="S167" s="263"/>
      <c r="T167" s="266"/>
      <c r="U167" s="266"/>
      <c r="V167" s="266"/>
      <c r="W167" s="266"/>
      <c r="X167" s="266"/>
      <c r="Y167" s="266"/>
      <c r="Z167" s="266"/>
      <c r="AA167" s="145"/>
      <c r="AB167" s="145"/>
      <c r="AC167" s="145"/>
      <c r="AD167" s="145"/>
      <c r="AE167" s="145"/>
      <c r="AF167" s="145"/>
      <c r="AG167" s="145"/>
      <c r="AH167" s="145"/>
      <c r="AI167" s="145"/>
      <c r="AJ167" s="145"/>
      <c r="AK167" s="145"/>
      <c r="AL167" s="145"/>
      <c r="AM167" s="145"/>
      <c r="AN167" s="145"/>
      <c r="AO167" s="145"/>
      <c r="AP167" s="145"/>
      <c r="AQ167" s="145"/>
      <c r="AR167" s="145"/>
      <c r="AS167" s="145"/>
      <c r="AT167" s="145"/>
      <c r="AU167" s="145"/>
      <c r="AV167" s="145"/>
      <c r="AW167" s="145"/>
      <c r="AX167" s="145"/>
      <c r="AY167" s="145"/>
      <c r="AZ167" s="145"/>
      <c r="BA167" s="145"/>
      <c r="BB167" s="145"/>
      <c r="BC167" s="145"/>
      <c r="BD167" s="145"/>
      <c r="BE167" s="145"/>
      <c r="BF167" s="145"/>
      <c r="BG167" s="145"/>
      <c r="BH167" s="145"/>
      <c r="BI167" s="145"/>
      <c r="BJ167" s="145"/>
      <c r="BK167" s="145"/>
      <c r="BL167" s="145"/>
      <c r="BM167" s="145"/>
      <c r="BN167" s="145"/>
      <c r="BO167" s="145"/>
      <c r="BP167" s="145"/>
      <c r="BQ167" s="145"/>
      <c r="BR167" s="145"/>
      <c r="BS167" s="145"/>
      <c r="BT167" s="145"/>
      <c r="BU167" s="145"/>
      <c r="BV167" s="145"/>
      <c r="BW167" s="145"/>
      <c r="BX167" s="145"/>
      <c r="BY167" s="145"/>
      <c r="BZ167" s="145"/>
      <c r="CA167" s="145"/>
      <c r="CB167" s="145"/>
      <c r="CC167" s="145"/>
      <c r="CD167" s="145"/>
      <c r="CE167" s="145"/>
      <c r="CF167" s="145"/>
      <c r="CG167" s="145"/>
      <c r="CH167" s="145"/>
      <c r="CI167" s="145"/>
      <c r="CJ167" s="145"/>
      <c r="CK167" s="145"/>
      <c r="CL167" s="145"/>
    </row>
    <row r="168" hidden="1" outlineLevel="1">
      <c r="A168" s="158" t="str">
        <f t="shared" si="9"/>
        <v>TC_06.150</v>
      </c>
      <c r="B168" s="267" t="s">
        <v>75</v>
      </c>
      <c r="C168" s="375" t="s">
        <v>2419</v>
      </c>
      <c r="D168" s="375" t="s">
        <v>2420</v>
      </c>
      <c r="E168" s="375" t="s">
        <v>2629</v>
      </c>
      <c r="F168" s="375" t="s">
        <v>2422</v>
      </c>
      <c r="G168" s="263"/>
      <c r="H168" s="263"/>
      <c r="I168" s="266"/>
      <c r="J168" s="266"/>
      <c r="K168" s="266"/>
      <c r="L168" s="266"/>
      <c r="M168" s="266"/>
      <c r="N168" s="266"/>
      <c r="O168" s="266"/>
      <c r="P168" s="266"/>
      <c r="Q168" s="266"/>
      <c r="R168" s="266"/>
      <c r="S168" s="263"/>
      <c r="T168" s="266"/>
      <c r="U168" s="266"/>
      <c r="V168" s="266"/>
      <c r="W168" s="266"/>
      <c r="X168" s="266"/>
      <c r="Y168" s="266"/>
      <c r="Z168" s="266"/>
      <c r="AA168" s="145"/>
      <c r="AB168" s="145"/>
      <c r="AC168" s="145"/>
      <c r="AD168" s="145"/>
      <c r="AE168" s="145"/>
      <c r="AF168" s="145"/>
      <c r="AG168" s="145"/>
      <c r="AH168" s="145"/>
      <c r="AI168" s="145"/>
      <c r="AJ168" s="145"/>
      <c r="AK168" s="145"/>
      <c r="AL168" s="145"/>
      <c r="AM168" s="145"/>
      <c r="AN168" s="145"/>
      <c r="AO168" s="145"/>
      <c r="AP168" s="145"/>
      <c r="AQ168" s="145"/>
      <c r="AR168" s="145"/>
      <c r="AS168" s="145"/>
      <c r="AT168" s="145"/>
      <c r="AU168" s="145"/>
      <c r="AV168" s="145"/>
      <c r="AW168" s="145"/>
      <c r="AX168" s="145"/>
      <c r="AY168" s="145"/>
      <c r="AZ168" s="145"/>
      <c r="BA168" s="145"/>
      <c r="BB168" s="145"/>
      <c r="BC168" s="145"/>
      <c r="BD168" s="145"/>
      <c r="BE168" s="145"/>
      <c r="BF168" s="145"/>
      <c r="BG168" s="145"/>
      <c r="BH168" s="145"/>
      <c r="BI168" s="145"/>
      <c r="BJ168" s="145"/>
      <c r="BK168" s="145"/>
      <c r="BL168" s="145"/>
      <c r="BM168" s="145"/>
      <c r="BN168" s="145"/>
      <c r="BO168" s="145"/>
      <c r="BP168" s="145"/>
      <c r="BQ168" s="145"/>
      <c r="BR168" s="145"/>
      <c r="BS168" s="145"/>
      <c r="BT168" s="145"/>
      <c r="BU168" s="145"/>
      <c r="BV168" s="145"/>
      <c r="BW168" s="145"/>
      <c r="BX168" s="145"/>
      <c r="BY168" s="145"/>
      <c r="BZ168" s="145"/>
      <c r="CA168" s="145"/>
      <c r="CB168" s="145"/>
      <c r="CC168" s="145"/>
      <c r="CD168" s="145"/>
      <c r="CE168" s="145"/>
      <c r="CF168" s="145"/>
      <c r="CG168" s="145"/>
      <c r="CH168" s="145"/>
      <c r="CI168" s="145"/>
      <c r="CJ168" s="145"/>
      <c r="CK168" s="145"/>
      <c r="CL168" s="145"/>
    </row>
    <row r="169" hidden="1" outlineLevel="1">
      <c r="A169" s="158" t="str">
        <f t="shared" si="9"/>
        <v>TC_06.151</v>
      </c>
      <c r="B169" s="267" t="s">
        <v>75</v>
      </c>
      <c r="C169" s="375" t="s">
        <v>2423</v>
      </c>
      <c r="D169" s="375" t="s">
        <v>2424</v>
      </c>
      <c r="E169" s="375" t="s">
        <v>2630</v>
      </c>
      <c r="F169" s="375" t="s">
        <v>2426</v>
      </c>
      <c r="G169" s="263"/>
      <c r="H169" s="263"/>
      <c r="I169" s="266"/>
      <c r="J169" s="266"/>
      <c r="K169" s="266"/>
      <c r="L169" s="266"/>
      <c r="M169" s="266"/>
      <c r="N169" s="266"/>
      <c r="O169" s="266"/>
      <c r="P169" s="266"/>
      <c r="Q169" s="266"/>
      <c r="R169" s="266"/>
      <c r="S169" s="263"/>
      <c r="T169" s="266"/>
      <c r="U169" s="266"/>
      <c r="V169" s="266"/>
      <c r="W169" s="266"/>
      <c r="X169" s="266"/>
      <c r="Y169" s="266"/>
      <c r="Z169" s="266"/>
      <c r="AA169" s="145"/>
      <c r="AB169" s="145"/>
      <c r="AC169" s="145"/>
      <c r="AD169" s="145"/>
      <c r="AE169" s="145"/>
      <c r="AF169" s="145"/>
      <c r="AG169" s="145"/>
      <c r="AH169" s="145"/>
      <c r="AI169" s="145"/>
      <c r="AJ169" s="145"/>
      <c r="AK169" s="145"/>
      <c r="AL169" s="145"/>
      <c r="AM169" s="145"/>
      <c r="AN169" s="145"/>
      <c r="AO169" s="145"/>
      <c r="AP169" s="145"/>
      <c r="AQ169" s="145"/>
      <c r="AR169" s="145"/>
      <c r="AS169" s="145"/>
      <c r="AT169" s="145"/>
      <c r="AU169" s="145"/>
      <c r="AV169" s="145"/>
      <c r="AW169" s="145"/>
      <c r="AX169" s="145"/>
      <c r="AY169" s="145"/>
      <c r="AZ169" s="145"/>
      <c r="BA169" s="145"/>
      <c r="BB169" s="145"/>
      <c r="BC169" s="145"/>
      <c r="BD169" s="145"/>
      <c r="BE169" s="145"/>
      <c r="BF169" s="145"/>
      <c r="BG169" s="145"/>
      <c r="BH169" s="145"/>
      <c r="BI169" s="145"/>
      <c r="BJ169" s="145"/>
      <c r="BK169" s="145"/>
      <c r="BL169" s="145"/>
      <c r="BM169" s="145"/>
      <c r="BN169" s="145"/>
      <c r="BO169" s="145"/>
      <c r="BP169" s="145"/>
      <c r="BQ169" s="145"/>
      <c r="BR169" s="145"/>
      <c r="BS169" s="145"/>
      <c r="BT169" s="145"/>
      <c r="BU169" s="145"/>
      <c r="BV169" s="145"/>
      <c r="BW169" s="145"/>
      <c r="BX169" s="145"/>
      <c r="BY169" s="145"/>
      <c r="BZ169" s="145"/>
      <c r="CA169" s="145"/>
      <c r="CB169" s="145"/>
      <c r="CC169" s="145"/>
      <c r="CD169" s="145"/>
      <c r="CE169" s="145"/>
      <c r="CF169" s="145"/>
      <c r="CG169" s="145"/>
      <c r="CH169" s="145"/>
      <c r="CI169" s="145"/>
      <c r="CJ169" s="145"/>
      <c r="CK169" s="145"/>
      <c r="CL169" s="145"/>
    </row>
    <row r="170" hidden="1" outlineLevel="1">
      <c r="A170" s="158" t="str">
        <f t="shared" si="9"/>
        <v>TC_06.152</v>
      </c>
      <c r="B170" s="267" t="s">
        <v>73</v>
      </c>
      <c r="C170" s="375" t="s">
        <v>2631</v>
      </c>
      <c r="D170" s="375" t="s">
        <v>2632</v>
      </c>
      <c r="E170" s="375" t="s">
        <v>2633</v>
      </c>
      <c r="F170" s="265" t="s">
        <v>2430</v>
      </c>
      <c r="G170" s="263"/>
      <c r="H170" s="263"/>
      <c r="I170" s="266"/>
      <c r="J170" s="266"/>
      <c r="K170" s="266"/>
      <c r="L170" s="266"/>
      <c r="M170" s="266"/>
      <c r="N170" s="266"/>
      <c r="O170" s="266"/>
      <c r="P170" s="266"/>
      <c r="Q170" s="266"/>
      <c r="R170" s="266"/>
      <c r="S170" s="263"/>
      <c r="T170" s="266"/>
      <c r="U170" s="266"/>
      <c r="V170" s="266"/>
      <c r="W170" s="266"/>
      <c r="X170" s="266"/>
      <c r="Y170" s="266"/>
      <c r="Z170" s="266"/>
      <c r="AA170" s="145"/>
      <c r="AB170" s="145"/>
      <c r="AC170" s="145"/>
      <c r="AD170" s="145"/>
      <c r="AE170" s="145"/>
      <c r="AF170" s="145"/>
      <c r="AG170" s="145"/>
      <c r="AH170" s="145"/>
      <c r="AI170" s="145"/>
      <c r="AJ170" s="145"/>
      <c r="AK170" s="145"/>
      <c r="AL170" s="145"/>
      <c r="AM170" s="145"/>
      <c r="AN170" s="145"/>
      <c r="AO170" s="145"/>
      <c r="AP170" s="145"/>
      <c r="AQ170" s="145"/>
      <c r="AR170" s="145"/>
      <c r="AS170" s="145"/>
      <c r="AT170" s="145"/>
      <c r="AU170" s="145"/>
      <c r="AV170" s="145"/>
      <c r="AW170" s="145"/>
      <c r="AX170" s="145"/>
      <c r="AY170" s="145"/>
      <c r="AZ170" s="145"/>
      <c r="BA170" s="145"/>
      <c r="BB170" s="145"/>
      <c r="BC170" s="145"/>
      <c r="BD170" s="145"/>
      <c r="BE170" s="145"/>
      <c r="BF170" s="145"/>
      <c r="BG170" s="145"/>
      <c r="BH170" s="145"/>
      <c r="BI170" s="145"/>
      <c r="BJ170" s="145"/>
      <c r="BK170" s="145"/>
      <c r="BL170" s="145"/>
      <c r="BM170" s="145"/>
      <c r="BN170" s="145"/>
      <c r="BO170" s="145"/>
      <c r="BP170" s="145"/>
      <c r="BQ170" s="145"/>
      <c r="BR170" s="145"/>
      <c r="BS170" s="145"/>
      <c r="BT170" s="145"/>
      <c r="BU170" s="145"/>
      <c r="BV170" s="145"/>
      <c r="BW170" s="145"/>
      <c r="BX170" s="145"/>
      <c r="BY170" s="145"/>
      <c r="BZ170" s="145"/>
      <c r="CA170" s="145"/>
      <c r="CB170" s="145"/>
      <c r="CC170" s="145"/>
      <c r="CD170" s="145"/>
      <c r="CE170" s="145"/>
      <c r="CF170" s="145"/>
      <c r="CG170" s="145"/>
      <c r="CH170" s="145"/>
      <c r="CI170" s="145"/>
      <c r="CJ170" s="145"/>
      <c r="CK170" s="145"/>
      <c r="CL170" s="145"/>
    </row>
    <row r="171" hidden="1" outlineLevel="1">
      <c r="A171" s="158" t="str">
        <f t="shared" si="9"/>
        <v>TC_06.153</v>
      </c>
      <c r="B171" s="267" t="s">
        <v>73</v>
      </c>
      <c r="C171" s="265" t="s">
        <v>2431</v>
      </c>
      <c r="D171" s="375" t="s">
        <v>2634</v>
      </c>
      <c r="E171" s="375" t="s">
        <v>2635</v>
      </c>
      <c r="F171" s="265" t="s">
        <v>2434</v>
      </c>
      <c r="G171" s="263"/>
      <c r="H171" s="263"/>
      <c r="I171" s="266"/>
      <c r="J171" s="266"/>
      <c r="K171" s="266"/>
      <c r="L171" s="266"/>
      <c r="M171" s="266"/>
      <c r="N171" s="266"/>
      <c r="O171" s="266"/>
      <c r="P171" s="266"/>
      <c r="Q171" s="266"/>
      <c r="R171" s="266"/>
      <c r="S171" s="263"/>
      <c r="T171" s="266"/>
      <c r="U171" s="266"/>
      <c r="V171" s="266"/>
      <c r="W171" s="266"/>
      <c r="X171" s="266"/>
      <c r="Y171" s="266"/>
      <c r="Z171" s="266"/>
      <c r="AA171" s="145"/>
      <c r="AB171" s="145"/>
      <c r="AC171" s="145"/>
      <c r="AD171" s="145"/>
      <c r="AE171" s="145"/>
      <c r="AF171" s="145"/>
      <c r="AG171" s="145"/>
      <c r="AH171" s="145"/>
      <c r="AI171" s="145"/>
      <c r="AJ171" s="145"/>
      <c r="AK171" s="145"/>
      <c r="AL171" s="145"/>
      <c r="AM171" s="145"/>
      <c r="AN171" s="145"/>
      <c r="AO171" s="145"/>
      <c r="AP171" s="145"/>
      <c r="AQ171" s="145"/>
      <c r="AR171" s="145"/>
      <c r="AS171" s="145"/>
      <c r="AT171" s="145"/>
      <c r="AU171" s="145"/>
      <c r="AV171" s="145"/>
      <c r="AW171" s="145"/>
      <c r="AX171" s="145"/>
      <c r="AY171" s="145"/>
      <c r="AZ171" s="145"/>
      <c r="BA171" s="145"/>
      <c r="BB171" s="145"/>
      <c r="BC171" s="145"/>
      <c r="BD171" s="145"/>
      <c r="BE171" s="145"/>
      <c r="BF171" s="145"/>
      <c r="BG171" s="145"/>
      <c r="BH171" s="145"/>
      <c r="BI171" s="145"/>
      <c r="BJ171" s="145"/>
      <c r="BK171" s="145"/>
      <c r="BL171" s="145"/>
      <c r="BM171" s="145"/>
      <c r="BN171" s="145"/>
      <c r="BO171" s="145"/>
      <c r="BP171" s="145"/>
      <c r="BQ171" s="145"/>
      <c r="BR171" s="145"/>
      <c r="BS171" s="145"/>
      <c r="BT171" s="145"/>
      <c r="BU171" s="145"/>
      <c r="BV171" s="145"/>
      <c r="BW171" s="145"/>
      <c r="BX171" s="145"/>
      <c r="BY171" s="145"/>
      <c r="BZ171" s="145"/>
      <c r="CA171" s="145"/>
      <c r="CB171" s="145"/>
      <c r="CC171" s="145"/>
      <c r="CD171" s="145"/>
      <c r="CE171" s="145"/>
      <c r="CF171" s="145"/>
      <c r="CG171" s="145"/>
      <c r="CH171" s="145"/>
      <c r="CI171" s="145"/>
      <c r="CJ171" s="145"/>
      <c r="CK171" s="145"/>
      <c r="CL171" s="145"/>
    </row>
    <row r="172" collapsed="1">
      <c r="A172" s="562" t="s">
        <v>2636</v>
      </c>
      <c r="B172" s="148"/>
      <c r="C172" s="148"/>
      <c r="D172" s="148"/>
      <c r="E172" s="148"/>
      <c r="F172" s="171"/>
      <c r="G172" s="263"/>
      <c r="H172" s="263"/>
      <c r="I172" s="266"/>
      <c r="J172" s="266"/>
      <c r="K172" s="266"/>
      <c r="L172" s="266"/>
      <c r="M172" s="266"/>
      <c r="N172" s="266"/>
      <c r="O172" s="266"/>
      <c r="P172" s="266"/>
      <c r="Q172" s="266"/>
      <c r="R172" s="266"/>
      <c r="S172" s="263"/>
      <c r="T172" s="266"/>
      <c r="U172" s="266"/>
      <c r="V172" s="266"/>
      <c r="W172" s="266"/>
      <c r="X172" s="266"/>
      <c r="Y172" s="266"/>
      <c r="Z172" s="266"/>
      <c r="AA172" s="145"/>
      <c r="AB172" s="145"/>
      <c r="AC172" s="145"/>
      <c r="AD172" s="145"/>
      <c r="AE172" s="145"/>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c r="BC172" s="145"/>
      <c r="BD172" s="145"/>
      <c r="BE172" s="145"/>
      <c r="BF172" s="145"/>
      <c r="BG172" s="145"/>
      <c r="BH172" s="145"/>
      <c r="BI172" s="145"/>
      <c r="BJ172" s="145"/>
      <c r="BK172" s="145"/>
      <c r="BL172" s="145"/>
      <c r="BM172" s="145"/>
      <c r="BN172" s="145"/>
      <c r="BO172" s="145"/>
      <c r="BP172" s="145"/>
      <c r="BQ172" s="145"/>
      <c r="BR172" s="145"/>
      <c r="BS172" s="145"/>
      <c r="BT172" s="145"/>
      <c r="BU172" s="145"/>
      <c r="BV172" s="145"/>
      <c r="BW172" s="145"/>
      <c r="BX172" s="145"/>
      <c r="BY172" s="145"/>
      <c r="BZ172" s="145"/>
      <c r="CA172" s="145"/>
      <c r="CB172" s="145"/>
      <c r="CC172" s="145"/>
      <c r="CD172" s="145"/>
      <c r="CE172" s="145"/>
      <c r="CF172" s="145"/>
      <c r="CG172" s="145"/>
      <c r="CH172" s="145"/>
      <c r="CI172" s="145"/>
      <c r="CJ172" s="145"/>
      <c r="CK172" s="145"/>
      <c r="CL172" s="145"/>
    </row>
    <row r="173" hidden="1" outlineLevel="1">
      <c r="A173" s="158" t="str">
        <f t="shared" ref="A173:A197" si="10">IF(E173="","",$C$3&amp;"."&amp;COUNTA($E$8:E173)&amp;"")</f>
        <v>TC_06.154</v>
      </c>
      <c r="B173" s="267" t="s">
        <v>75</v>
      </c>
      <c r="C173" s="375" t="s">
        <v>2637</v>
      </c>
      <c r="D173" s="375" t="s">
        <v>2638</v>
      </c>
      <c r="E173" s="375" t="s">
        <v>2639</v>
      </c>
      <c r="F173" s="375" t="s">
        <v>2640</v>
      </c>
      <c r="G173" s="263"/>
      <c r="H173" s="263"/>
      <c r="I173" s="266"/>
      <c r="J173" s="266"/>
      <c r="K173" s="266"/>
      <c r="L173" s="266"/>
      <c r="M173" s="266"/>
      <c r="N173" s="266"/>
      <c r="O173" s="266"/>
      <c r="P173" s="266"/>
      <c r="Q173" s="266"/>
      <c r="R173" s="266"/>
      <c r="S173" s="263"/>
      <c r="T173" s="266"/>
      <c r="U173" s="266"/>
      <c r="V173" s="266"/>
      <c r="W173" s="266"/>
      <c r="X173" s="266"/>
      <c r="Y173" s="266"/>
      <c r="Z173" s="266"/>
      <c r="AA173" s="145"/>
      <c r="AB173" s="145"/>
      <c r="AC173" s="145"/>
      <c r="AD173" s="145"/>
      <c r="AE173" s="145"/>
      <c r="AF173" s="145"/>
      <c r="AG173" s="145"/>
      <c r="AH173" s="145"/>
      <c r="AI173" s="145"/>
      <c r="AJ173" s="145"/>
      <c r="AK173" s="145"/>
      <c r="AL173" s="145"/>
      <c r="AM173" s="145"/>
      <c r="AN173" s="145"/>
      <c r="AO173" s="145"/>
      <c r="AP173" s="145"/>
      <c r="AQ173" s="145"/>
      <c r="AR173" s="145"/>
      <c r="AS173" s="145"/>
      <c r="AT173" s="145"/>
      <c r="AU173" s="145"/>
      <c r="AV173" s="145"/>
      <c r="AW173" s="145"/>
      <c r="AX173" s="145"/>
      <c r="AY173" s="145"/>
      <c r="AZ173" s="145"/>
      <c r="BA173" s="145"/>
      <c r="BB173" s="145"/>
      <c r="BC173" s="145"/>
      <c r="BD173" s="145"/>
      <c r="BE173" s="145"/>
      <c r="BF173" s="145"/>
      <c r="BG173" s="145"/>
      <c r="BH173" s="145"/>
      <c r="BI173" s="145"/>
      <c r="BJ173" s="145"/>
      <c r="BK173" s="145"/>
      <c r="BL173" s="145"/>
      <c r="BM173" s="145"/>
      <c r="BN173" s="145"/>
      <c r="BO173" s="145"/>
      <c r="BP173" s="145"/>
      <c r="BQ173" s="145"/>
      <c r="BR173" s="145"/>
      <c r="BS173" s="145"/>
      <c r="BT173" s="145"/>
      <c r="BU173" s="145"/>
      <c r="BV173" s="145"/>
      <c r="BW173" s="145"/>
      <c r="BX173" s="145"/>
      <c r="BY173" s="145"/>
      <c r="BZ173" s="145"/>
      <c r="CA173" s="145"/>
      <c r="CB173" s="145"/>
      <c r="CC173" s="145"/>
      <c r="CD173" s="145"/>
      <c r="CE173" s="145"/>
      <c r="CF173" s="145"/>
      <c r="CG173" s="145"/>
      <c r="CH173" s="145"/>
      <c r="CI173" s="145"/>
      <c r="CJ173" s="145"/>
      <c r="CK173" s="145"/>
      <c r="CL173" s="145"/>
    </row>
    <row r="174" hidden="1" outlineLevel="1">
      <c r="A174" s="158" t="str">
        <f t="shared" si="10"/>
        <v>TC_06.155</v>
      </c>
      <c r="B174" s="267" t="s">
        <v>73</v>
      </c>
      <c r="C174" s="375" t="s">
        <v>2641</v>
      </c>
      <c r="D174" s="375" t="s">
        <v>2642</v>
      </c>
      <c r="E174" s="375" t="s">
        <v>2643</v>
      </c>
      <c r="F174" s="375" t="s">
        <v>2356</v>
      </c>
      <c r="G174" s="263"/>
      <c r="H174" s="263"/>
      <c r="I174" s="266"/>
      <c r="J174" s="266"/>
      <c r="K174" s="266"/>
      <c r="L174" s="266"/>
      <c r="M174" s="266"/>
      <c r="N174" s="266"/>
      <c r="O174" s="266"/>
      <c r="P174" s="266"/>
      <c r="Q174" s="266"/>
      <c r="R174" s="266"/>
      <c r="S174" s="263"/>
      <c r="T174" s="266"/>
      <c r="U174" s="266"/>
      <c r="V174" s="266"/>
      <c r="W174" s="266"/>
      <c r="X174" s="266"/>
      <c r="Y174" s="266"/>
      <c r="Z174" s="266"/>
      <c r="AA174" s="145"/>
      <c r="AB174" s="145"/>
      <c r="AC174" s="145"/>
      <c r="AD174" s="145"/>
      <c r="AE174" s="145"/>
      <c r="AF174" s="145"/>
      <c r="AG174" s="145"/>
      <c r="AH174" s="145"/>
      <c r="AI174" s="145"/>
      <c r="AJ174" s="145"/>
      <c r="AK174" s="145"/>
      <c r="AL174" s="145"/>
      <c r="AM174" s="145"/>
      <c r="AN174" s="145"/>
      <c r="AO174" s="145"/>
      <c r="AP174" s="145"/>
      <c r="AQ174" s="145"/>
      <c r="AR174" s="145"/>
      <c r="AS174" s="145"/>
      <c r="AT174" s="145"/>
      <c r="AU174" s="145"/>
      <c r="AV174" s="145"/>
      <c r="AW174" s="145"/>
      <c r="AX174" s="145"/>
      <c r="AY174" s="145"/>
      <c r="AZ174" s="145"/>
      <c r="BA174" s="145"/>
      <c r="BB174" s="145"/>
      <c r="BC174" s="145"/>
      <c r="BD174" s="145"/>
      <c r="BE174" s="145"/>
      <c r="BF174" s="145"/>
      <c r="BG174" s="145"/>
      <c r="BH174" s="145"/>
      <c r="BI174" s="145"/>
      <c r="BJ174" s="145"/>
      <c r="BK174" s="145"/>
      <c r="BL174" s="145"/>
      <c r="BM174" s="145"/>
      <c r="BN174" s="145"/>
      <c r="BO174" s="145"/>
      <c r="BP174" s="145"/>
      <c r="BQ174" s="145"/>
      <c r="BR174" s="145"/>
      <c r="BS174" s="145"/>
      <c r="BT174" s="145"/>
      <c r="BU174" s="145"/>
      <c r="BV174" s="145"/>
      <c r="BW174" s="145"/>
      <c r="BX174" s="145"/>
      <c r="BY174" s="145"/>
      <c r="BZ174" s="145"/>
      <c r="CA174" s="145"/>
      <c r="CB174" s="145"/>
      <c r="CC174" s="145"/>
      <c r="CD174" s="145"/>
      <c r="CE174" s="145"/>
      <c r="CF174" s="145"/>
      <c r="CG174" s="145"/>
      <c r="CH174" s="145"/>
      <c r="CI174" s="145"/>
      <c r="CJ174" s="145"/>
      <c r="CK174" s="145"/>
      <c r="CL174" s="145"/>
    </row>
    <row r="175" hidden="1" outlineLevel="1">
      <c r="A175" s="158" t="str">
        <f t="shared" si="10"/>
        <v>TC_06.156</v>
      </c>
      <c r="B175" s="267" t="s">
        <v>73</v>
      </c>
      <c r="C175" s="375" t="s">
        <v>2644</v>
      </c>
      <c r="D175" s="375" t="s">
        <v>2645</v>
      </c>
      <c r="E175" s="375" t="s">
        <v>2646</v>
      </c>
      <c r="F175" s="375" t="s">
        <v>2360</v>
      </c>
      <c r="G175" s="263"/>
      <c r="H175" s="263"/>
      <c r="I175" s="266"/>
      <c r="J175" s="266"/>
      <c r="K175" s="266"/>
      <c r="L175" s="266"/>
      <c r="M175" s="266"/>
      <c r="N175" s="266"/>
      <c r="O175" s="266"/>
      <c r="P175" s="266"/>
      <c r="Q175" s="266"/>
      <c r="R175" s="266"/>
      <c r="S175" s="263"/>
      <c r="T175" s="266"/>
      <c r="U175" s="266"/>
      <c r="V175" s="266"/>
      <c r="W175" s="266"/>
      <c r="X175" s="266"/>
      <c r="Y175" s="266"/>
      <c r="Z175" s="266"/>
      <c r="AA175" s="145"/>
      <c r="AB175" s="145"/>
      <c r="AC175" s="145"/>
      <c r="AD175" s="145"/>
      <c r="AE175" s="145"/>
      <c r="AF175" s="145"/>
      <c r="AG175" s="145"/>
      <c r="AH175" s="145"/>
      <c r="AI175" s="145"/>
      <c r="AJ175" s="145"/>
      <c r="AK175" s="145"/>
      <c r="AL175" s="145"/>
      <c r="AM175" s="145"/>
      <c r="AN175" s="145"/>
      <c r="AO175" s="145"/>
      <c r="AP175" s="145"/>
      <c r="AQ175" s="145"/>
      <c r="AR175" s="145"/>
      <c r="AS175" s="145"/>
      <c r="AT175" s="145"/>
      <c r="AU175" s="145"/>
      <c r="AV175" s="145"/>
      <c r="AW175" s="145"/>
      <c r="AX175" s="145"/>
      <c r="AY175" s="145"/>
      <c r="AZ175" s="145"/>
      <c r="BA175" s="145"/>
      <c r="BB175" s="145"/>
      <c r="BC175" s="145"/>
      <c r="BD175" s="145"/>
      <c r="BE175" s="145"/>
      <c r="BF175" s="145"/>
      <c r="BG175" s="145"/>
      <c r="BH175" s="145"/>
      <c r="BI175" s="145"/>
      <c r="BJ175" s="145"/>
      <c r="BK175" s="145"/>
      <c r="BL175" s="145"/>
      <c r="BM175" s="145"/>
      <c r="BN175" s="145"/>
      <c r="BO175" s="145"/>
      <c r="BP175" s="145"/>
      <c r="BQ175" s="145"/>
      <c r="BR175" s="145"/>
      <c r="BS175" s="145"/>
      <c r="BT175" s="145"/>
      <c r="BU175" s="145"/>
      <c r="BV175" s="145"/>
      <c r="BW175" s="145"/>
      <c r="BX175" s="145"/>
      <c r="BY175" s="145"/>
      <c r="BZ175" s="145"/>
      <c r="CA175" s="145"/>
      <c r="CB175" s="145"/>
      <c r="CC175" s="145"/>
      <c r="CD175" s="145"/>
      <c r="CE175" s="145"/>
      <c r="CF175" s="145"/>
      <c r="CG175" s="145"/>
      <c r="CH175" s="145"/>
      <c r="CI175" s="145"/>
      <c r="CJ175" s="145"/>
      <c r="CK175" s="145"/>
      <c r="CL175" s="145"/>
    </row>
    <row r="176" hidden="1" outlineLevel="1">
      <c r="A176" s="158" t="str">
        <f t="shared" si="10"/>
        <v>TC_06.157</v>
      </c>
      <c r="B176" s="267" t="s">
        <v>73</v>
      </c>
      <c r="C176" s="375" t="s">
        <v>2647</v>
      </c>
      <c r="D176" s="375" t="s">
        <v>2648</v>
      </c>
      <c r="E176" s="375" t="s">
        <v>2649</v>
      </c>
      <c r="F176" s="375" t="s">
        <v>2364</v>
      </c>
      <c r="G176" s="263"/>
      <c r="H176" s="263"/>
      <c r="I176" s="266"/>
      <c r="J176" s="266"/>
      <c r="K176" s="266"/>
      <c r="L176" s="266"/>
      <c r="M176" s="266"/>
      <c r="N176" s="266"/>
      <c r="O176" s="266"/>
      <c r="P176" s="266"/>
      <c r="Q176" s="266"/>
      <c r="R176" s="266"/>
      <c r="S176" s="263"/>
      <c r="T176" s="266"/>
      <c r="U176" s="266"/>
      <c r="V176" s="266"/>
      <c r="W176" s="266"/>
      <c r="X176" s="266"/>
      <c r="Y176" s="266"/>
      <c r="Z176" s="266"/>
      <c r="AA176" s="145"/>
      <c r="AB176" s="145"/>
      <c r="AC176" s="145"/>
      <c r="AD176" s="145"/>
      <c r="AE176" s="145"/>
      <c r="AF176" s="145"/>
      <c r="AG176" s="145"/>
      <c r="AH176" s="145"/>
      <c r="AI176" s="145"/>
      <c r="AJ176" s="145"/>
      <c r="AK176" s="145"/>
      <c r="AL176" s="145"/>
      <c r="AM176" s="145"/>
      <c r="AN176" s="145"/>
      <c r="AO176" s="145"/>
      <c r="AP176" s="145"/>
      <c r="AQ176" s="145"/>
      <c r="AR176" s="145"/>
      <c r="AS176" s="145"/>
      <c r="AT176" s="145"/>
      <c r="AU176" s="145"/>
      <c r="AV176" s="145"/>
      <c r="AW176" s="145"/>
      <c r="AX176" s="145"/>
      <c r="AY176" s="145"/>
      <c r="AZ176" s="145"/>
      <c r="BA176" s="145"/>
      <c r="BB176" s="145"/>
      <c r="BC176" s="145"/>
      <c r="BD176" s="145"/>
      <c r="BE176" s="145"/>
      <c r="BF176" s="145"/>
      <c r="BG176" s="145"/>
      <c r="BH176" s="145"/>
      <c r="BI176" s="145"/>
      <c r="BJ176" s="145"/>
      <c r="BK176" s="145"/>
      <c r="BL176" s="145"/>
      <c r="BM176" s="145"/>
      <c r="BN176" s="145"/>
      <c r="BO176" s="145"/>
      <c r="BP176" s="145"/>
      <c r="BQ176" s="145"/>
      <c r="BR176" s="145"/>
      <c r="BS176" s="145"/>
      <c r="BT176" s="145"/>
      <c r="BU176" s="145"/>
      <c r="BV176" s="145"/>
      <c r="BW176" s="145"/>
      <c r="BX176" s="145"/>
      <c r="BY176" s="145"/>
      <c r="BZ176" s="145"/>
      <c r="CA176" s="145"/>
      <c r="CB176" s="145"/>
      <c r="CC176" s="145"/>
      <c r="CD176" s="145"/>
      <c r="CE176" s="145"/>
      <c r="CF176" s="145"/>
      <c r="CG176" s="145"/>
      <c r="CH176" s="145"/>
      <c r="CI176" s="145"/>
      <c r="CJ176" s="145"/>
      <c r="CK176" s="145"/>
      <c r="CL176" s="145"/>
    </row>
    <row r="177" hidden="1" outlineLevel="1">
      <c r="A177" s="158" t="str">
        <f t="shared" si="10"/>
        <v>TC_06.158</v>
      </c>
      <c r="B177" s="267" t="s">
        <v>73</v>
      </c>
      <c r="C177" s="375" t="s">
        <v>2650</v>
      </c>
      <c r="D177" s="375" t="s">
        <v>2648</v>
      </c>
      <c r="E177" s="375" t="s">
        <v>2651</v>
      </c>
      <c r="F177" s="375" t="s">
        <v>2367</v>
      </c>
      <c r="G177" s="263"/>
      <c r="H177" s="263"/>
      <c r="I177" s="266"/>
      <c r="J177" s="266"/>
      <c r="K177" s="266"/>
      <c r="L177" s="266"/>
      <c r="M177" s="266"/>
      <c r="N177" s="266"/>
      <c r="O177" s="266"/>
      <c r="P177" s="266"/>
      <c r="Q177" s="266"/>
      <c r="R177" s="266"/>
      <c r="S177" s="263"/>
      <c r="T177" s="266"/>
      <c r="U177" s="266"/>
      <c r="V177" s="266"/>
      <c r="W177" s="266"/>
      <c r="X177" s="266"/>
      <c r="Y177" s="266"/>
      <c r="Z177" s="266"/>
      <c r="AA177" s="145"/>
      <c r="AB177" s="145"/>
      <c r="AC177" s="145"/>
      <c r="AD177" s="145"/>
      <c r="AE177" s="145"/>
      <c r="AF177" s="145"/>
      <c r="AG177" s="145"/>
      <c r="AH177" s="145"/>
      <c r="AI177" s="145"/>
      <c r="AJ177" s="145"/>
      <c r="AK177" s="145"/>
      <c r="AL177" s="145"/>
      <c r="AM177" s="145"/>
      <c r="AN177" s="145"/>
      <c r="AO177" s="145"/>
      <c r="AP177" s="145"/>
      <c r="AQ177" s="145"/>
      <c r="AR177" s="145"/>
      <c r="AS177" s="145"/>
      <c r="AT177" s="145"/>
      <c r="AU177" s="145"/>
      <c r="AV177" s="145"/>
      <c r="AW177" s="145"/>
      <c r="AX177" s="145"/>
      <c r="AY177" s="145"/>
      <c r="AZ177" s="145"/>
      <c r="BA177" s="145"/>
      <c r="BB177" s="145"/>
      <c r="BC177" s="145"/>
      <c r="BD177" s="145"/>
      <c r="BE177" s="145"/>
      <c r="BF177" s="145"/>
      <c r="BG177" s="145"/>
      <c r="BH177" s="145"/>
      <c r="BI177" s="145"/>
      <c r="BJ177" s="145"/>
      <c r="BK177" s="145"/>
      <c r="BL177" s="145"/>
      <c r="BM177" s="145"/>
      <c r="BN177" s="145"/>
      <c r="BO177" s="145"/>
      <c r="BP177" s="145"/>
      <c r="BQ177" s="145"/>
      <c r="BR177" s="145"/>
      <c r="BS177" s="145"/>
      <c r="BT177" s="145"/>
      <c r="BU177" s="145"/>
      <c r="BV177" s="145"/>
      <c r="BW177" s="145"/>
      <c r="BX177" s="145"/>
      <c r="BY177" s="145"/>
      <c r="BZ177" s="145"/>
      <c r="CA177" s="145"/>
      <c r="CB177" s="145"/>
      <c r="CC177" s="145"/>
      <c r="CD177" s="145"/>
      <c r="CE177" s="145"/>
      <c r="CF177" s="145"/>
      <c r="CG177" s="145"/>
      <c r="CH177" s="145"/>
      <c r="CI177" s="145"/>
      <c r="CJ177" s="145"/>
      <c r="CK177" s="145"/>
      <c r="CL177" s="145"/>
    </row>
    <row r="178" hidden="1" outlineLevel="1">
      <c r="A178" s="158" t="str">
        <f t="shared" si="10"/>
        <v>TC_06.159</v>
      </c>
      <c r="B178" s="267" t="s">
        <v>73</v>
      </c>
      <c r="C178" s="265" t="s">
        <v>2368</v>
      </c>
      <c r="D178" s="375" t="s">
        <v>2652</v>
      </c>
      <c r="E178" s="375" t="s">
        <v>2653</v>
      </c>
      <c r="F178" s="265" t="s">
        <v>2371</v>
      </c>
      <c r="G178" s="263"/>
      <c r="H178" s="263"/>
      <c r="I178" s="266"/>
      <c r="J178" s="266"/>
      <c r="K178" s="266"/>
      <c r="L178" s="266"/>
      <c r="M178" s="266"/>
      <c r="N178" s="266"/>
      <c r="O178" s="266"/>
      <c r="P178" s="266"/>
      <c r="Q178" s="266"/>
      <c r="R178" s="266"/>
      <c r="S178" s="263"/>
      <c r="T178" s="266"/>
      <c r="U178" s="266"/>
      <c r="V178" s="266"/>
      <c r="W178" s="266"/>
      <c r="X178" s="266"/>
      <c r="Y178" s="266"/>
      <c r="Z178" s="266"/>
      <c r="AA178" s="145"/>
      <c r="AB178" s="145"/>
      <c r="AC178" s="145"/>
      <c r="AD178" s="145"/>
      <c r="AE178" s="145"/>
      <c r="AF178" s="145"/>
      <c r="AG178" s="145"/>
      <c r="AH178" s="145"/>
      <c r="AI178" s="145"/>
      <c r="AJ178" s="145"/>
      <c r="AK178" s="145"/>
      <c r="AL178" s="145"/>
      <c r="AM178" s="145"/>
      <c r="AN178" s="145"/>
      <c r="AO178" s="145"/>
      <c r="AP178" s="145"/>
      <c r="AQ178" s="145"/>
      <c r="AR178" s="145"/>
      <c r="AS178" s="145"/>
      <c r="AT178" s="145"/>
      <c r="AU178" s="145"/>
      <c r="AV178" s="145"/>
      <c r="AW178" s="145"/>
      <c r="AX178" s="145"/>
      <c r="AY178" s="145"/>
      <c r="AZ178" s="145"/>
      <c r="BA178" s="145"/>
      <c r="BB178" s="145"/>
      <c r="BC178" s="145"/>
      <c r="BD178" s="145"/>
      <c r="BE178" s="145"/>
      <c r="BF178" s="145"/>
      <c r="BG178" s="145"/>
      <c r="BH178" s="145"/>
      <c r="BI178" s="145"/>
      <c r="BJ178" s="145"/>
      <c r="BK178" s="145"/>
      <c r="BL178" s="145"/>
      <c r="BM178" s="145"/>
      <c r="BN178" s="145"/>
      <c r="BO178" s="145"/>
      <c r="BP178" s="145"/>
      <c r="BQ178" s="145"/>
      <c r="BR178" s="145"/>
      <c r="BS178" s="145"/>
      <c r="BT178" s="145"/>
      <c r="BU178" s="145"/>
      <c r="BV178" s="145"/>
      <c r="BW178" s="145"/>
      <c r="BX178" s="145"/>
      <c r="BY178" s="145"/>
      <c r="BZ178" s="145"/>
      <c r="CA178" s="145"/>
      <c r="CB178" s="145"/>
      <c r="CC178" s="145"/>
      <c r="CD178" s="145"/>
      <c r="CE178" s="145"/>
      <c r="CF178" s="145"/>
      <c r="CG178" s="145"/>
      <c r="CH178" s="145"/>
      <c r="CI178" s="145"/>
      <c r="CJ178" s="145"/>
      <c r="CK178" s="145"/>
      <c r="CL178" s="145"/>
    </row>
    <row r="179" hidden="1" outlineLevel="1">
      <c r="A179" s="158" t="str">
        <f t="shared" si="10"/>
        <v>TC_06.160</v>
      </c>
      <c r="B179" s="565" t="s">
        <v>75</v>
      </c>
      <c r="C179" s="561" t="s">
        <v>2654</v>
      </c>
      <c r="D179" s="561" t="s">
        <v>2655</v>
      </c>
      <c r="E179" s="561" t="s">
        <v>2656</v>
      </c>
      <c r="F179" s="566" t="s">
        <v>2375</v>
      </c>
      <c r="G179" s="263"/>
      <c r="H179" s="263"/>
      <c r="I179" s="266"/>
      <c r="J179" s="266"/>
      <c r="K179" s="266"/>
      <c r="L179" s="266"/>
      <c r="M179" s="266"/>
      <c r="N179" s="266"/>
      <c r="O179" s="266"/>
      <c r="P179" s="266"/>
      <c r="Q179" s="266"/>
      <c r="R179" s="266"/>
      <c r="S179" s="263"/>
      <c r="T179" s="266"/>
      <c r="U179" s="266"/>
      <c r="V179" s="266"/>
      <c r="W179" s="266"/>
      <c r="X179" s="266"/>
      <c r="Y179" s="266"/>
      <c r="Z179" s="266"/>
      <c r="AA179" s="145"/>
      <c r="AB179" s="145"/>
      <c r="AC179" s="145"/>
      <c r="AD179" s="145"/>
      <c r="AE179" s="145"/>
      <c r="AF179" s="145"/>
      <c r="AG179" s="145"/>
      <c r="AH179" s="145"/>
      <c r="AI179" s="145"/>
      <c r="AJ179" s="145"/>
      <c r="AK179" s="145"/>
      <c r="AL179" s="145"/>
      <c r="AM179" s="145"/>
      <c r="AN179" s="145"/>
      <c r="AO179" s="145"/>
      <c r="AP179" s="145"/>
      <c r="AQ179" s="145"/>
      <c r="AR179" s="145"/>
      <c r="AS179" s="145"/>
      <c r="AT179" s="145"/>
      <c r="AU179" s="145"/>
      <c r="AV179" s="145"/>
      <c r="AW179" s="145"/>
      <c r="AX179" s="145"/>
      <c r="AY179" s="145"/>
      <c r="AZ179" s="145"/>
      <c r="BA179" s="145"/>
      <c r="BB179" s="145"/>
      <c r="BC179" s="145"/>
      <c r="BD179" s="145"/>
      <c r="BE179" s="145"/>
      <c r="BF179" s="145"/>
      <c r="BG179" s="145"/>
      <c r="BH179" s="145"/>
      <c r="BI179" s="145"/>
      <c r="BJ179" s="145"/>
      <c r="BK179" s="145"/>
      <c r="BL179" s="145"/>
      <c r="BM179" s="145"/>
      <c r="BN179" s="145"/>
      <c r="BO179" s="145"/>
      <c r="BP179" s="145"/>
      <c r="BQ179" s="145"/>
      <c r="BR179" s="145"/>
      <c r="BS179" s="145"/>
      <c r="BT179" s="145"/>
      <c r="BU179" s="145"/>
      <c r="BV179" s="145"/>
      <c r="BW179" s="145"/>
      <c r="BX179" s="145"/>
      <c r="BY179" s="145"/>
      <c r="BZ179" s="145"/>
      <c r="CA179" s="145"/>
      <c r="CB179" s="145"/>
      <c r="CC179" s="145"/>
      <c r="CD179" s="145"/>
      <c r="CE179" s="145"/>
      <c r="CF179" s="145"/>
      <c r="CG179" s="145"/>
      <c r="CH179" s="145"/>
      <c r="CI179" s="145"/>
      <c r="CJ179" s="145"/>
      <c r="CK179" s="145"/>
      <c r="CL179" s="145"/>
    </row>
    <row r="180" hidden="1" outlineLevel="1">
      <c r="A180" s="158" t="str">
        <f t="shared" si="10"/>
        <v>TC_06.161</v>
      </c>
      <c r="B180" s="267" t="s">
        <v>73</v>
      </c>
      <c r="C180" s="273" t="s">
        <v>2376</v>
      </c>
      <c r="D180" s="375" t="s">
        <v>2657</v>
      </c>
      <c r="E180" s="375" t="s">
        <v>2658</v>
      </c>
      <c r="F180" s="265" t="s">
        <v>2379</v>
      </c>
      <c r="G180" s="263"/>
      <c r="H180" s="263"/>
      <c r="I180" s="266"/>
      <c r="J180" s="266"/>
      <c r="K180" s="266"/>
      <c r="L180" s="266"/>
      <c r="M180" s="266"/>
      <c r="N180" s="266"/>
      <c r="O180" s="266"/>
      <c r="P180" s="266"/>
      <c r="Q180" s="266"/>
      <c r="R180" s="266"/>
      <c r="S180" s="263"/>
      <c r="T180" s="266"/>
      <c r="U180" s="266"/>
      <c r="V180" s="266"/>
      <c r="W180" s="266"/>
      <c r="X180" s="266"/>
      <c r="Y180" s="266"/>
      <c r="Z180" s="266"/>
      <c r="AA180" s="145"/>
      <c r="AB180" s="145"/>
      <c r="AC180" s="145"/>
      <c r="AD180" s="145"/>
      <c r="AE180" s="145"/>
      <c r="AF180" s="145"/>
      <c r="AG180" s="145"/>
      <c r="AH180" s="145"/>
      <c r="AI180" s="145"/>
      <c r="AJ180" s="145"/>
      <c r="AK180" s="145"/>
      <c r="AL180" s="145"/>
      <c r="AM180" s="145"/>
      <c r="AN180" s="145"/>
      <c r="AO180" s="145"/>
      <c r="AP180" s="145"/>
      <c r="AQ180" s="145"/>
      <c r="AR180" s="145"/>
      <c r="AS180" s="145"/>
      <c r="AT180" s="145"/>
      <c r="AU180" s="145"/>
      <c r="AV180" s="145"/>
      <c r="AW180" s="145"/>
      <c r="AX180" s="145"/>
      <c r="AY180" s="145"/>
      <c r="AZ180" s="145"/>
      <c r="BA180" s="145"/>
      <c r="BB180" s="145"/>
      <c r="BC180" s="145"/>
      <c r="BD180" s="145"/>
      <c r="BE180" s="145"/>
      <c r="BF180" s="145"/>
      <c r="BG180" s="145"/>
      <c r="BH180" s="145"/>
      <c r="BI180" s="145"/>
      <c r="BJ180" s="145"/>
      <c r="BK180" s="145"/>
      <c r="BL180" s="145"/>
      <c r="BM180" s="145"/>
      <c r="BN180" s="145"/>
      <c r="BO180" s="145"/>
      <c r="BP180" s="145"/>
      <c r="BQ180" s="145"/>
      <c r="BR180" s="145"/>
      <c r="BS180" s="145"/>
      <c r="BT180" s="145"/>
      <c r="BU180" s="145"/>
      <c r="BV180" s="145"/>
      <c r="BW180" s="145"/>
      <c r="BX180" s="145"/>
      <c r="BY180" s="145"/>
      <c r="BZ180" s="145"/>
      <c r="CA180" s="145"/>
      <c r="CB180" s="145"/>
      <c r="CC180" s="145"/>
      <c r="CD180" s="145"/>
      <c r="CE180" s="145"/>
      <c r="CF180" s="145"/>
      <c r="CG180" s="145"/>
      <c r="CH180" s="145"/>
      <c r="CI180" s="145"/>
      <c r="CJ180" s="145"/>
      <c r="CK180" s="145"/>
      <c r="CL180" s="145"/>
    </row>
    <row r="181" hidden="1" outlineLevel="1">
      <c r="A181" s="158" t="str">
        <f t="shared" si="10"/>
        <v>TC_06.162</v>
      </c>
      <c r="B181" s="267" t="s">
        <v>73</v>
      </c>
      <c r="C181" s="265" t="s">
        <v>2380</v>
      </c>
      <c r="D181" s="375" t="s">
        <v>2659</v>
      </c>
      <c r="E181" s="375" t="s">
        <v>2660</v>
      </c>
      <c r="F181" s="375" t="s">
        <v>2383</v>
      </c>
      <c r="G181" s="263"/>
      <c r="H181" s="263"/>
      <c r="I181" s="266"/>
      <c r="J181" s="266"/>
      <c r="K181" s="266"/>
      <c r="L181" s="266"/>
      <c r="M181" s="266"/>
      <c r="N181" s="266"/>
      <c r="O181" s="266"/>
      <c r="P181" s="266"/>
      <c r="Q181" s="266"/>
      <c r="R181" s="266"/>
      <c r="S181" s="263"/>
      <c r="T181" s="266"/>
      <c r="U181" s="266"/>
      <c r="V181" s="266"/>
      <c r="W181" s="266"/>
      <c r="X181" s="266"/>
      <c r="Y181" s="266"/>
      <c r="Z181" s="266"/>
      <c r="AA181" s="145"/>
      <c r="AB181" s="145"/>
      <c r="AC181" s="145"/>
      <c r="AD181" s="145"/>
      <c r="AE181" s="145"/>
      <c r="AF181" s="145"/>
      <c r="AG181" s="145"/>
      <c r="AH181" s="145"/>
      <c r="AI181" s="145"/>
      <c r="AJ181" s="145"/>
      <c r="AK181" s="145"/>
      <c r="AL181" s="145"/>
      <c r="AM181" s="145"/>
      <c r="AN181" s="145"/>
      <c r="AO181" s="145"/>
      <c r="AP181" s="145"/>
      <c r="AQ181" s="145"/>
      <c r="AR181" s="145"/>
      <c r="AS181" s="145"/>
      <c r="AT181" s="145"/>
      <c r="AU181" s="145"/>
      <c r="AV181" s="145"/>
      <c r="AW181" s="145"/>
      <c r="AX181" s="145"/>
      <c r="AY181" s="145"/>
      <c r="AZ181" s="145"/>
      <c r="BA181" s="145"/>
      <c r="BB181" s="145"/>
      <c r="BC181" s="145"/>
      <c r="BD181" s="145"/>
      <c r="BE181" s="145"/>
      <c r="BF181" s="145"/>
      <c r="BG181" s="145"/>
      <c r="BH181" s="145"/>
      <c r="BI181" s="145"/>
      <c r="BJ181" s="145"/>
      <c r="BK181" s="145"/>
      <c r="BL181" s="145"/>
      <c r="BM181" s="145"/>
      <c r="BN181" s="145"/>
      <c r="BO181" s="145"/>
      <c r="BP181" s="145"/>
      <c r="BQ181" s="145"/>
      <c r="BR181" s="145"/>
      <c r="BS181" s="145"/>
      <c r="BT181" s="145"/>
      <c r="BU181" s="145"/>
      <c r="BV181" s="145"/>
      <c r="BW181" s="145"/>
      <c r="BX181" s="145"/>
      <c r="BY181" s="145"/>
      <c r="BZ181" s="145"/>
      <c r="CA181" s="145"/>
      <c r="CB181" s="145"/>
      <c r="CC181" s="145"/>
      <c r="CD181" s="145"/>
      <c r="CE181" s="145"/>
      <c r="CF181" s="145"/>
      <c r="CG181" s="145"/>
      <c r="CH181" s="145"/>
      <c r="CI181" s="145"/>
      <c r="CJ181" s="145"/>
      <c r="CK181" s="145"/>
      <c r="CL181" s="145"/>
    </row>
    <row r="182" hidden="1" outlineLevel="1">
      <c r="A182" s="158" t="str">
        <f t="shared" si="10"/>
        <v>TC_06.163</v>
      </c>
      <c r="B182" s="267" t="s">
        <v>73</v>
      </c>
      <c r="C182" s="375" t="s">
        <v>2661</v>
      </c>
      <c r="D182" s="375" t="s">
        <v>2662</v>
      </c>
      <c r="E182" s="375" t="s">
        <v>2663</v>
      </c>
      <c r="F182" s="375" t="s">
        <v>2664</v>
      </c>
      <c r="G182" s="263"/>
      <c r="H182" s="263"/>
      <c r="I182" s="266"/>
      <c r="J182" s="266"/>
      <c r="K182" s="266"/>
      <c r="L182" s="266"/>
      <c r="M182" s="266"/>
      <c r="N182" s="266"/>
      <c r="O182" s="266"/>
      <c r="P182" s="266"/>
      <c r="Q182" s="266"/>
      <c r="R182" s="266"/>
      <c r="S182" s="263"/>
      <c r="T182" s="266"/>
      <c r="U182" s="266"/>
      <c r="V182" s="266"/>
      <c r="W182" s="266"/>
      <c r="X182" s="266"/>
      <c r="Y182" s="266"/>
      <c r="Z182" s="266"/>
      <c r="AA182" s="145"/>
      <c r="AB182" s="145"/>
      <c r="AC182" s="145"/>
      <c r="AD182" s="145"/>
      <c r="AE182" s="145"/>
      <c r="AF182" s="145"/>
      <c r="AG182" s="145"/>
      <c r="AH182" s="145"/>
      <c r="AI182" s="145"/>
      <c r="AJ182" s="145"/>
      <c r="AK182" s="145"/>
      <c r="AL182" s="145"/>
      <c r="AM182" s="145"/>
      <c r="AN182" s="145"/>
      <c r="AO182" s="145"/>
      <c r="AP182" s="145"/>
      <c r="AQ182" s="145"/>
      <c r="AR182" s="145"/>
      <c r="AS182" s="145"/>
      <c r="AT182" s="145"/>
      <c r="AU182" s="145"/>
      <c r="AV182" s="145"/>
      <c r="AW182" s="145"/>
      <c r="AX182" s="145"/>
      <c r="AY182" s="145"/>
      <c r="AZ182" s="145"/>
      <c r="BA182" s="145"/>
      <c r="BB182" s="145"/>
      <c r="BC182" s="145"/>
      <c r="BD182" s="145"/>
      <c r="BE182" s="145"/>
      <c r="BF182" s="145"/>
      <c r="BG182" s="145"/>
      <c r="BH182" s="145"/>
      <c r="BI182" s="145"/>
      <c r="BJ182" s="145"/>
      <c r="BK182" s="145"/>
      <c r="BL182" s="145"/>
      <c r="BM182" s="145"/>
      <c r="BN182" s="145"/>
      <c r="BO182" s="145"/>
      <c r="BP182" s="145"/>
      <c r="BQ182" s="145"/>
      <c r="BR182" s="145"/>
      <c r="BS182" s="145"/>
      <c r="BT182" s="145"/>
      <c r="BU182" s="145"/>
      <c r="BV182" s="145"/>
      <c r="BW182" s="145"/>
      <c r="BX182" s="145"/>
      <c r="BY182" s="145"/>
      <c r="BZ182" s="145"/>
      <c r="CA182" s="145"/>
      <c r="CB182" s="145"/>
      <c r="CC182" s="145"/>
      <c r="CD182" s="145"/>
      <c r="CE182" s="145"/>
      <c r="CF182" s="145"/>
      <c r="CG182" s="145"/>
      <c r="CH182" s="145"/>
      <c r="CI182" s="145"/>
      <c r="CJ182" s="145"/>
      <c r="CK182" s="145"/>
      <c r="CL182" s="145"/>
    </row>
    <row r="183" hidden="1" outlineLevel="1">
      <c r="A183" s="158" t="str">
        <f t="shared" si="10"/>
        <v>TC_06.164</v>
      </c>
      <c r="B183" s="267" t="s">
        <v>73</v>
      </c>
      <c r="C183" s="375" t="s">
        <v>2665</v>
      </c>
      <c r="D183" s="375" t="s">
        <v>2662</v>
      </c>
      <c r="E183" s="375" t="s">
        <v>2666</v>
      </c>
      <c r="F183" s="265" t="s">
        <v>2305</v>
      </c>
      <c r="G183" s="263"/>
      <c r="H183" s="263"/>
      <c r="I183" s="266"/>
      <c r="J183" s="266"/>
      <c r="K183" s="266"/>
      <c r="L183" s="266"/>
      <c r="M183" s="266"/>
      <c r="N183" s="266"/>
      <c r="O183" s="266"/>
      <c r="P183" s="266"/>
      <c r="Q183" s="266"/>
      <c r="R183" s="266"/>
      <c r="S183" s="263"/>
      <c r="T183" s="266"/>
      <c r="U183" s="266"/>
      <c r="V183" s="266"/>
      <c r="W183" s="266"/>
      <c r="X183" s="266"/>
      <c r="Y183" s="266"/>
      <c r="Z183" s="266"/>
      <c r="AA183" s="145"/>
      <c r="AB183" s="145"/>
      <c r="AC183" s="145"/>
      <c r="AD183" s="145"/>
      <c r="AE183" s="145"/>
      <c r="AF183" s="145"/>
      <c r="AG183" s="145"/>
      <c r="AH183" s="145"/>
      <c r="AI183" s="145"/>
      <c r="AJ183" s="145"/>
      <c r="AK183" s="145"/>
      <c r="AL183" s="145"/>
      <c r="AM183" s="145"/>
      <c r="AN183" s="145"/>
      <c r="AO183" s="145"/>
      <c r="AP183" s="145"/>
      <c r="AQ183" s="145"/>
      <c r="AR183" s="145"/>
      <c r="AS183" s="145"/>
      <c r="AT183" s="145"/>
      <c r="AU183" s="145"/>
      <c r="AV183" s="145"/>
      <c r="AW183" s="145"/>
      <c r="AX183" s="145"/>
      <c r="AY183" s="145"/>
      <c r="AZ183" s="145"/>
      <c r="BA183" s="145"/>
      <c r="BB183" s="145"/>
      <c r="BC183" s="145"/>
      <c r="BD183" s="145"/>
      <c r="BE183" s="145"/>
      <c r="BF183" s="145"/>
      <c r="BG183" s="145"/>
      <c r="BH183" s="145"/>
      <c r="BI183" s="145"/>
      <c r="BJ183" s="145"/>
      <c r="BK183" s="145"/>
      <c r="BL183" s="145"/>
      <c r="BM183" s="145"/>
      <c r="BN183" s="145"/>
      <c r="BO183" s="145"/>
      <c r="BP183" s="145"/>
      <c r="BQ183" s="145"/>
      <c r="BR183" s="145"/>
      <c r="BS183" s="145"/>
      <c r="BT183" s="145"/>
      <c r="BU183" s="145"/>
      <c r="BV183" s="145"/>
      <c r="BW183" s="145"/>
      <c r="BX183" s="145"/>
      <c r="BY183" s="145"/>
      <c r="BZ183" s="145"/>
      <c r="CA183" s="145"/>
      <c r="CB183" s="145"/>
      <c r="CC183" s="145"/>
      <c r="CD183" s="145"/>
      <c r="CE183" s="145"/>
      <c r="CF183" s="145"/>
      <c r="CG183" s="145"/>
      <c r="CH183" s="145"/>
      <c r="CI183" s="145"/>
      <c r="CJ183" s="145"/>
      <c r="CK183" s="145"/>
      <c r="CL183" s="145"/>
    </row>
    <row r="184" hidden="1" outlineLevel="1">
      <c r="A184" s="158" t="str">
        <f t="shared" si="10"/>
        <v>TC_06.165</v>
      </c>
      <c r="B184" s="267" t="s">
        <v>73</v>
      </c>
      <c r="C184" s="375" t="s">
        <v>2667</v>
      </c>
      <c r="D184" s="375" t="s">
        <v>2662</v>
      </c>
      <c r="E184" s="375" t="s">
        <v>2668</v>
      </c>
      <c r="F184" s="265" t="s">
        <v>2308</v>
      </c>
      <c r="G184" s="263"/>
      <c r="H184" s="263"/>
      <c r="I184" s="266"/>
      <c r="J184" s="266"/>
      <c r="K184" s="266"/>
      <c r="L184" s="266"/>
      <c r="M184" s="266"/>
      <c r="N184" s="266"/>
      <c r="O184" s="266"/>
      <c r="P184" s="266"/>
      <c r="Q184" s="266"/>
      <c r="R184" s="266"/>
      <c r="S184" s="263"/>
      <c r="T184" s="266"/>
      <c r="U184" s="266"/>
      <c r="V184" s="266"/>
      <c r="W184" s="266"/>
      <c r="X184" s="266"/>
      <c r="Y184" s="266"/>
      <c r="Z184" s="266"/>
      <c r="AA184" s="145"/>
      <c r="AB184" s="145"/>
      <c r="AC184" s="145"/>
      <c r="AD184" s="145"/>
      <c r="AE184" s="145"/>
      <c r="AF184" s="145"/>
      <c r="AG184" s="145"/>
      <c r="AH184" s="145"/>
      <c r="AI184" s="145"/>
      <c r="AJ184" s="145"/>
      <c r="AK184" s="145"/>
      <c r="AL184" s="145"/>
      <c r="AM184" s="145"/>
      <c r="AN184" s="145"/>
      <c r="AO184" s="145"/>
      <c r="AP184" s="145"/>
      <c r="AQ184" s="145"/>
      <c r="AR184" s="145"/>
      <c r="AS184" s="145"/>
      <c r="AT184" s="145"/>
      <c r="AU184" s="145"/>
      <c r="AV184" s="145"/>
      <c r="AW184" s="145"/>
      <c r="AX184" s="145"/>
      <c r="AY184" s="145"/>
      <c r="AZ184" s="145"/>
      <c r="BA184" s="145"/>
      <c r="BB184" s="145"/>
      <c r="BC184" s="145"/>
      <c r="BD184" s="145"/>
      <c r="BE184" s="145"/>
      <c r="BF184" s="145"/>
      <c r="BG184" s="145"/>
      <c r="BH184" s="145"/>
      <c r="BI184" s="145"/>
      <c r="BJ184" s="145"/>
      <c r="BK184" s="145"/>
      <c r="BL184" s="145"/>
      <c r="BM184" s="145"/>
      <c r="BN184" s="145"/>
      <c r="BO184" s="145"/>
      <c r="BP184" s="145"/>
      <c r="BQ184" s="145"/>
      <c r="BR184" s="145"/>
      <c r="BS184" s="145"/>
      <c r="BT184" s="145"/>
      <c r="BU184" s="145"/>
      <c r="BV184" s="145"/>
      <c r="BW184" s="145"/>
      <c r="BX184" s="145"/>
      <c r="BY184" s="145"/>
      <c r="BZ184" s="145"/>
      <c r="CA184" s="145"/>
      <c r="CB184" s="145"/>
      <c r="CC184" s="145"/>
      <c r="CD184" s="145"/>
      <c r="CE184" s="145"/>
      <c r="CF184" s="145"/>
      <c r="CG184" s="145"/>
      <c r="CH184" s="145"/>
      <c r="CI184" s="145"/>
      <c r="CJ184" s="145"/>
      <c r="CK184" s="145"/>
      <c r="CL184" s="145"/>
    </row>
    <row r="185" hidden="1" outlineLevel="1">
      <c r="A185" s="158" t="str">
        <f t="shared" si="10"/>
        <v>TC_06.166</v>
      </c>
      <c r="B185" s="267" t="s">
        <v>73</v>
      </c>
      <c r="C185" s="375" t="s">
        <v>2669</v>
      </c>
      <c r="D185" s="375" t="s">
        <v>2662</v>
      </c>
      <c r="E185" s="375" t="s">
        <v>2670</v>
      </c>
      <c r="F185" s="265" t="s">
        <v>2311</v>
      </c>
      <c r="G185" s="263"/>
      <c r="H185" s="263"/>
      <c r="I185" s="266"/>
      <c r="J185" s="266"/>
      <c r="K185" s="266"/>
      <c r="L185" s="266"/>
      <c r="M185" s="266"/>
      <c r="N185" s="266"/>
      <c r="O185" s="266"/>
      <c r="P185" s="266"/>
      <c r="Q185" s="266"/>
      <c r="R185" s="266"/>
      <c r="S185" s="263"/>
      <c r="T185" s="266"/>
      <c r="U185" s="266"/>
      <c r="V185" s="266"/>
      <c r="W185" s="266"/>
      <c r="X185" s="266"/>
      <c r="Y185" s="266"/>
      <c r="Z185" s="266"/>
      <c r="AA185" s="145"/>
      <c r="AB185" s="145"/>
      <c r="AC185" s="145"/>
      <c r="AD185" s="145"/>
      <c r="AE185" s="145"/>
      <c r="AF185" s="145"/>
      <c r="AG185" s="145"/>
      <c r="AH185" s="145"/>
      <c r="AI185" s="145"/>
      <c r="AJ185" s="145"/>
      <c r="AK185" s="145"/>
      <c r="AL185" s="145"/>
      <c r="AM185" s="145"/>
      <c r="AN185" s="145"/>
      <c r="AO185" s="145"/>
      <c r="AP185" s="145"/>
      <c r="AQ185" s="145"/>
      <c r="AR185" s="145"/>
      <c r="AS185" s="145"/>
      <c r="AT185" s="145"/>
      <c r="AU185" s="145"/>
      <c r="AV185" s="145"/>
      <c r="AW185" s="145"/>
      <c r="AX185" s="145"/>
      <c r="AY185" s="145"/>
      <c r="AZ185" s="145"/>
      <c r="BA185" s="145"/>
      <c r="BB185" s="145"/>
      <c r="BC185" s="145"/>
      <c r="BD185" s="145"/>
      <c r="BE185" s="145"/>
      <c r="BF185" s="145"/>
      <c r="BG185" s="145"/>
      <c r="BH185" s="145"/>
      <c r="BI185" s="145"/>
      <c r="BJ185" s="145"/>
      <c r="BK185" s="145"/>
      <c r="BL185" s="145"/>
      <c r="BM185" s="145"/>
      <c r="BN185" s="145"/>
      <c r="BO185" s="145"/>
      <c r="BP185" s="145"/>
      <c r="BQ185" s="145"/>
      <c r="BR185" s="145"/>
      <c r="BS185" s="145"/>
      <c r="BT185" s="145"/>
      <c r="BU185" s="145"/>
      <c r="BV185" s="145"/>
      <c r="BW185" s="145"/>
      <c r="BX185" s="145"/>
      <c r="BY185" s="145"/>
      <c r="BZ185" s="145"/>
      <c r="CA185" s="145"/>
      <c r="CB185" s="145"/>
      <c r="CC185" s="145"/>
      <c r="CD185" s="145"/>
      <c r="CE185" s="145"/>
      <c r="CF185" s="145"/>
      <c r="CG185" s="145"/>
      <c r="CH185" s="145"/>
      <c r="CI185" s="145"/>
      <c r="CJ185" s="145"/>
      <c r="CK185" s="145"/>
      <c r="CL185" s="145"/>
    </row>
    <row r="186" hidden="1" outlineLevel="1">
      <c r="A186" s="158" t="str">
        <f t="shared" si="10"/>
        <v>TC_06.167</v>
      </c>
      <c r="B186" s="267" t="s">
        <v>73</v>
      </c>
      <c r="C186" s="375" t="s">
        <v>2671</v>
      </c>
      <c r="D186" s="375" t="s">
        <v>2662</v>
      </c>
      <c r="E186" s="375" t="s">
        <v>2672</v>
      </c>
      <c r="F186" s="375" t="s">
        <v>2673</v>
      </c>
      <c r="G186" s="263"/>
      <c r="H186" s="263"/>
      <c r="I186" s="266"/>
      <c r="J186" s="266"/>
      <c r="K186" s="266"/>
      <c r="L186" s="266"/>
      <c r="M186" s="266"/>
      <c r="N186" s="266"/>
      <c r="O186" s="266"/>
      <c r="P186" s="266"/>
      <c r="Q186" s="266"/>
      <c r="R186" s="266"/>
      <c r="S186" s="263"/>
      <c r="T186" s="266"/>
      <c r="U186" s="266"/>
      <c r="V186" s="266"/>
      <c r="W186" s="266"/>
      <c r="X186" s="266"/>
      <c r="Y186" s="266"/>
      <c r="Z186" s="266"/>
      <c r="AA186" s="145"/>
      <c r="AB186" s="145"/>
      <c r="AC186" s="145"/>
      <c r="AD186" s="145"/>
      <c r="AE186" s="145"/>
      <c r="AF186" s="145"/>
      <c r="AG186" s="145"/>
      <c r="AH186" s="145"/>
      <c r="AI186" s="145"/>
      <c r="AJ186" s="145"/>
      <c r="AK186" s="145"/>
      <c r="AL186" s="145"/>
      <c r="AM186" s="145"/>
      <c r="AN186" s="145"/>
      <c r="AO186" s="145"/>
      <c r="AP186" s="145"/>
      <c r="AQ186" s="145"/>
      <c r="AR186" s="145"/>
      <c r="AS186" s="145"/>
      <c r="AT186" s="145"/>
      <c r="AU186" s="145"/>
      <c r="AV186" s="145"/>
      <c r="AW186" s="145"/>
      <c r="AX186" s="145"/>
      <c r="AY186" s="145"/>
      <c r="AZ186" s="145"/>
      <c r="BA186" s="145"/>
      <c r="BB186" s="145"/>
      <c r="BC186" s="145"/>
      <c r="BD186" s="145"/>
      <c r="BE186" s="145"/>
      <c r="BF186" s="145"/>
      <c r="BG186" s="145"/>
      <c r="BH186" s="145"/>
      <c r="BI186" s="145"/>
      <c r="BJ186" s="145"/>
      <c r="BK186" s="145"/>
      <c r="BL186" s="145"/>
      <c r="BM186" s="145"/>
      <c r="BN186" s="145"/>
      <c r="BO186" s="145"/>
      <c r="BP186" s="145"/>
      <c r="BQ186" s="145"/>
      <c r="BR186" s="145"/>
      <c r="BS186" s="145"/>
      <c r="BT186" s="145"/>
      <c r="BU186" s="145"/>
      <c r="BV186" s="145"/>
      <c r="BW186" s="145"/>
      <c r="BX186" s="145"/>
      <c r="BY186" s="145"/>
      <c r="BZ186" s="145"/>
      <c r="CA186" s="145"/>
      <c r="CB186" s="145"/>
      <c r="CC186" s="145"/>
      <c r="CD186" s="145"/>
      <c r="CE186" s="145"/>
      <c r="CF186" s="145"/>
      <c r="CG186" s="145"/>
      <c r="CH186" s="145"/>
      <c r="CI186" s="145"/>
      <c r="CJ186" s="145"/>
      <c r="CK186" s="145"/>
      <c r="CL186" s="145"/>
    </row>
    <row r="187" hidden="1" outlineLevel="1">
      <c r="A187" s="158" t="str">
        <f t="shared" si="10"/>
        <v>TC_06.168</v>
      </c>
      <c r="B187" s="267" t="s">
        <v>73</v>
      </c>
      <c r="C187" s="375" t="s">
        <v>2674</v>
      </c>
      <c r="D187" s="375" t="s">
        <v>2662</v>
      </c>
      <c r="E187" s="375" t="s">
        <v>2675</v>
      </c>
      <c r="F187" s="375" t="s">
        <v>2676</v>
      </c>
      <c r="G187" s="263"/>
      <c r="H187" s="263"/>
      <c r="I187" s="266"/>
      <c r="J187" s="266"/>
      <c r="K187" s="266"/>
      <c r="L187" s="266"/>
      <c r="M187" s="266"/>
      <c r="N187" s="266"/>
      <c r="O187" s="266"/>
      <c r="P187" s="266"/>
      <c r="Q187" s="266"/>
      <c r="R187" s="266"/>
      <c r="S187" s="263"/>
      <c r="T187" s="266"/>
      <c r="U187" s="266"/>
      <c r="V187" s="266"/>
      <c r="W187" s="266"/>
      <c r="X187" s="266"/>
      <c r="Y187" s="266"/>
      <c r="Z187" s="266"/>
      <c r="AA187" s="145"/>
      <c r="AB187" s="145"/>
      <c r="AC187" s="145"/>
      <c r="AD187" s="145"/>
      <c r="AE187" s="145"/>
      <c r="AF187" s="145"/>
      <c r="AG187" s="145"/>
      <c r="AH187" s="145"/>
      <c r="AI187" s="145"/>
      <c r="AJ187" s="145"/>
      <c r="AK187" s="145"/>
      <c r="AL187" s="145"/>
      <c r="AM187" s="145"/>
      <c r="AN187" s="145"/>
      <c r="AO187" s="145"/>
      <c r="AP187" s="145"/>
      <c r="AQ187" s="145"/>
      <c r="AR187" s="145"/>
      <c r="AS187" s="145"/>
      <c r="AT187" s="145"/>
      <c r="AU187" s="145"/>
      <c r="AV187" s="145"/>
      <c r="AW187" s="145"/>
      <c r="AX187" s="145"/>
      <c r="AY187" s="145"/>
      <c r="AZ187" s="145"/>
      <c r="BA187" s="145"/>
      <c r="BB187" s="145"/>
      <c r="BC187" s="145"/>
      <c r="BD187" s="145"/>
      <c r="BE187" s="145"/>
      <c r="BF187" s="145"/>
      <c r="BG187" s="145"/>
      <c r="BH187" s="145"/>
      <c r="BI187" s="145"/>
      <c r="BJ187" s="145"/>
      <c r="BK187" s="145"/>
      <c r="BL187" s="145"/>
      <c r="BM187" s="145"/>
      <c r="BN187" s="145"/>
      <c r="BO187" s="145"/>
      <c r="BP187" s="145"/>
      <c r="BQ187" s="145"/>
      <c r="BR187" s="145"/>
      <c r="BS187" s="145"/>
      <c r="BT187" s="145"/>
      <c r="BU187" s="145"/>
      <c r="BV187" s="145"/>
      <c r="BW187" s="145"/>
      <c r="BX187" s="145"/>
      <c r="BY187" s="145"/>
      <c r="BZ187" s="145"/>
      <c r="CA187" s="145"/>
      <c r="CB187" s="145"/>
      <c r="CC187" s="145"/>
      <c r="CD187" s="145"/>
      <c r="CE187" s="145"/>
      <c r="CF187" s="145"/>
      <c r="CG187" s="145"/>
      <c r="CH187" s="145"/>
      <c r="CI187" s="145"/>
      <c r="CJ187" s="145"/>
      <c r="CK187" s="145"/>
      <c r="CL187" s="145"/>
    </row>
    <row r="188" hidden="1" outlineLevel="1">
      <c r="A188" s="158" t="str">
        <f t="shared" si="10"/>
        <v>TC_06.169</v>
      </c>
      <c r="B188" s="267" t="s">
        <v>73</v>
      </c>
      <c r="C188" s="375" t="s">
        <v>2677</v>
      </c>
      <c r="D188" s="375" t="s">
        <v>2662</v>
      </c>
      <c r="E188" s="375" t="s">
        <v>2678</v>
      </c>
      <c r="F188" s="375" t="s">
        <v>2679</v>
      </c>
      <c r="G188" s="263"/>
      <c r="H188" s="263"/>
      <c r="I188" s="266"/>
      <c r="J188" s="266"/>
      <c r="K188" s="266"/>
      <c r="L188" s="266"/>
      <c r="M188" s="266"/>
      <c r="N188" s="266"/>
      <c r="O188" s="266"/>
      <c r="P188" s="266"/>
      <c r="Q188" s="266"/>
      <c r="R188" s="266"/>
      <c r="S188" s="263"/>
      <c r="T188" s="266"/>
      <c r="U188" s="266"/>
      <c r="V188" s="266"/>
      <c r="W188" s="266"/>
      <c r="X188" s="266"/>
      <c r="Y188" s="266"/>
      <c r="Z188" s="266"/>
      <c r="AA188" s="145"/>
      <c r="AB188" s="145"/>
      <c r="AC188" s="145"/>
      <c r="AD188" s="145"/>
      <c r="AE188" s="145"/>
      <c r="AF188" s="145"/>
      <c r="AG188" s="145"/>
      <c r="AH188" s="145"/>
      <c r="AI188" s="145"/>
      <c r="AJ188" s="145"/>
      <c r="AK188" s="145"/>
      <c r="AL188" s="145"/>
      <c r="AM188" s="145"/>
      <c r="AN188" s="145"/>
      <c r="AO188" s="145"/>
      <c r="AP188" s="145"/>
      <c r="AQ188" s="145"/>
      <c r="AR188" s="145"/>
      <c r="AS188" s="145"/>
      <c r="AT188" s="145"/>
      <c r="AU188" s="145"/>
      <c r="AV188" s="145"/>
      <c r="AW188" s="145"/>
      <c r="AX188" s="145"/>
      <c r="AY188" s="145"/>
      <c r="AZ188" s="145"/>
      <c r="BA188" s="145"/>
      <c r="BB188" s="145"/>
      <c r="BC188" s="145"/>
      <c r="BD188" s="145"/>
      <c r="BE188" s="145"/>
      <c r="BF188" s="145"/>
      <c r="BG188" s="145"/>
      <c r="BH188" s="145"/>
      <c r="BI188" s="145"/>
      <c r="BJ188" s="145"/>
      <c r="BK188" s="145"/>
      <c r="BL188" s="145"/>
      <c r="BM188" s="145"/>
      <c r="BN188" s="145"/>
      <c r="BO188" s="145"/>
      <c r="BP188" s="145"/>
      <c r="BQ188" s="145"/>
      <c r="BR188" s="145"/>
      <c r="BS188" s="145"/>
      <c r="BT188" s="145"/>
      <c r="BU188" s="145"/>
      <c r="BV188" s="145"/>
      <c r="BW188" s="145"/>
      <c r="BX188" s="145"/>
      <c r="BY188" s="145"/>
      <c r="BZ188" s="145"/>
      <c r="CA188" s="145"/>
      <c r="CB188" s="145"/>
      <c r="CC188" s="145"/>
      <c r="CD188" s="145"/>
      <c r="CE188" s="145"/>
      <c r="CF188" s="145"/>
      <c r="CG188" s="145"/>
      <c r="CH188" s="145"/>
      <c r="CI188" s="145"/>
      <c r="CJ188" s="145"/>
      <c r="CK188" s="145"/>
      <c r="CL188" s="145"/>
    </row>
    <row r="189" hidden="1" outlineLevel="1">
      <c r="A189" s="158" t="str">
        <f t="shared" si="10"/>
        <v>TC_06.170</v>
      </c>
      <c r="B189" s="267" t="s">
        <v>73</v>
      </c>
      <c r="C189" s="375" t="s">
        <v>2680</v>
      </c>
      <c r="D189" s="375" t="s">
        <v>2662</v>
      </c>
      <c r="E189" s="375" t="s">
        <v>2681</v>
      </c>
      <c r="F189" s="567" t="s">
        <v>2323</v>
      </c>
      <c r="G189" s="263"/>
      <c r="H189" s="263"/>
      <c r="I189" s="266"/>
      <c r="J189" s="266"/>
      <c r="K189" s="266"/>
      <c r="L189" s="266"/>
      <c r="M189" s="266"/>
      <c r="N189" s="266"/>
      <c r="O189" s="266"/>
      <c r="P189" s="266"/>
      <c r="Q189" s="266"/>
      <c r="R189" s="266"/>
      <c r="S189" s="263"/>
      <c r="T189" s="266"/>
      <c r="U189" s="266"/>
      <c r="V189" s="266"/>
      <c r="W189" s="266"/>
      <c r="X189" s="266"/>
      <c r="Y189" s="266"/>
      <c r="Z189" s="266"/>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45"/>
      <c r="AZ189" s="145"/>
      <c r="BA189" s="145"/>
      <c r="BB189" s="145"/>
      <c r="BC189" s="145"/>
      <c r="BD189" s="145"/>
      <c r="BE189" s="145"/>
      <c r="BF189" s="145"/>
      <c r="BG189" s="145"/>
      <c r="BH189" s="145"/>
      <c r="BI189" s="145"/>
      <c r="BJ189" s="145"/>
      <c r="BK189" s="145"/>
      <c r="BL189" s="145"/>
      <c r="BM189" s="145"/>
      <c r="BN189" s="145"/>
      <c r="BO189" s="145"/>
      <c r="BP189" s="145"/>
      <c r="BQ189" s="145"/>
      <c r="BR189" s="145"/>
      <c r="BS189" s="145"/>
      <c r="BT189" s="145"/>
      <c r="BU189" s="145"/>
      <c r="BV189" s="145"/>
      <c r="BW189" s="145"/>
      <c r="BX189" s="145"/>
      <c r="BY189" s="145"/>
      <c r="BZ189" s="145"/>
      <c r="CA189" s="145"/>
      <c r="CB189" s="145"/>
      <c r="CC189" s="145"/>
      <c r="CD189" s="145"/>
      <c r="CE189" s="145"/>
      <c r="CF189" s="145"/>
      <c r="CG189" s="145"/>
      <c r="CH189" s="145"/>
      <c r="CI189" s="145"/>
      <c r="CJ189" s="145"/>
      <c r="CK189" s="145"/>
      <c r="CL189" s="145"/>
    </row>
    <row r="190" hidden="1" outlineLevel="1">
      <c r="A190" s="158" t="str">
        <f t="shared" si="10"/>
        <v>TC_06.171</v>
      </c>
      <c r="B190" s="267" t="s">
        <v>73</v>
      </c>
      <c r="C190" s="375" t="s">
        <v>2682</v>
      </c>
      <c r="D190" s="375" t="s">
        <v>2683</v>
      </c>
      <c r="E190" s="375" t="s">
        <v>2684</v>
      </c>
      <c r="F190" s="265" t="s">
        <v>2327</v>
      </c>
      <c r="G190" s="263"/>
      <c r="H190" s="263"/>
      <c r="I190" s="266"/>
      <c r="J190" s="266"/>
      <c r="K190" s="266"/>
      <c r="L190" s="266"/>
      <c r="M190" s="266"/>
      <c r="N190" s="266"/>
      <c r="O190" s="266"/>
      <c r="P190" s="266"/>
      <c r="Q190" s="266"/>
      <c r="R190" s="266"/>
      <c r="S190" s="263"/>
      <c r="T190" s="266"/>
      <c r="U190" s="266"/>
      <c r="V190" s="266"/>
      <c r="W190" s="266"/>
      <c r="X190" s="266"/>
      <c r="Y190" s="266"/>
      <c r="Z190" s="266"/>
      <c r="AA190" s="145"/>
      <c r="AB190" s="145"/>
      <c r="AC190" s="145"/>
      <c r="AD190" s="145"/>
      <c r="AE190" s="145"/>
      <c r="AF190" s="145"/>
      <c r="AG190" s="145"/>
      <c r="AH190" s="145"/>
      <c r="AI190" s="145"/>
      <c r="AJ190" s="145"/>
      <c r="AK190" s="145"/>
      <c r="AL190" s="145"/>
      <c r="AM190" s="145"/>
      <c r="AN190" s="145"/>
      <c r="AO190" s="145"/>
      <c r="AP190" s="145"/>
      <c r="AQ190" s="145"/>
      <c r="AR190" s="145"/>
      <c r="AS190" s="145"/>
      <c r="AT190" s="145"/>
      <c r="AU190" s="145"/>
      <c r="AV190" s="145"/>
      <c r="AW190" s="145"/>
      <c r="AX190" s="145"/>
      <c r="AY190" s="145"/>
      <c r="AZ190" s="145"/>
      <c r="BA190" s="145"/>
      <c r="BB190" s="145"/>
      <c r="BC190" s="145"/>
      <c r="BD190" s="145"/>
      <c r="BE190" s="145"/>
      <c r="BF190" s="145"/>
      <c r="BG190" s="145"/>
      <c r="BH190" s="145"/>
      <c r="BI190" s="145"/>
      <c r="BJ190" s="145"/>
      <c r="BK190" s="145"/>
      <c r="BL190" s="145"/>
      <c r="BM190" s="145"/>
      <c r="BN190" s="145"/>
      <c r="BO190" s="145"/>
      <c r="BP190" s="145"/>
      <c r="BQ190" s="145"/>
      <c r="BR190" s="145"/>
      <c r="BS190" s="145"/>
      <c r="BT190" s="145"/>
      <c r="BU190" s="145"/>
      <c r="BV190" s="145"/>
      <c r="BW190" s="145"/>
      <c r="BX190" s="145"/>
      <c r="BY190" s="145"/>
      <c r="BZ190" s="145"/>
      <c r="CA190" s="145"/>
      <c r="CB190" s="145"/>
      <c r="CC190" s="145"/>
      <c r="CD190" s="145"/>
      <c r="CE190" s="145"/>
      <c r="CF190" s="145"/>
      <c r="CG190" s="145"/>
      <c r="CH190" s="145"/>
      <c r="CI190" s="145"/>
      <c r="CJ190" s="145"/>
      <c r="CK190" s="145"/>
      <c r="CL190" s="145"/>
    </row>
    <row r="191" hidden="1" outlineLevel="1">
      <c r="A191" s="158" t="str">
        <f t="shared" si="10"/>
        <v>TC_06.172</v>
      </c>
      <c r="B191" s="267" t="s">
        <v>75</v>
      </c>
      <c r="C191" s="375" t="s">
        <v>2685</v>
      </c>
      <c r="D191" s="375" t="s">
        <v>2686</v>
      </c>
      <c r="E191" s="375" t="s">
        <v>2687</v>
      </c>
      <c r="F191" s="375" t="s">
        <v>2688</v>
      </c>
      <c r="G191" s="263"/>
      <c r="H191" s="263"/>
      <c r="I191" s="266"/>
      <c r="J191" s="266"/>
      <c r="K191" s="266"/>
      <c r="L191" s="266"/>
      <c r="M191" s="266"/>
      <c r="N191" s="266"/>
      <c r="O191" s="266"/>
      <c r="P191" s="266"/>
      <c r="Q191" s="266"/>
      <c r="R191" s="266"/>
      <c r="S191" s="263"/>
      <c r="T191" s="266"/>
      <c r="U191" s="266"/>
      <c r="V191" s="266"/>
      <c r="W191" s="266"/>
      <c r="X191" s="266"/>
      <c r="Y191" s="266"/>
      <c r="Z191" s="266"/>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145"/>
      <c r="AV191" s="145"/>
      <c r="AW191" s="145"/>
      <c r="AX191" s="145"/>
      <c r="AY191" s="145"/>
      <c r="AZ191" s="145"/>
      <c r="BA191" s="145"/>
      <c r="BB191" s="145"/>
      <c r="BC191" s="145"/>
      <c r="BD191" s="145"/>
      <c r="BE191" s="145"/>
      <c r="BF191" s="145"/>
      <c r="BG191" s="145"/>
      <c r="BH191" s="145"/>
      <c r="BI191" s="145"/>
      <c r="BJ191" s="145"/>
      <c r="BK191" s="145"/>
      <c r="BL191" s="145"/>
      <c r="BM191" s="145"/>
      <c r="BN191" s="145"/>
      <c r="BO191" s="145"/>
      <c r="BP191" s="145"/>
      <c r="BQ191" s="145"/>
      <c r="BR191" s="145"/>
      <c r="BS191" s="145"/>
      <c r="BT191" s="145"/>
      <c r="BU191" s="145"/>
      <c r="BV191" s="145"/>
      <c r="BW191" s="145"/>
      <c r="BX191" s="145"/>
      <c r="BY191" s="145"/>
      <c r="BZ191" s="145"/>
      <c r="CA191" s="145"/>
      <c r="CB191" s="145"/>
      <c r="CC191" s="145"/>
      <c r="CD191" s="145"/>
      <c r="CE191" s="145"/>
      <c r="CF191" s="145"/>
      <c r="CG191" s="145"/>
      <c r="CH191" s="145"/>
      <c r="CI191" s="145"/>
      <c r="CJ191" s="145"/>
      <c r="CK191" s="145"/>
      <c r="CL191" s="145"/>
    </row>
    <row r="192" hidden="1" outlineLevel="1">
      <c r="A192" s="158" t="str">
        <f t="shared" si="10"/>
        <v>TC_06.173</v>
      </c>
      <c r="B192" s="267" t="s">
        <v>75</v>
      </c>
      <c r="C192" s="375" t="s">
        <v>2689</v>
      </c>
      <c r="D192" s="375" t="s">
        <v>2690</v>
      </c>
      <c r="E192" s="375" t="s">
        <v>2691</v>
      </c>
      <c r="F192" s="265" t="s">
        <v>2414</v>
      </c>
      <c r="G192" s="263"/>
      <c r="H192" s="263"/>
      <c r="I192" s="266"/>
      <c r="J192" s="266"/>
      <c r="K192" s="266"/>
      <c r="L192" s="266"/>
      <c r="M192" s="266"/>
      <c r="N192" s="266"/>
      <c r="O192" s="266"/>
      <c r="P192" s="266"/>
      <c r="Q192" s="266"/>
      <c r="R192" s="266"/>
      <c r="S192" s="263"/>
      <c r="T192" s="266"/>
      <c r="U192" s="266"/>
      <c r="V192" s="266"/>
      <c r="W192" s="266"/>
      <c r="X192" s="266"/>
      <c r="Y192" s="266"/>
      <c r="Z192" s="266"/>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45"/>
      <c r="AZ192" s="145"/>
      <c r="BA192" s="145"/>
      <c r="BB192" s="145"/>
      <c r="BC192" s="145"/>
      <c r="BD192" s="145"/>
      <c r="BE192" s="145"/>
      <c r="BF192" s="145"/>
      <c r="BG192" s="145"/>
      <c r="BH192" s="145"/>
      <c r="BI192" s="145"/>
      <c r="BJ192" s="145"/>
      <c r="BK192" s="145"/>
      <c r="BL192" s="145"/>
      <c r="BM192" s="145"/>
      <c r="BN192" s="145"/>
      <c r="BO192" s="145"/>
      <c r="BP192" s="145"/>
      <c r="BQ192" s="145"/>
      <c r="BR192" s="145"/>
      <c r="BS192" s="145"/>
      <c r="BT192" s="145"/>
      <c r="BU192" s="145"/>
      <c r="BV192" s="145"/>
      <c r="BW192" s="145"/>
      <c r="BX192" s="145"/>
      <c r="BY192" s="145"/>
      <c r="BZ192" s="145"/>
      <c r="CA192" s="145"/>
      <c r="CB192" s="145"/>
      <c r="CC192" s="145"/>
      <c r="CD192" s="145"/>
      <c r="CE192" s="145"/>
      <c r="CF192" s="145"/>
      <c r="CG192" s="145"/>
      <c r="CH192" s="145"/>
      <c r="CI192" s="145"/>
      <c r="CJ192" s="145"/>
      <c r="CK192" s="145"/>
      <c r="CL192" s="145"/>
    </row>
    <row r="193" hidden="1" outlineLevel="1">
      <c r="A193" s="158" t="str">
        <f t="shared" si="10"/>
        <v>TC_06.174</v>
      </c>
      <c r="B193" s="267" t="s">
        <v>75</v>
      </c>
      <c r="C193" s="375" t="s">
        <v>2692</v>
      </c>
      <c r="D193" s="375" t="s">
        <v>2693</v>
      </c>
      <c r="E193" s="375" t="s">
        <v>2694</v>
      </c>
      <c r="F193" s="375" t="s">
        <v>2695</v>
      </c>
      <c r="G193" s="263"/>
      <c r="H193" s="263"/>
      <c r="I193" s="266"/>
      <c r="J193" s="266"/>
      <c r="K193" s="266"/>
      <c r="L193" s="266"/>
      <c r="M193" s="266"/>
      <c r="N193" s="266"/>
      <c r="O193" s="266"/>
      <c r="P193" s="266"/>
      <c r="Q193" s="266"/>
      <c r="R193" s="266"/>
      <c r="S193" s="263"/>
      <c r="T193" s="266"/>
      <c r="U193" s="266"/>
      <c r="V193" s="266"/>
      <c r="W193" s="266"/>
      <c r="X193" s="266"/>
      <c r="Y193" s="266"/>
      <c r="Z193" s="266"/>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45"/>
      <c r="AZ193" s="145"/>
      <c r="BA193" s="145"/>
      <c r="BB193" s="145"/>
      <c r="BC193" s="145"/>
      <c r="BD193" s="145"/>
      <c r="BE193" s="145"/>
      <c r="BF193" s="145"/>
      <c r="BG193" s="145"/>
      <c r="BH193" s="145"/>
      <c r="BI193" s="145"/>
      <c r="BJ193" s="145"/>
      <c r="BK193" s="145"/>
      <c r="BL193" s="145"/>
      <c r="BM193" s="145"/>
      <c r="BN193" s="145"/>
      <c r="BO193" s="145"/>
      <c r="BP193" s="145"/>
      <c r="BQ193" s="145"/>
      <c r="BR193" s="145"/>
      <c r="BS193" s="145"/>
      <c r="BT193" s="145"/>
      <c r="BU193" s="145"/>
      <c r="BV193" s="145"/>
      <c r="BW193" s="145"/>
      <c r="BX193" s="145"/>
      <c r="BY193" s="145"/>
      <c r="BZ193" s="145"/>
      <c r="CA193" s="145"/>
      <c r="CB193" s="145"/>
      <c r="CC193" s="145"/>
      <c r="CD193" s="145"/>
      <c r="CE193" s="145"/>
      <c r="CF193" s="145"/>
      <c r="CG193" s="145"/>
      <c r="CH193" s="145"/>
      <c r="CI193" s="145"/>
      <c r="CJ193" s="145"/>
      <c r="CK193" s="145"/>
      <c r="CL193" s="145"/>
    </row>
    <row r="194" hidden="1" outlineLevel="1">
      <c r="A194" s="158" t="str">
        <f t="shared" si="10"/>
        <v>TC_06.175</v>
      </c>
      <c r="B194" s="267" t="s">
        <v>75</v>
      </c>
      <c r="C194" s="375" t="s">
        <v>2419</v>
      </c>
      <c r="D194" s="375" t="s">
        <v>2420</v>
      </c>
      <c r="E194" s="375" t="s">
        <v>2696</v>
      </c>
      <c r="F194" s="375" t="s">
        <v>2422</v>
      </c>
      <c r="G194" s="263"/>
      <c r="H194" s="263"/>
      <c r="I194" s="266"/>
      <c r="J194" s="266"/>
      <c r="K194" s="266"/>
      <c r="L194" s="266"/>
      <c r="M194" s="266"/>
      <c r="N194" s="266"/>
      <c r="O194" s="266"/>
      <c r="P194" s="266"/>
      <c r="Q194" s="266"/>
      <c r="R194" s="266"/>
      <c r="S194" s="263"/>
      <c r="T194" s="266"/>
      <c r="U194" s="266"/>
      <c r="V194" s="266"/>
      <c r="W194" s="266"/>
      <c r="X194" s="266"/>
      <c r="Y194" s="266"/>
      <c r="Z194" s="266"/>
      <c r="AA194" s="145"/>
      <c r="AB194" s="145"/>
      <c r="AC194" s="145"/>
      <c r="AD194" s="145"/>
      <c r="AE194" s="145"/>
      <c r="AF194" s="145"/>
      <c r="AG194" s="145"/>
      <c r="AH194" s="145"/>
      <c r="AI194" s="145"/>
      <c r="AJ194" s="145"/>
      <c r="AK194" s="145"/>
      <c r="AL194" s="145"/>
      <c r="AM194" s="145"/>
      <c r="AN194" s="145"/>
      <c r="AO194" s="145"/>
      <c r="AP194" s="145"/>
      <c r="AQ194" s="145"/>
      <c r="AR194" s="145"/>
      <c r="AS194" s="145"/>
      <c r="AT194" s="145"/>
      <c r="AU194" s="145"/>
      <c r="AV194" s="145"/>
      <c r="AW194" s="145"/>
      <c r="AX194" s="145"/>
      <c r="AY194" s="145"/>
      <c r="AZ194" s="145"/>
      <c r="BA194" s="145"/>
      <c r="BB194" s="145"/>
      <c r="BC194" s="145"/>
      <c r="BD194" s="145"/>
      <c r="BE194" s="145"/>
      <c r="BF194" s="145"/>
      <c r="BG194" s="145"/>
      <c r="BH194" s="145"/>
      <c r="BI194" s="145"/>
      <c r="BJ194" s="145"/>
      <c r="BK194" s="145"/>
      <c r="BL194" s="145"/>
      <c r="BM194" s="145"/>
      <c r="BN194" s="145"/>
      <c r="BO194" s="145"/>
      <c r="BP194" s="145"/>
      <c r="BQ194" s="145"/>
      <c r="BR194" s="145"/>
      <c r="BS194" s="145"/>
      <c r="BT194" s="145"/>
      <c r="BU194" s="145"/>
      <c r="BV194" s="145"/>
      <c r="BW194" s="145"/>
      <c r="BX194" s="145"/>
      <c r="BY194" s="145"/>
      <c r="BZ194" s="145"/>
      <c r="CA194" s="145"/>
      <c r="CB194" s="145"/>
      <c r="CC194" s="145"/>
      <c r="CD194" s="145"/>
      <c r="CE194" s="145"/>
      <c r="CF194" s="145"/>
      <c r="CG194" s="145"/>
      <c r="CH194" s="145"/>
      <c r="CI194" s="145"/>
      <c r="CJ194" s="145"/>
      <c r="CK194" s="145"/>
      <c r="CL194" s="145"/>
    </row>
    <row r="195" hidden="1" outlineLevel="1">
      <c r="A195" s="158" t="str">
        <f t="shared" si="10"/>
        <v>TC_06.176</v>
      </c>
      <c r="B195" s="267" t="s">
        <v>75</v>
      </c>
      <c r="C195" s="375" t="s">
        <v>2423</v>
      </c>
      <c r="D195" s="375" t="s">
        <v>2424</v>
      </c>
      <c r="E195" s="375" t="s">
        <v>2697</v>
      </c>
      <c r="F195" s="375" t="s">
        <v>2426</v>
      </c>
      <c r="G195" s="263"/>
      <c r="H195" s="263"/>
      <c r="I195" s="266"/>
      <c r="J195" s="266"/>
      <c r="K195" s="266"/>
      <c r="L195" s="266"/>
      <c r="M195" s="266"/>
      <c r="N195" s="266"/>
      <c r="O195" s="266"/>
      <c r="P195" s="266"/>
      <c r="Q195" s="266"/>
      <c r="R195" s="266"/>
      <c r="S195" s="263"/>
      <c r="T195" s="266"/>
      <c r="U195" s="266"/>
      <c r="V195" s="266"/>
      <c r="W195" s="266"/>
      <c r="X195" s="266"/>
      <c r="Y195" s="266"/>
      <c r="Z195" s="266"/>
      <c r="AA195" s="145"/>
      <c r="AB195" s="145"/>
      <c r="AC195" s="145"/>
      <c r="AD195" s="145"/>
      <c r="AE195" s="145"/>
      <c r="AF195" s="145"/>
      <c r="AG195" s="145"/>
      <c r="AH195" s="145"/>
      <c r="AI195" s="145"/>
      <c r="AJ195" s="145"/>
      <c r="AK195" s="145"/>
      <c r="AL195" s="145"/>
      <c r="AM195" s="145"/>
      <c r="AN195" s="145"/>
      <c r="AO195" s="145"/>
      <c r="AP195" s="145"/>
      <c r="AQ195" s="145"/>
      <c r="AR195" s="145"/>
      <c r="AS195" s="145"/>
      <c r="AT195" s="145"/>
      <c r="AU195" s="145"/>
      <c r="AV195" s="145"/>
      <c r="AW195" s="145"/>
      <c r="AX195" s="145"/>
      <c r="AY195" s="145"/>
      <c r="AZ195" s="145"/>
      <c r="BA195" s="145"/>
      <c r="BB195" s="145"/>
      <c r="BC195" s="145"/>
      <c r="BD195" s="145"/>
      <c r="BE195" s="145"/>
      <c r="BF195" s="145"/>
      <c r="BG195" s="145"/>
      <c r="BH195" s="145"/>
      <c r="BI195" s="145"/>
      <c r="BJ195" s="145"/>
      <c r="BK195" s="145"/>
      <c r="BL195" s="145"/>
      <c r="BM195" s="145"/>
      <c r="BN195" s="145"/>
      <c r="BO195" s="145"/>
      <c r="BP195" s="145"/>
      <c r="BQ195" s="145"/>
      <c r="BR195" s="145"/>
      <c r="BS195" s="145"/>
      <c r="BT195" s="145"/>
      <c r="BU195" s="145"/>
      <c r="BV195" s="145"/>
      <c r="BW195" s="145"/>
      <c r="BX195" s="145"/>
      <c r="BY195" s="145"/>
      <c r="BZ195" s="145"/>
      <c r="CA195" s="145"/>
      <c r="CB195" s="145"/>
      <c r="CC195" s="145"/>
      <c r="CD195" s="145"/>
      <c r="CE195" s="145"/>
      <c r="CF195" s="145"/>
      <c r="CG195" s="145"/>
      <c r="CH195" s="145"/>
      <c r="CI195" s="145"/>
      <c r="CJ195" s="145"/>
      <c r="CK195" s="145"/>
      <c r="CL195" s="145"/>
    </row>
    <row r="196" hidden="1" outlineLevel="1">
      <c r="A196" s="158" t="str">
        <f t="shared" si="10"/>
        <v>TC_06.177</v>
      </c>
      <c r="B196" s="267" t="s">
        <v>73</v>
      </c>
      <c r="C196" s="375" t="s">
        <v>2698</v>
      </c>
      <c r="D196" s="375" t="s">
        <v>2699</v>
      </c>
      <c r="E196" s="375" t="s">
        <v>2700</v>
      </c>
      <c r="F196" s="265" t="s">
        <v>2430</v>
      </c>
      <c r="G196" s="263"/>
      <c r="H196" s="263"/>
      <c r="I196" s="266"/>
      <c r="J196" s="266"/>
      <c r="K196" s="266"/>
      <c r="L196" s="266"/>
      <c r="M196" s="266"/>
      <c r="N196" s="266"/>
      <c r="O196" s="266"/>
      <c r="P196" s="266"/>
      <c r="Q196" s="266"/>
      <c r="R196" s="266"/>
      <c r="S196" s="263"/>
      <c r="T196" s="266"/>
      <c r="U196" s="266"/>
      <c r="V196" s="266"/>
      <c r="W196" s="266"/>
      <c r="X196" s="266"/>
      <c r="Y196" s="266"/>
      <c r="Z196" s="266"/>
      <c r="AA196" s="145"/>
      <c r="AB196" s="145"/>
      <c r="AC196" s="145"/>
      <c r="AD196" s="145"/>
      <c r="AE196" s="145"/>
      <c r="AF196" s="145"/>
      <c r="AG196" s="145"/>
      <c r="AH196" s="145"/>
      <c r="AI196" s="145"/>
      <c r="AJ196" s="145"/>
      <c r="AK196" s="145"/>
      <c r="AL196" s="145"/>
      <c r="AM196" s="145"/>
      <c r="AN196" s="145"/>
      <c r="AO196" s="145"/>
      <c r="AP196" s="145"/>
      <c r="AQ196" s="145"/>
      <c r="AR196" s="145"/>
      <c r="AS196" s="145"/>
      <c r="AT196" s="145"/>
      <c r="AU196" s="145"/>
      <c r="AV196" s="145"/>
      <c r="AW196" s="145"/>
      <c r="AX196" s="145"/>
      <c r="AY196" s="145"/>
      <c r="AZ196" s="145"/>
      <c r="BA196" s="145"/>
      <c r="BB196" s="145"/>
      <c r="BC196" s="145"/>
      <c r="BD196" s="145"/>
      <c r="BE196" s="145"/>
      <c r="BF196" s="145"/>
      <c r="BG196" s="145"/>
      <c r="BH196" s="145"/>
      <c r="BI196" s="145"/>
      <c r="BJ196" s="145"/>
      <c r="BK196" s="145"/>
      <c r="BL196" s="145"/>
      <c r="BM196" s="145"/>
      <c r="BN196" s="145"/>
      <c r="BO196" s="145"/>
      <c r="BP196" s="145"/>
      <c r="BQ196" s="145"/>
      <c r="BR196" s="145"/>
      <c r="BS196" s="145"/>
      <c r="BT196" s="145"/>
      <c r="BU196" s="145"/>
      <c r="BV196" s="145"/>
      <c r="BW196" s="145"/>
      <c r="BX196" s="145"/>
      <c r="BY196" s="145"/>
      <c r="BZ196" s="145"/>
      <c r="CA196" s="145"/>
      <c r="CB196" s="145"/>
      <c r="CC196" s="145"/>
      <c r="CD196" s="145"/>
      <c r="CE196" s="145"/>
      <c r="CF196" s="145"/>
      <c r="CG196" s="145"/>
      <c r="CH196" s="145"/>
      <c r="CI196" s="145"/>
      <c r="CJ196" s="145"/>
      <c r="CK196" s="145"/>
      <c r="CL196" s="145"/>
    </row>
    <row r="197" hidden="1" outlineLevel="1">
      <c r="A197" s="158" t="str">
        <f t="shared" si="10"/>
        <v>TC_06.178</v>
      </c>
      <c r="B197" s="267" t="s">
        <v>73</v>
      </c>
      <c r="C197" s="265" t="s">
        <v>2431</v>
      </c>
      <c r="D197" s="375" t="s">
        <v>2701</v>
      </c>
      <c r="E197" s="375" t="s">
        <v>2702</v>
      </c>
      <c r="F197" s="265" t="s">
        <v>2434</v>
      </c>
      <c r="G197" s="263"/>
      <c r="H197" s="263"/>
      <c r="I197" s="266"/>
      <c r="J197" s="266"/>
      <c r="K197" s="266"/>
      <c r="L197" s="266"/>
      <c r="M197" s="266"/>
      <c r="N197" s="266"/>
      <c r="O197" s="266"/>
      <c r="P197" s="266"/>
      <c r="Q197" s="266"/>
      <c r="R197" s="266"/>
      <c r="S197" s="263"/>
      <c r="T197" s="266"/>
      <c r="U197" s="266"/>
      <c r="V197" s="266"/>
      <c r="W197" s="266"/>
      <c r="X197" s="266"/>
      <c r="Y197" s="266"/>
      <c r="Z197" s="266"/>
      <c r="AA197" s="145"/>
      <c r="AB197" s="145"/>
      <c r="AC197" s="145"/>
      <c r="AD197" s="145"/>
      <c r="AE197" s="145"/>
      <c r="AF197" s="145"/>
      <c r="AG197" s="145"/>
      <c r="AH197" s="145"/>
      <c r="AI197" s="145"/>
      <c r="AJ197" s="145"/>
      <c r="AK197" s="145"/>
      <c r="AL197" s="145"/>
      <c r="AM197" s="145"/>
      <c r="AN197" s="145"/>
      <c r="AO197" s="145"/>
      <c r="AP197" s="145"/>
      <c r="AQ197" s="145"/>
      <c r="AR197" s="145"/>
      <c r="AS197" s="145"/>
      <c r="AT197" s="145"/>
      <c r="AU197" s="145"/>
      <c r="AV197" s="145"/>
      <c r="AW197" s="145"/>
      <c r="AX197" s="145"/>
      <c r="AY197" s="145"/>
      <c r="AZ197" s="145"/>
      <c r="BA197" s="145"/>
      <c r="BB197" s="145"/>
      <c r="BC197" s="145"/>
      <c r="BD197" s="145"/>
      <c r="BE197" s="145"/>
      <c r="BF197" s="145"/>
      <c r="BG197" s="145"/>
      <c r="BH197" s="145"/>
      <c r="BI197" s="145"/>
      <c r="BJ197" s="145"/>
      <c r="BK197" s="145"/>
      <c r="BL197" s="145"/>
      <c r="BM197" s="145"/>
      <c r="BN197" s="145"/>
      <c r="BO197" s="145"/>
      <c r="BP197" s="145"/>
      <c r="BQ197" s="145"/>
      <c r="BR197" s="145"/>
      <c r="BS197" s="145"/>
      <c r="BT197" s="145"/>
      <c r="BU197" s="145"/>
      <c r="BV197" s="145"/>
      <c r="BW197" s="145"/>
      <c r="BX197" s="145"/>
      <c r="BY197" s="145"/>
      <c r="BZ197" s="145"/>
      <c r="CA197" s="145"/>
      <c r="CB197" s="145"/>
      <c r="CC197" s="145"/>
      <c r="CD197" s="145"/>
      <c r="CE197" s="145"/>
      <c r="CF197" s="145"/>
      <c r="CG197" s="145"/>
      <c r="CH197" s="145"/>
      <c r="CI197" s="145"/>
      <c r="CJ197" s="145"/>
      <c r="CK197" s="145"/>
      <c r="CL197" s="145"/>
    </row>
    <row r="198" collapsed="1">
      <c r="A198" s="562" t="s">
        <v>2703</v>
      </c>
      <c r="B198" s="148"/>
      <c r="C198" s="148"/>
      <c r="D198" s="148"/>
      <c r="E198" s="148"/>
      <c r="F198" s="171"/>
      <c r="G198" s="265"/>
      <c r="H198" s="265"/>
      <c r="I198" s="273"/>
      <c r="J198" s="273"/>
      <c r="K198" s="273"/>
      <c r="L198" s="273"/>
      <c r="M198" s="273"/>
      <c r="N198" s="273"/>
      <c r="O198" s="273"/>
      <c r="P198" s="273"/>
      <c r="Q198" s="273"/>
      <c r="R198" s="273"/>
      <c r="S198" s="265"/>
      <c r="T198" s="273"/>
      <c r="U198" s="273"/>
      <c r="V198" s="273"/>
      <c r="W198" s="273"/>
      <c r="X198" s="273"/>
      <c r="Y198" s="273"/>
      <c r="Z198" s="273"/>
      <c r="AA198" s="465"/>
      <c r="AB198" s="465"/>
      <c r="AC198" s="465"/>
      <c r="AD198" s="465"/>
      <c r="AE198" s="465"/>
      <c r="AF198" s="465"/>
      <c r="AG198" s="465"/>
      <c r="AH198" s="465"/>
      <c r="AI198" s="465"/>
      <c r="AJ198" s="465"/>
      <c r="AK198" s="465"/>
      <c r="AL198" s="465"/>
      <c r="AM198" s="465"/>
      <c r="AN198" s="465"/>
      <c r="AO198" s="465"/>
      <c r="AP198" s="465"/>
      <c r="AQ198" s="465"/>
      <c r="AR198" s="465"/>
      <c r="AS198" s="465"/>
      <c r="AT198" s="465"/>
      <c r="AU198" s="465"/>
      <c r="AV198" s="465"/>
      <c r="AW198" s="465"/>
      <c r="AX198" s="465"/>
      <c r="AY198" s="465"/>
      <c r="AZ198" s="465"/>
      <c r="BA198" s="465"/>
      <c r="BB198" s="465"/>
      <c r="BC198" s="465"/>
      <c r="BD198" s="465"/>
      <c r="BE198" s="465"/>
      <c r="BF198" s="465"/>
      <c r="BG198" s="465"/>
      <c r="BH198" s="465"/>
      <c r="BI198" s="465"/>
      <c r="BJ198" s="465"/>
      <c r="BK198" s="465"/>
      <c r="BL198" s="465"/>
      <c r="BM198" s="465"/>
      <c r="BN198" s="465"/>
      <c r="BO198" s="465"/>
      <c r="BP198" s="465"/>
      <c r="BQ198" s="465"/>
      <c r="BR198" s="465"/>
      <c r="BS198" s="465"/>
      <c r="BT198" s="465"/>
      <c r="BU198" s="465"/>
      <c r="BV198" s="465"/>
      <c r="BW198" s="465"/>
      <c r="BX198" s="465"/>
      <c r="BY198" s="465"/>
      <c r="BZ198" s="465"/>
      <c r="CA198" s="465"/>
      <c r="CB198" s="465"/>
      <c r="CC198" s="465"/>
      <c r="CD198" s="465"/>
      <c r="CE198" s="465"/>
      <c r="CF198" s="465"/>
      <c r="CG198" s="465"/>
      <c r="CH198" s="465"/>
      <c r="CI198" s="465"/>
      <c r="CJ198" s="465"/>
      <c r="CK198" s="465"/>
      <c r="CL198" s="465"/>
    </row>
    <row r="199" hidden="1" outlineLevel="1">
      <c r="A199" s="158" t="str">
        <f t="shared" ref="A199:A202" si="11">IF(E199="","",$C$3&amp;"."&amp;COUNTA($E$8:E199)&amp;"")</f>
        <v>TC_06.179</v>
      </c>
      <c r="B199" s="565" t="s">
        <v>75</v>
      </c>
      <c r="C199" s="566" t="s">
        <v>2704</v>
      </c>
      <c r="D199" s="566" t="s">
        <v>2705</v>
      </c>
      <c r="E199" s="561" t="s">
        <v>2706</v>
      </c>
      <c r="F199" s="566" t="s">
        <v>2707</v>
      </c>
      <c r="G199" s="265"/>
      <c r="H199" s="265"/>
      <c r="I199" s="273"/>
      <c r="J199" s="273"/>
      <c r="K199" s="273"/>
      <c r="L199" s="273"/>
      <c r="M199" s="273"/>
      <c r="N199" s="273"/>
      <c r="O199" s="273"/>
      <c r="P199" s="273"/>
      <c r="Q199" s="273"/>
      <c r="R199" s="273"/>
      <c r="S199" s="265"/>
      <c r="T199" s="273"/>
      <c r="U199" s="273"/>
      <c r="V199" s="273"/>
      <c r="W199" s="273"/>
      <c r="X199" s="273"/>
      <c r="Y199" s="273"/>
      <c r="Z199" s="273"/>
      <c r="AA199" s="465"/>
      <c r="AB199" s="465"/>
      <c r="AC199" s="465"/>
      <c r="AD199" s="465"/>
      <c r="AE199" s="465"/>
      <c r="AF199" s="465"/>
      <c r="AG199" s="465"/>
      <c r="AH199" s="465"/>
      <c r="AI199" s="465"/>
      <c r="AJ199" s="465"/>
      <c r="AK199" s="465"/>
      <c r="AL199" s="465"/>
      <c r="AM199" s="465"/>
      <c r="AN199" s="465"/>
      <c r="AO199" s="465"/>
      <c r="AP199" s="465"/>
      <c r="AQ199" s="465"/>
      <c r="AR199" s="465"/>
      <c r="AS199" s="465"/>
      <c r="AT199" s="465"/>
      <c r="AU199" s="465"/>
      <c r="AV199" s="465"/>
      <c r="AW199" s="465"/>
      <c r="AX199" s="465"/>
      <c r="AY199" s="465"/>
      <c r="AZ199" s="465"/>
      <c r="BA199" s="465"/>
      <c r="BB199" s="465"/>
      <c r="BC199" s="465"/>
      <c r="BD199" s="465"/>
      <c r="BE199" s="465"/>
      <c r="BF199" s="465"/>
      <c r="BG199" s="465"/>
      <c r="BH199" s="465"/>
      <c r="BI199" s="465"/>
      <c r="BJ199" s="465"/>
      <c r="BK199" s="465"/>
      <c r="BL199" s="465"/>
      <c r="BM199" s="465"/>
      <c r="BN199" s="465"/>
      <c r="BO199" s="465"/>
      <c r="BP199" s="465"/>
      <c r="BQ199" s="465"/>
      <c r="BR199" s="465"/>
      <c r="BS199" s="465"/>
      <c r="BT199" s="465"/>
      <c r="BU199" s="465"/>
      <c r="BV199" s="465"/>
      <c r="BW199" s="465"/>
      <c r="BX199" s="465"/>
      <c r="BY199" s="465"/>
      <c r="BZ199" s="465"/>
      <c r="CA199" s="465"/>
      <c r="CB199" s="465"/>
      <c r="CC199" s="465"/>
      <c r="CD199" s="465"/>
      <c r="CE199" s="465"/>
      <c r="CF199" s="465"/>
      <c r="CG199" s="465"/>
      <c r="CH199" s="465"/>
      <c r="CI199" s="465"/>
      <c r="CJ199" s="465"/>
      <c r="CK199" s="465"/>
      <c r="CL199" s="465"/>
    </row>
    <row r="200" hidden="1" outlineLevel="1">
      <c r="A200" s="158" t="str">
        <f t="shared" si="11"/>
        <v>TC_06.180</v>
      </c>
      <c r="B200" s="565" t="s">
        <v>75</v>
      </c>
      <c r="C200" s="566" t="s">
        <v>2708</v>
      </c>
      <c r="D200" s="566" t="s">
        <v>2709</v>
      </c>
      <c r="E200" s="561" t="s">
        <v>2710</v>
      </c>
      <c r="F200" s="566" t="s">
        <v>2711</v>
      </c>
      <c r="G200" s="265"/>
      <c r="H200" s="265"/>
      <c r="I200" s="273"/>
      <c r="J200" s="273"/>
      <c r="K200" s="273"/>
      <c r="L200" s="273"/>
      <c r="M200" s="273"/>
      <c r="N200" s="273"/>
      <c r="O200" s="273"/>
      <c r="P200" s="273"/>
      <c r="Q200" s="273"/>
      <c r="R200" s="273"/>
      <c r="S200" s="265"/>
      <c r="T200" s="273"/>
      <c r="U200" s="273"/>
      <c r="V200" s="273"/>
      <c r="W200" s="273"/>
      <c r="X200" s="273"/>
      <c r="Y200" s="273"/>
      <c r="Z200" s="273"/>
      <c r="AA200" s="465"/>
      <c r="AB200" s="465"/>
      <c r="AC200" s="465"/>
      <c r="AD200" s="465"/>
      <c r="AE200" s="465"/>
      <c r="AF200" s="465"/>
      <c r="AG200" s="465"/>
      <c r="AH200" s="465"/>
      <c r="AI200" s="465"/>
      <c r="AJ200" s="465"/>
      <c r="AK200" s="465"/>
      <c r="AL200" s="465"/>
      <c r="AM200" s="465"/>
      <c r="AN200" s="465"/>
      <c r="AO200" s="465"/>
      <c r="AP200" s="465"/>
      <c r="AQ200" s="465"/>
      <c r="AR200" s="465"/>
      <c r="AS200" s="465"/>
      <c r="AT200" s="465"/>
      <c r="AU200" s="465"/>
      <c r="AV200" s="465"/>
      <c r="AW200" s="465"/>
      <c r="AX200" s="465"/>
      <c r="AY200" s="465"/>
      <c r="AZ200" s="465"/>
      <c r="BA200" s="465"/>
      <c r="BB200" s="465"/>
      <c r="BC200" s="465"/>
      <c r="BD200" s="465"/>
      <c r="BE200" s="465"/>
      <c r="BF200" s="465"/>
      <c r="BG200" s="465"/>
      <c r="BH200" s="465"/>
      <c r="BI200" s="465"/>
      <c r="BJ200" s="465"/>
      <c r="BK200" s="465"/>
      <c r="BL200" s="465"/>
      <c r="BM200" s="465"/>
      <c r="BN200" s="465"/>
      <c r="BO200" s="465"/>
      <c r="BP200" s="465"/>
      <c r="BQ200" s="465"/>
      <c r="BR200" s="465"/>
      <c r="BS200" s="465"/>
      <c r="BT200" s="465"/>
      <c r="BU200" s="465"/>
      <c r="BV200" s="465"/>
      <c r="BW200" s="465"/>
      <c r="BX200" s="465"/>
      <c r="BY200" s="465"/>
      <c r="BZ200" s="465"/>
      <c r="CA200" s="465"/>
      <c r="CB200" s="465"/>
      <c r="CC200" s="465"/>
      <c r="CD200" s="465"/>
      <c r="CE200" s="465"/>
      <c r="CF200" s="465"/>
      <c r="CG200" s="465"/>
      <c r="CH200" s="465"/>
      <c r="CI200" s="465"/>
      <c r="CJ200" s="465"/>
      <c r="CK200" s="465"/>
      <c r="CL200" s="465"/>
    </row>
    <row r="201" hidden="1" outlineLevel="1">
      <c r="A201" s="158" t="str">
        <f t="shared" si="11"/>
        <v>TC_06.181</v>
      </c>
      <c r="B201" s="565" t="s">
        <v>77</v>
      </c>
      <c r="C201" s="566" t="s">
        <v>2712</v>
      </c>
      <c r="D201" s="566" t="s">
        <v>2709</v>
      </c>
      <c r="E201" s="566" t="s">
        <v>2713</v>
      </c>
      <c r="F201" s="566" t="s">
        <v>2714</v>
      </c>
      <c r="G201" s="265"/>
      <c r="H201" s="265"/>
      <c r="I201" s="273"/>
      <c r="J201" s="273"/>
      <c r="K201" s="273"/>
      <c r="L201" s="273"/>
      <c r="M201" s="273"/>
      <c r="N201" s="273"/>
      <c r="O201" s="273"/>
      <c r="P201" s="273"/>
      <c r="Q201" s="273"/>
      <c r="R201" s="273"/>
      <c r="S201" s="265"/>
      <c r="T201" s="273"/>
      <c r="U201" s="273"/>
      <c r="V201" s="273"/>
      <c r="W201" s="273"/>
      <c r="X201" s="273"/>
      <c r="Y201" s="273"/>
      <c r="Z201" s="273"/>
      <c r="AA201" s="465"/>
      <c r="AB201" s="465"/>
      <c r="AC201" s="465"/>
      <c r="AD201" s="465"/>
      <c r="AE201" s="465"/>
      <c r="AF201" s="465"/>
      <c r="AG201" s="465"/>
      <c r="AH201" s="465"/>
      <c r="AI201" s="465"/>
      <c r="AJ201" s="465"/>
      <c r="AK201" s="465"/>
      <c r="AL201" s="465"/>
      <c r="AM201" s="465"/>
      <c r="AN201" s="465"/>
      <c r="AO201" s="465"/>
      <c r="AP201" s="465"/>
      <c r="AQ201" s="465"/>
      <c r="AR201" s="465"/>
      <c r="AS201" s="465"/>
      <c r="AT201" s="465"/>
      <c r="AU201" s="465"/>
      <c r="AV201" s="465"/>
      <c r="AW201" s="465"/>
      <c r="AX201" s="465"/>
      <c r="AY201" s="465"/>
      <c r="AZ201" s="465"/>
      <c r="BA201" s="465"/>
      <c r="BB201" s="465"/>
      <c r="BC201" s="465"/>
      <c r="BD201" s="465"/>
      <c r="BE201" s="465"/>
      <c r="BF201" s="465"/>
      <c r="BG201" s="465"/>
      <c r="BH201" s="465"/>
      <c r="BI201" s="465"/>
      <c r="BJ201" s="465"/>
      <c r="BK201" s="465"/>
      <c r="BL201" s="465"/>
      <c r="BM201" s="465"/>
      <c r="BN201" s="465"/>
      <c r="BO201" s="465"/>
      <c r="BP201" s="465"/>
      <c r="BQ201" s="465"/>
      <c r="BR201" s="465"/>
      <c r="BS201" s="465"/>
      <c r="BT201" s="465"/>
      <c r="BU201" s="465"/>
      <c r="BV201" s="465"/>
      <c r="BW201" s="465"/>
      <c r="BX201" s="465"/>
      <c r="BY201" s="465"/>
      <c r="BZ201" s="465"/>
      <c r="CA201" s="465"/>
      <c r="CB201" s="465"/>
      <c r="CC201" s="465"/>
      <c r="CD201" s="465"/>
      <c r="CE201" s="465"/>
      <c r="CF201" s="465"/>
      <c r="CG201" s="465"/>
      <c r="CH201" s="465"/>
      <c r="CI201" s="465"/>
      <c r="CJ201" s="465"/>
      <c r="CK201" s="465"/>
      <c r="CL201" s="465"/>
    </row>
    <row r="202" hidden="1" outlineLevel="1">
      <c r="A202" s="158" t="str">
        <f t="shared" si="11"/>
        <v>TC_06.182</v>
      </c>
      <c r="B202" s="565" t="s">
        <v>75</v>
      </c>
      <c r="C202" s="561" t="s">
        <v>2715</v>
      </c>
      <c r="D202" s="561" t="s">
        <v>2716</v>
      </c>
      <c r="E202" s="561" t="s">
        <v>2717</v>
      </c>
      <c r="F202" s="561" t="s">
        <v>2718</v>
      </c>
      <c r="G202" s="265"/>
      <c r="H202" s="265"/>
      <c r="I202" s="273"/>
      <c r="J202" s="273"/>
      <c r="K202" s="273"/>
      <c r="L202" s="273"/>
      <c r="M202" s="273"/>
      <c r="N202" s="273"/>
      <c r="O202" s="273"/>
      <c r="P202" s="273"/>
      <c r="Q202" s="273"/>
      <c r="R202" s="273"/>
      <c r="S202" s="265"/>
      <c r="T202" s="273"/>
      <c r="U202" s="273"/>
      <c r="V202" s="273"/>
      <c r="W202" s="273"/>
      <c r="X202" s="273"/>
      <c r="Y202" s="273"/>
      <c r="Z202" s="273"/>
      <c r="AA202" s="465"/>
      <c r="AB202" s="465"/>
      <c r="AC202" s="465"/>
      <c r="AD202" s="465"/>
      <c r="AE202" s="465"/>
      <c r="AF202" s="465"/>
      <c r="AG202" s="465"/>
      <c r="AH202" s="465"/>
      <c r="AI202" s="465"/>
      <c r="AJ202" s="465"/>
      <c r="AK202" s="465"/>
      <c r="AL202" s="465"/>
      <c r="AM202" s="465"/>
      <c r="AN202" s="465"/>
      <c r="AO202" s="465"/>
      <c r="AP202" s="465"/>
      <c r="AQ202" s="465"/>
      <c r="AR202" s="465"/>
      <c r="AS202" s="465"/>
      <c r="AT202" s="465"/>
      <c r="AU202" s="465"/>
      <c r="AV202" s="465"/>
      <c r="AW202" s="465"/>
      <c r="AX202" s="465"/>
      <c r="AY202" s="465"/>
      <c r="AZ202" s="465"/>
      <c r="BA202" s="465"/>
      <c r="BB202" s="465"/>
      <c r="BC202" s="465"/>
      <c r="BD202" s="465"/>
      <c r="BE202" s="465"/>
      <c r="BF202" s="465"/>
      <c r="BG202" s="465"/>
      <c r="BH202" s="465"/>
      <c r="BI202" s="465"/>
      <c r="BJ202" s="465"/>
      <c r="BK202" s="465"/>
      <c r="BL202" s="465"/>
      <c r="BM202" s="465"/>
      <c r="BN202" s="465"/>
      <c r="BO202" s="465"/>
      <c r="BP202" s="465"/>
      <c r="BQ202" s="465"/>
      <c r="BR202" s="465"/>
      <c r="BS202" s="465"/>
      <c r="BT202" s="465"/>
      <c r="BU202" s="465"/>
      <c r="BV202" s="465"/>
      <c r="BW202" s="465"/>
      <c r="BX202" s="465"/>
      <c r="BY202" s="465"/>
      <c r="BZ202" s="465"/>
      <c r="CA202" s="465"/>
      <c r="CB202" s="465"/>
      <c r="CC202" s="465"/>
      <c r="CD202" s="465"/>
      <c r="CE202" s="465"/>
      <c r="CF202" s="465"/>
      <c r="CG202" s="465"/>
      <c r="CH202" s="465"/>
      <c r="CI202" s="465"/>
      <c r="CJ202" s="465"/>
      <c r="CK202" s="465"/>
      <c r="CL202" s="465"/>
    </row>
    <row r="203" collapsed="1">
      <c r="A203" s="562" t="s">
        <v>2719</v>
      </c>
      <c r="B203" s="148"/>
      <c r="C203" s="148"/>
      <c r="D203" s="148"/>
      <c r="E203" s="148"/>
      <c r="F203" s="171"/>
      <c r="G203" s="263"/>
      <c r="H203" s="263"/>
      <c r="I203" s="266"/>
      <c r="J203" s="266"/>
      <c r="K203" s="266"/>
      <c r="L203" s="266"/>
      <c r="M203" s="266"/>
      <c r="N203" s="266"/>
      <c r="O203" s="266"/>
      <c r="P203" s="266"/>
      <c r="Q203" s="266"/>
      <c r="R203" s="266"/>
      <c r="S203" s="263"/>
      <c r="T203" s="266"/>
      <c r="U203" s="266"/>
      <c r="V203" s="266"/>
      <c r="W203" s="266"/>
      <c r="X203" s="266"/>
      <c r="Y203" s="266"/>
      <c r="Z203" s="266"/>
      <c r="AA203" s="145"/>
      <c r="AB203" s="145"/>
      <c r="AC203" s="145"/>
      <c r="AD203" s="145"/>
      <c r="AE203" s="145"/>
      <c r="AF203" s="145"/>
      <c r="AG203" s="145"/>
      <c r="AH203" s="145"/>
      <c r="AI203" s="145"/>
      <c r="AJ203" s="145"/>
      <c r="AK203" s="145"/>
      <c r="AL203" s="145"/>
      <c r="AM203" s="145"/>
      <c r="AN203" s="145"/>
      <c r="AO203" s="145"/>
      <c r="AP203" s="145"/>
      <c r="AQ203" s="145"/>
      <c r="AR203" s="145"/>
      <c r="AS203" s="145"/>
      <c r="AT203" s="145"/>
      <c r="AU203" s="145"/>
      <c r="AV203" s="145"/>
      <c r="AW203" s="145"/>
      <c r="AX203" s="145"/>
      <c r="AY203" s="145"/>
      <c r="AZ203" s="145"/>
      <c r="BA203" s="145"/>
      <c r="BB203" s="145"/>
      <c r="BC203" s="145"/>
      <c r="BD203" s="145"/>
      <c r="BE203" s="145"/>
      <c r="BF203" s="145"/>
      <c r="BG203" s="145"/>
      <c r="BH203" s="145"/>
      <c r="BI203" s="145"/>
      <c r="BJ203" s="145"/>
      <c r="BK203" s="145"/>
      <c r="BL203" s="145"/>
      <c r="BM203" s="145"/>
      <c r="BN203" s="145"/>
      <c r="BO203" s="145"/>
      <c r="BP203" s="145"/>
      <c r="BQ203" s="145"/>
      <c r="BR203" s="145"/>
      <c r="BS203" s="145"/>
      <c r="BT203" s="145"/>
      <c r="BU203" s="145"/>
      <c r="BV203" s="145"/>
      <c r="BW203" s="145"/>
      <c r="BX203" s="145"/>
      <c r="BY203" s="145"/>
      <c r="BZ203" s="145"/>
      <c r="CA203" s="145"/>
      <c r="CB203" s="145"/>
      <c r="CC203" s="145"/>
      <c r="CD203" s="145"/>
      <c r="CE203" s="145"/>
      <c r="CF203" s="145"/>
      <c r="CG203" s="145"/>
      <c r="CH203" s="145"/>
      <c r="CI203" s="145"/>
      <c r="CJ203" s="145"/>
      <c r="CK203" s="145"/>
      <c r="CL203" s="145"/>
    </row>
    <row r="204" hidden="1" outlineLevel="1">
      <c r="A204" s="158" t="str">
        <f t="shared" ref="A204:A208" si="12">IF(E204="","",$C$3&amp;"."&amp;COUNTA($E$8:E204)&amp;"")</f>
        <v>TC_06.183</v>
      </c>
      <c r="B204" s="267" t="s">
        <v>75</v>
      </c>
      <c r="C204" s="265" t="s">
        <v>2720</v>
      </c>
      <c r="D204" s="265" t="s">
        <v>2177</v>
      </c>
      <c r="E204" s="375" t="s">
        <v>2721</v>
      </c>
      <c r="F204" s="329" t="s">
        <v>2722</v>
      </c>
      <c r="G204" s="263"/>
      <c r="H204" s="263"/>
      <c r="I204" s="266"/>
      <c r="J204" s="266"/>
      <c r="K204" s="266"/>
      <c r="L204" s="266"/>
      <c r="M204" s="266"/>
      <c r="N204" s="266"/>
      <c r="O204" s="266"/>
      <c r="P204" s="266"/>
      <c r="Q204" s="266"/>
      <c r="R204" s="266"/>
      <c r="S204" s="263"/>
      <c r="T204" s="266"/>
      <c r="U204" s="266"/>
      <c r="V204" s="266"/>
      <c r="W204" s="266"/>
      <c r="X204" s="266"/>
      <c r="Y204" s="266"/>
      <c r="Z204" s="266"/>
      <c r="AA204" s="145"/>
      <c r="AB204" s="145"/>
      <c r="AC204" s="145"/>
      <c r="AD204" s="145"/>
      <c r="AE204" s="145"/>
      <c r="AF204" s="145"/>
      <c r="AG204" s="145"/>
      <c r="AH204" s="145"/>
      <c r="AI204" s="145"/>
      <c r="AJ204" s="145"/>
      <c r="AK204" s="145"/>
      <c r="AL204" s="145"/>
      <c r="AM204" s="145"/>
      <c r="AN204" s="145"/>
      <c r="AO204" s="145"/>
      <c r="AP204" s="145"/>
      <c r="AQ204" s="145"/>
      <c r="AR204" s="145"/>
      <c r="AS204" s="145"/>
      <c r="AT204" s="145"/>
      <c r="AU204" s="145"/>
      <c r="AV204" s="145"/>
      <c r="AW204" s="145"/>
      <c r="AX204" s="145"/>
      <c r="AY204" s="145"/>
      <c r="AZ204" s="145"/>
      <c r="BA204" s="145"/>
      <c r="BB204" s="145"/>
      <c r="BC204" s="145"/>
      <c r="BD204" s="145"/>
      <c r="BE204" s="145"/>
      <c r="BF204" s="145"/>
      <c r="BG204" s="145"/>
      <c r="BH204" s="145"/>
      <c r="BI204" s="145"/>
      <c r="BJ204" s="145"/>
      <c r="BK204" s="145"/>
      <c r="BL204" s="145"/>
      <c r="BM204" s="145"/>
      <c r="BN204" s="145"/>
      <c r="BO204" s="145"/>
      <c r="BP204" s="145"/>
      <c r="BQ204" s="145"/>
      <c r="BR204" s="145"/>
      <c r="BS204" s="145"/>
      <c r="BT204" s="145"/>
      <c r="BU204" s="145"/>
      <c r="BV204" s="145"/>
      <c r="BW204" s="145"/>
      <c r="BX204" s="145"/>
      <c r="BY204" s="145"/>
      <c r="BZ204" s="145"/>
      <c r="CA204" s="145"/>
      <c r="CB204" s="145"/>
      <c r="CC204" s="145"/>
      <c r="CD204" s="145"/>
      <c r="CE204" s="145"/>
      <c r="CF204" s="145"/>
      <c r="CG204" s="145"/>
      <c r="CH204" s="145"/>
      <c r="CI204" s="145"/>
      <c r="CJ204" s="145"/>
      <c r="CK204" s="145"/>
      <c r="CL204" s="145"/>
    </row>
    <row r="205" hidden="1" outlineLevel="1">
      <c r="A205" s="158" t="str">
        <f t="shared" si="12"/>
        <v>TC_06.184</v>
      </c>
      <c r="B205" s="267" t="s">
        <v>75</v>
      </c>
      <c r="C205" s="265" t="s">
        <v>2723</v>
      </c>
      <c r="D205" s="265" t="s">
        <v>2724</v>
      </c>
      <c r="E205" s="265" t="s">
        <v>2725</v>
      </c>
      <c r="F205" s="265" t="s">
        <v>2726</v>
      </c>
      <c r="G205" s="263"/>
      <c r="H205" s="263"/>
      <c r="I205" s="266"/>
      <c r="J205" s="266"/>
      <c r="K205" s="266"/>
      <c r="L205" s="266"/>
      <c r="M205" s="266"/>
      <c r="N205" s="266"/>
      <c r="O205" s="266"/>
      <c r="P205" s="266"/>
      <c r="Q205" s="266"/>
      <c r="R205" s="266"/>
      <c r="S205" s="263"/>
      <c r="T205" s="266"/>
      <c r="U205" s="266"/>
      <c r="V205" s="266"/>
      <c r="W205" s="266"/>
      <c r="X205" s="266"/>
      <c r="Y205" s="266"/>
      <c r="Z205" s="266"/>
      <c r="AA205" s="145"/>
      <c r="AB205" s="145"/>
      <c r="AC205" s="145"/>
      <c r="AD205" s="145"/>
      <c r="AE205" s="145"/>
      <c r="AF205" s="145"/>
      <c r="AG205" s="145"/>
      <c r="AH205" s="145"/>
      <c r="AI205" s="145"/>
      <c r="AJ205" s="145"/>
      <c r="AK205" s="145"/>
      <c r="AL205" s="145"/>
      <c r="AM205" s="145"/>
      <c r="AN205" s="145"/>
      <c r="AO205" s="145"/>
      <c r="AP205" s="145"/>
      <c r="AQ205" s="145"/>
      <c r="AR205" s="145"/>
      <c r="AS205" s="145"/>
      <c r="AT205" s="145"/>
      <c r="AU205" s="145"/>
      <c r="AV205" s="145"/>
      <c r="AW205" s="145"/>
      <c r="AX205" s="145"/>
      <c r="AY205" s="145"/>
      <c r="AZ205" s="145"/>
      <c r="BA205" s="145"/>
      <c r="BB205" s="145"/>
      <c r="BC205" s="145"/>
      <c r="BD205" s="145"/>
      <c r="BE205" s="145"/>
      <c r="BF205" s="145"/>
      <c r="BG205" s="145"/>
      <c r="BH205" s="145"/>
      <c r="BI205" s="145"/>
      <c r="BJ205" s="145"/>
      <c r="BK205" s="145"/>
      <c r="BL205" s="145"/>
      <c r="BM205" s="145"/>
      <c r="BN205" s="145"/>
      <c r="BO205" s="145"/>
      <c r="BP205" s="145"/>
      <c r="BQ205" s="145"/>
      <c r="BR205" s="145"/>
      <c r="BS205" s="145"/>
      <c r="BT205" s="145"/>
      <c r="BU205" s="145"/>
      <c r="BV205" s="145"/>
      <c r="BW205" s="145"/>
      <c r="BX205" s="145"/>
      <c r="BY205" s="145"/>
      <c r="BZ205" s="145"/>
      <c r="CA205" s="145"/>
      <c r="CB205" s="145"/>
      <c r="CC205" s="145"/>
      <c r="CD205" s="145"/>
      <c r="CE205" s="145"/>
      <c r="CF205" s="145"/>
      <c r="CG205" s="145"/>
      <c r="CH205" s="145"/>
      <c r="CI205" s="145"/>
      <c r="CJ205" s="145"/>
      <c r="CK205" s="145"/>
      <c r="CL205" s="145"/>
    </row>
    <row r="206" hidden="1" outlineLevel="1">
      <c r="A206" s="158" t="str">
        <f t="shared" si="12"/>
        <v>TC_06.185</v>
      </c>
      <c r="B206" s="267" t="s">
        <v>75</v>
      </c>
      <c r="C206" s="265" t="s">
        <v>2727</v>
      </c>
      <c r="D206" s="265" t="s">
        <v>2728</v>
      </c>
      <c r="E206" s="265" t="s">
        <v>2729</v>
      </c>
      <c r="F206" s="265" t="s">
        <v>2730</v>
      </c>
      <c r="G206" s="263"/>
      <c r="H206" s="263"/>
      <c r="I206" s="266"/>
      <c r="J206" s="266"/>
      <c r="K206" s="266"/>
      <c r="L206" s="266"/>
      <c r="M206" s="266"/>
      <c r="N206" s="266"/>
      <c r="O206" s="266"/>
      <c r="P206" s="266"/>
      <c r="Q206" s="266"/>
      <c r="R206" s="266"/>
      <c r="S206" s="263"/>
      <c r="T206" s="266"/>
      <c r="U206" s="266"/>
      <c r="V206" s="266"/>
      <c r="W206" s="266"/>
      <c r="X206" s="266"/>
      <c r="Y206" s="266"/>
      <c r="Z206" s="266"/>
      <c r="AA206" s="145"/>
      <c r="AB206" s="145"/>
      <c r="AC206" s="145"/>
      <c r="AD206" s="145"/>
      <c r="AE206" s="145"/>
      <c r="AF206" s="145"/>
      <c r="AG206" s="145"/>
      <c r="AH206" s="145"/>
      <c r="AI206" s="145"/>
      <c r="AJ206" s="145"/>
      <c r="AK206" s="145"/>
      <c r="AL206" s="145"/>
      <c r="AM206" s="145"/>
      <c r="AN206" s="145"/>
      <c r="AO206" s="145"/>
      <c r="AP206" s="145"/>
      <c r="AQ206" s="145"/>
      <c r="AR206" s="145"/>
      <c r="AS206" s="145"/>
      <c r="AT206" s="145"/>
      <c r="AU206" s="145"/>
      <c r="AV206" s="145"/>
      <c r="AW206" s="145"/>
      <c r="AX206" s="145"/>
      <c r="AY206" s="145"/>
      <c r="AZ206" s="145"/>
      <c r="BA206" s="145"/>
      <c r="BB206" s="145"/>
      <c r="BC206" s="145"/>
      <c r="BD206" s="145"/>
      <c r="BE206" s="145"/>
      <c r="BF206" s="145"/>
      <c r="BG206" s="145"/>
      <c r="BH206" s="145"/>
      <c r="BI206" s="145"/>
      <c r="BJ206" s="145"/>
      <c r="BK206" s="145"/>
      <c r="BL206" s="145"/>
      <c r="BM206" s="145"/>
      <c r="BN206" s="145"/>
      <c r="BO206" s="145"/>
      <c r="BP206" s="145"/>
      <c r="BQ206" s="145"/>
      <c r="BR206" s="145"/>
      <c r="BS206" s="145"/>
      <c r="BT206" s="145"/>
      <c r="BU206" s="145"/>
      <c r="BV206" s="145"/>
      <c r="BW206" s="145"/>
      <c r="BX206" s="145"/>
      <c r="BY206" s="145"/>
      <c r="BZ206" s="145"/>
      <c r="CA206" s="145"/>
      <c r="CB206" s="145"/>
      <c r="CC206" s="145"/>
      <c r="CD206" s="145"/>
      <c r="CE206" s="145"/>
      <c r="CF206" s="145"/>
      <c r="CG206" s="145"/>
      <c r="CH206" s="145"/>
      <c r="CI206" s="145"/>
      <c r="CJ206" s="145"/>
      <c r="CK206" s="145"/>
      <c r="CL206" s="145"/>
    </row>
    <row r="207" hidden="1" outlineLevel="1">
      <c r="A207" s="158" t="str">
        <f t="shared" si="12"/>
        <v>TC_06.186</v>
      </c>
      <c r="B207" s="267" t="s">
        <v>75</v>
      </c>
      <c r="C207" s="265" t="s">
        <v>2731</v>
      </c>
      <c r="D207" s="265" t="s">
        <v>2732</v>
      </c>
      <c r="E207" s="265" t="s">
        <v>2733</v>
      </c>
      <c r="F207" s="265" t="s">
        <v>2734</v>
      </c>
      <c r="G207" s="263"/>
      <c r="H207" s="263"/>
      <c r="I207" s="266"/>
      <c r="J207" s="266"/>
      <c r="K207" s="266"/>
      <c r="L207" s="266"/>
      <c r="M207" s="266"/>
      <c r="N207" s="266"/>
      <c r="O207" s="266"/>
      <c r="P207" s="266"/>
      <c r="Q207" s="266"/>
      <c r="R207" s="266"/>
      <c r="S207" s="263"/>
      <c r="T207" s="266"/>
      <c r="U207" s="266"/>
      <c r="V207" s="266"/>
      <c r="W207" s="266"/>
      <c r="X207" s="266"/>
      <c r="Y207" s="266"/>
      <c r="Z207" s="266"/>
      <c r="AA207" s="145"/>
      <c r="AB207" s="145"/>
      <c r="AC207" s="145"/>
      <c r="AD207" s="145"/>
      <c r="AE207" s="145"/>
      <c r="AF207" s="145"/>
      <c r="AG207" s="145"/>
      <c r="AH207" s="145"/>
      <c r="AI207" s="145"/>
      <c r="AJ207" s="145"/>
      <c r="AK207" s="145"/>
      <c r="AL207" s="145"/>
      <c r="AM207" s="145"/>
      <c r="AN207" s="145"/>
      <c r="AO207" s="145"/>
      <c r="AP207" s="145"/>
      <c r="AQ207" s="145"/>
      <c r="AR207" s="145"/>
      <c r="AS207" s="145"/>
      <c r="AT207" s="145"/>
      <c r="AU207" s="145"/>
      <c r="AV207" s="145"/>
      <c r="AW207" s="145"/>
      <c r="AX207" s="145"/>
      <c r="AY207" s="145"/>
      <c r="AZ207" s="145"/>
      <c r="BA207" s="145"/>
      <c r="BB207" s="145"/>
      <c r="BC207" s="145"/>
      <c r="BD207" s="145"/>
      <c r="BE207" s="145"/>
      <c r="BF207" s="145"/>
      <c r="BG207" s="145"/>
      <c r="BH207" s="145"/>
      <c r="BI207" s="145"/>
      <c r="BJ207" s="145"/>
      <c r="BK207" s="145"/>
      <c r="BL207" s="145"/>
      <c r="BM207" s="145"/>
      <c r="BN207" s="145"/>
      <c r="BO207" s="145"/>
      <c r="BP207" s="145"/>
      <c r="BQ207" s="145"/>
      <c r="BR207" s="145"/>
      <c r="BS207" s="145"/>
      <c r="BT207" s="145"/>
      <c r="BU207" s="145"/>
      <c r="BV207" s="145"/>
      <c r="BW207" s="145"/>
      <c r="BX207" s="145"/>
      <c r="BY207" s="145"/>
      <c r="BZ207" s="145"/>
      <c r="CA207" s="145"/>
      <c r="CB207" s="145"/>
      <c r="CC207" s="145"/>
      <c r="CD207" s="145"/>
      <c r="CE207" s="145"/>
      <c r="CF207" s="145"/>
      <c r="CG207" s="145"/>
      <c r="CH207" s="145"/>
      <c r="CI207" s="145"/>
      <c r="CJ207" s="145"/>
      <c r="CK207" s="145"/>
      <c r="CL207" s="145"/>
    </row>
    <row r="208" hidden="1" outlineLevel="1">
      <c r="A208" s="158" t="str">
        <f t="shared" si="12"/>
        <v>TC_06.187</v>
      </c>
      <c r="B208" s="267" t="s">
        <v>75</v>
      </c>
      <c r="C208" s="265" t="s">
        <v>2735</v>
      </c>
      <c r="D208" s="265" t="s">
        <v>2736</v>
      </c>
      <c r="E208" s="265" t="s">
        <v>2737</v>
      </c>
      <c r="F208" s="265" t="s">
        <v>2738</v>
      </c>
      <c r="G208" s="263"/>
      <c r="H208" s="263"/>
      <c r="I208" s="266"/>
      <c r="J208" s="266"/>
      <c r="K208" s="266"/>
      <c r="L208" s="266"/>
      <c r="M208" s="266"/>
      <c r="N208" s="266"/>
      <c r="O208" s="266"/>
      <c r="P208" s="266"/>
      <c r="Q208" s="266"/>
      <c r="R208" s="266"/>
      <c r="S208" s="263"/>
      <c r="T208" s="266"/>
      <c r="U208" s="266"/>
      <c r="V208" s="266"/>
      <c r="W208" s="266"/>
      <c r="X208" s="266"/>
      <c r="Y208" s="266"/>
      <c r="Z208" s="266"/>
      <c r="AA208" s="145"/>
      <c r="AB208" s="145"/>
      <c r="AC208" s="145"/>
      <c r="AD208" s="145"/>
      <c r="AE208" s="145"/>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c r="BC208" s="145"/>
      <c r="BD208" s="145"/>
      <c r="BE208" s="145"/>
      <c r="BF208" s="145"/>
      <c r="BG208" s="145"/>
      <c r="BH208" s="145"/>
      <c r="BI208" s="145"/>
      <c r="BJ208" s="145"/>
      <c r="BK208" s="145"/>
      <c r="BL208" s="145"/>
      <c r="BM208" s="145"/>
      <c r="BN208" s="145"/>
      <c r="BO208" s="145"/>
      <c r="BP208" s="145"/>
      <c r="BQ208" s="145"/>
      <c r="BR208" s="145"/>
      <c r="BS208" s="145"/>
      <c r="BT208" s="145"/>
      <c r="BU208" s="145"/>
      <c r="BV208" s="145"/>
      <c r="BW208" s="145"/>
      <c r="BX208" s="145"/>
      <c r="BY208" s="145"/>
      <c r="BZ208" s="145"/>
      <c r="CA208" s="145"/>
      <c r="CB208" s="145"/>
      <c r="CC208" s="145"/>
      <c r="CD208" s="145"/>
      <c r="CE208" s="145"/>
      <c r="CF208" s="145"/>
      <c r="CG208" s="145"/>
      <c r="CH208" s="145"/>
      <c r="CI208" s="145"/>
      <c r="CJ208" s="145"/>
      <c r="CK208" s="145"/>
      <c r="CL208" s="145"/>
    </row>
    <row r="209">
      <c r="A209" s="562" t="s">
        <v>2739</v>
      </c>
      <c r="B209" s="148"/>
      <c r="C209" s="148"/>
      <c r="D209" s="148"/>
      <c r="E209" s="148"/>
      <c r="F209" s="171"/>
      <c r="G209" s="263"/>
      <c r="H209" s="263"/>
      <c r="I209" s="266"/>
      <c r="J209" s="266"/>
      <c r="K209" s="266"/>
      <c r="L209" s="266"/>
      <c r="M209" s="266"/>
      <c r="N209" s="266"/>
      <c r="O209" s="266"/>
      <c r="P209" s="266"/>
      <c r="Q209" s="266"/>
      <c r="R209" s="266"/>
      <c r="S209" s="263"/>
      <c r="T209" s="266"/>
      <c r="U209" s="266"/>
      <c r="V209" s="266"/>
      <c r="W209" s="266"/>
      <c r="X209" s="266"/>
      <c r="Y209" s="266"/>
      <c r="Z209" s="266"/>
      <c r="AA209" s="145"/>
      <c r="AB209" s="145"/>
      <c r="AC209" s="145"/>
      <c r="AD209" s="145"/>
      <c r="AE209" s="145"/>
      <c r="AF209" s="145"/>
      <c r="AG209" s="145"/>
      <c r="AH209" s="145"/>
      <c r="AI209" s="145"/>
      <c r="AJ209" s="145"/>
      <c r="AK209" s="145"/>
      <c r="AL209" s="145"/>
      <c r="AM209" s="145"/>
      <c r="AN209" s="145"/>
      <c r="AO209" s="145"/>
      <c r="AP209" s="145"/>
      <c r="AQ209" s="145"/>
      <c r="AR209" s="145"/>
      <c r="AS209" s="145"/>
      <c r="AT209" s="145"/>
      <c r="AU209" s="145"/>
      <c r="AV209" s="145"/>
      <c r="AW209" s="145"/>
      <c r="AX209" s="145"/>
      <c r="AY209" s="145"/>
      <c r="AZ209" s="145"/>
      <c r="BA209" s="145"/>
      <c r="BB209" s="145"/>
      <c r="BC209" s="145"/>
      <c r="BD209" s="145"/>
      <c r="BE209" s="145"/>
      <c r="BF209" s="145"/>
      <c r="BG209" s="145"/>
      <c r="BH209" s="145"/>
      <c r="BI209" s="145"/>
      <c r="BJ209" s="145"/>
      <c r="BK209" s="145"/>
      <c r="BL209" s="145"/>
      <c r="BM209" s="145"/>
      <c r="BN209" s="145"/>
      <c r="BO209" s="145"/>
      <c r="BP209" s="145"/>
      <c r="BQ209" s="145"/>
      <c r="BR209" s="145"/>
      <c r="BS209" s="145"/>
      <c r="BT209" s="145"/>
      <c r="BU209" s="145"/>
      <c r="BV209" s="145"/>
      <c r="BW209" s="145"/>
      <c r="BX209" s="145"/>
      <c r="BY209" s="145"/>
      <c r="BZ209" s="145"/>
      <c r="CA209" s="145"/>
      <c r="CB209" s="145"/>
      <c r="CC209" s="145"/>
      <c r="CD209" s="145"/>
      <c r="CE209" s="145"/>
      <c r="CF209" s="145"/>
      <c r="CG209" s="145"/>
      <c r="CH209" s="145"/>
      <c r="CI209" s="145"/>
      <c r="CJ209" s="145"/>
      <c r="CK209" s="145"/>
      <c r="CL209" s="145"/>
    </row>
    <row r="210" outlineLevel="1">
      <c r="A210" s="158" t="str">
        <f t="shared" ref="A210:A212" si="13">IF(E210="","",$C$3&amp;"."&amp;COUNTA($E$8:E210)&amp;"")</f>
        <v>TC_06.188</v>
      </c>
      <c r="B210" s="267" t="s">
        <v>73</v>
      </c>
      <c r="C210" s="265" t="s">
        <v>2740</v>
      </c>
      <c r="D210" s="265" t="s">
        <v>2741</v>
      </c>
      <c r="E210" s="375" t="s">
        <v>2742</v>
      </c>
      <c r="F210" s="265" t="s">
        <v>2743</v>
      </c>
      <c r="G210" s="263"/>
      <c r="H210" s="263"/>
      <c r="I210" s="266"/>
      <c r="J210" s="266"/>
      <c r="K210" s="266"/>
      <c r="L210" s="266"/>
      <c r="M210" s="266"/>
      <c r="N210" s="266"/>
      <c r="O210" s="266"/>
      <c r="P210" s="266"/>
      <c r="Q210" s="266"/>
      <c r="R210" s="266"/>
      <c r="S210" s="263"/>
      <c r="T210" s="266"/>
      <c r="U210" s="266"/>
      <c r="V210" s="266"/>
      <c r="W210" s="266"/>
      <c r="X210" s="266"/>
      <c r="Y210" s="266"/>
      <c r="Z210" s="266"/>
      <c r="AA210" s="145"/>
      <c r="AB210" s="145"/>
      <c r="AC210" s="145"/>
      <c r="AD210" s="145"/>
      <c r="AE210" s="145"/>
      <c r="AF210" s="145"/>
      <c r="AG210" s="145"/>
      <c r="AH210" s="145"/>
      <c r="AI210" s="145"/>
      <c r="AJ210" s="145"/>
      <c r="AK210" s="145"/>
      <c r="AL210" s="145"/>
      <c r="AM210" s="145"/>
      <c r="AN210" s="145"/>
      <c r="AO210" s="145"/>
      <c r="AP210" s="145"/>
      <c r="AQ210" s="145"/>
      <c r="AR210" s="145"/>
      <c r="AS210" s="145"/>
      <c r="AT210" s="145"/>
      <c r="AU210" s="145"/>
      <c r="AV210" s="145"/>
      <c r="AW210" s="145"/>
      <c r="AX210" s="145"/>
      <c r="AY210" s="145"/>
      <c r="AZ210" s="145"/>
      <c r="BA210" s="145"/>
      <c r="BB210" s="145"/>
      <c r="BC210" s="145"/>
      <c r="BD210" s="145"/>
      <c r="BE210" s="145"/>
      <c r="BF210" s="145"/>
      <c r="BG210" s="145"/>
      <c r="BH210" s="145"/>
      <c r="BI210" s="145"/>
      <c r="BJ210" s="145"/>
      <c r="BK210" s="145"/>
      <c r="BL210" s="145"/>
      <c r="BM210" s="145"/>
      <c r="BN210" s="145"/>
      <c r="BO210" s="145"/>
      <c r="BP210" s="145"/>
      <c r="BQ210" s="145"/>
      <c r="BR210" s="145"/>
      <c r="BS210" s="145"/>
      <c r="BT210" s="145"/>
      <c r="BU210" s="145"/>
      <c r="BV210" s="145"/>
      <c r="BW210" s="145"/>
      <c r="BX210" s="145"/>
      <c r="BY210" s="145"/>
      <c r="BZ210" s="145"/>
      <c r="CA210" s="145"/>
      <c r="CB210" s="145"/>
      <c r="CC210" s="145"/>
      <c r="CD210" s="145"/>
      <c r="CE210" s="145"/>
      <c r="CF210" s="145"/>
      <c r="CG210" s="145"/>
      <c r="CH210" s="145"/>
      <c r="CI210" s="145"/>
      <c r="CJ210" s="145"/>
      <c r="CK210" s="145"/>
      <c r="CL210" s="145"/>
    </row>
    <row r="211" outlineLevel="1">
      <c r="A211" s="158" t="str">
        <f t="shared" si="13"/>
        <v>TC_06.189</v>
      </c>
      <c r="B211" s="267" t="s">
        <v>75</v>
      </c>
      <c r="C211" s="265" t="s">
        <v>2744</v>
      </c>
      <c r="D211" s="265" t="s">
        <v>2168</v>
      </c>
      <c r="E211" s="265" t="s">
        <v>2745</v>
      </c>
      <c r="F211" s="265" t="s">
        <v>2746</v>
      </c>
      <c r="G211" s="263"/>
      <c r="H211" s="263"/>
      <c r="I211" s="266"/>
      <c r="J211" s="266"/>
      <c r="K211" s="266"/>
      <c r="L211" s="266"/>
      <c r="M211" s="266"/>
      <c r="N211" s="266"/>
      <c r="O211" s="266"/>
      <c r="P211" s="266"/>
      <c r="Q211" s="266"/>
      <c r="R211" s="266"/>
      <c r="S211" s="263"/>
      <c r="T211" s="266"/>
      <c r="U211" s="266"/>
      <c r="V211" s="266"/>
      <c r="W211" s="266"/>
      <c r="X211" s="266"/>
      <c r="Y211" s="266"/>
      <c r="Z211" s="266"/>
      <c r="AA211" s="145"/>
      <c r="AB211" s="145"/>
      <c r="AC211" s="145"/>
      <c r="AD211" s="145"/>
      <c r="AE211" s="145"/>
      <c r="AF211" s="145"/>
      <c r="AG211" s="145"/>
      <c r="AH211" s="145"/>
      <c r="AI211" s="145"/>
      <c r="AJ211" s="145"/>
      <c r="AK211" s="145"/>
      <c r="AL211" s="145"/>
      <c r="AM211" s="145"/>
      <c r="AN211" s="145"/>
      <c r="AO211" s="145"/>
      <c r="AP211" s="145"/>
      <c r="AQ211" s="145"/>
      <c r="AR211" s="145"/>
      <c r="AS211" s="145"/>
      <c r="AT211" s="145"/>
      <c r="AU211" s="145"/>
      <c r="AV211" s="145"/>
      <c r="AW211" s="145"/>
      <c r="AX211" s="145"/>
      <c r="AY211" s="145"/>
      <c r="AZ211" s="145"/>
      <c r="BA211" s="145"/>
      <c r="BB211" s="145"/>
      <c r="BC211" s="145"/>
      <c r="BD211" s="145"/>
      <c r="BE211" s="145"/>
      <c r="BF211" s="145"/>
      <c r="BG211" s="145"/>
      <c r="BH211" s="145"/>
      <c r="BI211" s="145"/>
      <c r="BJ211" s="145"/>
      <c r="BK211" s="145"/>
      <c r="BL211" s="145"/>
      <c r="BM211" s="145"/>
      <c r="BN211" s="145"/>
      <c r="BO211" s="145"/>
      <c r="BP211" s="145"/>
      <c r="BQ211" s="145"/>
      <c r="BR211" s="145"/>
      <c r="BS211" s="145"/>
      <c r="BT211" s="145"/>
      <c r="BU211" s="145"/>
      <c r="BV211" s="145"/>
      <c r="BW211" s="145"/>
      <c r="BX211" s="145"/>
      <c r="BY211" s="145"/>
      <c r="BZ211" s="145"/>
      <c r="CA211" s="145"/>
      <c r="CB211" s="145"/>
      <c r="CC211" s="145"/>
      <c r="CD211" s="145"/>
      <c r="CE211" s="145"/>
      <c r="CF211" s="145"/>
      <c r="CG211" s="145"/>
      <c r="CH211" s="145"/>
      <c r="CI211" s="145"/>
      <c r="CJ211" s="145"/>
      <c r="CK211" s="145"/>
      <c r="CL211" s="145"/>
    </row>
    <row r="212" outlineLevel="1">
      <c r="A212" s="158" t="str">
        <f t="shared" si="13"/>
        <v>TC_06.190</v>
      </c>
      <c r="B212" s="267" t="s">
        <v>77</v>
      </c>
      <c r="C212" s="265" t="s">
        <v>2747</v>
      </c>
      <c r="D212" s="265" t="s">
        <v>2748</v>
      </c>
      <c r="E212" s="265" t="s">
        <v>2749</v>
      </c>
      <c r="F212" s="265" t="s">
        <v>2750</v>
      </c>
      <c r="G212" s="263"/>
      <c r="H212" s="263"/>
      <c r="I212" s="266"/>
      <c r="J212" s="266"/>
      <c r="K212" s="266"/>
      <c r="L212" s="266"/>
      <c r="M212" s="266"/>
      <c r="N212" s="266"/>
      <c r="O212" s="266"/>
      <c r="P212" s="266"/>
      <c r="Q212" s="266"/>
      <c r="R212" s="266"/>
      <c r="S212" s="263"/>
      <c r="T212" s="266"/>
      <c r="U212" s="266"/>
      <c r="V212" s="266"/>
      <c r="W212" s="266"/>
      <c r="X212" s="266"/>
      <c r="Y212" s="266"/>
      <c r="Z212" s="266"/>
      <c r="AA212" s="145"/>
      <c r="AB212" s="145"/>
      <c r="AC212" s="145"/>
      <c r="AD212" s="145"/>
      <c r="AE212" s="145"/>
      <c r="AF212" s="145"/>
      <c r="AG212" s="145"/>
      <c r="AH212" s="145"/>
      <c r="AI212" s="145"/>
      <c r="AJ212" s="145"/>
      <c r="AK212" s="145"/>
      <c r="AL212" s="145"/>
      <c r="AM212" s="145"/>
      <c r="AN212" s="145"/>
      <c r="AO212" s="145"/>
      <c r="AP212" s="145"/>
      <c r="AQ212" s="145"/>
      <c r="AR212" s="145"/>
      <c r="AS212" s="145"/>
      <c r="AT212" s="145"/>
      <c r="AU212" s="145"/>
      <c r="AV212" s="145"/>
      <c r="AW212" s="145"/>
      <c r="AX212" s="145"/>
      <c r="AY212" s="145"/>
      <c r="AZ212" s="145"/>
      <c r="BA212" s="145"/>
      <c r="BB212" s="145"/>
      <c r="BC212" s="145"/>
      <c r="BD212" s="145"/>
      <c r="BE212" s="145"/>
      <c r="BF212" s="145"/>
      <c r="BG212" s="145"/>
      <c r="BH212" s="145"/>
      <c r="BI212" s="145"/>
      <c r="BJ212" s="145"/>
      <c r="BK212" s="145"/>
      <c r="BL212" s="145"/>
      <c r="BM212" s="145"/>
      <c r="BN212" s="145"/>
      <c r="BO212" s="145"/>
      <c r="BP212" s="145"/>
      <c r="BQ212" s="145"/>
      <c r="BR212" s="145"/>
      <c r="BS212" s="145"/>
      <c r="BT212" s="145"/>
      <c r="BU212" s="145"/>
      <c r="BV212" s="145"/>
      <c r="BW212" s="145"/>
      <c r="BX212" s="145"/>
      <c r="BY212" s="145"/>
      <c r="BZ212" s="145"/>
      <c r="CA212" s="145"/>
      <c r="CB212" s="145"/>
      <c r="CC212" s="145"/>
      <c r="CD212" s="145"/>
      <c r="CE212" s="145"/>
      <c r="CF212" s="145"/>
      <c r="CG212" s="145"/>
      <c r="CH212" s="145"/>
      <c r="CI212" s="145"/>
      <c r="CJ212" s="145"/>
      <c r="CK212" s="145"/>
      <c r="CL212" s="145"/>
    </row>
  </sheetData>
  <autoFilter ref="$G$1:$J$212"/>
  <mergeCells count="29">
    <mergeCell ref="C7:C8"/>
    <mergeCell ref="D7:D8"/>
    <mergeCell ref="F7:F8"/>
    <mergeCell ref="G7:J7"/>
    <mergeCell ref="K7:N7"/>
    <mergeCell ref="O7:R7"/>
    <mergeCell ref="S7:V7"/>
    <mergeCell ref="B2:E2"/>
    <mergeCell ref="A3:B3"/>
    <mergeCell ref="C3:D3"/>
    <mergeCell ref="A4:B4"/>
    <mergeCell ref="C4:D4"/>
    <mergeCell ref="A7:A8"/>
    <mergeCell ref="B7:B8"/>
    <mergeCell ref="A68:F68"/>
    <mergeCell ref="A94:F94"/>
    <mergeCell ref="A120:F120"/>
    <mergeCell ref="A146:F146"/>
    <mergeCell ref="A172:F172"/>
    <mergeCell ref="A198:F198"/>
    <mergeCell ref="A203:F203"/>
    <mergeCell ref="A209:F209"/>
    <mergeCell ref="E7:E8"/>
    <mergeCell ref="A9:F9"/>
    <mergeCell ref="A15:F15"/>
    <mergeCell ref="A22:F22"/>
    <mergeCell ref="A27:F27"/>
    <mergeCell ref="A36:F36"/>
    <mergeCell ref="A50:F50"/>
  </mergeCells>
  <conditionalFormatting sqref="G9:G212 K9:K212 O9:O212 S9:S212 W12:W212 AA12:AA212 AE12:AE212 AI12:AI212 AM12:AM212 AQ12:AQ212 AU12:AU212 AY12:AY212 H67 H75">
    <cfRule type="cellIs" dxfId="0" priority="1" operator="equal">
      <formula>"Block"</formula>
    </cfRule>
  </conditionalFormatting>
  <conditionalFormatting sqref="G9:G212 K9:K212 O9:O212 S9:S212 W12:W212 AA12:AA212 AE12:AE212 AI12:AI212 AM12:AM212 AQ12:AQ212 AU12:AU212 AY12:AY212 H67 H75">
    <cfRule type="cellIs" dxfId="1" priority="2" operator="equal">
      <formula>"Fail"</formula>
    </cfRule>
  </conditionalFormatting>
  <conditionalFormatting sqref="G9:G212 K9:K212 O9:O212 S9:S212 W12:W212 AA12:AA212 AE12:AE212 AI12:AI212 AM12:AM212 AQ12:AQ212 AU12:AU212 AY12:AY212 H67 H75">
    <cfRule type="cellIs" dxfId="2" priority="3" operator="equal">
      <formula>"Pass"</formula>
    </cfRule>
  </conditionalFormatting>
  <conditionalFormatting sqref="G9:G212 K9:K212 O9:O212 S9:S212 W12:W212 AA12:AA212 AE12:AE212 AI12:AI212 AM12:AM212 AQ12:AQ212 AU12:AU212 AY12:AY212 H67 H75">
    <cfRule type="cellIs" dxfId="3" priority="4" operator="equal">
      <formula>"N/A"</formula>
    </cfRule>
  </conditionalFormatting>
  <conditionalFormatting sqref="G9:G212 K9:K212 O9:O212 S9:S212 H67 H75">
    <cfRule type="cellIs" dxfId="4" priority="5" operator="equal">
      <formula>"Block"</formula>
    </cfRule>
  </conditionalFormatting>
  <conditionalFormatting sqref="G9:G212 K9:K212 O9:O212 S9:S212 H67 H75">
    <cfRule type="cellIs" dxfId="5" priority="6" operator="equal">
      <formula>"Fail"</formula>
    </cfRule>
  </conditionalFormatting>
  <conditionalFormatting sqref="G9:G212 K9:K212 O9:O212 S9:S212 H67 H75">
    <cfRule type="cellIs" dxfId="6" priority="7" operator="equal">
      <formula>"Pass"</formula>
    </cfRule>
  </conditionalFormatting>
  <conditionalFormatting sqref="G9:G212 K9:K212 O9:O212 S9:S212 H67 H75">
    <cfRule type="cellIs" dxfId="7" priority="8" operator="equal">
      <formula>"N/A"</formula>
    </cfRule>
  </conditionalFormatting>
  <conditionalFormatting sqref="G72:G212 H75">
    <cfRule type="cellIs" dxfId="4" priority="9" operator="equal">
      <formula>"Block"</formula>
    </cfRule>
  </conditionalFormatting>
  <conditionalFormatting sqref="G72:G212 H75">
    <cfRule type="cellIs" dxfId="5" priority="10" operator="equal">
      <formula>"Fail"</formula>
    </cfRule>
  </conditionalFormatting>
  <conditionalFormatting sqref="G72:G212 H75">
    <cfRule type="cellIs" dxfId="6" priority="11" operator="equal">
      <formula>"Pass"</formula>
    </cfRule>
  </conditionalFormatting>
  <conditionalFormatting sqref="G72:G212 H75">
    <cfRule type="cellIs" dxfId="7" priority="12" operator="equal">
      <formula>"N/A"</formula>
    </cfRule>
  </conditionalFormatting>
  <conditionalFormatting sqref="G9:G212 K9:K212 O9:O212 S9:S212 H67 H75">
    <cfRule type="cellIs" dxfId="0" priority="13" operator="equal">
      <formula>"Block"</formula>
    </cfRule>
  </conditionalFormatting>
  <conditionalFormatting sqref="G9:G212 K9:K212 O9:O212 S9:S212 H67 H75">
    <cfRule type="cellIs" dxfId="1" priority="14" operator="equal">
      <formula>"Fail"</formula>
    </cfRule>
  </conditionalFormatting>
  <conditionalFormatting sqref="G9:G212 K9:K212 O9:O212 S9:S212 H67 H75">
    <cfRule type="cellIs" dxfId="2" priority="15" operator="equal">
      <formula>"Pass"</formula>
    </cfRule>
  </conditionalFormatting>
  <conditionalFormatting sqref="G9:G212 K9:K212 O9:O212 S9:S212 H67 H75">
    <cfRule type="cellIs" dxfId="3" priority="16" operator="equal">
      <formula>"N/A"</formula>
    </cfRule>
  </conditionalFormatting>
  <dataValidations>
    <dataValidation type="list" allowBlank="1" showErrorMessage="1" sqref="W17 AA17 AE17 AI17 AM17 G9:G212 K9:K212 O9:O212 S9:S212">
      <formula1>"Pass,Fail,Block,N/A"</formula1>
    </dataValidation>
    <dataValidation type="list" allowBlank="1" showErrorMessage="1" sqref="B10:B13 B16 B20:B21 B23:B25 B28:B34 B37:B49 B53:B67 B69:B73 B75:B90 B92:B93 B95:B99 B101:B116 B118:B119 B121:B125 B127:B142 B144:B145 B147:B151 B153:B168 B170:B171 B173:B177 B179:B194 B196:B197 B199:B202 B204:B208 B210:B212">
      <formula1>"High,Medium,Low"</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17.63"/>
    <col customWidth="1" min="5" max="5" width="40.38"/>
    <col customWidth="1" min="6" max="6" width="53.38"/>
    <col customWidth="1" min="7" max="7" width="8.38"/>
    <col customWidth="1" min="8" max="8" width="12.25"/>
    <col customWidth="1" min="9" max="9" width="13.5"/>
    <col customWidth="1" min="10" max="10" width="14.88"/>
    <col customWidth="1" min="11" max="90" width="8.38"/>
  </cols>
  <sheetData>
    <row r="1" outlineLevel="1">
      <c r="A1" s="233"/>
      <c r="B1" s="234"/>
      <c r="C1" s="304"/>
      <c r="D1" s="235"/>
      <c r="E1" s="236"/>
      <c r="F1" s="237"/>
      <c r="G1" s="238"/>
      <c r="H1" s="239"/>
      <c r="I1" s="240"/>
      <c r="J1" s="241"/>
      <c r="K1" s="457"/>
      <c r="L1" s="239"/>
      <c r="M1" s="239"/>
      <c r="N1" s="456"/>
      <c r="O1" s="457"/>
      <c r="P1" s="239"/>
      <c r="Q1" s="239"/>
      <c r="R1" s="456"/>
      <c r="S1" s="457"/>
      <c r="T1" s="239"/>
      <c r="U1" s="239"/>
      <c r="V1" s="456"/>
      <c r="W1" s="456"/>
      <c r="X1" s="456"/>
      <c r="Y1" s="456"/>
      <c r="Z1" s="456"/>
      <c r="AA1" s="456"/>
      <c r="AB1" s="456"/>
      <c r="AC1" s="456"/>
      <c r="AD1" s="456"/>
      <c r="AE1" s="456"/>
      <c r="AF1" s="456"/>
      <c r="AG1" s="456"/>
      <c r="AH1" s="456"/>
      <c r="AI1" s="456"/>
      <c r="AJ1" s="456"/>
      <c r="AK1" s="456"/>
      <c r="AL1" s="456"/>
      <c r="AM1" s="456"/>
      <c r="AN1" s="456"/>
      <c r="AO1" s="456"/>
      <c r="AP1" s="456"/>
      <c r="AQ1" s="456"/>
      <c r="AR1" s="456"/>
      <c r="AS1" s="456"/>
      <c r="AT1" s="456"/>
      <c r="AU1" s="456"/>
      <c r="AV1" s="456"/>
      <c r="AW1" s="456"/>
      <c r="AX1" s="456"/>
      <c r="AY1" s="456"/>
      <c r="AZ1" s="456"/>
      <c r="BA1" s="456"/>
      <c r="BB1" s="456"/>
      <c r="BC1" s="456"/>
      <c r="BD1" s="456"/>
      <c r="BE1" s="456"/>
      <c r="BF1" s="456"/>
      <c r="BG1" s="456"/>
      <c r="BH1" s="456"/>
      <c r="BI1" s="456"/>
      <c r="BJ1" s="456"/>
      <c r="BK1" s="456"/>
      <c r="BL1" s="456"/>
      <c r="BM1" s="456"/>
      <c r="BN1" s="456"/>
      <c r="BO1" s="456"/>
      <c r="BP1" s="456"/>
      <c r="BQ1" s="456"/>
      <c r="BR1" s="456"/>
      <c r="BS1" s="456"/>
      <c r="BT1" s="456"/>
      <c r="BU1" s="456"/>
      <c r="BV1" s="456"/>
      <c r="BW1" s="456"/>
      <c r="BX1" s="456"/>
      <c r="BY1" s="456"/>
      <c r="BZ1" s="456"/>
      <c r="CA1" s="456"/>
      <c r="CB1" s="456"/>
      <c r="CC1" s="456"/>
      <c r="CD1" s="456"/>
      <c r="CE1" s="456"/>
      <c r="CF1" s="456"/>
      <c r="CG1" s="456"/>
      <c r="CH1" s="456"/>
      <c r="CI1" s="456"/>
      <c r="CJ1" s="456"/>
      <c r="CK1" s="456"/>
      <c r="CL1" s="456"/>
    </row>
    <row r="2" outlineLevel="1">
      <c r="A2" s="242"/>
      <c r="B2" s="243"/>
      <c r="C2" s="182"/>
      <c r="D2" s="182"/>
      <c r="E2" s="182"/>
      <c r="F2" s="244"/>
      <c r="G2" s="238"/>
      <c r="H2" s="239"/>
      <c r="I2" s="240"/>
      <c r="J2" s="241"/>
      <c r="K2" s="457"/>
      <c r="L2" s="239"/>
      <c r="M2" s="239"/>
      <c r="N2" s="456"/>
      <c r="O2" s="457"/>
      <c r="P2" s="239"/>
      <c r="Q2" s="239"/>
      <c r="R2" s="456"/>
      <c r="S2" s="457"/>
      <c r="T2" s="239"/>
      <c r="U2" s="239"/>
      <c r="V2" s="456"/>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c r="CG2" s="456"/>
      <c r="CH2" s="456"/>
      <c r="CI2" s="456"/>
      <c r="CJ2" s="456"/>
      <c r="CK2" s="456"/>
      <c r="CL2" s="456"/>
    </row>
    <row r="3" outlineLevel="1">
      <c r="A3" s="246" t="s">
        <v>122</v>
      </c>
      <c r="B3" s="122"/>
      <c r="C3" s="250" t="s">
        <v>115</v>
      </c>
      <c r="D3" s="122"/>
      <c r="E3" s="248"/>
      <c r="F3" s="249"/>
      <c r="G3" s="238"/>
      <c r="H3" s="239"/>
      <c r="I3" s="240"/>
      <c r="J3" s="248"/>
      <c r="K3" s="457"/>
      <c r="L3" s="239"/>
      <c r="M3" s="239"/>
      <c r="N3" s="458"/>
      <c r="O3" s="457"/>
      <c r="P3" s="239"/>
      <c r="Q3" s="239"/>
      <c r="R3" s="458"/>
      <c r="S3" s="457"/>
      <c r="T3" s="239"/>
      <c r="U3" s="239"/>
      <c r="V3" s="458"/>
      <c r="W3" s="458"/>
      <c r="X3" s="458"/>
      <c r="Y3" s="458"/>
      <c r="Z3" s="458"/>
      <c r="AA3" s="458"/>
      <c r="AB3" s="458"/>
      <c r="AC3" s="458"/>
      <c r="AD3" s="458"/>
      <c r="AE3" s="458"/>
      <c r="AF3" s="458"/>
      <c r="AG3" s="458"/>
      <c r="AH3" s="458"/>
      <c r="AI3" s="458"/>
      <c r="AJ3" s="458"/>
      <c r="AK3" s="458"/>
      <c r="AL3" s="458"/>
      <c r="AM3" s="458"/>
      <c r="AN3" s="458"/>
      <c r="AO3" s="458"/>
      <c r="AP3" s="458"/>
      <c r="AQ3" s="458"/>
      <c r="AR3" s="458"/>
      <c r="AS3" s="458"/>
      <c r="AT3" s="458"/>
      <c r="AU3" s="458"/>
      <c r="AV3" s="458"/>
      <c r="AW3" s="458"/>
      <c r="AX3" s="458"/>
      <c r="AY3" s="458"/>
      <c r="AZ3" s="458"/>
      <c r="BA3" s="458"/>
      <c r="BB3" s="458"/>
      <c r="BC3" s="458"/>
      <c r="BD3" s="458"/>
      <c r="BE3" s="458"/>
      <c r="BF3" s="458"/>
      <c r="BG3" s="458"/>
      <c r="BH3" s="458"/>
      <c r="BI3" s="458"/>
      <c r="BJ3" s="458"/>
      <c r="BK3" s="458"/>
      <c r="BL3" s="458"/>
      <c r="BM3" s="458"/>
      <c r="BN3" s="458"/>
      <c r="BO3" s="458"/>
      <c r="BP3" s="458"/>
      <c r="BQ3" s="458"/>
      <c r="BR3" s="458"/>
      <c r="BS3" s="458"/>
      <c r="BT3" s="458"/>
      <c r="BU3" s="458"/>
      <c r="BV3" s="458"/>
      <c r="BW3" s="458"/>
      <c r="BX3" s="458"/>
      <c r="BY3" s="458"/>
      <c r="BZ3" s="458"/>
      <c r="CA3" s="458"/>
      <c r="CB3" s="458"/>
      <c r="CC3" s="458"/>
      <c r="CD3" s="458"/>
      <c r="CE3" s="458"/>
      <c r="CF3" s="458"/>
      <c r="CG3" s="458"/>
      <c r="CH3" s="458"/>
      <c r="CI3" s="458"/>
      <c r="CJ3" s="458"/>
      <c r="CK3" s="458"/>
      <c r="CL3" s="458"/>
    </row>
    <row r="4" outlineLevel="1">
      <c r="A4" s="246" t="s">
        <v>123</v>
      </c>
      <c r="B4" s="122"/>
      <c r="C4" s="250" t="s">
        <v>2751</v>
      </c>
      <c r="D4" s="122"/>
      <c r="E4" s="248"/>
      <c r="F4" s="249"/>
      <c r="G4" s="238"/>
      <c r="H4" s="239"/>
      <c r="I4" s="240"/>
      <c r="J4" s="248"/>
      <c r="K4" s="457"/>
      <c r="L4" s="239"/>
      <c r="M4" s="239"/>
      <c r="N4" s="458"/>
      <c r="O4" s="457"/>
      <c r="P4" s="239"/>
      <c r="Q4" s="239"/>
      <c r="R4" s="458"/>
      <c r="S4" s="457"/>
      <c r="T4" s="239"/>
      <c r="U4" s="239"/>
      <c r="V4" s="458"/>
      <c r="W4" s="458"/>
      <c r="X4" s="458"/>
      <c r="Y4" s="458"/>
      <c r="Z4" s="458"/>
      <c r="AA4" s="458"/>
      <c r="AB4" s="458"/>
      <c r="AC4" s="458"/>
      <c r="AD4" s="458"/>
      <c r="AE4" s="458"/>
      <c r="AF4" s="458"/>
      <c r="AG4" s="458"/>
      <c r="AH4" s="458"/>
      <c r="AI4" s="458"/>
      <c r="AJ4" s="458"/>
      <c r="AK4" s="458"/>
      <c r="AL4" s="458"/>
      <c r="AM4" s="458"/>
      <c r="AN4" s="458"/>
      <c r="AO4" s="458"/>
      <c r="AP4" s="458"/>
      <c r="AQ4" s="458"/>
      <c r="AR4" s="458"/>
      <c r="AS4" s="458"/>
      <c r="AT4" s="458"/>
      <c r="AU4" s="458"/>
      <c r="AV4" s="458"/>
      <c r="AW4" s="458"/>
      <c r="AX4" s="458"/>
      <c r="AY4" s="458"/>
      <c r="AZ4" s="458"/>
      <c r="BA4" s="458"/>
      <c r="BB4" s="458"/>
      <c r="BC4" s="458"/>
      <c r="BD4" s="458"/>
      <c r="BE4" s="458"/>
      <c r="BF4" s="458"/>
      <c r="BG4" s="458"/>
      <c r="BH4" s="458"/>
      <c r="BI4" s="458"/>
      <c r="BJ4" s="458"/>
      <c r="BK4" s="458"/>
      <c r="BL4" s="458"/>
      <c r="BM4" s="458"/>
      <c r="BN4" s="458"/>
      <c r="BO4" s="458"/>
      <c r="BP4" s="458"/>
      <c r="BQ4" s="458"/>
      <c r="BR4" s="458"/>
      <c r="BS4" s="458"/>
      <c r="BT4" s="458"/>
      <c r="BU4" s="458"/>
      <c r="BV4" s="458"/>
      <c r="BW4" s="458"/>
      <c r="BX4" s="458"/>
      <c r="BY4" s="458"/>
      <c r="BZ4" s="458"/>
      <c r="CA4" s="458"/>
      <c r="CB4" s="458"/>
      <c r="CC4" s="458"/>
      <c r="CD4" s="458"/>
      <c r="CE4" s="458"/>
      <c r="CF4" s="458"/>
      <c r="CG4" s="458"/>
      <c r="CH4" s="458"/>
      <c r="CI4" s="458"/>
      <c r="CJ4" s="458"/>
      <c r="CK4" s="458"/>
      <c r="CL4" s="458"/>
    </row>
    <row r="5" outlineLevel="1">
      <c r="A5" s="251"/>
      <c r="B5" s="251"/>
      <c r="C5" s="251"/>
      <c r="D5" s="251"/>
      <c r="E5" s="252"/>
      <c r="F5" s="253"/>
      <c r="G5" s="238"/>
      <c r="H5" s="239"/>
      <c r="I5" s="240"/>
      <c r="J5" s="241"/>
      <c r="K5" s="457"/>
      <c r="L5" s="239"/>
      <c r="M5" s="239"/>
      <c r="N5" s="456"/>
      <c r="O5" s="457"/>
      <c r="P5" s="239"/>
      <c r="Q5" s="239"/>
      <c r="R5" s="456"/>
      <c r="S5" s="457"/>
      <c r="T5" s="239"/>
      <c r="U5" s="239"/>
      <c r="V5" s="456"/>
      <c r="W5" s="456"/>
      <c r="X5" s="456"/>
      <c r="Y5" s="456"/>
      <c r="Z5" s="456"/>
      <c r="AA5" s="456"/>
      <c r="AB5" s="456"/>
      <c r="AC5" s="456"/>
      <c r="AD5" s="456"/>
      <c r="AE5" s="456"/>
      <c r="AF5" s="456"/>
      <c r="AG5" s="456"/>
      <c r="AH5" s="456"/>
      <c r="AI5" s="456"/>
      <c r="AJ5" s="456"/>
      <c r="AK5" s="456"/>
      <c r="AL5" s="456"/>
      <c r="AM5" s="456"/>
      <c r="AN5" s="456"/>
      <c r="AO5" s="456"/>
      <c r="AP5" s="456"/>
      <c r="AQ5" s="456"/>
      <c r="AR5" s="456"/>
      <c r="AS5" s="456"/>
      <c r="AT5" s="456"/>
      <c r="AU5" s="456"/>
      <c r="AV5" s="456"/>
      <c r="AW5" s="456"/>
      <c r="AX5" s="456"/>
      <c r="AY5" s="456"/>
      <c r="AZ5" s="456"/>
      <c r="BA5" s="456"/>
      <c r="BB5" s="456"/>
      <c r="BC5" s="456"/>
      <c r="BD5" s="456"/>
      <c r="BE5" s="456"/>
      <c r="BF5" s="456"/>
      <c r="BG5" s="456"/>
      <c r="BH5" s="456"/>
      <c r="BI5" s="456"/>
      <c r="BJ5" s="456"/>
      <c r="BK5" s="456"/>
      <c r="BL5" s="456"/>
      <c r="BM5" s="456"/>
      <c r="BN5" s="456"/>
      <c r="BO5" s="456"/>
      <c r="BP5" s="456"/>
      <c r="BQ5" s="456"/>
      <c r="BR5" s="456"/>
      <c r="BS5" s="456"/>
      <c r="BT5" s="456"/>
      <c r="BU5" s="456"/>
      <c r="BV5" s="456"/>
      <c r="BW5" s="456"/>
      <c r="BX5" s="456"/>
      <c r="BY5" s="456"/>
      <c r="BZ5" s="456"/>
      <c r="CA5" s="456"/>
      <c r="CB5" s="456"/>
      <c r="CC5" s="456"/>
      <c r="CD5" s="456"/>
      <c r="CE5" s="456"/>
      <c r="CF5" s="456"/>
      <c r="CG5" s="456"/>
      <c r="CH5" s="456"/>
      <c r="CI5" s="456"/>
      <c r="CJ5" s="456"/>
      <c r="CK5" s="456"/>
      <c r="CL5" s="456"/>
    </row>
    <row r="6" outlineLevel="1">
      <c r="A6" s="254"/>
      <c r="B6" s="254"/>
      <c r="C6" s="254"/>
      <c r="D6" s="254"/>
      <c r="E6" s="255"/>
      <c r="F6" s="253"/>
      <c r="G6" s="238"/>
      <c r="H6" s="239"/>
      <c r="I6" s="240"/>
      <c r="J6" s="241"/>
      <c r="K6" s="457"/>
      <c r="L6" s="239"/>
      <c r="M6" s="239"/>
      <c r="N6" s="456"/>
      <c r="O6" s="457"/>
      <c r="P6" s="239"/>
      <c r="Q6" s="239"/>
      <c r="R6" s="456"/>
      <c r="S6" s="457"/>
      <c r="T6" s="239"/>
      <c r="U6" s="239"/>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row>
    <row r="7">
      <c r="A7" s="146" t="s">
        <v>126</v>
      </c>
      <c r="B7" s="146" t="s">
        <v>127</v>
      </c>
      <c r="C7" s="146" t="s">
        <v>128</v>
      </c>
      <c r="D7" s="146" t="s">
        <v>129</v>
      </c>
      <c r="E7" s="146" t="s">
        <v>130</v>
      </c>
      <c r="F7" s="311" t="s">
        <v>131</v>
      </c>
      <c r="G7" s="312" t="str">
        <f>Summary!G8</f>
        <v>Round 1 (09/04/2026 - 15/04/2026)</v>
      </c>
      <c r="H7" s="313"/>
      <c r="I7" s="313"/>
      <c r="J7" s="314"/>
      <c r="K7" s="312" t="str">
        <f>Summary!L8</f>
        <v>Round 2 (dd/mm/yyyy - dd/mm/yyyy)</v>
      </c>
      <c r="L7" s="313"/>
      <c r="M7" s="313"/>
      <c r="N7" s="314"/>
      <c r="O7" s="315" t="str">
        <f>Summary!Q8</f>
        <v>Round 3(dd/mm/yyyy - dd/mm/yyyy)</v>
      </c>
      <c r="P7" s="148"/>
      <c r="Q7" s="148"/>
      <c r="R7" s="171"/>
      <c r="S7" s="315" t="str">
        <f>Summary!V8</f>
        <v>Round 4 (dd/mm/yyyy - dd/mm/yyyy)</v>
      </c>
      <c r="T7" s="148"/>
      <c r="U7" s="148"/>
      <c r="V7" s="171"/>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c r="BO7" s="316"/>
      <c r="BP7" s="316"/>
      <c r="BQ7" s="316"/>
      <c r="BR7" s="316"/>
      <c r="BS7" s="316"/>
      <c r="BT7" s="316"/>
      <c r="BU7" s="316"/>
      <c r="BV7" s="316"/>
      <c r="BW7" s="316"/>
      <c r="BX7" s="316"/>
      <c r="BY7" s="316"/>
      <c r="BZ7" s="316"/>
      <c r="CA7" s="316"/>
      <c r="CB7" s="316"/>
      <c r="CC7" s="316"/>
      <c r="CD7" s="316"/>
      <c r="CE7" s="316"/>
      <c r="CF7" s="316"/>
      <c r="CG7" s="316"/>
      <c r="CH7" s="316"/>
      <c r="CI7" s="316"/>
      <c r="CJ7" s="316"/>
      <c r="CK7" s="316"/>
      <c r="CL7" s="316"/>
    </row>
    <row r="8">
      <c r="A8" s="56"/>
      <c r="B8" s="56"/>
      <c r="C8" s="56"/>
      <c r="D8" s="56"/>
      <c r="E8" s="56"/>
      <c r="F8" s="56"/>
      <c r="G8" s="317" t="s">
        <v>132</v>
      </c>
      <c r="H8" s="317" t="s">
        <v>133</v>
      </c>
      <c r="I8" s="317" t="s">
        <v>134</v>
      </c>
      <c r="J8" s="317" t="s">
        <v>135</v>
      </c>
      <c r="K8" s="317" t="s">
        <v>132</v>
      </c>
      <c r="L8" s="317" t="s">
        <v>133</v>
      </c>
      <c r="M8" s="317" t="s">
        <v>134</v>
      </c>
      <c r="N8" s="317" t="s">
        <v>135</v>
      </c>
      <c r="O8" s="317" t="s">
        <v>132</v>
      </c>
      <c r="P8" s="317" t="s">
        <v>133</v>
      </c>
      <c r="Q8" s="317" t="s">
        <v>134</v>
      </c>
      <c r="R8" s="317" t="s">
        <v>135</v>
      </c>
      <c r="S8" s="317" t="s">
        <v>132</v>
      </c>
      <c r="T8" s="317" t="s">
        <v>133</v>
      </c>
      <c r="U8" s="317" t="s">
        <v>134</v>
      </c>
      <c r="V8" s="317" t="s">
        <v>135</v>
      </c>
      <c r="W8" s="316"/>
      <c r="X8" s="316"/>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6"/>
      <c r="BK8" s="316"/>
      <c r="BL8" s="316"/>
      <c r="BM8" s="316"/>
      <c r="BN8" s="316"/>
      <c r="BO8" s="316"/>
      <c r="BP8" s="316"/>
      <c r="BQ8" s="316"/>
      <c r="BR8" s="316"/>
      <c r="BS8" s="316"/>
      <c r="BT8" s="316"/>
      <c r="BU8" s="316"/>
      <c r="BV8" s="316"/>
      <c r="BW8" s="316"/>
      <c r="BX8" s="316"/>
      <c r="BY8" s="316"/>
      <c r="BZ8" s="316"/>
      <c r="CA8" s="316"/>
      <c r="CB8" s="316"/>
      <c r="CC8" s="316"/>
      <c r="CD8" s="316"/>
      <c r="CE8" s="316"/>
      <c r="CF8" s="316"/>
      <c r="CG8" s="316"/>
      <c r="CH8" s="316"/>
      <c r="CI8" s="316"/>
      <c r="CJ8" s="316"/>
      <c r="CK8" s="316"/>
      <c r="CL8" s="316"/>
    </row>
    <row r="9">
      <c r="A9" s="570" t="s">
        <v>2144</v>
      </c>
      <c r="B9" s="148"/>
      <c r="C9" s="148"/>
      <c r="D9" s="148"/>
      <c r="E9" s="148"/>
      <c r="F9" s="171"/>
      <c r="G9" s="265"/>
      <c r="H9" s="273"/>
      <c r="I9" s="273"/>
      <c r="J9" s="273"/>
      <c r="K9" s="273"/>
      <c r="L9" s="273"/>
      <c r="M9" s="273"/>
      <c r="N9" s="273"/>
      <c r="O9" s="273"/>
      <c r="P9" s="273"/>
      <c r="Q9" s="273"/>
      <c r="R9" s="273"/>
      <c r="S9" s="265"/>
      <c r="T9" s="273"/>
      <c r="U9" s="273"/>
      <c r="V9" s="273"/>
      <c r="W9" s="273"/>
      <c r="X9" s="273"/>
      <c r="Y9" s="273"/>
      <c r="Z9" s="273"/>
      <c r="AA9" s="556"/>
      <c r="AB9" s="556"/>
      <c r="AC9" s="556"/>
      <c r="AD9" s="556"/>
      <c r="AE9" s="556"/>
      <c r="AF9" s="556"/>
      <c r="AG9" s="556"/>
      <c r="AH9" s="556"/>
      <c r="AI9" s="556"/>
      <c r="AJ9" s="556"/>
      <c r="AK9" s="556"/>
      <c r="AL9" s="556"/>
      <c r="AM9" s="556"/>
      <c r="AN9" s="556"/>
      <c r="AO9" s="556"/>
      <c r="AP9" s="556"/>
      <c r="AQ9" s="355"/>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row>
    <row r="10" outlineLevel="1">
      <c r="A10" s="325" t="str">
        <f>IF(E10="","",$C$3&amp;"."&amp;COUNTA($E10:E$10)&amp;"")</f>
        <v>TC_02.1</v>
      </c>
      <c r="B10" s="557" t="s">
        <v>75</v>
      </c>
      <c r="C10" s="559" t="s">
        <v>2752</v>
      </c>
      <c r="D10" s="558" t="s">
        <v>2753</v>
      </c>
      <c r="E10" s="559" t="s">
        <v>2754</v>
      </c>
      <c r="F10" s="559" t="s">
        <v>2755</v>
      </c>
      <c r="G10" s="265"/>
      <c r="H10" s="273"/>
      <c r="I10" s="273"/>
      <c r="J10" s="273"/>
      <c r="K10" s="273"/>
      <c r="L10" s="273"/>
      <c r="M10" s="273"/>
      <c r="N10" s="273"/>
      <c r="O10" s="273"/>
      <c r="P10" s="273"/>
      <c r="Q10" s="273"/>
      <c r="R10" s="273"/>
      <c r="S10" s="265"/>
      <c r="T10" s="273"/>
      <c r="U10" s="273"/>
      <c r="V10" s="273"/>
      <c r="W10" s="273"/>
      <c r="X10" s="273"/>
      <c r="Y10" s="273"/>
      <c r="Z10" s="273"/>
      <c r="AA10" s="556"/>
      <c r="AB10" s="556"/>
      <c r="AC10" s="556"/>
      <c r="AD10" s="556"/>
      <c r="AE10" s="556"/>
      <c r="AF10" s="556"/>
      <c r="AG10" s="556"/>
      <c r="AH10" s="556"/>
      <c r="AI10" s="556"/>
      <c r="AJ10" s="556"/>
      <c r="AK10" s="556"/>
      <c r="AL10" s="556"/>
      <c r="AM10" s="556"/>
      <c r="AN10" s="556"/>
      <c r="AO10" s="556"/>
      <c r="AP10" s="556"/>
      <c r="AQ10" s="355"/>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row>
    <row r="11" outlineLevel="1">
      <c r="A11" s="325" t="str">
        <f t="shared" ref="A11:A14" si="1">IF(E11="","",$C$3&amp;"."&amp;COUNTA($E$10:E11)&amp;"")</f>
        <v>TC_02.2</v>
      </c>
      <c r="B11" s="557" t="s">
        <v>73</v>
      </c>
      <c r="C11" s="559" t="s">
        <v>2756</v>
      </c>
      <c r="D11" s="558" t="s">
        <v>2757</v>
      </c>
      <c r="E11" s="559" t="s">
        <v>2758</v>
      </c>
      <c r="F11" s="558" t="s">
        <v>2152</v>
      </c>
      <c r="G11" s="265"/>
      <c r="H11" s="273"/>
      <c r="I11" s="273"/>
      <c r="J11" s="273"/>
      <c r="K11" s="273"/>
      <c r="L11" s="273"/>
      <c r="M11" s="273"/>
      <c r="N11" s="273"/>
      <c r="O11" s="273"/>
      <c r="P11" s="273"/>
      <c r="Q11" s="273"/>
      <c r="R11" s="273"/>
      <c r="S11" s="265"/>
      <c r="T11" s="273"/>
      <c r="U11" s="273"/>
      <c r="V11" s="273"/>
      <c r="W11" s="273"/>
      <c r="X11" s="273"/>
      <c r="Y11" s="273"/>
      <c r="Z11" s="273"/>
      <c r="AA11" s="556"/>
      <c r="AB11" s="556"/>
      <c r="AC11" s="556"/>
      <c r="AD11" s="556"/>
      <c r="AE11" s="556"/>
      <c r="AF11" s="556"/>
      <c r="AG11" s="556"/>
      <c r="AH11" s="556"/>
      <c r="AI11" s="556"/>
      <c r="AJ11" s="556"/>
      <c r="AK11" s="556"/>
      <c r="AL11" s="556"/>
      <c r="AM11" s="556"/>
      <c r="AN11" s="556"/>
      <c r="AO11" s="556"/>
      <c r="AP11" s="556"/>
      <c r="AQ11" s="355"/>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row>
    <row r="12" outlineLevel="1">
      <c r="A12" s="325" t="str">
        <f t="shared" si="1"/>
        <v>TC_02.3</v>
      </c>
      <c r="B12" s="557" t="s">
        <v>75</v>
      </c>
      <c r="C12" s="558" t="s">
        <v>2153</v>
      </c>
      <c r="D12" s="558" t="s">
        <v>2154</v>
      </c>
      <c r="E12" s="559" t="s">
        <v>2155</v>
      </c>
      <c r="F12" s="561" t="s">
        <v>2156</v>
      </c>
      <c r="G12" s="265"/>
      <c r="H12" s="273"/>
      <c r="I12" s="273"/>
      <c r="J12" s="273"/>
      <c r="K12" s="273"/>
      <c r="L12" s="273"/>
      <c r="M12" s="273"/>
      <c r="N12" s="273"/>
      <c r="O12" s="273"/>
      <c r="P12" s="273"/>
      <c r="Q12" s="273"/>
      <c r="R12" s="273"/>
      <c r="S12" s="265"/>
      <c r="T12" s="273"/>
      <c r="U12" s="273"/>
      <c r="V12" s="273"/>
      <c r="W12" s="273"/>
      <c r="X12" s="273"/>
      <c r="Y12" s="273"/>
      <c r="Z12" s="273"/>
      <c r="AA12" s="556"/>
      <c r="AB12" s="556"/>
      <c r="AC12" s="556"/>
      <c r="AD12" s="556"/>
      <c r="AE12" s="556"/>
      <c r="AF12" s="556"/>
      <c r="AG12" s="556"/>
      <c r="AH12" s="556"/>
      <c r="AI12" s="556"/>
      <c r="AJ12" s="556"/>
      <c r="AK12" s="556"/>
      <c r="AL12" s="556"/>
      <c r="AM12" s="556"/>
      <c r="AN12" s="556"/>
      <c r="AO12" s="556"/>
      <c r="AP12" s="556"/>
      <c r="AQ12" s="355"/>
      <c r="AR12" s="355"/>
      <c r="AS12" s="355"/>
      <c r="AT12" s="355"/>
      <c r="AU12" s="355"/>
      <c r="AV12" s="355"/>
      <c r="AW12" s="355"/>
      <c r="AX12" s="355"/>
      <c r="AY12" s="355"/>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row>
    <row r="13" outlineLevel="1">
      <c r="A13" s="325" t="str">
        <f t="shared" si="1"/>
        <v>TC_02.4</v>
      </c>
      <c r="B13" s="557" t="s">
        <v>75</v>
      </c>
      <c r="C13" s="558" t="s">
        <v>2157</v>
      </c>
      <c r="D13" s="558" t="s">
        <v>2158</v>
      </c>
      <c r="E13" s="559" t="s">
        <v>2159</v>
      </c>
      <c r="F13" s="558" t="s">
        <v>2160</v>
      </c>
      <c r="G13" s="265"/>
      <c r="H13" s="273"/>
      <c r="I13" s="273"/>
      <c r="J13" s="273"/>
      <c r="K13" s="273"/>
      <c r="L13" s="273"/>
      <c r="M13" s="273"/>
      <c r="N13" s="273"/>
      <c r="O13" s="273"/>
      <c r="P13" s="273"/>
      <c r="Q13" s="273"/>
      <c r="R13" s="273"/>
      <c r="S13" s="265"/>
      <c r="T13" s="273"/>
      <c r="U13" s="273"/>
      <c r="V13" s="273"/>
      <c r="W13" s="273"/>
      <c r="X13" s="273"/>
      <c r="Y13" s="273"/>
      <c r="Z13" s="273"/>
      <c r="AA13" s="556"/>
      <c r="AB13" s="556"/>
      <c r="AC13" s="556"/>
      <c r="AD13" s="556"/>
      <c r="AE13" s="556"/>
      <c r="AF13" s="556"/>
      <c r="AG13" s="556"/>
      <c r="AH13" s="556"/>
      <c r="AI13" s="556"/>
      <c r="AJ13" s="556"/>
      <c r="AK13" s="556"/>
      <c r="AL13" s="556"/>
      <c r="AM13" s="556"/>
      <c r="AN13" s="556"/>
      <c r="AO13" s="556"/>
      <c r="AP13" s="556"/>
      <c r="AQ13" s="355"/>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row>
    <row r="14" outlineLevel="1">
      <c r="A14" s="325" t="str">
        <f t="shared" si="1"/>
        <v>TC_02.5</v>
      </c>
      <c r="B14" s="557" t="s">
        <v>75</v>
      </c>
      <c r="C14" s="558" t="s">
        <v>2161</v>
      </c>
      <c r="D14" s="558" t="s">
        <v>2162</v>
      </c>
      <c r="E14" s="558" t="s">
        <v>2163</v>
      </c>
      <c r="F14" s="558" t="s">
        <v>2164</v>
      </c>
      <c r="G14" s="265"/>
      <c r="H14" s="273"/>
      <c r="I14" s="273"/>
      <c r="J14" s="273"/>
      <c r="K14" s="273"/>
      <c r="L14" s="273"/>
      <c r="M14" s="273"/>
      <c r="N14" s="273"/>
      <c r="O14" s="273"/>
      <c r="P14" s="273"/>
      <c r="Q14" s="273"/>
      <c r="R14" s="273"/>
      <c r="S14" s="265"/>
      <c r="T14" s="273"/>
      <c r="U14" s="273"/>
      <c r="V14" s="273"/>
      <c r="W14" s="273"/>
      <c r="X14" s="273"/>
      <c r="Y14" s="273"/>
      <c r="Z14" s="273"/>
      <c r="AA14" s="556"/>
      <c r="AB14" s="556"/>
      <c r="AC14" s="556"/>
      <c r="AD14" s="556"/>
      <c r="AE14" s="556"/>
      <c r="AF14" s="556"/>
      <c r="AG14" s="556"/>
      <c r="AH14" s="556"/>
      <c r="AI14" s="556"/>
      <c r="AJ14" s="556"/>
      <c r="AK14" s="556"/>
      <c r="AL14" s="556"/>
      <c r="AM14" s="556"/>
      <c r="AN14" s="556"/>
      <c r="AO14" s="556"/>
      <c r="AP14" s="556"/>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row>
    <row r="15">
      <c r="A15" s="570" t="s">
        <v>2759</v>
      </c>
      <c r="B15" s="148"/>
      <c r="C15" s="148"/>
      <c r="D15" s="148"/>
      <c r="E15" s="148"/>
      <c r="F15" s="171"/>
      <c r="G15" s="265"/>
      <c r="H15" s="273"/>
      <c r="I15" s="273"/>
      <c r="J15" s="273"/>
      <c r="K15" s="273"/>
      <c r="L15" s="273"/>
      <c r="M15" s="273"/>
      <c r="N15" s="273"/>
      <c r="O15" s="273"/>
      <c r="P15" s="273"/>
      <c r="Q15" s="273"/>
      <c r="R15" s="273"/>
      <c r="S15" s="265"/>
      <c r="T15" s="273"/>
      <c r="U15" s="273"/>
      <c r="V15" s="273"/>
      <c r="W15" s="273"/>
      <c r="X15" s="273"/>
      <c r="Y15" s="273"/>
      <c r="Z15" s="273"/>
      <c r="AA15" s="556"/>
      <c r="AB15" s="556"/>
      <c r="AC15" s="556"/>
      <c r="AD15" s="556"/>
      <c r="AE15" s="556"/>
      <c r="AF15" s="556"/>
      <c r="AG15" s="556"/>
      <c r="AH15" s="556"/>
      <c r="AI15" s="556"/>
      <c r="AJ15" s="556"/>
      <c r="AK15" s="556"/>
      <c r="AL15" s="556"/>
      <c r="AM15" s="556"/>
      <c r="AN15" s="556"/>
      <c r="AO15" s="556"/>
      <c r="AP15" s="556"/>
      <c r="AQ15" s="355"/>
      <c r="AR15" s="355"/>
      <c r="AS15" s="355"/>
      <c r="AT15" s="355"/>
      <c r="AU15" s="355"/>
      <c r="AV15" s="355"/>
      <c r="AW15" s="355"/>
      <c r="AX15" s="355"/>
      <c r="AY15" s="355"/>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row>
    <row r="16" outlineLevel="1">
      <c r="A16" s="325" t="str">
        <f>IF(E16="","",$C$3&amp;"."&amp;COUNTA($E$10:E16)&amp;"")</f>
        <v>TC_02.6</v>
      </c>
      <c r="B16" s="565" t="s">
        <v>75</v>
      </c>
      <c r="C16" s="566" t="s">
        <v>2760</v>
      </c>
      <c r="D16" s="566" t="s">
        <v>2761</v>
      </c>
      <c r="E16" s="561" t="s">
        <v>2762</v>
      </c>
      <c r="F16" s="566" t="s">
        <v>2763</v>
      </c>
      <c r="G16" s="265"/>
      <c r="H16" s="265"/>
      <c r="I16" s="273"/>
      <c r="J16" s="273"/>
      <c r="K16" s="273"/>
      <c r="L16" s="273"/>
      <c r="M16" s="273"/>
      <c r="N16" s="273"/>
      <c r="O16" s="273"/>
      <c r="P16" s="273"/>
      <c r="Q16" s="273"/>
      <c r="R16" s="273"/>
      <c r="S16" s="265"/>
      <c r="T16" s="273"/>
      <c r="U16" s="273"/>
      <c r="V16" s="273"/>
      <c r="W16" s="273"/>
      <c r="X16" s="273"/>
      <c r="Y16" s="273"/>
      <c r="Z16" s="273"/>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32"/>
      <c r="BO16" s="332"/>
      <c r="BP16" s="332"/>
      <c r="BQ16" s="332"/>
      <c r="BR16" s="332"/>
      <c r="BS16" s="332"/>
      <c r="BT16" s="332"/>
      <c r="BU16" s="332"/>
      <c r="BV16" s="332"/>
      <c r="BW16" s="332"/>
      <c r="BX16" s="332"/>
      <c r="BY16" s="332"/>
      <c r="BZ16" s="332"/>
      <c r="CA16" s="332"/>
      <c r="CB16" s="332"/>
      <c r="CC16" s="332"/>
      <c r="CD16" s="332"/>
      <c r="CE16" s="332"/>
      <c r="CF16" s="332"/>
      <c r="CG16" s="332"/>
      <c r="CH16" s="332"/>
      <c r="CI16" s="332"/>
      <c r="CJ16" s="332"/>
      <c r="CK16" s="332"/>
      <c r="CL16" s="332"/>
    </row>
    <row r="17">
      <c r="A17" s="570" t="s">
        <v>2764</v>
      </c>
      <c r="B17" s="148"/>
      <c r="C17" s="148"/>
      <c r="D17" s="148"/>
      <c r="E17" s="148"/>
      <c r="F17" s="171"/>
      <c r="G17" s="265"/>
      <c r="H17" s="265"/>
      <c r="I17" s="273"/>
      <c r="J17" s="273"/>
      <c r="K17" s="273"/>
      <c r="L17" s="273"/>
      <c r="M17" s="273"/>
      <c r="N17" s="273"/>
      <c r="O17" s="273"/>
      <c r="P17" s="273"/>
      <c r="Q17" s="273"/>
      <c r="R17" s="273"/>
      <c r="S17" s="265"/>
      <c r="T17" s="273"/>
      <c r="U17" s="273"/>
      <c r="V17" s="273"/>
      <c r="W17" s="273"/>
      <c r="X17" s="273"/>
      <c r="Y17" s="273"/>
      <c r="Z17" s="273"/>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2"/>
      <c r="BR17" s="332"/>
      <c r="BS17" s="332"/>
      <c r="BT17" s="332"/>
      <c r="BU17" s="332"/>
      <c r="BV17" s="332"/>
      <c r="BW17" s="332"/>
      <c r="BX17" s="332"/>
      <c r="BY17" s="332"/>
      <c r="BZ17" s="332"/>
      <c r="CA17" s="332"/>
      <c r="CB17" s="332"/>
      <c r="CC17" s="332"/>
      <c r="CD17" s="332"/>
      <c r="CE17" s="332"/>
      <c r="CF17" s="332"/>
      <c r="CG17" s="332"/>
      <c r="CH17" s="332"/>
      <c r="CI17" s="332"/>
      <c r="CJ17" s="332"/>
      <c r="CK17" s="332"/>
      <c r="CL17" s="332"/>
    </row>
    <row r="18" outlineLevel="1">
      <c r="A18" s="325" t="str">
        <f t="shared" ref="A18:A31" si="2">IF(E18="","",$C$3&amp;"."&amp;COUNTA($E$10:E18)&amp;"")</f>
        <v>TC_02.7</v>
      </c>
      <c r="B18" s="565" t="s">
        <v>73</v>
      </c>
      <c r="C18" s="561" t="s">
        <v>2765</v>
      </c>
      <c r="D18" s="566" t="s">
        <v>2766</v>
      </c>
      <c r="E18" s="566" t="s">
        <v>2767</v>
      </c>
      <c r="F18" s="561" t="s">
        <v>2768</v>
      </c>
      <c r="G18" s="265"/>
      <c r="H18" s="265"/>
      <c r="I18" s="273"/>
      <c r="J18" s="273"/>
      <c r="K18" s="273"/>
      <c r="L18" s="273"/>
      <c r="M18" s="273"/>
      <c r="N18" s="273"/>
      <c r="O18" s="273"/>
      <c r="P18" s="273"/>
      <c r="Q18" s="273"/>
      <c r="R18" s="273"/>
      <c r="S18" s="265"/>
      <c r="T18" s="273"/>
      <c r="U18" s="273"/>
      <c r="V18" s="273"/>
      <c r="W18" s="273"/>
      <c r="X18" s="273"/>
      <c r="Y18" s="273"/>
      <c r="Z18" s="273"/>
      <c r="AA18" s="332"/>
      <c r="AB18" s="332"/>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32"/>
      <c r="BO18" s="332"/>
      <c r="BP18" s="332"/>
      <c r="BQ18" s="332"/>
      <c r="BR18" s="332"/>
      <c r="BS18" s="332"/>
      <c r="BT18" s="332"/>
      <c r="BU18" s="332"/>
      <c r="BV18" s="332"/>
      <c r="BW18" s="332"/>
      <c r="BX18" s="332"/>
      <c r="BY18" s="332"/>
      <c r="BZ18" s="332"/>
      <c r="CA18" s="332"/>
      <c r="CB18" s="332"/>
      <c r="CC18" s="332"/>
      <c r="CD18" s="332"/>
      <c r="CE18" s="332"/>
      <c r="CF18" s="332"/>
      <c r="CG18" s="332"/>
      <c r="CH18" s="332"/>
      <c r="CI18" s="332"/>
      <c r="CJ18" s="332"/>
      <c r="CK18" s="332"/>
      <c r="CL18" s="332"/>
    </row>
    <row r="19" outlineLevel="1">
      <c r="A19" s="325" t="str">
        <f t="shared" si="2"/>
        <v>TC_02.8</v>
      </c>
      <c r="B19" s="565" t="s">
        <v>73</v>
      </c>
      <c r="C19" s="561" t="s">
        <v>2769</v>
      </c>
      <c r="D19" s="561" t="s">
        <v>2770</v>
      </c>
      <c r="E19" s="561" t="s">
        <v>2771</v>
      </c>
      <c r="F19" s="566" t="s">
        <v>2772</v>
      </c>
      <c r="G19" s="265"/>
      <c r="H19" s="273"/>
      <c r="I19" s="273"/>
      <c r="J19" s="273"/>
      <c r="K19" s="273"/>
      <c r="L19" s="273"/>
      <c r="M19" s="273"/>
      <c r="N19" s="273"/>
      <c r="O19" s="273"/>
      <c r="P19" s="273"/>
      <c r="Q19" s="273"/>
      <c r="R19" s="273"/>
      <c r="S19" s="265"/>
      <c r="T19" s="273"/>
      <c r="U19" s="273"/>
      <c r="V19" s="273"/>
      <c r="W19" s="273"/>
      <c r="X19" s="273"/>
      <c r="Y19" s="273"/>
      <c r="Z19" s="273"/>
      <c r="AA19" s="355"/>
      <c r="AB19" s="355"/>
      <c r="AC19" s="355"/>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55"/>
      <c r="BR19" s="355"/>
      <c r="BS19" s="355"/>
      <c r="BT19" s="355"/>
      <c r="BU19" s="355"/>
      <c r="BV19" s="355"/>
      <c r="BW19" s="355"/>
      <c r="BX19" s="355"/>
      <c r="BY19" s="355"/>
      <c r="BZ19" s="355"/>
      <c r="CA19" s="355"/>
      <c r="CB19" s="355"/>
      <c r="CC19" s="355"/>
      <c r="CD19" s="355"/>
      <c r="CE19" s="355"/>
      <c r="CF19" s="355"/>
      <c r="CG19" s="355"/>
      <c r="CH19" s="355"/>
      <c r="CI19" s="355"/>
      <c r="CJ19" s="355"/>
      <c r="CK19" s="355"/>
      <c r="CL19" s="355"/>
    </row>
    <row r="20" outlineLevel="1">
      <c r="A20" s="325" t="str">
        <f t="shared" si="2"/>
        <v>TC_02.9</v>
      </c>
      <c r="B20" s="565" t="s">
        <v>73</v>
      </c>
      <c r="C20" s="561" t="s">
        <v>2773</v>
      </c>
      <c r="D20" s="566" t="s">
        <v>2774</v>
      </c>
      <c r="E20" s="561" t="s">
        <v>2775</v>
      </c>
      <c r="F20" s="561" t="s">
        <v>2776</v>
      </c>
      <c r="G20" s="265"/>
      <c r="H20" s="273"/>
      <c r="I20" s="273"/>
      <c r="J20" s="273"/>
      <c r="K20" s="273"/>
      <c r="L20" s="273"/>
      <c r="M20" s="273"/>
      <c r="N20" s="273"/>
      <c r="O20" s="273"/>
      <c r="P20" s="273"/>
      <c r="Q20" s="273"/>
      <c r="R20" s="273"/>
      <c r="S20" s="265"/>
      <c r="T20" s="273"/>
      <c r="U20" s="273"/>
      <c r="V20" s="273"/>
      <c r="W20" s="273"/>
      <c r="X20" s="273"/>
      <c r="Y20" s="273"/>
      <c r="Z20" s="273"/>
      <c r="AA20" s="355"/>
      <c r="AB20" s="355"/>
      <c r="AC20" s="355"/>
      <c r="AD20" s="355"/>
      <c r="AE20" s="355"/>
      <c r="AF20" s="355"/>
      <c r="AG20" s="355"/>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5"/>
      <c r="BL20" s="355"/>
      <c r="BM20" s="355"/>
      <c r="BN20" s="355"/>
      <c r="BO20" s="355"/>
      <c r="BP20" s="355"/>
      <c r="BQ20" s="355"/>
      <c r="BR20" s="355"/>
      <c r="BS20" s="355"/>
      <c r="BT20" s="355"/>
      <c r="BU20" s="355"/>
      <c r="BV20" s="355"/>
      <c r="BW20" s="355"/>
      <c r="BX20" s="355"/>
      <c r="BY20" s="355"/>
      <c r="BZ20" s="355"/>
      <c r="CA20" s="355"/>
      <c r="CB20" s="355"/>
      <c r="CC20" s="355"/>
      <c r="CD20" s="355"/>
      <c r="CE20" s="355"/>
      <c r="CF20" s="355"/>
      <c r="CG20" s="355"/>
      <c r="CH20" s="355"/>
      <c r="CI20" s="355"/>
      <c r="CJ20" s="355"/>
      <c r="CK20" s="355"/>
      <c r="CL20" s="355"/>
    </row>
    <row r="21" outlineLevel="1">
      <c r="A21" s="325" t="str">
        <f t="shared" si="2"/>
        <v>TC_02.10</v>
      </c>
      <c r="B21" s="565" t="s">
        <v>75</v>
      </c>
      <c r="C21" s="561" t="s">
        <v>2777</v>
      </c>
      <c r="D21" s="561" t="s">
        <v>2778</v>
      </c>
      <c r="E21" s="561" t="s">
        <v>2779</v>
      </c>
      <c r="F21" s="561" t="s">
        <v>2780</v>
      </c>
      <c r="G21" s="265"/>
      <c r="H21" s="265"/>
      <c r="I21" s="273"/>
      <c r="J21" s="273"/>
      <c r="K21" s="273"/>
      <c r="L21" s="273"/>
      <c r="M21" s="273"/>
      <c r="N21" s="273"/>
      <c r="O21" s="273"/>
      <c r="P21" s="273"/>
      <c r="Q21" s="273"/>
      <c r="R21" s="273"/>
      <c r="S21" s="265"/>
      <c r="T21" s="273"/>
      <c r="U21" s="273"/>
      <c r="V21" s="273"/>
      <c r="W21" s="273"/>
      <c r="X21" s="273"/>
      <c r="Y21" s="273"/>
      <c r="Z21" s="273"/>
      <c r="AA21" s="355"/>
      <c r="AB21" s="355"/>
      <c r="AC21" s="355"/>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c r="BW21" s="355"/>
      <c r="BX21" s="355"/>
      <c r="BY21" s="355"/>
      <c r="BZ21" s="355"/>
      <c r="CA21" s="355"/>
      <c r="CB21" s="355"/>
      <c r="CC21" s="355"/>
      <c r="CD21" s="355"/>
      <c r="CE21" s="355"/>
      <c r="CF21" s="355"/>
      <c r="CG21" s="355"/>
      <c r="CH21" s="355"/>
      <c r="CI21" s="355"/>
      <c r="CJ21" s="355"/>
      <c r="CK21" s="355"/>
      <c r="CL21" s="355"/>
    </row>
    <row r="22" outlineLevel="1">
      <c r="A22" s="325" t="str">
        <f t="shared" si="2"/>
        <v>TC_02.11</v>
      </c>
      <c r="B22" s="565" t="s">
        <v>75</v>
      </c>
      <c r="C22" s="561" t="s">
        <v>2781</v>
      </c>
      <c r="D22" s="561" t="s">
        <v>2782</v>
      </c>
      <c r="E22" s="561" t="s">
        <v>2783</v>
      </c>
      <c r="F22" s="566" t="s">
        <v>2784</v>
      </c>
      <c r="G22" s="265"/>
      <c r="H22" s="273"/>
      <c r="I22" s="273"/>
      <c r="J22" s="273"/>
      <c r="K22" s="273"/>
      <c r="L22" s="273"/>
      <c r="M22" s="273"/>
      <c r="N22" s="273"/>
      <c r="O22" s="273"/>
      <c r="P22" s="273"/>
      <c r="Q22" s="273"/>
      <c r="R22" s="273"/>
      <c r="S22" s="265"/>
      <c r="T22" s="273"/>
      <c r="U22" s="273"/>
      <c r="V22" s="273"/>
      <c r="W22" s="273"/>
      <c r="X22" s="273"/>
      <c r="Y22" s="273"/>
      <c r="Z22" s="273"/>
      <c r="AA22" s="355"/>
      <c r="AB22" s="355"/>
      <c r="AC22" s="355"/>
      <c r="AD22" s="355"/>
      <c r="AE22" s="355"/>
      <c r="AF22" s="355"/>
      <c r="AG22" s="355"/>
      <c r="AH22" s="355"/>
      <c r="AI22" s="355"/>
      <c r="AJ22" s="355"/>
      <c r="AK22" s="355"/>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5"/>
      <c r="BL22" s="355"/>
      <c r="BM22" s="355"/>
      <c r="BN22" s="355"/>
      <c r="BO22" s="355"/>
      <c r="BP22" s="355"/>
      <c r="BQ22" s="355"/>
      <c r="BR22" s="355"/>
      <c r="BS22" s="355"/>
      <c r="BT22" s="355"/>
      <c r="BU22" s="355"/>
      <c r="BV22" s="355"/>
      <c r="BW22" s="355"/>
      <c r="BX22" s="355"/>
      <c r="BY22" s="355"/>
      <c r="BZ22" s="355"/>
      <c r="CA22" s="355"/>
      <c r="CB22" s="355"/>
      <c r="CC22" s="355"/>
      <c r="CD22" s="355"/>
      <c r="CE22" s="355"/>
      <c r="CF22" s="355"/>
      <c r="CG22" s="355"/>
      <c r="CH22" s="355"/>
      <c r="CI22" s="355"/>
      <c r="CJ22" s="355"/>
      <c r="CK22" s="355"/>
      <c r="CL22" s="355"/>
    </row>
    <row r="23" outlineLevel="1">
      <c r="A23" s="325" t="str">
        <f t="shared" si="2"/>
        <v>TC_02.12</v>
      </c>
      <c r="B23" s="571" t="s">
        <v>73</v>
      </c>
      <c r="C23" s="375" t="s">
        <v>2785</v>
      </c>
      <c r="D23" s="375" t="s">
        <v>2786</v>
      </c>
      <c r="E23" s="375" t="s">
        <v>2787</v>
      </c>
      <c r="F23" s="375" t="s">
        <v>2788</v>
      </c>
      <c r="G23" s="265"/>
      <c r="H23" s="265"/>
      <c r="I23" s="273"/>
      <c r="J23" s="273"/>
      <c r="K23" s="265"/>
      <c r="L23" s="265"/>
      <c r="M23" s="273"/>
      <c r="N23" s="273"/>
      <c r="O23" s="265"/>
      <c r="P23" s="265"/>
      <c r="Q23" s="273"/>
      <c r="R23" s="273"/>
      <c r="S23" s="265"/>
      <c r="T23" s="265"/>
      <c r="U23" s="273"/>
      <c r="V23" s="273"/>
      <c r="W23" s="265"/>
      <c r="X23" s="265"/>
      <c r="Y23" s="273"/>
      <c r="Z23" s="273"/>
      <c r="AA23" s="359"/>
      <c r="AB23" s="356"/>
      <c r="AC23" s="357"/>
      <c r="AD23" s="358"/>
      <c r="AE23" s="43"/>
      <c r="AF23" s="356"/>
      <c r="AG23" s="572"/>
      <c r="AH23" s="364"/>
      <c r="AI23" s="43"/>
      <c r="AJ23" s="356"/>
      <c r="AK23" s="353"/>
      <c r="AL23" s="364"/>
      <c r="AM23" s="43"/>
      <c r="AN23" s="356"/>
      <c r="AO23" s="353"/>
      <c r="AP23" s="364"/>
      <c r="AQ23" s="468"/>
      <c r="AR23" s="357"/>
      <c r="AS23" s="357"/>
      <c r="AT23" s="358"/>
      <c r="AU23" s="468"/>
      <c r="AV23" s="357"/>
      <c r="AW23" s="357"/>
      <c r="AX23" s="358"/>
      <c r="AY23" s="468"/>
      <c r="AZ23" s="357"/>
      <c r="BA23" s="357"/>
      <c r="BB23" s="573"/>
      <c r="BC23" s="574"/>
      <c r="BD23" s="574"/>
      <c r="BE23" s="574"/>
      <c r="BF23" s="574"/>
      <c r="BG23" s="574"/>
      <c r="BH23" s="574"/>
      <c r="BI23" s="574"/>
      <c r="BJ23" s="574"/>
      <c r="BK23" s="574"/>
      <c r="BL23" s="574"/>
      <c r="BM23" s="574"/>
      <c r="BN23" s="574"/>
      <c r="BO23" s="574"/>
      <c r="BP23" s="574"/>
      <c r="BQ23" s="574"/>
      <c r="BR23" s="574"/>
      <c r="BS23" s="574"/>
      <c r="BT23" s="574"/>
      <c r="BU23" s="574"/>
      <c r="BV23" s="574"/>
      <c r="BW23" s="574"/>
      <c r="BX23" s="574"/>
      <c r="BY23" s="574"/>
      <c r="BZ23" s="574"/>
      <c r="CA23" s="574"/>
      <c r="CB23" s="574"/>
      <c r="CC23" s="574"/>
      <c r="CD23" s="574"/>
      <c r="CE23" s="574"/>
      <c r="CF23" s="574"/>
      <c r="CG23" s="574"/>
      <c r="CH23" s="574"/>
      <c r="CI23" s="574"/>
      <c r="CJ23" s="574"/>
      <c r="CK23" s="574"/>
      <c r="CL23" s="574"/>
    </row>
    <row r="24" outlineLevel="1">
      <c r="A24" s="325" t="str">
        <f t="shared" si="2"/>
        <v>TC_02.13</v>
      </c>
      <c r="B24" s="565" t="s">
        <v>73</v>
      </c>
      <c r="C24" s="375" t="s">
        <v>2789</v>
      </c>
      <c r="D24" s="375" t="s">
        <v>2786</v>
      </c>
      <c r="E24" s="375" t="s">
        <v>2790</v>
      </c>
      <c r="F24" s="265" t="s">
        <v>2305</v>
      </c>
      <c r="G24" s="265"/>
      <c r="H24" s="265"/>
      <c r="I24" s="273"/>
      <c r="J24" s="273"/>
      <c r="K24" s="265"/>
      <c r="L24" s="265"/>
      <c r="M24" s="265"/>
      <c r="N24" s="273"/>
      <c r="O24" s="265"/>
      <c r="P24" s="265"/>
      <c r="Q24" s="265"/>
      <c r="R24" s="273"/>
      <c r="S24" s="265"/>
      <c r="T24" s="265"/>
      <c r="U24" s="265"/>
      <c r="V24" s="265"/>
      <c r="W24" s="265"/>
      <c r="X24" s="265"/>
      <c r="Y24" s="265"/>
      <c r="Z24" s="265"/>
      <c r="AA24" s="43"/>
      <c r="AB24" s="356"/>
      <c r="AC24" s="575"/>
      <c r="AD24" s="364"/>
      <c r="AE24" s="43"/>
      <c r="AF24" s="356"/>
      <c r="AG24" s="572"/>
      <c r="AH24" s="364"/>
      <c r="AI24" s="43"/>
      <c r="AJ24" s="356"/>
      <c r="AK24" s="353"/>
      <c r="AL24" s="364"/>
      <c r="AM24" s="43"/>
      <c r="AN24" s="356"/>
      <c r="AO24" s="353"/>
      <c r="AP24" s="364"/>
      <c r="AQ24" s="61"/>
      <c r="AR24" s="353"/>
      <c r="AS24" s="353"/>
      <c r="AT24" s="354"/>
      <c r="AU24" s="61"/>
      <c r="AV24" s="353"/>
      <c r="AW24" s="353"/>
      <c r="AX24" s="354"/>
      <c r="AY24" s="61"/>
      <c r="AZ24" s="353"/>
      <c r="BA24" s="353"/>
      <c r="BB24" s="576"/>
      <c r="BC24" s="369"/>
      <c r="BD24" s="369"/>
      <c r="BE24" s="369"/>
      <c r="BF24" s="369"/>
      <c r="BG24" s="369"/>
      <c r="BH24" s="369"/>
      <c r="BI24" s="369"/>
      <c r="BJ24" s="369"/>
      <c r="BK24" s="369"/>
      <c r="BL24" s="369"/>
      <c r="BM24" s="369"/>
      <c r="BN24" s="369"/>
      <c r="BO24" s="369"/>
      <c r="BP24" s="369"/>
      <c r="BQ24" s="369"/>
      <c r="BR24" s="369"/>
      <c r="BS24" s="369"/>
      <c r="BT24" s="369"/>
      <c r="BU24" s="369"/>
      <c r="BV24" s="369"/>
      <c r="BW24" s="369"/>
      <c r="BX24" s="369"/>
      <c r="BY24" s="369"/>
      <c r="BZ24" s="369"/>
      <c r="CA24" s="369"/>
      <c r="CB24" s="369"/>
      <c r="CC24" s="369"/>
      <c r="CD24" s="369"/>
      <c r="CE24" s="369"/>
      <c r="CF24" s="369"/>
      <c r="CG24" s="369"/>
      <c r="CH24" s="369"/>
      <c r="CI24" s="369"/>
      <c r="CJ24" s="369"/>
      <c r="CK24" s="369"/>
      <c r="CL24" s="369"/>
    </row>
    <row r="25" outlineLevel="1">
      <c r="A25" s="325" t="str">
        <f t="shared" si="2"/>
        <v>TC_02.14</v>
      </c>
      <c r="B25" s="565" t="s">
        <v>75</v>
      </c>
      <c r="C25" s="375" t="s">
        <v>2791</v>
      </c>
      <c r="D25" s="375" t="s">
        <v>2786</v>
      </c>
      <c r="E25" s="375" t="s">
        <v>2792</v>
      </c>
      <c r="F25" s="265" t="s">
        <v>2308</v>
      </c>
      <c r="G25" s="265"/>
      <c r="H25" s="265"/>
      <c r="I25" s="273"/>
      <c r="J25" s="273"/>
      <c r="K25" s="265"/>
      <c r="L25" s="265"/>
      <c r="M25" s="265"/>
      <c r="N25" s="273"/>
      <c r="O25" s="265"/>
      <c r="P25" s="265"/>
      <c r="Q25" s="265"/>
      <c r="R25" s="273"/>
      <c r="S25" s="265"/>
      <c r="T25" s="265"/>
      <c r="U25" s="265"/>
      <c r="V25" s="265"/>
      <c r="W25" s="265"/>
      <c r="X25" s="265"/>
      <c r="Y25" s="265"/>
      <c r="Z25" s="265"/>
      <c r="AA25" s="43"/>
      <c r="AB25" s="356"/>
      <c r="AC25" s="575"/>
      <c r="AD25" s="364"/>
      <c r="AE25" s="43"/>
      <c r="AF25" s="356"/>
      <c r="AG25" s="572"/>
      <c r="AH25" s="364"/>
      <c r="AI25" s="43"/>
      <c r="AJ25" s="356"/>
      <c r="AK25" s="353"/>
      <c r="AL25" s="364"/>
      <c r="AM25" s="43"/>
      <c r="AN25" s="356"/>
      <c r="AO25" s="353"/>
      <c r="AP25" s="364"/>
      <c r="AQ25" s="61"/>
      <c r="AR25" s="353"/>
      <c r="AS25" s="353"/>
      <c r="AT25" s="354"/>
      <c r="AU25" s="61"/>
      <c r="AV25" s="353"/>
      <c r="AW25" s="353"/>
      <c r="AX25" s="354"/>
      <c r="AY25" s="61"/>
      <c r="AZ25" s="353"/>
      <c r="BA25" s="353"/>
      <c r="BB25" s="576"/>
      <c r="BC25" s="369"/>
      <c r="BD25" s="369"/>
      <c r="BE25" s="369"/>
      <c r="BF25" s="369"/>
      <c r="BG25" s="369"/>
      <c r="BH25" s="369"/>
      <c r="BI25" s="369"/>
      <c r="BJ25" s="369"/>
      <c r="BK25" s="369"/>
      <c r="BL25" s="369"/>
      <c r="BM25" s="369"/>
      <c r="BN25" s="369"/>
      <c r="BO25" s="369"/>
      <c r="BP25" s="369"/>
      <c r="BQ25" s="369"/>
      <c r="BR25" s="369"/>
      <c r="BS25" s="369"/>
      <c r="BT25" s="369"/>
      <c r="BU25" s="369"/>
      <c r="BV25" s="369"/>
      <c r="BW25" s="369"/>
      <c r="BX25" s="369"/>
      <c r="BY25" s="369"/>
      <c r="BZ25" s="369"/>
      <c r="CA25" s="369"/>
      <c r="CB25" s="369"/>
      <c r="CC25" s="369"/>
      <c r="CD25" s="369"/>
      <c r="CE25" s="369"/>
      <c r="CF25" s="369"/>
      <c r="CG25" s="369"/>
      <c r="CH25" s="369"/>
      <c r="CI25" s="369"/>
      <c r="CJ25" s="369"/>
      <c r="CK25" s="369"/>
      <c r="CL25" s="369"/>
    </row>
    <row r="26" outlineLevel="1">
      <c r="A26" s="325" t="str">
        <f t="shared" si="2"/>
        <v>TC_02.15</v>
      </c>
      <c r="B26" s="565" t="s">
        <v>75</v>
      </c>
      <c r="C26" s="375" t="s">
        <v>2793</v>
      </c>
      <c r="D26" s="375" t="s">
        <v>2786</v>
      </c>
      <c r="E26" s="375" t="s">
        <v>2794</v>
      </c>
      <c r="F26" s="265" t="s">
        <v>2311</v>
      </c>
      <c r="G26" s="265"/>
      <c r="H26" s="265"/>
      <c r="I26" s="273"/>
      <c r="J26" s="273"/>
      <c r="K26" s="265"/>
      <c r="L26" s="265"/>
      <c r="M26" s="265"/>
      <c r="N26" s="273"/>
      <c r="O26" s="265"/>
      <c r="P26" s="265"/>
      <c r="Q26" s="265"/>
      <c r="R26" s="273"/>
      <c r="S26" s="265"/>
      <c r="T26" s="265"/>
      <c r="U26" s="265"/>
      <c r="V26" s="265"/>
      <c r="W26" s="265"/>
      <c r="X26" s="265"/>
      <c r="Y26" s="265"/>
      <c r="Z26" s="265"/>
      <c r="AA26" s="577"/>
      <c r="AB26" s="578"/>
      <c r="AC26" s="579"/>
      <c r="AD26" s="365"/>
      <c r="AE26" s="577"/>
      <c r="AF26" s="578"/>
      <c r="AG26" s="580"/>
      <c r="AH26" s="365"/>
      <c r="AI26" s="577"/>
      <c r="AJ26" s="578"/>
      <c r="AK26" s="581"/>
      <c r="AL26" s="365"/>
      <c r="AM26" s="577"/>
      <c r="AN26" s="578"/>
      <c r="AO26" s="581"/>
      <c r="AP26" s="365"/>
      <c r="AQ26" s="582"/>
      <c r="AR26" s="581"/>
      <c r="AS26" s="581"/>
      <c r="AT26" s="355"/>
      <c r="AU26" s="582"/>
      <c r="AV26" s="581"/>
      <c r="AW26" s="581"/>
      <c r="AX26" s="355"/>
      <c r="AY26" s="582"/>
      <c r="AZ26" s="581"/>
      <c r="BA26" s="581"/>
      <c r="BB26" s="355"/>
      <c r="BC26" s="369"/>
      <c r="BD26" s="369"/>
      <c r="BE26" s="369"/>
      <c r="BF26" s="369"/>
      <c r="BG26" s="369"/>
      <c r="BH26" s="369"/>
      <c r="BI26" s="369"/>
      <c r="BJ26" s="369"/>
      <c r="BK26" s="369"/>
      <c r="BL26" s="369"/>
      <c r="BM26" s="369"/>
      <c r="BN26" s="369"/>
      <c r="BO26" s="369"/>
      <c r="BP26" s="369"/>
      <c r="BQ26" s="369"/>
      <c r="BR26" s="369"/>
      <c r="BS26" s="369"/>
      <c r="BT26" s="369"/>
      <c r="BU26" s="369"/>
      <c r="BV26" s="369"/>
      <c r="BW26" s="369"/>
      <c r="BX26" s="369"/>
      <c r="BY26" s="369"/>
      <c r="BZ26" s="369"/>
      <c r="CA26" s="369"/>
      <c r="CB26" s="369"/>
      <c r="CC26" s="369"/>
      <c r="CD26" s="369"/>
      <c r="CE26" s="369"/>
      <c r="CF26" s="369"/>
      <c r="CG26" s="369"/>
      <c r="CH26" s="369"/>
      <c r="CI26" s="369"/>
      <c r="CJ26" s="369"/>
      <c r="CK26" s="369"/>
      <c r="CL26" s="369"/>
    </row>
    <row r="27" outlineLevel="1">
      <c r="A27" s="325" t="str">
        <f t="shared" si="2"/>
        <v>TC_02.16</v>
      </c>
      <c r="B27" s="583" t="s">
        <v>73</v>
      </c>
      <c r="C27" s="375" t="s">
        <v>2795</v>
      </c>
      <c r="D27" s="375" t="s">
        <v>2786</v>
      </c>
      <c r="E27" s="375" t="s">
        <v>2796</v>
      </c>
      <c r="F27" s="375" t="s">
        <v>2797</v>
      </c>
      <c r="G27" s="265"/>
      <c r="H27" s="265"/>
      <c r="I27" s="273"/>
      <c r="J27" s="273"/>
      <c r="K27" s="265"/>
      <c r="L27" s="265"/>
      <c r="M27" s="265"/>
      <c r="N27" s="273"/>
      <c r="O27" s="265"/>
      <c r="P27" s="265"/>
      <c r="Q27" s="265"/>
      <c r="R27" s="273"/>
      <c r="S27" s="265"/>
      <c r="T27" s="265"/>
      <c r="U27" s="265"/>
      <c r="V27" s="265"/>
      <c r="W27" s="265"/>
      <c r="X27" s="265"/>
      <c r="Y27" s="265"/>
      <c r="Z27" s="265"/>
      <c r="AA27" s="577"/>
      <c r="AB27" s="578"/>
      <c r="AC27" s="579"/>
      <c r="AD27" s="365"/>
      <c r="AE27" s="577"/>
      <c r="AF27" s="578"/>
      <c r="AG27" s="580"/>
      <c r="AH27" s="365"/>
      <c r="AI27" s="577"/>
      <c r="AJ27" s="578"/>
      <c r="AK27" s="581"/>
      <c r="AL27" s="365"/>
      <c r="AM27" s="577"/>
      <c r="AN27" s="578"/>
      <c r="AO27" s="581"/>
      <c r="AP27" s="365"/>
      <c r="AQ27" s="582"/>
      <c r="AR27" s="581"/>
      <c r="AS27" s="581"/>
      <c r="AT27" s="355"/>
      <c r="AU27" s="582"/>
      <c r="AV27" s="581"/>
      <c r="AW27" s="581"/>
      <c r="AX27" s="355"/>
      <c r="AY27" s="582"/>
      <c r="AZ27" s="581"/>
      <c r="BA27" s="581"/>
      <c r="BB27" s="355"/>
      <c r="BC27" s="369"/>
      <c r="BD27" s="369"/>
      <c r="BE27" s="369"/>
      <c r="BF27" s="369"/>
      <c r="BG27" s="369"/>
      <c r="BH27" s="369"/>
      <c r="BI27" s="369"/>
      <c r="BJ27" s="369"/>
      <c r="BK27" s="369"/>
      <c r="BL27" s="369"/>
      <c r="BM27" s="369"/>
      <c r="BN27" s="369"/>
      <c r="BO27" s="369"/>
      <c r="BP27" s="369"/>
      <c r="BQ27" s="369"/>
      <c r="BR27" s="369"/>
      <c r="BS27" s="369"/>
      <c r="BT27" s="369"/>
      <c r="BU27" s="369"/>
      <c r="BV27" s="369"/>
      <c r="BW27" s="369"/>
      <c r="BX27" s="369"/>
      <c r="BY27" s="369"/>
      <c r="BZ27" s="369"/>
      <c r="CA27" s="369"/>
      <c r="CB27" s="369"/>
      <c r="CC27" s="369"/>
      <c r="CD27" s="369"/>
      <c r="CE27" s="369"/>
      <c r="CF27" s="369"/>
      <c r="CG27" s="369"/>
      <c r="CH27" s="369"/>
      <c r="CI27" s="369"/>
      <c r="CJ27" s="369"/>
      <c r="CK27" s="369"/>
      <c r="CL27" s="369"/>
    </row>
    <row r="28" outlineLevel="1">
      <c r="A28" s="325" t="str">
        <f t="shared" si="2"/>
        <v>TC_02.17</v>
      </c>
      <c r="B28" s="583" t="s">
        <v>73</v>
      </c>
      <c r="C28" s="375" t="s">
        <v>2798</v>
      </c>
      <c r="D28" s="375" t="s">
        <v>2786</v>
      </c>
      <c r="E28" s="375" t="s">
        <v>2799</v>
      </c>
      <c r="F28" s="375" t="s">
        <v>2800</v>
      </c>
      <c r="G28" s="265"/>
      <c r="H28" s="265"/>
      <c r="I28" s="273"/>
      <c r="J28" s="273"/>
      <c r="K28" s="265"/>
      <c r="L28" s="265"/>
      <c r="M28" s="265"/>
      <c r="N28" s="273"/>
      <c r="O28" s="265"/>
      <c r="P28" s="265"/>
      <c r="Q28" s="265"/>
      <c r="R28" s="273"/>
      <c r="S28" s="265"/>
      <c r="T28" s="265"/>
      <c r="U28" s="265"/>
      <c r="V28" s="265"/>
      <c r="W28" s="265"/>
      <c r="X28" s="265"/>
      <c r="Y28" s="265"/>
      <c r="Z28" s="265"/>
      <c r="AA28" s="577"/>
      <c r="AB28" s="578"/>
      <c r="AC28" s="579"/>
      <c r="AD28" s="365"/>
      <c r="AE28" s="577"/>
      <c r="AF28" s="578"/>
      <c r="AG28" s="580"/>
      <c r="AH28" s="365"/>
      <c r="AI28" s="577"/>
      <c r="AJ28" s="578"/>
      <c r="AK28" s="581"/>
      <c r="AL28" s="365"/>
      <c r="AM28" s="577"/>
      <c r="AN28" s="578"/>
      <c r="AO28" s="581"/>
      <c r="AP28" s="365"/>
      <c r="AQ28" s="582"/>
      <c r="AR28" s="581"/>
      <c r="AS28" s="581"/>
      <c r="AT28" s="355"/>
      <c r="AU28" s="582"/>
      <c r="AV28" s="581"/>
      <c r="AW28" s="581"/>
      <c r="AX28" s="355"/>
      <c r="AY28" s="582"/>
      <c r="AZ28" s="581"/>
      <c r="BA28" s="581"/>
      <c r="BB28" s="355"/>
      <c r="BC28" s="369"/>
      <c r="BD28" s="369"/>
      <c r="BE28" s="369"/>
      <c r="BF28" s="369"/>
      <c r="BG28" s="369"/>
      <c r="BH28" s="369"/>
      <c r="BI28" s="369"/>
      <c r="BJ28" s="369"/>
      <c r="BK28" s="369"/>
      <c r="BL28" s="369"/>
      <c r="BM28" s="369"/>
      <c r="BN28" s="369"/>
      <c r="BO28" s="369"/>
      <c r="BP28" s="369"/>
      <c r="BQ28" s="369"/>
      <c r="BR28" s="369"/>
      <c r="BS28" s="369"/>
      <c r="BT28" s="369"/>
      <c r="BU28" s="369"/>
      <c r="BV28" s="369"/>
      <c r="BW28" s="369"/>
      <c r="BX28" s="369"/>
      <c r="BY28" s="369"/>
      <c r="BZ28" s="369"/>
      <c r="CA28" s="369"/>
      <c r="CB28" s="369"/>
      <c r="CC28" s="369"/>
      <c r="CD28" s="369"/>
      <c r="CE28" s="369"/>
      <c r="CF28" s="369"/>
      <c r="CG28" s="369"/>
      <c r="CH28" s="369"/>
      <c r="CI28" s="369"/>
      <c r="CJ28" s="369"/>
      <c r="CK28" s="369"/>
      <c r="CL28" s="369"/>
    </row>
    <row r="29" outlineLevel="1">
      <c r="A29" s="325" t="str">
        <f t="shared" si="2"/>
        <v>TC_02.18</v>
      </c>
      <c r="B29" s="565" t="s">
        <v>75</v>
      </c>
      <c r="C29" s="375" t="s">
        <v>2801</v>
      </c>
      <c r="D29" s="375" t="s">
        <v>2786</v>
      </c>
      <c r="E29" s="375" t="s">
        <v>2802</v>
      </c>
      <c r="F29" s="375" t="s">
        <v>2478</v>
      </c>
      <c r="G29" s="265"/>
      <c r="H29" s="265"/>
      <c r="I29" s="273"/>
      <c r="J29" s="273"/>
      <c r="K29" s="265"/>
      <c r="L29" s="265"/>
      <c r="M29" s="265"/>
      <c r="N29" s="273"/>
      <c r="O29" s="265"/>
      <c r="P29" s="265"/>
      <c r="Q29" s="265"/>
      <c r="R29" s="273"/>
      <c r="S29" s="265"/>
      <c r="T29" s="265"/>
      <c r="U29" s="265"/>
      <c r="V29" s="265"/>
      <c r="W29" s="265"/>
      <c r="X29" s="265"/>
      <c r="Y29" s="265"/>
      <c r="Z29" s="265"/>
      <c r="AA29" s="577"/>
      <c r="AB29" s="578"/>
      <c r="AC29" s="579"/>
      <c r="AD29" s="365"/>
      <c r="AE29" s="577"/>
      <c r="AF29" s="578"/>
      <c r="AG29" s="580"/>
      <c r="AH29" s="365"/>
      <c r="AI29" s="577"/>
      <c r="AJ29" s="578"/>
      <c r="AK29" s="581"/>
      <c r="AL29" s="365"/>
      <c r="AM29" s="577"/>
      <c r="AN29" s="578"/>
      <c r="AO29" s="581"/>
      <c r="AP29" s="365"/>
      <c r="AQ29" s="582"/>
      <c r="AR29" s="581"/>
      <c r="AS29" s="581"/>
      <c r="AT29" s="355"/>
      <c r="AU29" s="582"/>
      <c r="AV29" s="581"/>
      <c r="AW29" s="581"/>
      <c r="AX29" s="355"/>
      <c r="AY29" s="582"/>
      <c r="AZ29" s="581"/>
      <c r="BA29" s="581"/>
      <c r="BB29" s="355"/>
      <c r="BC29" s="369"/>
      <c r="BD29" s="369"/>
      <c r="BE29" s="369"/>
      <c r="BF29" s="369"/>
      <c r="BG29" s="369"/>
      <c r="BH29" s="369"/>
      <c r="BI29" s="369"/>
      <c r="BJ29" s="369"/>
      <c r="BK29" s="369"/>
      <c r="BL29" s="369"/>
      <c r="BM29" s="369"/>
      <c r="BN29" s="369"/>
      <c r="BO29" s="369"/>
      <c r="BP29" s="369"/>
      <c r="BQ29" s="369"/>
      <c r="BR29" s="369"/>
      <c r="BS29" s="369"/>
      <c r="BT29" s="369"/>
      <c r="BU29" s="369"/>
      <c r="BV29" s="369"/>
      <c r="BW29" s="369"/>
      <c r="BX29" s="369"/>
      <c r="BY29" s="369"/>
      <c r="BZ29" s="369"/>
      <c r="CA29" s="369"/>
      <c r="CB29" s="369"/>
      <c r="CC29" s="369"/>
      <c r="CD29" s="369"/>
      <c r="CE29" s="369"/>
      <c r="CF29" s="369"/>
      <c r="CG29" s="369"/>
      <c r="CH29" s="369"/>
      <c r="CI29" s="369"/>
      <c r="CJ29" s="369"/>
      <c r="CK29" s="369"/>
      <c r="CL29" s="369"/>
    </row>
    <row r="30" outlineLevel="1">
      <c r="A30" s="325" t="str">
        <f t="shared" si="2"/>
        <v>TC_02.19</v>
      </c>
      <c r="B30" s="583" t="s">
        <v>73</v>
      </c>
      <c r="C30" s="375" t="s">
        <v>2803</v>
      </c>
      <c r="D30" s="375" t="s">
        <v>2804</v>
      </c>
      <c r="E30" s="375" t="s">
        <v>2805</v>
      </c>
      <c r="F30" s="375" t="s">
        <v>2806</v>
      </c>
      <c r="G30" s="265"/>
      <c r="H30" s="265"/>
      <c r="I30" s="273"/>
      <c r="J30" s="273"/>
      <c r="K30" s="265"/>
      <c r="L30" s="265"/>
      <c r="M30" s="265"/>
      <c r="N30" s="273"/>
      <c r="O30" s="265"/>
      <c r="P30" s="265"/>
      <c r="Q30" s="265"/>
      <c r="R30" s="273"/>
      <c r="S30" s="265"/>
      <c r="T30" s="265"/>
      <c r="U30" s="265"/>
      <c r="V30" s="265"/>
      <c r="W30" s="265"/>
      <c r="X30" s="265"/>
      <c r="Y30" s="265"/>
      <c r="Z30" s="265"/>
      <c r="AA30" s="577"/>
      <c r="AB30" s="578"/>
      <c r="AC30" s="579"/>
      <c r="AD30" s="365"/>
      <c r="AE30" s="577"/>
      <c r="AF30" s="578"/>
      <c r="AG30" s="580"/>
      <c r="AH30" s="365"/>
      <c r="AI30" s="577"/>
      <c r="AJ30" s="578"/>
      <c r="AK30" s="581"/>
      <c r="AL30" s="365"/>
      <c r="AM30" s="577"/>
      <c r="AN30" s="578"/>
      <c r="AO30" s="581"/>
      <c r="AP30" s="365"/>
      <c r="AQ30" s="582"/>
      <c r="AR30" s="581"/>
      <c r="AS30" s="581"/>
      <c r="AT30" s="355"/>
      <c r="AU30" s="582"/>
      <c r="AV30" s="581"/>
      <c r="AW30" s="581"/>
      <c r="AX30" s="355"/>
      <c r="AY30" s="582"/>
      <c r="AZ30" s="581"/>
      <c r="BA30" s="581"/>
      <c r="BB30" s="355"/>
      <c r="BC30" s="369"/>
      <c r="BD30" s="369"/>
      <c r="BE30" s="369"/>
      <c r="BF30" s="369"/>
      <c r="BG30" s="369"/>
      <c r="BH30" s="369"/>
      <c r="BI30" s="369"/>
      <c r="BJ30" s="369"/>
      <c r="BK30" s="369"/>
      <c r="BL30" s="369"/>
      <c r="BM30" s="369"/>
      <c r="BN30" s="369"/>
      <c r="BO30" s="369"/>
      <c r="BP30" s="369"/>
      <c r="BQ30" s="369"/>
      <c r="BR30" s="369"/>
      <c r="BS30" s="369"/>
      <c r="BT30" s="369"/>
      <c r="BU30" s="369"/>
      <c r="BV30" s="369"/>
      <c r="BW30" s="369"/>
      <c r="BX30" s="369"/>
      <c r="BY30" s="369"/>
      <c r="BZ30" s="369"/>
      <c r="CA30" s="369"/>
      <c r="CB30" s="369"/>
      <c r="CC30" s="369"/>
      <c r="CD30" s="369"/>
      <c r="CE30" s="369"/>
      <c r="CF30" s="369"/>
      <c r="CG30" s="369"/>
      <c r="CH30" s="369"/>
      <c r="CI30" s="369"/>
      <c r="CJ30" s="369"/>
      <c r="CK30" s="369"/>
      <c r="CL30" s="369"/>
    </row>
    <row r="31" outlineLevel="1">
      <c r="A31" s="325" t="str">
        <f t="shared" si="2"/>
        <v>TC_02.20</v>
      </c>
      <c r="B31" s="583" t="s">
        <v>73</v>
      </c>
      <c r="C31" s="375" t="s">
        <v>2807</v>
      </c>
      <c r="D31" s="375" t="s">
        <v>2804</v>
      </c>
      <c r="E31" s="375" t="s">
        <v>2808</v>
      </c>
      <c r="F31" s="375" t="s">
        <v>2487</v>
      </c>
      <c r="G31" s="265"/>
      <c r="H31" s="265"/>
      <c r="I31" s="273"/>
      <c r="J31" s="273"/>
      <c r="K31" s="265"/>
      <c r="L31" s="265"/>
      <c r="M31" s="265"/>
      <c r="N31" s="273"/>
      <c r="O31" s="265"/>
      <c r="P31" s="265"/>
      <c r="Q31" s="265"/>
      <c r="R31" s="273"/>
      <c r="S31" s="265"/>
      <c r="T31" s="265"/>
      <c r="U31" s="265"/>
      <c r="V31" s="265"/>
      <c r="W31" s="265"/>
      <c r="X31" s="265"/>
      <c r="Y31" s="265"/>
      <c r="Z31" s="265"/>
      <c r="AA31" s="577"/>
      <c r="AB31" s="578"/>
      <c r="AC31" s="579"/>
      <c r="AD31" s="365"/>
      <c r="AE31" s="577"/>
      <c r="AF31" s="578"/>
      <c r="AG31" s="580"/>
      <c r="AH31" s="365"/>
      <c r="AI31" s="577"/>
      <c r="AJ31" s="578"/>
      <c r="AK31" s="581"/>
      <c r="AL31" s="365"/>
      <c r="AM31" s="577"/>
      <c r="AN31" s="578"/>
      <c r="AO31" s="581"/>
      <c r="AP31" s="365"/>
      <c r="AQ31" s="582"/>
      <c r="AR31" s="581"/>
      <c r="AS31" s="581"/>
      <c r="AT31" s="355"/>
      <c r="AU31" s="582"/>
      <c r="AV31" s="581"/>
      <c r="AW31" s="581"/>
      <c r="AX31" s="355"/>
      <c r="AY31" s="582"/>
      <c r="AZ31" s="581"/>
      <c r="BA31" s="581"/>
      <c r="BB31" s="355"/>
      <c r="BC31" s="369"/>
      <c r="BD31" s="369"/>
      <c r="BE31" s="369"/>
      <c r="BF31" s="369"/>
      <c r="BG31" s="369"/>
      <c r="BH31" s="369"/>
      <c r="BI31" s="369"/>
      <c r="BJ31" s="369"/>
      <c r="BK31" s="369"/>
      <c r="BL31" s="369"/>
      <c r="BM31" s="369"/>
      <c r="BN31" s="369"/>
      <c r="BO31" s="369"/>
      <c r="BP31" s="369"/>
      <c r="BQ31" s="369"/>
      <c r="BR31" s="369"/>
      <c r="BS31" s="369"/>
      <c r="BT31" s="369"/>
      <c r="BU31" s="369"/>
      <c r="BV31" s="369"/>
      <c r="BW31" s="369"/>
      <c r="BX31" s="369"/>
      <c r="BY31" s="369"/>
      <c r="BZ31" s="369"/>
      <c r="CA31" s="369"/>
      <c r="CB31" s="369"/>
      <c r="CC31" s="369"/>
      <c r="CD31" s="369"/>
      <c r="CE31" s="369"/>
      <c r="CF31" s="369"/>
      <c r="CG31" s="369"/>
      <c r="CH31" s="369"/>
      <c r="CI31" s="369"/>
      <c r="CJ31" s="369"/>
      <c r="CK31" s="369"/>
      <c r="CL31" s="369"/>
    </row>
    <row r="32" collapsed="1">
      <c r="A32" s="570" t="s">
        <v>2809</v>
      </c>
      <c r="B32" s="148"/>
      <c r="C32" s="148"/>
      <c r="D32" s="148"/>
      <c r="E32" s="148"/>
      <c r="F32" s="171"/>
      <c r="G32" s="265"/>
      <c r="H32" s="265"/>
      <c r="I32" s="273"/>
      <c r="J32" s="273"/>
      <c r="K32" s="273"/>
      <c r="L32" s="273"/>
      <c r="M32" s="273"/>
      <c r="N32" s="273"/>
      <c r="O32" s="273"/>
      <c r="P32" s="273"/>
      <c r="Q32" s="273"/>
      <c r="R32" s="273"/>
      <c r="S32" s="265"/>
      <c r="T32" s="273"/>
      <c r="U32" s="273"/>
      <c r="V32" s="273"/>
      <c r="W32" s="273"/>
      <c r="X32" s="273"/>
      <c r="Y32" s="273"/>
      <c r="Z32" s="273"/>
      <c r="AA32" s="332"/>
      <c r="AB32" s="332"/>
      <c r="AC32" s="332"/>
      <c r="AD32" s="332"/>
      <c r="AE32" s="332"/>
      <c r="AF32" s="332"/>
      <c r="AG32" s="332"/>
      <c r="AH32" s="332"/>
      <c r="AI32" s="332"/>
      <c r="AJ32" s="332"/>
      <c r="AK32" s="332"/>
      <c r="AL32" s="332"/>
      <c r="AM32" s="332"/>
      <c r="AN32" s="332"/>
      <c r="AO32" s="332"/>
      <c r="AP32" s="332"/>
      <c r="AQ32" s="332"/>
      <c r="AR32" s="332"/>
      <c r="AS32" s="332"/>
      <c r="AT32" s="332"/>
      <c r="AU32" s="332"/>
      <c r="AV32" s="332"/>
      <c r="AW32" s="332"/>
      <c r="AX32" s="332"/>
      <c r="AY32" s="332"/>
      <c r="AZ32" s="332"/>
      <c r="BA32" s="332"/>
      <c r="BB32" s="332"/>
      <c r="BC32" s="332"/>
      <c r="BD32" s="332"/>
      <c r="BE32" s="332"/>
      <c r="BF32" s="332"/>
      <c r="BG32" s="332"/>
      <c r="BH32" s="332"/>
      <c r="BI32" s="332"/>
      <c r="BJ32" s="332"/>
      <c r="BK32" s="332"/>
      <c r="BL32" s="332"/>
      <c r="BM32" s="332"/>
      <c r="BN32" s="332"/>
      <c r="BO32" s="332"/>
      <c r="BP32" s="332"/>
      <c r="BQ32" s="332"/>
      <c r="BR32" s="332"/>
      <c r="BS32" s="332"/>
      <c r="BT32" s="332"/>
      <c r="BU32" s="332"/>
      <c r="BV32" s="332"/>
      <c r="BW32" s="332"/>
      <c r="BX32" s="332"/>
      <c r="BY32" s="332"/>
      <c r="BZ32" s="332"/>
      <c r="CA32" s="332"/>
      <c r="CB32" s="332"/>
      <c r="CC32" s="332"/>
      <c r="CD32" s="332"/>
      <c r="CE32" s="332"/>
      <c r="CF32" s="332"/>
      <c r="CG32" s="332"/>
      <c r="CH32" s="332"/>
      <c r="CI32" s="332"/>
      <c r="CJ32" s="332"/>
      <c r="CK32" s="332"/>
      <c r="CL32" s="332"/>
    </row>
    <row r="33" hidden="1" outlineLevel="1">
      <c r="A33" s="325" t="str">
        <f t="shared" ref="A33:A40" si="3">IF(E33="","",$C$3&amp;"."&amp;COUNTA($E$10:E33)&amp;"")</f>
        <v>TC_02.21</v>
      </c>
      <c r="B33" s="571" t="s">
        <v>73</v>
      </c>
      <c r="C33" s="566" t="s">
        <v>2810</v>
      </c>
      <c r="D33" s="584" t="s">
        <v>2811</v>
      </c>
      <c r="E33" s="566" t="s">
        <v>2812</v>
      </c>
      <c r="F33" s="561" t="s">
        <v>2813</v>
      </c>
      <c r="G33" s="265"/>
      <c r="H33" s="265"/>
      <c r="I33" s="273"/>
      <c r="J33" s="273"/>
      <c r="K33" s="265"/>
      <c r="L33" s="265"/>
      <c r="M33" s="273"/>
      <c r="N33" s="273"/>
      <c r="O33" s="265"/>
      <c r="P33" s="265"/>
      <c r="Q33" s="273"/>
      <c r="R33" s="273"/>
      <c r="S33" s="265"/>
      <c r="T33" s="265"/>
      <c r="U33" s="273"/>
      <c r="V33" s="273"/>
      <c r="W33" s="265"/>
      <c r="X33" s="265"/>
      <c r="Y33" s="273"/>
      <c r="Z33" s="273"/>
      <c r="AA33" s="359"/>
      <c r="AB33" s="356"/>
      <c r="AC33" s="357"/>
      <c r="AD33" s="358"/>
      <c r="AE33" s="43"/>
      <c r="AF33" s="356"/>
      <c r="AG33" s="572"/>
      <c r="AH33" s="364"/>
      <c r="AI33" s="43"/>
      <c r="AJ33" s="356"/>
      <c r="AK33" s="353"/>
      <c r="AL33" s="364"/>
      <c r="AM33" s="43"/>
      <c r="AN33" s="356"/>
      <c r="AO33" s="353"/>
      <c r="AP33" s="364"/>
      <c r="AQ33" s="468"/>
      <c r="AR33" s="357"/>
      <c r="AS33" s="357"/>
      <c r="AT33" s="358"/>
      <c r="AU33" s="468"/>
      <c r="AV33" s="357"/>
      <c r="AW33" s="357"/>
      <c r="AX33" s="358"/>
      <c r="AY33" s="468"/>
      <c r="AZ33" s="357"/>
      <c r="BA33" s="357"/>
      <c r="BB33" s="573"/>
      <c r="BC33" s="574"/>
      <c r="BD33" s="574"/>
      <c r="BE33" s="574"/>
      <c r="BF33" s="574"/>
      <c r="BG33" s="574"/>
      <c r="BH33" s="574"/>
      <c r="BI33" s="574"/>
      <c r="BJ33" s="574"/>
      <c r="BK33" s="574"/>
      <c r="BL33" s="574"/>
      <c r="BM33" s="574"/>
      <c r="BN33" s="574"/>
      <c r="BO33" s="574"/>
      <c r="BP33" s="574"/>
      <c r="BQ33" s="574"/>
      <c r="BR33" s="574"/>
      <c r="BS33" s="574"/>
      <c r="BT33" s="574"/>
      <c r="BU33" s="574"/>
      <c r="BV33" s="574"/>
      <c r="BW33" s="574"/>
      <c r="BX33" s="574"/>
      <c r="BY33" s="574"/>
      <c r="BZ33" s="574"/>
      <c r="CA33" s="574"/>
      <c r="CB33" s="574"/>
      <c r="CC33" s="574"/>
      <c r="CD33" s="574"/>
      <c r="CE33" s="574"/>
      <c r="CF33" s="574"/>
      <c r="CG33" s="574"/>
      <c r="CH33" s="574"/>
      <c r="CI33" s="574"/>
      <c r="CJ33" s="574"/>
      <c r="CK33" s="574"/>
      <c r="CL33" s="574"/>
    </row>
    <row r="34" hidden="1" outlineLevel="1">
      <c r="A34" s="325" t="str">
        <f t="shared" si="3"/>
        <v>TC_02.22</v>
      </c>
      <c r="B34" s="571" t="s">
        <v>73</v>
      </c>
      <c r="C34" s="566" t="s">
        <v>2814</v>
      </c>
      <c r="D34" s="566" t="s">
        <v>2815</v>
      </c>
      <c r="E34" s="566" t="s">
        <v>2816</v>
      </c>
      <c r="F34" s="561" t="s">
        <v>2817</v>
      </c>
      <c r="G34" s="265"/>
      <c r="H34" s="265"/>
      <c r="I34" s="273"/>
      <c r="J34" s="265"/>
      <c r="K34" s="265"/>
      <c r="L34" s="265"/>
      <c r="M34" s="265"/>
      <c r="N34" s="273"/>
      <c r="O34" s="265"/>
      <c r="P34" s="265"/>
      <c r="Q34" s="265"/>
      <c r="R34" s="273"/>
      <c r="S34" s="265"/>
      <c r="T34" s="265"/>
      <c r="U34" s="265"/>
      <c r="V34" s="265"/>
      <c r="W34" s="265"/>
      <c r="X34" s="265"/>
      <c r="Y34" s="265"/>
      <c r="Z34" s="265"/>
      <c r="AA34" s="43"/>
      <c r="AB34" s="356"/>
      <c r="AC34" s="366"/>
      <c r="AD34" s="364"/>
      <c r="AE34" s="43"/>
      <c r="AF34" s="356"/>
      <c r="AG34" s="366"/>
      <c r="AH34" s="364"/>
      <c r="AI34" s="43"/>
      <c r="AJ34" s="356"/>
      <c r="AK34" s="366"/>
      <c r="AL34" s="364"/>
      <c r="AM34" s="43"/>
      <c r="AN34" s="356"/>
      <c r="AO34" s="366"/>
      <c r="AP34" s="364"/>
      <c r="AQ34" s="61"/>
      <c r="AR34" s="353"/>
      <c r="AS34" s="353"/>
      <c r="AT34" s="354"/>
      <c r="AU34" s="61"/>
      <c r="AV34" s="353"/>
      <c r="AW34" s="353"/>
      <c r="AX34" s="354"/>
      <c r="AY34" s="61"/>
      <c r="AZ34" s="353"/>
      <c r="BA34" s="353"/>
      <c r="BB34" s="576"/>
      <c r="BC34" s="369"/>
      <c r="BD34" s="369"/>
      <c r="BE34" s="369"/>
      <c r="BF34" s="369"/>
      <c r="BG34" s="369"/>
      <c r="BH34" s="369"/>
      <c r="BI34" s="369"/>
      <c r="BJ34" s="369"/>
      <c r="BK34" s="369"/>
      <c r="BL34" s="369"/>
      <c r="BM34" s="369"/>
      <c r="BN34" s="369"/>
      <c r="BO34" s="369"/>
      <c r="BP34" s="369"/>
      <c r="BQ34" s="369"/>
      <c r="BR34" s="369"/>
      <c r="BS34" s="369"/>
      <c r="BT34" s="369"/>
      <c r="BU34" s="369"/>
      <c r="BV34" s="369"/>
      <c r="BW34" s="369"/>
      <c r="BX34" s="369"/>
      <c r="BY34" s="369"/>
      <c r="BZ34" s="369"/>
      <c r="CA34" s="369"/>
      <c r="CB34" s="369"/>
      <c r="CC34" s="369"/>
      <c r="CD34" s="369"/>
      <c r="CE34" s="369"/>
      <c r="CF34" s="369"/>
      <c r="CG34" s="369"/>
      <c r="CH34" s="369"/>
      <c r="CI34" s="369"/>
      <c r="CJ34" s="369"/>
      <c r="CK34" s="369"/>
      <c r="CL34" s="369"/>
    </row>
    <row r="35" hidden="1" outlineLevel="1">
      <c r="A35" s="325" t="str">
        <f t="shared" si="3"/>
        <v>TC_02.23</v>
      </c>
      <c r="B35" s="571" t="s">
        <v>75</v>
      </c>
      <c r="C35" s="375" t="s">
        <v>2818</v>
      </c>
      <c r="D35" s="584" t="s">
        <v>2819</v>
      </c>
      <c r="E35" s="375" t="s">
        <v>2820</v>
      </c>
      <c r="F35" s="375" t="s">
        <v>2821</v>
      </c>
      <c r="G35" s="265"/>
      <c r="H35" s="265"/>
      <c r="I35" s="273"/>
      <c r="J35" s="273"/>
      <c r="K35" s="265"/>
      <c r="L35" s="265"/>
      <c r="M35" s="273"/>
      <c r="N35" s="273"/>
      <c r="O35" s="265"/>
      <c r="P35" s="265"/>
      <c r="Q35" s="265"/>
      <c r="R35" s="273"/>
      <c r="S35" s="265"/>
      <c r="T35" s="265"/>
      <c r="U35" s="273"/>
      <c r="V35" s="273"/>
      <c r="W35" s="265"/>
      <c r="X35" s="265"/>
      <c r="Y35" s="273"/>
      <c r="Z35" s="273"/>
      <c r="AA35" s="359"/>
      <c r="AB35" s="356"/>
      <c r="AC35" s="357"/>
      <c r="AD35" s="358"/>
      <c r="AE35" s="43"/>
      <c r="AF35" s="356"/>
      <c r="AG35" s="572"/>
      <c r="AH35" s="364"/>
      <c r="AI35" s="43"/>
      <c r="AJ35" s="356"/>
      <c r="AK35" s="353"/>
      <c r="AL35" s="364"/>
      <c r="AM35" s="43"/>
      <c r="AN35" s="356"/>
      <c r="AO35" s="353"/>
      <c r="AP35" s="364"/>
      <c r="AQ35" s="468"/>
      <c r="AR35" s="357"/>
      <c r="AS35" s="357"/>
      <c r="AT35" s="358"/>
      <c r="AU35" s="468"/>
      <c r="AV35" s="357"/>
      <c r="AW35" s="357"/>
      <c r="AX35" s="358"/>
      <c r="AY35" s="468"/>
      <c r="AZ35" s="357"/>
      <c r="BA35" s="357"/>
      <c r="BB35" s="573"/>
      <c r="BC35" s="574"/>
      <c r="BD35" s="574"/>
      <c r="BE35" s="574"/>
      <c r="BF35" s="574"/>
      <c r="BG35" s="574"/>
      <c r="BH35" s="574"/>
      <c r="BI35" s="574"/>
      <c r="BJ35" s="574"/>
      <c r="BK35" s="574"/>
      <c r="BL35" s="574"/>
      <c r="BM35" s="574"/>
      <c r="BN35" s="574"/>
      <c r="BO35" s="574"/>
      <c r="BP35" s="574"/>
      <c r="BQ35" s="574"/>
      <c r="BR35" s="574"/>
      <c r="BS35" s="574"/>
      <c r="BT35" s="574"/>
      <c r="BU35" s="574"/>
      <c r="BV35" s="574"/>
      <c r="BW35" s="574"/>
      <c r="BX35" s="574"/>
      <c r="BY35" s="574"/>
      <c r="BZ35" s="574"/>
      <c r="CA35" s="574"/>
      <c r="CB35" s="574"/>
      <c r="CC35" s="574"/>
      <c r="CD35" s="574"/>
      <c r="CE35" s="574"/>
      <c r="CF35" s="574"/>
      <c r="CG35" s="574"/>
      <c r="CH35" s="574"/>
      <c r="CI35" s="574"/>
      <c r="CJ35" s="574"/>
      <c r="CK35" s="574"/>
      <c r="CL35" s="574"/>
    </row>
    <row r="36" hidden="1" outlineLevel="1">
      <c r="A36" s="325" t="str">
        <f t="shared" si="3"/>
        <v>TC_02.24</v>
      </c>
      <c r="B36" s="571" t="s">
        <v>75</v>
      </c>
      <c r="C36" s="375" t="s">
        <v>2822</v>
      </c>
      <c r="D36" s="375" t="s">
        <v>2823</v>
      </c>
      <c r="E36" s="375" t="s">
        <v>2824</v>
      </c>
      <c r="F36" s="265" t="s">
        <v>2308</v>
      </c>
      <c r="G36" s="265"/>
      <c r="H36" s="265"/>
      <c r="I36" s="273"/>
      <c r="J36" s="273"/>
      <c r="K36" s="265"/>
      <c r="L36" s="265"/>
      <c r="M36" s="273"/>
      <c r="N36" s="273"/>
      <c r="O36" s="265"/>
      <c r="P36" s="265"/>
      <c r="Q36" s="265"/>
      <c r="R36" s="273"/>
      <c r="S36" s="265"/>
      <c r="T36" s="265"/>
      <c r="U36" s="273"/>
      <c r="V36" s="273"/>
      <c r="W36" s="265"/>
      <c r="X36" s="265"/>
      <c r="Y36" s="273"/>
      <c r="Z36" s="273"/>
      <c r="AA36" s="359"/>
      <c r="AB36" s="356"/>
      <c r="AC36" s="357"/>
      <c r="AD36" s="358"/>
      <c r="AE36" s="43"/>
      <c r="AF36" s="356"/>
      <c r="AG36" s="572"/>
      <c r="AH36" s="364"/>
      <c r="AI36" s="43"/>
      <c r="AJ36" s="356"/>
      <c r="AK36" s="353"/>
      <c r="AL36" s="364"/>
      <c r="AM36" s="43"/>
      <c r="AN36" s="356"/>
      <c r="AO36" s="353"/>
      <c r="AP36" s="364"/>
      <c r="AQ36" s="468"/>
      <c r="AR36" s="357"/>
      <c r="AS36" s="357"/>
      <c r="AT36" s="358"/>
      <c r="AU36" s="468"/>
      <c r="AV36" s="357"/>
      <c r="AW36" s="357"/>
      <c r="AX36" s="358"/>
      <c r="AY36" s="468"/>
      <c r="AZ36" s="357"/>
      <c r="BA36" s="357"/>
      <c r="BB36" s="573"/>
      <c r="BC36" s="574"/>
      <c r="BD36" s="574"/>
      <c r="BE36" s="574"/>
      <c r="BF36" s="574"/>
      <c r="BG36" s="574"/>
      <c r="BH36" s="574"/>
      <c r="BI36" s="574"/>
      <c r="BJ36" s="574"/>
      <c r="BK36" s="574"/>
      <c r="BL36" s="574"/>
      <c r="BM36" s="574"/>
      <c r="BN36" s="574"/>
      <c r="BO36" s="574"/>
      <c r="BP36" s="574"/>
      <c r="BQ36" s="574"/>
      <c r="BR36" s="574"/>
      <c r="BS36" s="574"/>
      <c r="BT36" s="574"/>
      <c r="BU36" s="574"/>
      <c r="BV36" s="574"/>
      <c r="BW36" s="574"/>
      <c r="BX36" s="574"/>
      <c r="BY36" s="574"/>
      <c r="BZ36" s="574"/>
      <c r="CA36" s="574"/>
      <c r="CB36" s="574"/>
      <c r="CC36" s="574"/>
      <c r="CD36" s="574"/>
      <c r="CE36" s="574"/>
      <c r="CF36" s="574"/>
      <c r="CG36" s="574"/>
      <c r="CH36" s="574"/>
      <c r="CI36" s="574"/>
      <c r="CJ36" s="574"/>
      <c r="CK36" s="574"/>
      <c r="CL36" s="574"/>
    </row>
    <row r="37" hidden="1" outlineLevel="1">
      <c r="A37" s="325" t="str">
        <f t="shared" si="3"/>
        <v>TC_02.25</v>
      </c>
      <c r="B37" s="571" t="s">
        <v>75</v>
      </c>
      <c r="C37" s="375" t="s">
        <v>2825</v>
      </c>
      <c r="D37" s="375" t="s">
        <v>2823</v>
      </c>
      <c r="E37" s="375" t="s">
        <v>2826</v>
      </c>
      <c r="F37" s="265" t="s">
        <v>2311</v>
      </c>
      <c r="G37" s="265"/>
      <c r="H37" s="265"/>
      <c r="I37" s="273"/>
      <c r="J37" s="273"/>
      <c r="K37" s="265"/>
      <c r="L37" s="265"/>
      <c r="M37" s="273"/>
      <c r="N37" s="273"/>
      <c r="O37" s="265"/>
      <c r="P37" s="265"/>
      <c r="Q37" s="265"/>
      <c r="R37" s="273"/>
      <c r="S37" s="265"/>
      <c r="T37" s="265"/>
      <c r="U37" s="273"/>
      <c r="V37" s="273"/>
      <c r="W37" s="265"/>
      <c r="X37" s="265"/>
      <c r="Y37" s="273"/>
      <c r="Z37" s="273"/>
      <c r="AA37" s="359"/>
      <c r="AB37" s="356"/>
      <c r="AC37" s="357"/>
      <c r="AD37" s="358"/>
      <c r="AE37" s="43"/>
      <c r="AF37" s="356"/>
      <c r="AG37" s="572"/>
      <c r="AH37" s="364"/>
      <c r="AI37" s="43"/>
      <c r="AJ37" s="356"/>
      <c r="AK37" s="353"/>
      <c r="AL37" s="364"/>
      <c r="AM37" s="43"/>
      <c r="AN37" s="356"/>
      <c r="AO37" s="353"/>
      <c r="AP37" s="364"/>
      <c r="AQ37" s="468"/>
      <c r="AR37" s="357"/>
      <c r="AS37" s="357"/>
      <c r="AT37" s="358"/>
      <c r="AU37" s="468"/>
      <c r="AV37" s="357"/>
      <c r="AW37" s="357"/>
      <c r="AX37" s="358"/>
      <c r="AY37" s="468"/>
      <c r="AZ37" s="357"/>
      <c r="BA37" s="357"/>
      <c r="BB37" s="573"/>
      <c r="BC37" s="574"/>
      <c r="BD37" s="574"/>
      <c r="BE37" s="574"/>
      <c r="BF37" s="574"/>
      <c r="BG37" s="574"/>
      <c r="BH37" s="574"/>
      <c r="BI37" s="574"/>
      <c r="BJ37" s="574"/>
      <c r="BK37" s="574"/>
      <c r="BL37" s="574"/>
      <c r="BM37" s="574"/>
      <c r="BN37" s="574"/>
      <c r="BO37" s="574"/>
      <c r="BP37" s="574"/>
      <c r="BQ37" s="574"/>
      <c r="BR37" s="574"/>
      <c r="BS37" s="574"/>
      <c r="BT37" s="574"/>
      <c r="BU37" s="574"/>
      <c r="BV37" s="574"/>
      <c r="BW37" s="574"/>
      <c r="BX37" s="574"/>
      <c r="BY37" s="574"/>
      <c r="BZ37" s="574"/>
      <c r="CA37" s="574"/>
      <c r="CB37" s="574"/>
      <c r="CC37" s="574"/>
      <c r="CD37" s="574"/>
      <c r="CE37" s="574"/>
      <c r="CF37" s="574"/>
      <c r="CG37" s="574"/>
      <c r="CH37" s="574"/>
      <c r="CI37" s="574"/>
      <c r="CJ37" s="574"/>
      <c r="CK37" s="574"/>
      <c r="CL37" s="574"/>
    </row>
    <row r="38" hidden="1" outlineLevel="1">
      <c r="A38" s="325" t="str">
        <f t="shared" si="3"/>
        <v>TC_02.26</v>
      </c>
      <c r="B38" s="571" t="s">
        <v>73</v>
      </c>
      <c r="C38" s="584" t="s">
        <v>2827</v>
      </c>
      <c r="D38" s="584" t="s">
        <v>2819</v>
      </c>
      <c r="E38" s="566" t="s">
        <v>2828</v>
      </c>
      <c r="F38" s="561" t="s">
        <v>2829</v>
      </c>
      <c r="G38" s="265"/>
      <c r="H38" s="265"/>
      <c r="I38" s="273"/>
      <c r="J38" s="273"/>
      <c r="K38" s="265"/>
      <c r="L38" s="265"/>
      <c r="M38" s="273"/>
      <c r="N38" s="273"/>
      <c r="O38" s="265"/>
      <c r="P38" s="265"/>
      <c r="Q38" s="273"/>
      <c r="R38" s="273"/>
      <c r="S38" s="265"/>
      <c r="T38" s="265"/>
      <c r="U38" s="273"/>
      <c r="V38" s="273"/>
      <c r="W38" s="265"/>
      <c r="X38" s="265"/>
      <c r="Y38" s="273"/>
      <c r="Z38" s="273"/>
      <c r="AA38" s="43"/>
      <c r="AB38" s="356"/>
      <c r="AC38" s="353"/>
      <c r="AD38" s="354"/>
      <c r="AE38" s="43"/>
      <c r="AF38" s="356"/>
      <c r="AG38" s="572"/>
      <c r="AH38" s="364"/>
      <c r="AI38" s="43"/>
      <c r="AJ38" s="356"/>
      <c r="AK38" s="353"/>
      <c r="AL38" s="364"/>
      <c r="AM38" s="43"/>
      <c r="AN38" s="356"/>
      <c r="AO38" s="353"/>
      <c r="AP38" s="364"/>
      <c r="AQ38" s="61"/>
      <c r="AR38" s="353"/>
      <c r="AS38" s="353"/>
      <c r="AT38" s="354"/>
      <c r="AU38" s="61"/>
      <c r="AV38" s="353"/>
      <c r="AW38" s="353"/>
      <c r="AX38" s="354"/>
      <c r="AY38" s="61"/>
      <c r="AZ38" s="353"/>
      <c r="BA38" s="353"/>
      <c r="BB38" s="576"/>
      <c r="BC38" s="369"/>
      <c r="BD38" s="369"/>
      <c r="BE38" s="369"/>
      <c r="BF38" s="369"/>
      <c r="BG38" s="369"/>
      <c r="BH38" s="369"/>
      <c r="BI38" s="369"/>
      <c r="BJ38" s="369"/>
      <c r="BK38" s="369"/>
      <c r="BL38" s="369"/>
      <c r="BM38" s="369"/>
      <c r="BN38" s="369"/>
      <c r="BO38" s="369"/>
      <c r="BP38" s="369"/>
      <c r="BQ38" s="369"/>
      <c r="BR38" s="369"/>
      <c r="BS38" s="369"/>
      <c r="BT38" s="369"/>
      <c r="BU38" s="369"/>
      <c r="BV38" s="369"/>
      <c r="BW38" s="369"/>
      <c r="BX38" s="369"/>
      <c r="BY38" s="369"/>
      <c r="BZ38" s="369"/>
      <c r="CA38" s="369"/>
      <c r="CB38" s="369"/>
      <c r="CC38" s="369"/>
      <c r="CD38" s="369"/>
      <c r="CE38" s="369"/>
      <c r="CF38" s="369"/>
      <c r="CG38" s="369"/>
      <c r="CH38" s="369"/>
      <c r="CI38" s="369"/>
      <c r="CJ38" s="369"/>
      <c r="CK38" s="369"/>
      <c r="CL38" s="369"/>
    </row>
    <row r="39" hidden="1" outlineLevel="1">
      <c r="A39" s="325" t="str">
        <f t="shared" si="3"/>
        <v>TC_02.27</v>
      </c>
      <c r="B39" s="565" t="s">
        <v>73</v>
      </c>
      <c r="C39" s="566" t="s">
        <v>2830</v>
      </c>
      <c r="D39" s="566" t="s">
        <v>2831</v>
      </c>
      <c r="E39" s="566" t="s">
        <v>2832</v>
      </c>
      <c r="F39" s="566" t="s">
        <v>2833</v>
      </c>
      <c r="G39" s="265"/>
      <c r="H39" s="265"/>
      <c r="I39" s="273"/>
      <c r="J39" s="273"/>
      <c r="K39" s="273"/>
      <c r="L39" s="273"/>
      <c r="M39" s="273"/>
      <c r="N39" s="273"/>
      <c r="O39" s="273"/>
      <c r="P39" s="273"/>
      <c r="Q39" s="273"/>
      <c r="R39" s="273"/>
      <c r="S39" s="265"/>
      <c r="T39" s="273"/>
      <c r="U39" s="273"/>
      <c r="V39" s="273"/>
      <c r="W39" s="273"/>
      <c r="X39" s="273"/>
      <c r="Y39" s="273"/>
      <c r="Z39" s="273"/>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c r="BW39" s="355"/>
      <c r="BX39" s="355"/>
      <c r="BY39" s="355"/>
      <c r="BZ39" s="355"/>
      <c r="CA39" s="355"/>
      <c r="CB39" s="355"/>
      <c r="CC39" s="355"/>
      <c r="CD39" s="355"/>
      <c r="CE39" s="355"/>
      <c r="CF39" s="355"/>
      <c r="CG39" s="355"/>
      <c r="CH39" s="355"/>
      <c r="CI39" s="355"/>
      <c r="CJ39" s="355"/>
      <c r="CK39" s="355"/>
      <c r="CL39" s="355"/>
    </row>
    <row r="40" hidden="1" outlineLevel="1">
      <c r="A40" s="325" t="str">
        <f t="shared" si="3"/>
        <v>TC_02.28</v>
      </c>
      <c r="B40" s="565" t="s">
        <v>75</v>
      </c>
      <c r="C40" s="566" t="s">
        <v>2834</v>
      </c>
      <c r="D40" s="566" t="s">
        <v>2835</v>
      </c>
      <c r="E40" s="566" t="s">
        <v>2836</v>
      </c>
      <c r="F40" s="566" t="s">
        <v>2837</v>
      </c>
      <c r="G40" s="265"/>
      <c r="H40" s="265"/>
      <c r="I40" s="273"/>
      <c r="J40" s="273"/>
      <c r="K40" s="273"/>
      <c r="L40" s="273"/>
      <c r="M40" s="273"/>
      <c r="N40" s="273"/>
      <c r="O40" s="273"/>
      <c r="P40" s="273"/>
      <c r="Q40" s="273"/>
      <c r="R40" s="273"/>
      <c r="S40" s="265"/>
      <c r="T40" s="273"/>
      <c r="U40" s="273"/>
      <c r="V40" s="273"/>
      <c r="W40" s="273"/>
      <c r="X40" s="273"/>
      <c r="Y40" s="273"/>
      <c r="Z40" s="273"/>
      <c r="AA40" s="249"/>
      <c r="AB40" s="249"/>
      <c r="AC40" s="249"/>
      <c r="AD40" s="249"/>
      <c r="AE40" s="249"/>
      <c r="AF40" s="249"/>
      <c r="AG40" s="249"/>
      <c r="AH40" s="249"/>
      <c r="AI40" s="249"/>
      <c r="AJ40" s="249"/>
      <c r="AK40" s="249"/>
      <c r="AL40" s="249"/>
      <c r="AM40" s="249"/>
      <c r="AN40" s="249"/>
      <c r="AO40" s="249"/>
      <c r="AP40" s="249"/>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c r="BW40" s="355"/>
      <c r="BX40" s="355"/>
      <c r="BY40" s="355"/>
      <c r="BZ40" s="355"/>
      <c r="CA40" s="355"/>
      <c r="CB40" s="355"/>
      <c r="CC40" s="355"/>
      <c r="CD40" s="355"/>
      <c r="CE40" s="355"/>
      <c r="CF40" s="355"/>
      <c r="CG40" s="355"/>
      <c r="CH40" s="355"/>
      <c r="CI40" s="355"/>
      <c r="CJ40" s="355"/>
      <c r="CK40" s="355"/>
      <c r="CL40" s="355"/>
    </row>
    <row r="41" collapsed="1">
      <c r="A41" s="570" t="s">
        <v>2838</v>
      </c>
      <c r="B41" s="148"/>
      <c r="C41" s="148"/>
      <c r="D41" s="148"/>
      <c r="E41" s="148"/>
      <c r="F41" s="171"/>
      <c r="G41" s="265"/>
      <c r="H41" s="265"/>
      <c r="I41" s="273"/>
      <c r="J41" s="273"/>
      <c r="K41" s="273"/>
      <c r="L41" s="273"/>
      <c r="M41" s="273"/>
      <c r="N41" s="273"/>
      <c r="O41" s="273"/>
      <c r="P41" s="273"/>
      <c r="Q41" s="273"/>
      <c r="R41" s="273"/>
      <c r="S41" s="265"/>
      <c r="T41" s="273"/>
      <c r="U41" s="273"/>
      <c r="V41" s="273"/>
      <c r="W41" s="273"/>
      <c r="X41" s="273"/>
      <c r="Y41" s="273"/>
      <c r="Z41" s="273"/>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c r="BR41" s="355"/>
      <c r="BS41" s="355"/>
      <c r="BT41" s="355"/>
      <c r="BU41" s="355"/>
      <c r="BV41" s="355"/>
      <c r="BW41" s="355"/>
      <c r="BX41" s="355"/>
      <c r="BY41" s="355"/>
      <c r="BZ41" s="355"/>
      <c r="CA41" s="355"/>
      <c r="CB41" s="355"/>
      <c r="CC41" s="355"/>
      <c r="CD41" s="355"/>
      <c r="CE41" s="355"/>
      <c r="CF41" s="355"/>
      <c r="CG41" s="355"/>
      <c r="CH41" s="355"/>
      <c r="CI41" s="355"/>
      <c r="CJ41" s="355"/>
      <c r="CK41" s="355"/>
      <c r="CL41" s="355"/>
    </row>
    <row r="42" hidden="1" outlineLevel="1">
      <c r="A42" s="325" t="str">
        <f t="shared" ref="A42:A46" si="4">IF(E42="","",$C$3&amp;"."&amp;COUNTA($E$10:E42)&amp;"")</f>
        <v>TC_02.29</v>
      </c>
      <c r="B42" s="565" t="s">
        <v>75</v>
      </c>
      <c r="C42" s="566" t="s">
        <v>2839</v>
      </c>
      <c r="D42" s="566" t="s">
        <v>2840</v>
      </c>
      <c r="E42" s="566" t="s">
        <v>2841</v>
      </c>
      <c r="F42" s="566" t="s">
        <v>2842</v>
      </c>
      <c r="G42" s="265"/>
      <c r="H42" s="273"/>
      <c r="I42" s="273"/>
      <c r="J42" s="273"/>
      <c r="K42" s="273"/>
      <c r="L42" s="273"/>
      <c r="M42" s="273"/>
      <c r="N42" s="273"/>
      <c r="O42" s="273"/>
      <c r="P42" s="273"/>
      <c r="Q42" s="273"/>
      <c r="R42" s="273"/>
      <c r="S42" s="265"/>
      <c r="T42" s="273"/>
      <c r="U42" s="273"/>
      <c r="V42" s="273"/>
      <c r="W42" s="273"/>
      <c r="X42" s="273"/>
      <c r="Y42" s="273"/>
      <c r="Z42" s="273"/>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c r="BR42" s="355"/>
      <c r="BS42" s="355"/>
      <c r="BT42" s="355"/>
      <c r="BU42" s="355"/>
      <c r="BV42" s="355"/>
      <c r="BW42" s="355"/>
      <c r="BX42" s="355"/>
      <c r="BY42" s="355"/>
      <c r="BZ42" s="355"/>
      <c r="CA42" s="355"/>
      <c r="CB42" s="355"/>
      <c r="CC42" s="355"/>
      <c r="CD42" s="355"/>
      <c r="CE42" s="355"/>
      <c r="CF42" s="355"/>
      <c r="CG42" s="355"/>
      <c r="CH42" s="355"/>
      <c r="CI42" s="355"/>
      <c r="CJ42" s="355"/>
      <c r="CK42" s="355"/>
      <c r="CL42" s="355"/>
    </row>
    <row r="43" hidden="1" outlineLevel="1">
      <c r="A43" s="325" t="str">
        <f t="shared" si="4"/>
        <v>TC_02.30</v>
      </c>
      <c r="B43" s="565" t="s">
        <v>75</v>
      </c>
      <c r="C43" s="566" t="s">
        <v>2843</v>
      </c>
      <c r="D43" s="566" t="s">
        <v>2844</v>
      </c>
      <c r="E43" s="566" t="s">
        <v>2845</v>
      </c>
      <c r="F43" s="566" t="s">
        <v>2846</v>
      </c>
      <c r="G43" s="265"/>
      <c r="H43" s="265"/>
      <c r="I43" s="273"/>
      <c r="J43" s="265"/>
      <c r="K43" s="273"/>
      <c r="L43" s="273"/>
      <c r="M43" s="273"/>
      <c r="N43" s="273"/>
      <c r="O43" s="273"/>
      <c r="P43" s="273"/>
      <c r="Q43" s="273"/>
      <c r="R43" s="273"/>
      <c r="S43" s="273"/>
      <c r="T43" s="273"/>
      <c r="U43" s="273"/>
      <c r="V43" s="273"/>
      <c r="W43" s="273"/>
      <c r="X43" s="273"/>
      <c r="Y43" s="273"/>
      <c r="Z43" s="273"/>
      <c r="AA43" s="130"/>
      <c r="AB43" s="585"/>
      <c r="AC43" s="130"/>
      <c r="AD43" s="130"/>
      <c r="AE43" s="130"/>
      <c r="AF43" s="130"/>
      <c r="AG43" s="130"/>
      <c r="AH43" s="130"/>
      <c r="AI43" s="130"/>
      <c r="AJ43" s="130"/>
      <c r="AK43" s="130"/>
      <c r="AL43" s="130"/>
      <c r="AM43" s="130"/>
      <c r="AN43" s="585"/>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30"/>
      <c r="CC43" s="130"/>
      <c r="CD43" s="130"/>
      <c r="CE43" s="130"/>
      <c r="CF43" s="130"/>
      <c r="CG43" s="130"/>
      <c r="CH43" s="130"/>
      <c r="CI43" s="130"/>
      <c r="CJ43" s="130"/>
      <c r="CK43" s="130"/>
      <c r="CL43" s="130"/>
    </row>
    <row r="44" hidden="1" outlineLevel="1">
      <c r="A44" s="325" t="str">
        <f t="shared" si="4"/>
        <v>TC_02.31</v>
      </c>
      <c r="B44" s="565" t="s">
        <v>73</v>
      </c>
      <c r="C44" s="566" t="s">
        <v>2847</v>
      </c>
      <c r="D44" s="566" t="s">
        <v>2848</v>
      </c>
      <c r="E44" s="566" t="s">
        <v>2849</v>
      </c>
      <c r="F44" s="566" t="s">
        <v>2850</v>
      </c>
      <c r="G44" s="265"/>
      <c r="H44" s="265"/>
      <c r="I44" s="265"/>
      <c r="J44" s="265"/>
      <c r="K44" s="273"/>
      <c r="L44" s="273"/>
      <c r="M44" s="273"/>
      <c r="N44" s="273"/>
      <c r="O44" s="273"/>
      <c r="P44" s="273"/>
      <c r="Q44" s="273"/>
      <c r="R44" s="273"/>
      <c r="S44" s="273"/>
      <c r="T44" s="273"/>
      <c r="U44" s="273"/>
      <c r="V44" s="273"/>
      <c r="W44" s="273"/>
      <c r="X44" s="273"/>
      <c r="Y44" s="273"/>
      <c r="Z44" s="273"/>
      <c r="AA44" s="130"/>
      <c r="AB44" s="585"/>
      <c r="AC44" s="130"/>
      <c r="AD44" s="130"/>
      <c r="AE44" s="130"/>
      <c r="AF44" s="130"/>
      <c r="AG44" s="130"/>
      <c r="AH44" s="130"/>
      <c r="AI44" s="130"/>
      <c r="AJ44" s="130"/>
      <c r="AK44" s="130"/>
      <c r="AL44" s="130"/>
      <c r="AM44" s="130"/>
      <c r="AN44" s="585"/>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30"/>
      <c r="CC44" s="130"/>
      <c r="CD44" s="130"/>
      <c r="CE44" s="130"/>
      <c r="CF44" s="130"/>
      <c r="CG44" s="130"/>
      <c r="CH44" s="130"/>
      <c r="CI44" s="130"/>
      <c r="CJ44" s="130"/>
      <c r="CK44" s="130"/>
      <c r="CL44" s="130"/>
    </row>
    <row r="45" hidden="1" outlineLevel="1">
      <c r="A45" s="325" t="str">
        <f t="shared" si="4"/>
        <v>TC_02.32</v>
      </c>
      <c r="B45" s="565" t="s">
        <v>73</v>
      </c>
      <c r="C45" s="566" t="s">
        <v>2851</v>
      </c>
      <c r="D45" s="566" t="s">
        <v>2852</v>
      </c>
      <c r="E45" s="566" t="s">
        <v>2853</v>
      </c>
      <c r="F45" s="566" t="s">
        <v>2854</v>
      </c>
      <c r="G45" s="265"/>
      <c r="H45" s="265"/>
      <c r="I45" s="273"/>
      <c r="J45" s="265"/>
      <c r="K45" s="273"/>
      <c r="L45" s="273"/>
      <c r="M45" s="273"/>
      <c r="N45" s="273"/>
      <c r="O45" s="273"/>
      <c r="P45" s="273"/>
      <c r="Q45" s="273"/>
      <c r="R45" s="273"/>
      <c r="S45" s="273"/>
      <c r="T45" s="273"/>
      <c r="U45" s="273"/>
      <c r="V45" s="273"/>
      <c r="W45" s="273"/>
      <c r="X45" s="273"/>
      <c r="Y45" s="273"/>
      <c r="Z45" s="273"/>
      <c r="AA45" s="130"/>
      <c r="AB45" s="585"/>
      <c r="AC45" s="130"/>
      <c r="AD45" s="130"/>
      <c r="AE45" s="130"/>
      <c r="AF45" s="130"/>
      <c r="AG45" s="130"/>
      <c r="AH45" s="130"/>
      <c r="AI45" s="130"/>
      <c r="AJ45" s="130"/>
      <c r="AK45" s="130"/>
      <c r="AL45" s="130"/>
      <c r="AM45" s="130"/>
      <c r="AN45" s="585"/>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0"/>
      <c r="BQ45" s="130"/>
      <c r="BR45" s="130"/>
      <c r="BS45" s="130"/>
      <c r="BT45" s="130"/>
      <c r="BU45" s="130"/>
      <c r="BV45" s="130"/>
      <c r="BW45" s="130"/>
      <c r="BX45" s="130"/>
      <c r="BY45" s="130"/>
      <c r="BZ45" s="130"/>
      <c r="CA45" s="130"/>
      <c r="CB45" s="130"/>
      <c r="CC45" s="130"/>
      <c r="CD45" s="130"/>
      <c r="CE45" s="130"/>
      <c r="CF45" s="130"/>
      <c r="CG45" s="130"/>
      <c r="CH45" s="130"/>
      <c r="CI45" s="130"/>
      <c r="CJ45" s="130"/>
      <c r="CK45" s="130"/>
      <c r="CL45" s="130"/>
    </row>
    <row r="46" hidden="1" outlineLevel="1">
      <c r="A46" s="325" t="str">
        <f t="shared" si="4"/>
        <v>TC_02.33</v>
      </c>
      <c r="B46" s="565" t="s">
        <v>75</v>
      </c>
      <c r="C46" s="566" t="s">
        <v>2855</v>
      </c>
      <c r="D46" s="566" t="s">
        <v>2856</v>
      </c>
      <c r="E46" s="566" t="s">
        <v>2857</v>
      </c>
      <c r="F46" s="566" t="s">
        <v>2858</v>
      </c>
      <c r="G46" s="265"/>
      <c r="H46" s="265"/>
      <c r="I46" s="273"/>
      <c r="J46" s="265"/>
      <c r="K46" s="273"/>
      <c r="L46" s="273"/>
      <c r="M46" s="273"/>
      <c r="N46" s="273"/>
      <c r="O46" s="273"/>
      <c r="P46" s="273"/>
      <c r="Q46" s="273"/>
      <c r="R46" s="273"/>
      <c r="S46" s="273"/>
      <c r="T46" s="273"/>
      <c r="U46" s="273"/>
      <c r="V46" s="273"/>
      <c r="W46" s="273"/>
      <c r="X46" s="273"/>
      <c r="Y46" s="273"/>
      <c r="Z46" s="273"/>
      <c r="AA46" s="130"/>
      <c r="AB46" s="585"/>
      <c r="AC46" s="130"/>
      <c r="AD46" s="130"/>
      <c r="AE46" s="130"/>
      <c r="AF46" s="130"/>
      <c r="AG46" s="130"/>
      <c r="AH46" s="130"/>
      <c r="AI46" s="130"/>
      <c r="AJ46" s="130"/>
      <c r="AK46" s="130"/>
      <c r="AL46" s="130"/>
      <c r="AM46" s="130"/>
      <c r="AN46" s="585"/>
      <c r="AO46" s="130"/>
      <c r="AP46" s="130"/>
      <c r="AQ46" s="130"/>
      <c r="AR46" s="130"/>
      <c r="AS46" s="130"/>
      <c r="AT46" s="130"/>
      <c r="AU46" s="130"/>
      <c r="AV46" s="130"/>
      <c r="AW46" s="130"/>
      <c r="AX46" s="130"/>
      <c r="AY46" s="130"/>
      <c r="AZ46" s="130"/>
      <c r="BA46" s="130"/>
      <c r="BB46" s="130"/>
      <c r="BC46" s="130"/>
      <c r="BD46" s="130"/>
      <c r="BE46" s="130"/>
      <c r="BF46" s="130"/>
      <c r="BG46" s="130"/>
      <c r="BH46" s="130"/>
      <c r="BI46" s="130"/>
      <c r="BJ46" s="130"/>
      <c r="BK46" s="130"/>
      <c r="BL46" s="130"/>
      <c r="BM46" s="130"/>
      <c r="BN46" s="130"/>
      <c r="BO46" s="130"/>
      <c r="BP46" s="130"/>
      <c r="BQ46" s="130"/>
      <c r="BR46" s="130"/>
      <c r="BS46" s="130"/>
      <c r="BT46" s="130"/>
      <c r="BU46" s="130"/>
      <c r="BV46" s="130"/>
      <c r="BW46" s="130"/>
      <c r="BX46" s="130"/>
      <c r="BY46" s="130"/>
      <c r="BZ46" s="130"/>
      <c r="CA46" s="130"/>
      <c r="CB46" s="130"/>
      <c r="CC46" s="130"/>
      <c r="CD46" s="130"/>
      <c r="CE46" s="130"/>
      <c r="CF46" s="130"/>
      <c r="CG46" s="130"/>
      <c r="CH46" s="130"/>
      <c r="CI46" s="130"/>
      <c r="CJ46" s="130"/>
      <c r="CK46" s="130"/>
      <c r="CL46" s="130"/>
    </row>
    <row r="47" collapsed="1">
      <c r="A47" s="570" t="s">
        <v>2859</v>
      </c>
      <c r="B47" s="148"/>
      <c r="C47" s="148"/>
      <c r="D47" s="148"/>
      <c r="E47" s="148"/>
      <c r="F47" s="171"/>
      <c r="G47" s="265"/>
      <c r="H47" s="265"/>
      <c r="I47" s="273"/>
      <c r="J47" s="265"/>
      <c r="K47" s="273"/>
      <c r="L47" s="273"/>
      <c r="M47" s="273"/>
      <c r="N47" s="273"/>
      <c r="O47" s="273"/>
      <c r="P47" s="273"/>
      <c r="Q47" s="273"/>
      <c r="R47" s="273"/>
      <c r="S47" s="273"/>
      <c r="T47" s="273"/>
      <c r="U47" s="273"/>
      <c r="V47" s="273"/>
      <c r="W47" s="273"/>
      <c r="X47" s="273"/>
      <c r="Y47" s="273"/>
      <c r="Z47" s="273"/>
      <c r="AA47" s="130"/>
      <c r="AB47" s="585"/>
      <c r="AC47" s="130"/>
      <c r="AD47" s="130"/>
      <c r="AE47" s="130"/>
      <c r="AF47" s="130"/>
      <c r="AG47" s="130"/>
      <c r="AH47" s="130"/>
      <c r="AI47" s="130"/>
      <c r="AJ47" s="130"/>
      <c r="AK47" s="130"/>
      <c r="AL47" s="130"/>
      <c r="AM47" s="130"/>
      <c r="AN47" s="585"/>
      <c r="AO47" s="130"/>
      <c r="AP47" s="130"/>
      <c r="AQ47" s="130"/>
      <c r="AR47" s="130"/>
      <c r="AS47" s="130"/>
      <c r="AT47" s="130"/>
      <c r="AU47" s="130"/>
      <c r="AV47" s="130"/>
      <c r="AW47" s="130"/>
      <c r="AX47" s="130"/>
      <c r="AY47" s="130"/>
      <c r="AZ47" s="130"/>
      <c r="BA47" s="130"/>
      <c r="BB47" s="130"/>
      <c r="BC47" s="130"/>
      <c r="BD47" s="130"/>
      <c r="BE47" s="130"/>
      <c r="BF47" s="130"/>
      <c r="BG47" s="130"/>
      <c r="BH47" s="130"/>
      <c r="BI47" s="130"/>
      <c r="BJ47" s="130"/>
      <c r="BK47" s="130"/>
      <c r="BL47" s="130"/>
      <c r="BM47" s="130"/>
      <c r="BN47" s="130"/>
      <c r="BO47" s="130"/>
      <c r="BP47" s="130"/>
      <c r="BQ47" s="130"/>
      <c r="BR47" s="130"/>
      <c r="BS47" s="130"/>
      <c r="BT47" s="130"/>
      <c r="BU47" s="130"/>
      <c r="BV47" s="130"/>
      <c r="BW47" s="130"/>
      <c r="BX47" s="130"/>
      <c r="BY47" s="130"/>
      <c r="BZ47" s="130"/>
      <c r="CA47" s="130"/>
      <c r="CB47" s="130"/>
      <c r="CC47" s="130"/>
      <c r="CD47" s="130"/>
      <c r="CE47" s="130"/>
      <c r="CF47" s="130"/>
      <c r="CG47" s="130"/>
      <c r="CH47" s="130"/>
      <c r="CI47" s="130"/>
      <c r="CJ47" s="130"/>
      <c r="CK47" s="130"/>
      <c r="CL47" s="130"/>
    </row>
    <row r="48" hidden="1" outlineLevel="1">
      <c r="A48" s="325" t="str">
        <f t="shared" ref="A48:A51" si="5">IF(E48="","",$C$3&amp;"."&amp;COUNTA($E$10:E48)&amp;"")</f>
        <v>TC_02.34</v>
      </c>
      <c r="B48" s="565" t="s">
        <v>75</v>
      </c>
      <c r="C48" s="566" t="s">
        <v>2860</v>
      </c>
      <c r="D48" s="566" t="s">
        <v>2861</v>
      </c>
      <c r="E48" s="566" t="s">
        <v>2862</v>
      </c>
      <c r="F48" s="566" t="s">
        <v>2863</v>
      </c>
      <c r="G48" s="265"/>
      <c r="H48" s="265"/>
      <c r="I48" s="273"/>
      <c r="J48" s="265"/>
      <c r="K48" s="273"/>
      <c r="L48" s="273"/>
      <c r="M48" s="273"/>
      <c r="N48" s="273"/>
      <c r="O48" s="273"/>
      <c r="P48" s="273"/>
      <c r="Q48" s="273"/>
      <c r="R48" s="273"/>
      <c r="S48" s="273"/>
      <c r="T48" s="273"/>
      <c r="U48" s="273"/>
      <c r="V48" s="273"/>
      <c r="W48" s="273"/>
      <c r="X48" s="273"/>
      <c r="Y48" s="273"/>
      <c r="Z48" s="273"/>
      <c r="AA48" s="130"/>
      <c r="AB48" s="585"/>
      <c r="AC48" s="130"/>
      <c r="AD48" s="130"/>
      <c r="AE48" s="130"/>
      <c r="AF48" s="130"/>
      <c r="AG48" s="130"/>
      <c r="AH48" s="130"/>
      <c r="AI48" s="130"/>
      <c r="AJ48" s="130"/>
      <c r="AK48" s="130"/>
      <c r="AL48" s="130"/>
      <c r="AM48" s="130"/>
      <c r="AN48" s="585"/>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130"/>
      <c r="BU48" s="130"/>
      <c r="BV48" s="130"/>
      <c r="BW48" s="130"/>
      <c r="BX48" s="130"/>
      <c r="BY48" s="130"/>
      <c r="BZ48" s="130"/>
      <c r="CA48" s="130"/>
      <c r="CB48" s="130"/>
      <c r="CC48" s="130"/>
      <c r="CD48" s="130"/>
      <c r="CE48" s="130"/>
      <c r="CF48" s="130"/>
      <c r="CG48" s="130"/>
      <c r="CH48" s="130"/>
      <c r="CI48" s="130"/>
      <c r="CJ48" s="130"/>
      <c r="CK48" s="130"/>
      <c r="CL48" s="130"/>
    </row>
    <row r="49" hidden="1" outlineLevel="1">
      <c r="A49" s="325" t="str">
        <f t="shared" si="5"/>
        <v>TC_02.35</v>
      </c>
      <c r="B49" s="565" t="s">
        <v>73</v>
      </c>
      <c r="C49" s="566" t="s">
        <v>2864</v>
      </c>
      <c r="D49" s="566" t="s">
        <v>2865</v>
      </c>
      <c r="E49" s="566" t="s">
        <v>2866</v>
      </c>
      <c r="F49" s="566" t="s">
        <v>2867</v>
      </c>
      <c r="G49" s="265"/>
      <c r="H49" s="265"/>
      <c r="I49" s="273"/>
      <c r="J49" s="265"/>
      <c r="K49" s="273"/>
      <c r="L49" s="273"/>
      <c r="M49" s="273"/>
      <c r="N49" s="273"/>
      <c r="O49" s="273"/>
      <c r="P49" s="273"/>
      <c r="Q49" s="273"/>
      <c r="R49" s="273"/>
      <c r="S49" s="273"/>
      <c r="T49" s="273"/>
      <c r="U49" s="273"/>
      <c r="V49" s="273"/>
      <c r="W49" s="273"/>
      <c r="X49" s="273"/>
      <c r="Y49" s="273"/>
      <c r="Z49" s="273"/>
      <c r="AA49" s="130"/>
      <c r="AB49" s="585"/>
      <c r="AC49" s="130"/>
      <c r="AD49" s="130"/>
      <c r="AE49" s="130"/>
      <c r="AF49" s="130"/>
      <c r="AG49" s="130"/>
      <c r="AH49" s="130"/>
      <c r="AI49" s="130"/>
      <c r="AJ49" s="130"/>
      <c r="AK49" s="130"/>
      <c r="AL49" s="130"/>
      <c r="AM49" s="130"/>
      <c r="AN49" s="585"/>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30"/>
      <c r="BU49" s="130"/>
      <c r="BV49" s="130"/>
      <c r="BW49" s="130"/>
      <c r="BX49" s="130"/>
      <c r="BY49" s="130"/>
      <c r="BZ49" s="130"/>
      <c r="CA49" s="130"/>
      <c r="CB49" s="130"/>
      <c r="CC49" s="130"/>
      <c r="CD49" s="130"/>
      <c r="CE49" s="130"/>
      <c r="CF49" s="130"/>
      <c r="CG49" s="130"/>
      <c r="CH49" s="130"/>
      <c r="CI49" s="130"/>
      <c r="CJ49" s="130"/>
      <c r="CK49" s="130"/>
      <c r="CL49" s="130"/>
    </row>
    <row r="50" hidden="1" outlineLevel="1">
      <c r="A50" s="325" t="str">
        <f t="shared" si="5"/>
        <v>TC_02.36</v>
      </c>
      <c r="B50" s="565" t="s">
        <v>73</v>
      </c>
      <c r="C50" s="566" t="s">
        <v>2868</v>
      </c>
      <c r="D50" s="566" t="s">
        <v>2865</v>
      </c>
      <c r="E50" s="566" t="s">
        <v>2869</v>
      </c>
      <c r="F50" s="566" t="s">
        <v>2870</v>
      </c>
      <c r="G50" s="265"/>
      <c r="H50" s="265"/>
      <c r="I50" s="273"/>
      <c r="J50" s="265"/>
      <c r="K50" s="273"/>
      <c r="L50" s="273"/>
      <c r="M50" s="273"/>
      <c r="N50" s="273"/>
      <c r="O50" s="273"/>
      <c r="P50" s="273"/>
      <c r="Q50" s="273"/>
      <c r="R50" s="273"/>
      <c r="S50" s="273"/>
      <c r="T50" s="273"/>
      <c r="U50" s="273"/>
      <c r="V50" s="273"/>
      <c r="W50" s="273"/>
      <c r="X50" s="273"/>
      <c r="Y50" s="273"/>
      <c r="Z50" s="273"/>
      <c r="AA50" s="130"/>
      <c r="AB50" s="585"/>
      <c r="AC50" s="130"/>
      <c r="AD50" s="130"/>
      <c r="AE50" s="130"/>
      <c r="AF50" s="130"/>
      <c r="AG50" s="130"/>
      <c r="AH50" s="130"/>
      <c r="AI50" s="130"/>
      <c r="AJ50" s="130"/>
      <c r="AK50" s="130"/>
      <c r="AL50" s="130"/>
      <c r="AM50" s="130"/>
      <c r="AN50" s="585"/>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0"/>
      <c r="BN50" s="130"/>
      <c r="BO50" s="130"/>
      <c r="BP50" s="130"/>
      <c r="BQ50" s="130"/>
      <c r="BR50" s="130"/>
      <c r="BS50" s="130"/>
      <c r="BT50" s="130"/>
      <c r="BU50" s="130"/>
      <c r="BV50" s="130"/>
      <c r="BW50" s="130"/>
      <c r="BX50" s="130"/>
      <c r="BY50" s="130"/>
      <c r="BZ50" s="130"/>
      <c r="CA50" s="130"/>
      <c r="CB50" s="130"/>
      <c r="CC50" s="130"/>
      <c r="CD50" s="130"/>
      <c r="CE50" s="130"/>
      <c r="CF50" s="130"/>
      <c r="CG50" s="130"/>
      <c r="CH50" s="130"/>
      <c r="CI50" s="130"/>
      <c r="CJ50" s="130"/>
      <c r="CK50" s="130"/>
      <c r="CL50" s="130"/>
    </row>
    <row r="51" hidden="1" outlineLevel="1">
      <c r="A51" s="325" t="str">
        <f t="shared" si="5"/>
        <v>TC_02.37</v>
      </c>
      <c r="B51" s="565" t="s">
        <v>77</v>
      </c>
      <c r="C51" s="586" t="s">
        <v>2871</v>
      </c>
      <c r="D51" s="586" t="s">
        <v>2872</v>
      </c>
      <c r="E51" s="566" t="s">
        <v>2873</v>
      </c>
      <c r="F51" s="586" t="s">
        <v>2874</v>
      </c>
      <c r="G51" s="265"/>
      <c r="H51" s="273"/>
      <c r="I51" s="273"/>
      <c r="J51" s="273"/>
      <c r="K51" s="273"/>
      <c r="L51" s="273"/>
      <c r="M51" s="273"/>
      <c r="N51" s="273"/>
      <c r="O51" s="273"/>
      <c r="P51" s="273"/>
      <c r="Q51" s="273"/>
      <c r="R51" s="273"/>
      <c r="S51" s="265"/>
      <c r="T51" s="273"/>
      <c r="U51" s="273"/>
      <c r="V51" s="273"/>
      <c r="W51" s="273"/>
      <c r="X51" s="273"/>
      <c r="Y51" s="273"/>
      <c r="Z51" s="273"/>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c r="CA51" s="130"/>
      <c r="CB51" s="130"/>
      <c r="CC51" s="130"/>
      <c r="CD51" s="130"/>
      <c r="CE51" s="130"/>
      <c r="CF51" s="130"/>
      <c r="CG51" s="130"/>
      <c r="CH51" s="130"/>
      <c r="CI51" s="130"/>
      <c r="CJ51" s="130"/>
      <c r="CK51" s="130"/>
      <c r="CL51" s="130"/>
    </row>
    <row r="52" collapsed="1">
      <c r="A52" s="570" t="s">
        <v>2875</v>
      </c>
      <c r="B52" s="148"/>
      <c r="C52" s="148"/>
      <c r="D52" s="148"/>
      <c r="E52" s="148"/>
      <c r="F52" s="171"/>
      <c r="G52" s="265"/>
      <c r="H52" s="265"/>
      <c r="I52" s="273"/>
      <c r="J52" s="273"/>
      <c r="K52" s="273"/>
      <c r="L52" s="273"/>
      <c r="M52" s="273"/>
      <c r="N52" s="273"/>
      <c r="O52" s="273"/>
      <c r="P52" s="273"/>
      <c r="Q52" s="273"/>
      <c r="R52" s="273"/>
      <c r="S52" s="265"/>
      <c r="T52" s="273"/>
      <c r="U52" s="273"/>
      <c r="V52" s="273"/>
      <c r="W52" s="273"/>
      <c r="X52" s="273"/>
      <c r="Y52" s="273"/>
      <c r="Z52" s="273"/>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30"/>
      <c r="BY52" s="130"/>
      <c r="BZ52" s="130"/>
      <c r="CA52" s="130"/>
      <c r="CB52" s="130"/>
      <c r="CC52" s="130"/>
      <c r="CD52" s="130"/>
      <c r="CE52" s="130"/>
      <c r="CF52" s="130"/>
      <c r="CG52" s="130"/>
      <c r="CH52" s="130"/>
      <c r="CI52" s="130"/>
      <c r="CJ52" s="130"/>
      <c r="CK52" s="130"/>
      <c r="CL52" s="130"/>
    </row>
    <row r="53" hidden="1" outlineLevel="1">
      <c r="A53" s="325" t="str">
        <f t="shared" ref="A53:A55" si="6">IF(E53="","",$C$3&amp;"."&amp;COUNTA($E$10:E53)&amp;"")</f>
        <v>TC_02.38</v>
      </c>
      <c r="B53" s="565" t="s">
        <v>75</v>
      </c>
      <c r="C53" s="566" t="s">
        <v>2876</v>
      </c>
      <c r="D53" s="566" t="s">
        <v>2877</v>
      </c>
      <c r="E53" s="566" t="s">
        <v>2878</v>
      </c>
      <c r="F53" s="561" t="s">
        <v>2879</v>
      </c>
      <c r="G53" s="265"/>
      <c r="H53" s="265"/>
      <c r="I53" s="273"/>
      <c r="J53" s="273"/>
      <c r="K53" s="273"/>
      <c r="L53" s="273"/>
      <c r="M53" s="273"/>
      <c r="N53" s="273"/>
      <c r="O53" s="273"/>
      <c r="P53" s="273"/>
      <c r="Q53" s="273"/>
      <c r="R53" s="273"/>
      <c r="S53" s="265"/>
      <c r="T53" s="273"/>
      <c r="U53" s="273"/>
      <c r="V53" s="273"/>
      <c r="W53" s="273"/>
      <c r="X53" s="273"/>
      <c r="Y53" s="273"/>
      <c r="Z53" s="273"/>
      <c r="AA53" s="130"/>
      <c r="AB53" s="130"/>
      <c r="AC53" s="130"/>
      <c r="AD53" s="130"/>
      <c r="AE53" s="130"/>
      <c r="AF53" s="130"/>
      <c r="AG53" s="130"/>
      <c r="AH53" s="130"/>
      <c r="AI53" s="130"/>
      <c r="AJ53" s="130"/>
      <c r="AK53" s="130"/>
      <c r="AL53" s="130"/>
      <c r="AM53" s="130"/>
      <c r="AN53" s="130"/>
      <c r="AO53" s="130"/>
      <c r="AP53" s="130"/>
      <c r="AQ53" s="130"/>
      <c r="AR53" s="130"/>
      <c r="AS53" s="130"/>
      <c r="AT53" s="130"/>
      <c r="AU53" s="130"/>
      <c r="AV53" s="130"/>
      <c r="AW53" s="130"/>
      <c r="AX53" s="130"/>
      <c r="AY53" s="130"/>
      <c r="AZ53" s="130"/>
      <c r="BA53" s="130"/>
      <c r="BB53" s="130"/>
      <c r="BC53" s="130"/>
      <c r="BD53" s="130"/>
      <c r="BE53" s="130"/>
      <c r="BF53" s="130"/>
      <c r="BG53" s="130"/>
      <c r="BH53" s="130"/>
      <c r="BI53" s="130"/>
      <c r="BJ53" s="130"/>
      <c r="BK53" s="130"/>
      <c r="BL53" s="130"/>
      <c r="BM53" s="130"/>
      <c r="BN53" s="130"/>
      <c r="BO53" s="130"/>
      <c r="BP53" s="130"/>
      <c r="BQ53" s="130"/>
      <c r="BR53" s="130"/>
      <c r="BS53" s="130"/>
      <c r="BT53" s="130"/>
      <c r="BU53" s="130"/>
      <c r="BV53" s="130"/>
      <c r="BW53" s="130"/>
      <c r="BX53" s="130"/>
      <c r="BY53" s="130"/>
      <c r="BZ53" s="130"/>
      <c r="CA53" s="130"/>
      <c r="CB53" s="130"/>
      <c r="CC53" s="130"/>
      <c r="CD53" s="130"/>
      <c r="CE53" s="130"/>
      <c r="CF53" s="130"/>
      <c r="CG53" s="130"/>
      <c r="CH53" s="130"/>
      <c r="CI53" s="130"/>
      <c r="CJ53" s="130"/>
      <c r="CK53" s="130"/>
      <c r="CL53" s="130"/>
    </row>
    <row r="54" hidden="1" outlineLevel="1">
      <c r="A54" s="325" t="str">
        <f t="shared" si="6"/>
        <v>TC_02.39</v>
      </c>
      <c r="B54" s="565" t="s">
        <v>75</v>
      </c>
      <c r="C54" s="561" t="s">
        <v>2880</v>
      </c>
      <c r="D54" s="566" t="s">
        <v>2881</v>
      </c>
      <c r="E54" s="566" t="s">
        <v>2882</v>
      </c>
      <c r="F54" s="561" t="s">
        <v>2883</v>
      </c>
      <c r="G54" s="265"/>
      <c r="H54" s="265"/>
      <c r="I54" s="265"/>
      <c r="J54" s="265"/>
      <c r="K54" s="273"/>
      <c r="L54" s="273"/>
      <c r="M54" s="273"/>
      <c r="N54" s="273"/>
      <c r="O54" s="273"/>
      <c r="P54" s="273"/>
      <c r="Q54" s="273"/>
      <c r="R54" s="273"/>
      <c r="S54" s="265"/>
      <c r="T54" s="273"/>
      <c r="U54" s="273"/>
      <c r="V54" s="273"/>
      <c r="W54" s="273"/>
      <c r="X54" s="273"/>
      <c r="Y54" s="273"/>
      <c r="Z54" s="273"/>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30"/>
      <c r="BI54" s="130"/>
      <c r="BJ54" s="130"/>
      <c r="BK54" s="130"/>
      <c r="BL54" s="130"/>
      <c r="BM54" s="130"/>
      <c r="BN54" s="130"/>
      <c r="BO54" s="130"/>
      <c r="BP54" s="130"/>
      <c r="BQ54" s="130"/>
      <c r="BR54" s="130"/>
      <c r="BS54" s="130"/>
      <c r="BT54" s="130"/>
      <c r="BU54" s="130"/>
      <c r="BV54" s="130"/>
      <c r="BW54" s="130"/>
      <c r="BX54" s="130"/>
      <c r="BY54" s="130"/>
      <c r="BZ54" s="130"/>
      <c r="CA54" s="130"/>
      <c r="CB54" s="130"/>
      <c r="CC54" s="130"/>
      <c r="CD54" s="130"/>
      <c r="CE54" s="130"/>
      <c r="CF54" s="130"/>
      <c r="CG54" s="130"/>
      <c r="CH54" s="130"/>
      <c r="CI54" s="130"/>
      <c r="CJ54" s="130"/>
      <c r="CK54" s="130"/>
      <c r="CL54" s="130"/>
    </row>
    <row r="55" hidden="1" outlineLevel="1">
      <c r="A55" s="325" t="str">
        <f t="shared" si="6"/>
        <v>TC_02.40</v>
      </c>
      <c r="B55" s="565" t="s">
        <v>77</v>
      </c>
      <c r="C55" s="566" t="s">
        <v>2884</v>
      </c>
      <c r="D55" s="566" t="s">
        <v>2885</v>
      </c>
      <c r="E55" s="566" t="s">
        <v>2886</v>
      </c>
      <c r="F55" s="566" t="s">
        <v>2887</v>
      </c>
      <c r="G55" s="265"/>
      <c r="H55" s="265"/>
      <c r="I55" s="273"/>
      <c r="J55" s="273"/>
      <c r="K55" s="273"/>
      <c r="L55" s="273"/>
      <c r="M55" s="273"/>
      <c r="N55" s="273"/>
      <c r="O55" s="273"/>
      <c r="P55" s="273"/>
      <c r="Q55" s="273"/>
      <c r="R55" s="273"/>
      <c r="S55" s="265"/>
      <c r="T55" s="273"/>
      <c r="U55" s="273"/>
      <c r="V55" s="273"/>
      <c r="W55" s="273"/>
      <c r="X55" s="273"/>
      <c r="Y55" s="273"/>
      <c r="Z55" s="273"/>
      <c r="AA55" s="130"/>
      <c r="AB55" s="130"/>
      <c r="AC55" s="130"/>
      <c r="AD55" s="130"/>
      <c r="AE55" s="130"/>
      <c r="AF55" s="130"/>
      <c r="AG55" s="130"/>
      <c r="AH55" s="130"/>
      <c r="AI55" s="130"/>
      <c r="AJ55" s="130"/>
      <c r="AK55" s="130"/>
      <c r="AL55" s="130"/>
      <c r="AM55" s="130"/>
      <c r="AN55" s="130"/>
      <c r="AO55" s="130"/>
      <c r="AP55" s="130"/>
      <c r="AQ55" s="130"/>
      <c r="AR55" s="130"/>
      <c r="AS55" s="130"/>
      <c r="AT55" s="130"/>
      <c r="AU55" s="130"/>
      <c r="AV55" s="130"/>
      <c r="AW55" s="130"/>
      <c r="AX55" s="130"/>
      <c r="AY55" s="130"/>
      <c r="AZ55" s="130"/>
      <c r="BA55" s="130"/>
      <c r="BB55" s="130"/>
      <c r="BC55" s="130"/>
      <c r="BD55" s="130"/>
      <c r="BE55" s="130"/>
      <c r="BF55" s="130"/>
      <c r="BG55" s="130"/>
      <c r="BH55" s="130"/>
      <c r="BI55" s="130"/>
      <c r="BJ55" s="130"/>
      <c r="BK55" s="130"/>
      <c r="BL55" s="130"/>
      <c r="BM55" s="130"/>
      <c r="BN55" s="130"/>
      <c r="BO55" s="130"/>
      <c r="BP55" s="130"/>
      <c r="BQ55" s="130"/>
      <c r="BR55" s="130"/>
      <c r="BS55" s="130"/>
      <c r="BT55" s="130"/>
      <c r="BU55" s="130"/>
      <c r="BV55" s="130"/>
      <c r="BW55" s="130"/>
      <c r="BX55" s="130"/>
      <c r="BY55" s="130"/>
      <c r="BZ55" s="130"/>
      <c r="CA55" s="130"/>
      <c r="CB55" s="130"/>
      <c r="CC55" s="130"/>
      <c r="CD55" s="130"/>
      <c r="CE55" s="130"/>
      <c r="CF55" s="130"/>
      <c r="CG55" s="130"/>
      <c r="CH55" s="130"/>
      <c r="CI55" s="130"/>
      <c r="CJ55" s="130"/>
      <c r="CK55" s="130"/>
      <c r="CL55" s="130"/>
    </row>
    <row r="56" collapsed="1">
      <c r="A56" s="570" t="s">
        <v>2888</v>
      </c>
      <c r="B56" s="148"/>
      <c r="C56" s="148"/>
      <c r="D56" s="148"/>
      <c r="E56" s="148"/>
      <c r="F56" s="171"/>
      <c r="G56" s="265"/>
      <c r="H56" s="265"/>
      <c r="I56" s="273"/>
      <c r="J56" s="265"/>
      <c r="K56" s="273"/>
      <c r="L56" s="273"/>
      <c r="M56" s="273"/>
      <c r="N56" s="273"/>
      <c r="O56" s="273"/>
      <c r="P56" s="273"/>
      <c r="Q56" s="273"/>
      <c r="R56" s="273"/>
      <c r="S56" s="265"/>
      <c r="T56" s="273"/>
      <c r="U56" s="273"/>
      <c r="V56" s="273"/>
      <c r="W56" s="273"/>
      <c r="X56" s="273"/>
      <c r="Y56" s="273"/>
      <c r="Z56" s="273"/>
      <c r="AA56" s="130"/>
      <c r="AB56" s="130"/>
      <c r="AC56" s="130"/>
      <c r="AD56" s="130"/>
      <c r="AE56" s="130"/>
      <c r="AF56" s="130"/>
      <c r="AG56" s="130"/>
      <c r="AH56" s="130"/>
      <c r="AI56" s="130"/>
      <c r="AJ56" s="130"/>
      <c r="AK56" s="130"/>
      <c r="AL56" s="130"/>
      <c r="AM56" s="130"/>
      <c r="AN56" s="130"/>
      <c r="AO56" s="130"/>
      <c r="AP56" s="130"/>
      <c r="AQ56" s="130"/>
      <c r="AR56" s="130"/>
      <c r="AS56" s="130"/>
      <c r="AT56" s="130"/>
      <c r="AU56" s="130"/>
      <c r="AV56" s="130"/>
      <c r="AW56" s="130"/>
      <c r="AX56" s="130"/>
      <c r="AY56" s="130"/>
      <c r="AZ56" s="130"/>
      <c r="BA56" s="130"/>
      <c r="BB56" s="130"/>
      <c r="BC56" s="130"/>
      <c r="BD56" s="130"/>
      <c r="BE56" s="130"/>
      <c r="BF56" s="130"/>
      <c r="BG56" s="130"/>
      <c r="BH56" s="130"/>
      <c r="BI56" s="130"/>
      <c r="BJ56" s="130"/>
      <c r="BK56" s="130"/>
      <c r="BL56" s="130"/>
      <c r="BM56" s="130"/>
      <c r="BN56" s="130"/>
      <c r="BO56" s="130"/>
      <c r="BP56" s="130"/>
      <c r="BQ56" s="130"/>
      <c r="BR56" s="130"/>
      <c r="BS56" s="130"/>
      <c r="BT56" s="130"/>
      <c r="BU56" s="130"/>
      <c r="BV56" s="130"/>
      <c r="BW56" s="130"/>
      <c r="BX56" s="130"/>
      <c r="BY56" s="130"/>
      <c r="BZ56" s="130"/>
      <c r="CA56" s="130"/>
      <c r="CB56" s="130"/>
      <c r="CC56" s="130"/>
      <c r="CD56" s="130"/>
      <c r="CE56" s="130"/>
      <c r="CF56" s="130"/>
      <c r="CG56" s="130"/>
      <c r="CH56" s="130"/>
      <c r="CI56" s="130"/>
      <c r="CJ56" s="130"/>
      <c r="CK56" s="130"/>
      <c r="CL56" s="130"/>
    </row>
    <row r="57" hidden="1" outlineLevel="1">
      <c r="A57" s="325" t="str">
        <f t="shared" ref="A57:A61" si="7">IF(E57="","",$C$3&amp;"."&amp;COUNTA($E$10:E57)&amp;"")</f>
        <v>TC_02.41</v>
      </c>
      <c r="B57" s="565" t="s">
        <v>77</v>
      </c>
      <c r="C57" s="566" t="s">
        <v>2889</v>
      </c>
      <c r="D57" s="566" t="s">
        <v>2890</v>
      </c>
      <c r="E57" s="566" t="s">
        <v>2891</v>
      </c>
      <c r="F57" s="561" t="s">
        <v>2892</v>
      </c>
      <c r="G57" s="265"/>
      <c r="H57" s="273"/>
      <c r="I57" s="273"/>
      <c r="J57" s="273"/>
      <c r="K57" s="273"/>
      <c r="L57" s="273"/>
      <c r="M57" s="273"/>
      <c r="N57" s="273"/>
      <c r="O57" s="273"/>
      <c r="P57" s="273"/>
      <c r="Q57" s="273"/>
      <c r="R57" s="273"/>
      <c r="S57" s="265"/>
      <c r="T57" s="273"/>
      <c r="U57" s="273"/>
      <c r="V57" s="273"/>
      <c r="W57" s="273"/>
      <c r="X57" s="273"/>
      <c r="Y57" s="273"/>
      <c r="Z57" s="273"/>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c r="BX57" s="145"/>
      <c r="BY57" s="145"/>
      <c r="BZ57" s="145"/>
      <c r="CA57" s="145"/>
      <c r="CB57" s="145"/>
      <c r="CC57" s="145"/>
      <c r="CD57" s="145"/>
      <c r="CE57" s="145"/>
      <c r="CF57" s="145"/>
      <c r="CG57" s="145"/>
      <c r="CH57" s="145"/>
      <c r="CI57" s="145"/>
      <c r="CJ57" s="145"/>
      <c r="CK57" s="145"/>
      <c r="CL57" s="145"/>
    </row>
    <row r="58" hidden="1" outlineLevel="1">
      <c r="A58" s="325" t="str">
        <f t="shared" si="7"/>
        <v>TC_02.42</v>
      </c>
      <c r="B58" s="565" t="s">
        <v>77</v>
      </c>
      <c r="C58" s="561" t="s">
        <v>2893</v>
      </c>
      <c r="D58" s="566" t="s">
        <v>2890</v>
      </c>
      <c r="E58" s="561" t="s">
        <v>2894</v>
      </c>
      <c r="F58" s="561" t="s">
        <v>2895</v>
      </c>
      <c r="G58" s="265"/>
      <c r="H58" s="273"/>
      <c r="I58" s="273"/>
      <c r="J58" s="273"/>
      <c r="K58" s="273"/>
      <c r="L58" s="273"/>
      <c r="M58" s="273"/>
      <c r="N58" s="273"/>
      <c r="O58" s="273"/>
      <c r="P58" s="273"/>
      <c r="Q58" s="273"/>
      <c r="R58" s="273"/>
      <c r="S58" s="265"/>
      <c r="T58" s="273"/>
      <c r="U58" s="273"/>
      <c r="V58" s="273"/>
      <c r="W58" s="273"/>
      <c r="X58" s="273"/>
      <c r="Y58" s="273"/>
      <c r="Z58" s="273"/>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c r="BC58" s="145"/>
      <c r="BD58" s="145"/>
      <c r="BE58" s="145"/>
      <c r="BF58" s="145"/>
      <c r="BG58" s="145"/>
      <c r="BH58" s="145"/>
      <c r="BI58" s="145"/>
      <c r="BJ58" s="145"/>
      <c r="BK58" s="145"/>
      <c r="BL58" s="145"/>
      <c r="BM58" s="145"/>
      <c r="BN58" s="145"/>
      <c r="BO58" s="145"/>
      <c r="BP58" s="145"/>
      <c r="BQ58" s="145"/>
      <c r="BR58" s="145"/>
      <c r="BS58" s="145"/>
      <c r="BT58" s="145"/>
      <c r="BU58" s="145"/>
      <c r="BV58" s="145"/>
      <c r="BW58" s="145"/>
      <c r="BX58" s="145"/>
      <c r="BY58" s="145"/>
      <c r="BZ58" s="145"/>
      <c r="CA58" s="145"/>
      <c r="CB58" s="145"/>
      <c r="CC58" s="145"/>
      <c r="CD58" s="145"/>
      <c r="CE58" s="145"/>
      <c r="CF58" s="145"/>
      <c r="CG58" s="145"/>
      <c r="CH58" s="145"/>
      <c r="CI58" s="145"/>
      <c r="CJ58" s="145"/>
      <c r="CK58" s="145"/>
      <c r="CL58" s="145"/>
    </row>
    <row r="59" hidden="1" outlineLevel="1">
      <c r="A59" s="325" t="str">
        <f t="shared" si="7"/>
        <v>TC_02.43</v>
      </c>
      <c r="B59" s="565" t="s">
        <v>77</v>
      </c>
      <c r="C59" s="561" t="s">
        <v>2896</v>
      </c>
      <c r="D59" s="561" t="s">
        <v>2897</v>
      </c>
      <c r="E59" s="566" t="s">
        <v>2882</v>
      </c>
      <c r="F59" s="561" t="s">
        <v>2898</v>
      </c>
      <c r="G59" s="265"/>
      <c r="H59" s="273"/>
      <c r="I59" s="273"/>
      <c r="J59" s="273"/>
      <c r="K59" s="273"/>
      <c r="L59" s="273"/>
      <c r="M59" s="273"/>
      <c r="N59" s="273"/>
      <c r="O59" s="273"/>
      <c r="P59" s="273"/>
      <c r="Q59" s="273"/>
      <c r="R59" s="273"/>
      <c r="S59" s="265"/>
      <c r="T59" s="273"/>
      <c r="U59" s="273"/>
      <c r="V59" s="273"/>
      <c r="W59" s="273"/>
      <c r="X59" s="273"/>
      <c r="Y59" s="273"/>
      <c r="Z59" s="273"/>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c r="BC59" s="145"/>
      <c r="BD59" s="145"/>
      <c r="BE59" s="145"/>
      <c r="BF59" s="145"/>
      <c r="BG59" s="145"/>
      <c r="BH59" s="145"/>
      <c r="BI59" s="145"/>
      <c r="BJ59" s="145"/>
      <c r="BK59" s="145"/>
      <c r="BL59" s="145"/>
      <c r="BM59" s="145"/>
      <c r="BN59" s="145"/>
      <c r="BO59" s="145"/>
      <c r="BP59" s="145"/>
      <c r="BQ59" s="145"/>
      <c r="BR59" s="145"/>
      <c r="BS59" s="145"/>
      <c r="BT59" s="145"/>
      <c r="BU59" s="145"/>
      <c r="BV59" s="145"/>
      <c r="BW59" s="145"/>
      <c r="BX59" s="145"/>
      <c r="BY59" s="145"/>
      <c r="BZ59" s="145"/>
      <c r="CA59" s="145"/>
      <c r="CB59" s="145"/>
      <c r="CC59" s="145"/>
      <c r="CD59" s="145"/>
      <c r="CE59" s="145"/>
      <c r="CF59" s="145"/>
      <c r="CG59" s="145"/>
      <c r="CH59" s="145"/>
      <c r="CI59" s="145"/>
      <c r="CJ59" s="145"/>
      <c r="CK59" s="145"/>
      <c r="CL59" s="145"/>
    </row>
    <row r="60" hidden="1" outlineLevel="1">
      <c r="A60" s="325" t="str">
        <f t="shared" si="7"/>
        <v>TC_02.44</v>
      </c>
      <c r="B60" s="565" t="s">
        <v>77</v>
      </c>
      <c r="C60" s="561" t="s">
        <v>2899</v>
      </c>
      <c r="D60" s="561" t="s">
        <v>2900</v>
      </c>
      <c r="E60" s="561" t="s">
        <v>2901</v>
      </c>
      <c r="F60" s="561" t="s">
        <v>2902</v>
      </c>
      <c r="G60" s="265"/>
      <c r="H60" s="273"/>
      <c r="I60" s="273"/>
      <c r="J60" s="273"/>
      <c r="K60" s="273"/>
      <c r="L60" s="273"/>
      <c r="M60" s="273"/>
      <c r="N60" s="273"/>
      <c r="O60" s="273"/>
      <c r="P60" s="273"/>
      <c r="Q60" s="273"/>
      <c r="R60" s="273"/>
      <c r="S60" s="265"/>
      <c r="T60" s="273"/>
      <c r="U60" s="273"/>
      <c r="V60" s="273"/>
      <c r="W60" s="273"/>
      <c r="X60" s="273"/>
      <c r="Y60" s="273"/>
      <c r="Z60" s="273"/>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c r="BC60" s="145"/>
      <c r="BD60" s="145"/>
      <c r="BE60" s="145"/>
      <c r="BF60" s="145"/>
      <c r="BG60" s="145"/>
      <c r="BH60" s="145"/>
      <c r="BI60" s="145"/>
      <c r="BJ60" s="145"/>
      <c r="BK60" s="145"/>
      <c r="BL60" s="145"/>
      <c r="BM60" s="145"/>
      <c r="BN60" s="145"/>
      <c r="BO60" s="145"/>
      <c r="BP60" s="145"/>
      <c r="BQ60" s="145"/>
      <c r="BR60" s="145"/>
      <c r="BS60" s="145"/>
      <c r="BT60" s="145"/>
      <c r="BU60" s="145"/>
      <c r="BV60" s="145"/>
      <c r="BW60" s="145"/>
      <c r="BX60" s="145"/>
      <c r="BY60" s="145"/>
      <c r="BZ60" s="145"/>
      <c r="CA60" s="145"/>
      <c r="CB60" s="145"/>
      <c r="CC60" s="145"/>
      <c r="CD60" s="145"/>
      <c r="CE60" s="145"/>
      <c r="CF60" s="145"/>
      <c r="CG60" s="145"/>
      <c r="CH60" s="145"/>
      <c r="CI60" s="145"/>
      <c r="CJ60" s="145"/>
      <c r="CK60" s="145"/>
      <c r="CL60" s="145"/>
    </row>
    <row r="61" hidden="1" outlineLevel="1">
      <c r="A61" s="325" t="str">
        <f t="shared" si="7"/>
        <v>TC_02.45</v>
      </c>
      <c r="B61" s="565" t="s">
        <v>77</v>
      </c>
      <c r="C61" s="561" t="s">
        <v>2903</v>
      </c>
      <c r="D61" s="561" t="s">
        <v>2900</v>
      </c>
      <c r="E61" s="561" t="s">
        <v>2904</v>
      </c>
      <c r="F61" s="561" t="s">
        <v>2905</v>
      </c>
      <c r="G61" s="265"/>
      <c r="H61" s="273"/>
      <c r="I61" s="273"/>
      <c r="J61" s="273"/>
      <c r="K61" s="273"/>
      <c r="L61" s="273"/>
      <c r="M61" s="273"/>
      <c r="N61" s="273"/>
      <c r="O61" s="273"/>
      <c r="P61" s="273"/>
      <c r="Q61" s="273"/>
      <c r="R61" s="273"/>
      <c r="S61" s="265"/>
      <c r="T61" s="273"/>
      <c r="U61" s="273"/>
      <c r="V61" s="273"/>
      <c r="W61" s="273"/>
      <c r="X61" s="273"/>
      <c r="Y61" s="273"/>
      <c r="Z61" s="273"/>
      <c r="AA61" s="145"/>
      <c r="AB61" s="145"/>
      <c r="AC61" s="145"/>
      <c r="AD61" s="145"/>
      <c r="AE61" s="145"/>
      <c r="AF61" s="145"/>
      <c r="AG61" s="145"/>
      <c r="AH61" s="145"/>
      <c r="AI61" s="145"/>
      <c r="AJ61" s="145"/>
      <c r="AK61" s="145"/>
      <c r="AL61" s="145"/>
      <c r="AM61" s="145"/>
      <c r="AN61" s="145"/>
      <c r="AO61" s="145"/>
      <c r="AP61" s="145"/>
      <c r="AQ61" s="145"/>
      <c r="AR61" s="145"/>
      <c r="AS61" s="145"/>
      <c r="AT61" s="145"/>
      <c r="AU61" s="145"/>
      <c r="AV61" s="145"/>
      <c r="AW61" s="145"/>
      <c r="AX61" s="145"/>
      <c r="AY61" s="145"/>
      <c r="AZ61" s="145"/>
      <c r="BA61" s="145"/>
      <c r="BB61" s="145"/>
      <c r="BC61" s="145"/>
      <c r="BD61" s="145"/>
      <c r="BE61" s="145"/>
      <c r="BF61" s="145"/>
      <c r="BG61" s="145"/>
      <c r="BH61" s="145"/>
      <c r="BI61" s="145"/>
      <c r="BJ61" s="145"/>
      <c r="BK61" s="145"/>
      <c r="BL61" s="145"/>
      <c r="BM61" s="145"/>
      <c r="BN61" s="145"/>
      <c r="BO61" s="145"/>
      <c r="BP61" s="145"/>
      <c r="BQ61" s="145"/>
      <c r="BR61" s="145"/>
      <c r="BS61" s="145"/>
      <c r="BT61" s="145"/>
      <c r="BU61" s="145"/>
      <c r="BV61" s="145"/>
      <c r="BW61" s="145"/>
      <c r="BX61" s="145"/>
      <c r="BY61" s="145"/>
      <c r="BZ61" s="145"/>
      <c r="CA61" s="145"/>
      <c r="CB61" s="145"/>
      <c r="CC61" s="145"/>
      <c r="CD61" s="145"/>
      <c r="CE61" s="145"/>
      <c r="CF61" s="145"/>
      <c r="CG61" s="145"/>
      <c r="CH61" s="145"/>
      <c r="CI61" s="145"/>
      <c r="CJ61" s="145"/>
      <c r="CK61" s="145"/>
      <c r="CL61" s="145"/>
    </row>
    <row r="62" collapsed="1">
      <c r="A62" s="570" t="s">
        <v>2906</v>
      </c>
      <c r="B62" s="148"/>
      <c r="C62" s="148"/>
      <c r="D62" s="148"/>
      <c r="E62" s="148"/>
      <c r="F62" s="171"/>
      <c r="G62" s="263"/>
      <c r="H62" s="263"/>
      <c r="I62" s="266"/>
      <c r="J62" s="266"/>
      <c r="K62" s="266"/>
      <c r="L62" s="266"/>
      <c r="M62" s="266"/>
      <c r="N62" s="266"/>
      <c r="O62" s="266"/>
      <c r="P62" s="266"/>
      <c r="Q62" s="266"/>
      <c r="R62" s="266"/>
      <c r="S62" s="263"/>
      <c r="T62" s="266"/>
      <c r="U62" s="266"/>
      <c r="V62" s="266"/>
      <c r="W62" s="266"/>
      <c r="X62" s="266"/>
      <c r="Y62" s="266"/>
      <c r="Z62" s="266"/>
      <c r="AA62" s="145"/>
      <c r="AB62" s="145"/>
      <c r="AC62" s="145"/>
      <c r="AD62" s="145"/>
      <c r="AE62" s="145"/>
      <c r="AF62" s="145"/>
      <c r="AG62" s="145"/>
      <c r="AH62" s="145"/>
      <c r="AI62" s="145"/>
      <c r="AJ62" s="145"/>
      <c r="AK62" s="145"/>
      <c r="AL62" s="145"/>
      <c r="AM62" s="145"/>
      <c r="AN62" s="145"/>
      <c r="AO62" s="145"/>
      <c r="AP62" s="145"/>
      <c r="AQ62" s="145"/>
      <c r="AR62" s="145"/>
      <c r="AS62" s="145"/>
      <c r="AT62" s="145"/>
      <c r="AU62" s="145"/>
      <c r="AV62" s="145"/>
      <c r="AW62" s="145"/>
      <c r="AX62" s="145"/>
      <c r="AY62" s="145"/>
      <c r="AZ62" s="145"/>
      <c r="BA62" s="145"/>
      <c r="BB62" s="145"/>
      <c r="BC62" s="145"/>
      <c r="BD62" s="145"/>
      <c r="BE62" s="145"/>
      <c r="BF62" s="145"/>
      <c r="BG62" s="145"/>
      <c r="BH62" s="145"/>
      <c r="BI62" s="145"/>
      <c r="BJ62" s="145"/>
      <c r="BK62" s="145"/>
      <c r="BL62" s="145"/>
      <c r="BM62" s="145"/>
      <c r="BN62" s="145"/>
      <c r="BO62" s="145"/>
      <c r="BP62" s="145"/>
      <c r="BQ62" s="145"/>
      <c r="BR62" s="145"/>
      <c r="BS62" s="145"/>
      <c r="BT62" s="145"/>
      <c r="BU62" s="145"/>
      <c r="BV62" s="145"/>
      <c r="BW62" s="145"/>
      <c r="BX62" s="145"/>
      <c r="BY62" s="145"/>
      <c r="BZ62" s="145"/>
      <c r="CA62" s="145"/>
      <c r="CB62" s="145"/>
      <c r="CC62" s="145"/>
      <c r="CD62" s="145"/>
      <c r="CE62" s="145"/>
      <c r="CF62" s="145"/>
      <c r="CG62" s="145"/>
      <c r="CH62" s="145"/>
      <c r="CI62" s="145"/>
      <c r="CJ62" s="145"/>
      <c r="CK62" s="145"/>
      <c r="CL62" s="145"/>
    </row>
    <row r="63" hidden="1" outlineLevel="1">
      <c r="A63" s="158" t="str">
        <f t="shared" ref="A63:A65" si="8">IF(E63="","",$C$3&amp;"."&amp;COUNTA($E$8:E63)&amp;"")</f>
        <v>TC_02.46</v>
      </c>
      <c r="B63" s="267" t="s">
        <v>73</v>
      </c>
      <c r="C63" s="265" t="s">
        <v>2740</v>
      </c>
      <c r="D63" s="265" t="s">
        <v>2741</v>
      </c>
      <c r="E63" s="375" t="s">
        <v>2742</v>
      </c>
      <c r="F63" s="265" t="s">
        <v>2743</v>
      </c>
      <c r="G63" s="263"/>
      <c r="H63" s="263"/>
      <c r="I63" s="266"/>
      <c r="J63" s="266"/>
      <c r="K63" s="266"/>
      <c r="L63" s="266"/>
      <c r="M63" s="266"/>
      <c r="N63" s="266"/>
      <c r="O63" s="266"/>
      <c r="P63" s="266"/>
      <c r="Q63" s="266"/>
      <c r="R63" s="266"/>
      <c r="S63" s="263"/>
      <c r="T63" s="266"/>
      <c r="U63" s="266"/>
      <c r="V63" s="266"/>
      <c r="W63" s="266"/>
      <c r="X63" s="266"/>
      <c r="Y63" s="266"/>
      <c r="Z63" s="266"/>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45"/>
      <c r="AY63" s="145"/>
      <c r="AZ63" s="145"/>
      <c r="BA63" s="145"/>
      <c r="BB63" s="145"/>
      <c r="BC63" s="145"/>
      <c r="BD63" s="145"/>
      <c r="BE63" s="145"/>
      <c r="BF63" s="145"/>
      <c r="BG63" s="145"/>
      <c r="BH63" s="145"/>
      <c r="BI63" s="145"/>
      <c r="BJ63" s="145"/>
      <c r="BK63" s="145"/>
      <c r="BL63" s="145"/>
      <c r="BM63" s="145"/>
      <c r="BN63" s="145"/>
      <c r="BO63" s="145"/>
      <c r="BP63" s="145"/>
      <c r="BQ63" s="145"/>
      <c r="BR63" s="145"/>
      <c r="BS63" s="145"/>
      <c r="BT63" s="145"/>
      <c r="BU63" s="145"/>
      <c r="BV63" s="145"/>
      <c r="BW63" s="145"/>
      <c r="BX63" s="145"/>
      <c r="BY63" s="145"/>
      <c r="BZ63" s="145"/>
      <c r="CA63" s="145"/>
      <c r="CB63" s="145"/>
      <c r="CC63" s="145"/>
      <c r="CD63" s="145"/>
      <c r="CE63" s="145"/>
      <c r="CF63" s="145"/>
      <c r="CG63" s="145"/>
      <c r="CH63" s="145"/>
      <c r="CI63" s="145"/>
      <c r="CJ63" s="145"/>
      <c r="CK63" s="145"/>
      <c r="CL63" s="145"/>
    </row>
    <row r="64" hidden="1" outlineLevel="1">
      <c r="A64" s="158" t="str">
        <f t="shared" si="8"/>
        <v>TC_02.47</v>
      </c>
      <c r="B64" s="267" t="s">
        <v>75</v>
      </c>
      <c r="C64" s="265" t="s">
        <v>2744</v>
      </c>
      <c r="D64" s="265" t="s">
        <v>2168</v>
      </c>
      <c r="E64" s="265" t="s">
        <v>2745</v>
      </c>
      <c r="F64" s="265" t="s">
        <v>2746</v>
      </c>
      <c r="G64" s="263"/>
      <c r="H64" s="263"/>
      <c r="I64" s="266"/>
      <c r="J64" s="266"/>
      <c r="K64" s="266"/>
      <c r="L64" s="266"/>
      <c r="M64" s="266"/>
      <c r="N64" s="266"/>
      <c r="O64" s="266"/>
      <c r="P64" s="266"/>
      <c r="Q64" s="266"/>
      <c r="R64" s="266"/>
      <c r="S64" s="263"/>
      <c r="T64" s="266"/>
      <c r="U64" s="266"/>
      <c r="V64" s="266"/>
      <c r="W64" s="266"/>
      <c r="X64" s="266"/>
      <c r="Y64" s="266"/>
      <c r="Z64" s="266"/>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5"/>
      <c r="BA64" s="145"/>
      <c r="BB64" s="145"/>
      <c r="BC64" s="145"/>
      <c r="BD64" s="145"/>
      <c r="BE64" s="145"/>
      <c r="BF64" s="145"/>
      <c r="BG64" s="145"/>
      <c r="BH64" s="145"/>
      <c r="BI64" s="145"/>
      <c r="BJ64" s="145"/>
      <c r="BK64" s="145"/>
      <c r="BL64" s="145"/>
      <c r="BM64" s="145"/>
      <c r="BN64" s="145"/>
      <c r="BO64" s="145"/>
      <c r="BP64" s="145"/>
      <c r="BQ64" s="145"/>
      <c r="BR64" s="145"/>
      <c r="BS64" s="145"/>
      <c r="BT64" s="145"/>
      <c r="BU64" s="145"/>
      <c r="BV64" s="145"/>
      <c r="BW64" s="145"/>
      <c r="BX64" s="145"/>
      <c r="BY64" s="145"/>
      <c r="BZ64" s="145"/>
      <c r="CA64" s="145"/>
      <c r="CB64" s="145"/>
      <c r="CC64" s="145"/>
      <c r="CD64" s="145"/>
      <c r="CE64" s="145"/>
      <c r="CF64" s="145"/>
      <c r="CG64" s="145"/>
      <c r="CH64" s="145"/>
      <c r="CI64" s="145"/>
      <c r="CJ64" s="145"/>
      <c r="CK64" s="145"/>
      <c r="CL64" s="145"/>
    </row>
    <row r="65" hidden="1" outlineLevel="1">
      <c r="A65" s="158" t="str">
        <f t="shared" si="8"/>
        <v>TC_02.48</v>
      </c>
      <c r="B65" s="267" t="s">
        <v>77</v>
      </c>
      <c r="C65" s="265" t="s">
        <v>2747</v>
      </c>
      <c r="D65" s="265" t="s">
        <v>2748</v>
      </c>
      <c r="E65" s="265" t="s">
        <v>2749</v>
      </c>
      <c r="F65" s="265" t="s">
        <v>2750</v>
      </c>
      <c r="G65" s="263"/>
      <c r="H65" s="263"/>
      <c r="I65" s="266"/>
      <c r="J65" s="266"/>
      <c r="K65" s="266"/>
      <c r="L65" s="266"/>
      <c r="M65" s="266"/>
      <c r="N65" s="266"/>
      <c r="O65" s="266"/>
      <c r="P65" s="266"/>
      <c r="Q65" s="266"/>
      <c r="R65" s="266"/>
      <c r="S65" s="263"/>
      <c r="T65" s="266"/>
      <c r="U65" s="266"/>
      <c r="V65" s="266"/>
      <c r="W65" s="266"/>
      <c r="X65" s="266"/>
      <c r="Y65" s="266"/>
      <c r="Z65" s="266"/>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45"/>
      <c r="AX65" s="145"/>
      <c r="AY65" s="145"/>
      <c r="AZ65" s="145"/>
      <c r="BA65" s="145"/>
      <c r="BB65" s="145"/>
      <c r="BC65" s="145"/>
      <c r="BD65" s="145"/>
      <c r="BE65" s="145"/>
      <c r="BF65" s="145"/>
      <c r="BG65" s="145"/>
      <c r="BH65" s="145"/>
      <c r="BI65" s="145"/>
      <c r="BJ65" s="145"/>
      <c r="BK65" s="145"/>
      <c r="BL65" s="145"/>
      <c r="BM65" s="145"/>
      <c r="BN65" s="145"/>
      <c r="BO65" s="145"/>
      <c r="BP65" s="145"/>
      <c r="BQ65" s="145"/>
      <c r="BR65" s="145"/>
      <c r="BS65" s="145"/>
      <c r="BT65" s="145"/>
      <c r="BU65" s="145"/>
      <c r="BV65" s="145"/>
      <c r="BW65" s="145"/>
      <c r="BX65" s="145"/>
      <c r="BY65" s="145"/>
      <c r="BZ65" s="145"/>
      <c r="CA65" s="145"/>
      <c r="CB65" s="145"/>
      <c r="CC65" s="145"/>
      <c r="CD65" s="145"/>
      <c r="CE65" s="145"/>
      <c r="CF65" s="145"/>
      <c r="CG65" s="145"/>
      <c r="CH65" s="145"/>
      <c r="CI65" s="145"/>
      <c r="CJ65" s="145"/>
      <c r="CK65" s="145"/>
      <c r="CL65" s="145"/>
    </row>
    <row r="66">
      <c r="A66" s="325"/>
      <c r="B66" s="372"/>
      <c r="C66" s="351"/>
      <c r="D66" s="587"/>
      <c r="E66" s="345"/>
      <c r="F66" s="345"/>
      <c r="G66" s="480"/>
      <c r="H66" s="44"/>
      <c r="I66" s="331"/>
      <c r="J66" s="331"/>
      <c r="K66" s="465"/>
      <c r="L66" s="465"/>
      <c r="M66" s="465"/>
      <c r="N66" s="465"/>
      <c r="O66" s="465"/>
      <c r="P66" s="465"/>
      <c r="Q66" s="465"/>
      <c r="R66" s="465"/>
      <c r="S66" s="466"/>
      <c r="T66" s="465"/>
      <c r="U66" s="465"/>
      <c r="V66" s="46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45"/>
      <c r="BD66" s="145"/>
      <c r="BE66" s="145"/>
      <c r="BF66" s="145"/>
      <c r="BG66" s="145"/>
      <c r="BH66" s="145"/>
      <c r="BI66" s="145"/>
      <c r="BJ66" s="145"/>
      <c r="BK66" s="145"/>
      <c r="BL66" s="145"/>
      <c r="BM66" s="145"/>
      <c r="BN66" s="145"/>
      <c r="BO66" s="145"/>
      <c r="BP66" s="145"/>
      <c r="BQ66" s="145"/>
      <c r="BR66" s="145"/>
      <c r="BS66" s="145"/>
      <c r="BT66" s="145"/>
      <c r="BU66" s="145"/>
      <c r="BV66" s="145"/>
      <c r="BW66" s="145"/>
      <c r="BX66" s="145"/>
      <c r="BY66" s="145"/>
      <c r="BZ66" s="145"/>
      <c r="CA66" s="145"/>
      <c r="CB66" s="145"/>
      <c r="CC66" s="145"/>
      <c r="CD66" s="145"/>
      <c r="CE66" s="145"/>
      <c r="CF66" s="145"/>
      <c r="CG66" s="145"/>
      <c r="CH66" s="145"/>
      <c r="CI66" s="145"/>
      <c r="CJ66" s="145"/>
      <c r="CK66" s="145"/>
      <c r="CL66" s="145"/>
    </row>
  </sheetData>
  <autoFilter ref="$G$1:$J$66"/>
  <mergeCells count="24">
    <mergeCell ref="C7:C8"/>
    <mergeCell ref="D7:D8"/>
    <mergeCell ref="F7:F8"/>
    <mergeCell ref="G7:J7"/>
    <mergeCell ref="K7:N7"/>
    <mergeCell ref="O7:R7"/>
    <mergeCell ref="S7:V7"/>
    <mergeCell ref="B2:E2"/>
    <mergeCell ref="A3:B3"/>
    <mergeCell ref="C3:D3"/>
    <mergeCell ref="A4:B4"/>
    <mergeCell ref="C4:D4"/>
    <mergeCell ref="A7:A8"/>
    <mergeCell ref="B7:B8"/>
    <mergeCell ref="A52:F52"/>
    <mergeCell ref="A56:F56"/>
    <mergeCell ref="A62:F62"/>
    <mergeCell ref="E7:E8"/>
    <mergeCell ref="A9:F9"/>
    <mergeCell ref="A15:F15"/>
    <mergeCell ref="A17:F17"/>
    <mergeCell ref="A32:F32"/>
    <mergeCell ref="A41:F41"/>
    <mergeCell ref="A47:F47"/>
  </mergeCells>
  <conditionalFormatting sqref="G9:G18 K9:K66 O9:O66 S9:S66 G23:G50 W23:W50 AA23:AA50 AE23:AE50 AI23:AI50 AM23:AM50 AQ23:AQ50 AU23:AU50 AY23:AY50 G62:G65">
    <cfRule type="cellIs" dxfId="0" priority="1" operator="equal">
      <formula>"Block"</formula>
    </cfRule>
  </conditionalFormatting>
  <conditionalFormatting sqref="G9:G18 K9:K66 O9:O66 S9:S66 G23:G50 W23:W50 AA23:AA50 AE23:AE50 AI23:AI50 AM23:AM50 AQ23:AQ50 AU23:AU50 AY23:AY50 G62:G65">
    <cfRule type="cellIs" dxfId="1" priority="2" operator="equal">
      <formula>"Fail"</formula>
    </cfRule>
  </conditionalFormatting>
  <conditionalFormatting sqref="G9:G18 K9:K66 O9:O66 S9:S66 G23:G50 W23:W50 AA23:AA50 AE23:AE50 AI23:AI50 AM23:AM50 AQ23:AQ50 AU23:AU50 AY23:AY50 G62:G65">
    <cfRule type="cellIs" dxfId="2" priority="3" operator="equal">
      <formula>"Pass"</formula>
    </cfRule>
  </conditionalFormatting>
  <conditionalFormatting sqref="G9:G18 K9:K66 O9:O66 S9:S66 G23:G50 W23:W50 AA23:AA50 AE23:AE50 AI23:AI50 AM23:AM50 AQ23:AQ50 AU23:AU50 AY23:AY50 G62:G65">
    <cfRule type="cellIs" dxfId="3" priority="4" operator="equal">
      <formula>"N/A"</formula>
    </cfRule>
  </conditionalFormatting>
  <conditionalFormatting sqref="G9:G66 K9:K66 O9:O66 S9:S66">
    <cfRule type="cellIs" dxfId="4" priority="5" operator="equal">
      <formula>"Block"</formula>
    </cfRule>
  </conditionalFormatting>
  <conditionalFormatting sqref="G9:G66 K9:K66 O9:O66 S9:S66">
    <cfRule type="cellIs" dxfId="5" priority="6" operator="equal">
      <formula>"Fail"</formula>
    </cfRule>
  </conditionalFormatting>
  <conditionalFormatting sqref="G9:G66 K9:K66 O9:O66 S9:S66">
    <cfRule type="cellIs" dxfId="6" priority="7" operator="equal">
      <formula>"Pass"</formula>
    </cfRule>
  </conditionalFormatting>
  <conditionalFormatting sqref="G9:G66 K9:K66 O9:O66 S9:S66">
    <cfRule type="cellIs" dxfId="7" priority="8" operator="equal">
      <formula>"N/A"</formula>
    </cfRule>
  </conditionalFormatting>
  <conditionalFormatting sqref="G42:G50">
    <cfRule type="cellIs" dxfId="4" priority="9" operator="equal">
      <formula>"Block"</formula>
    </cfRule>
  </conditionalFormatting>
  <conditionalFormatting sqref="G42:G50">
    <cfRule type="cellIs" dxfId="5" priority="10" operator="equal">
      <formula>"Fail"</formula>
    </cfRule>
  </conditionalFormatting>
  <conditionalFormatting sqref="G42:G50">
    <cfRule type="cellIs" dxfId="6" priority="11" operator="equal">
      <formula>"Pass"</formula>
    </cfRule>
  </conditionalFormatting>
  <conditionalFormatting sqref="G42:G50">
    <cfRule type="cellIs" dxfId="7" priority="12" operator="equal">
      <formula>"N/A"</formula>
    </cfRule>
  </conditionalFormatting>
  <conditionalFormatting sqref="G9:G66 K9:K66 O9:O66 S9:S66">
    <cfRule type="cellIs" dxfId="0" priority="13" operator="equal">
      <formula>"Block"</formula>
    </cfRule>
  </conditionalFormatting>
  <conditionalFormatting sqref="G9:G66 K9:K66 O9:O66 S9:S66">
    <cfRule type="cellIs" dxfId="1" priority="14" operator="equal">
      <formula>"Fail"</formula>
    </cfRule>
  </conditionalFormatting>
  <conditionalFormatting sqref="G9:G66 K9:K66 O9:O66 S9:S66">
    <cfRule type="cellIs" dxfId="2" priority="15" operator="equal">
      <formula>"Pass"</formula>
    </cfRule>
  </conditionalFormatting>
  <conditionalFormatting sqref="G9:G66 K9:K66 O9:O66 S9:S66">
    <cfRule type="cellIs" dxfId="3" priority="16" operator="equal">
      <formula>"N/A"</formula>
    </cfRule>
  </conditionalFormatting>
  <dataValidations>
    <dataValidation type="list" allowBlank="1" showErrorMessage="1" sqref="W23:W31 AA23:AA31 AE23:AE31 AI23:AI31 AM23:AM31 AQ23:AQ31 AU23:AU31 AY23:AY31 W33:W38 AA33:AA38 AE33:AE38 AI33:AI38 AM33:AM38 AQ33:AQ38 AU33:AU38 AY33:AY38 W40 AA40 AE40 AI40 AM40 W43:W50 AA43:AA50 AE43:AE50 AI43:AI50 AM43:AM50 AQ43:AQ50 AU43:AU50 AY43:AY50 G9:G66 K9:K66 O9:O66 S9:S66">
      <formula1>"Pass,Fail,Block,N/A"</formula1>
    </dataValidation>
    <dataValidation type="list" allowBlank="1" showErrorMessage="1" sqref="B10:B13 B16 B18 B21 B23:B31 B33:B38 B43:B46 B48:B51 B53:B55 B57:B61 B63:B66">
      <formula1>"High,Medium,Low"</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2" width="11.38"/>
    <col customWidth="1" min="3" max="3" width="10.88"/>
    <col customWidth="1" min="4" max="4" width="35.5"/>
    <col customWidth="1" min="5" max="5" width="17.63"/>
    <col customWidth="1" min="6" max="6" width="40.38"/>
    <col customWidth="1" min="7" max="7" width="53.38"/>
    <col customWidth="1" min="8" max="8" width="8.38"/>
    <col customWidth="1" min="9" max="9" width="12.25"/>
    <col customWidth="1" min="10" max="10" width="13.5"/>
    <col customWidth="1" min="11" max="11" width="14.88"/>
    <col customWidth="1" min="12" max="91" width="8.38"/>
  </cols>
  <sheetData>
    <row r="1" outlineLevel="1">
      <c r="A1" s="588"/>
      <c r="B1" s="233"/>
      <c r="C1" s="234"/>
      <c r="D1" s="304"/>
      <c r="E1" s="235"/>
      <c r="F1" s="236"/>
      <c r="G1" s="237"/>
      <c r="H1" s="234"/>
      <c r="I1" s="240"/>
      <c r="J1" s="240"/>
      <c r="K1" s="241"/>
      <c r="L1" s="234"/>
      <c r="M1" s="240"/>
      <c r="N1" s="240"/>
      <c r="O1" s="241"/>
      <c r="P1" s="234"/>
      <c r="Q1" s="240"/>
      <c r="R1" s="240"/>
      <c r="S1" s="241"/>
      <c r="T1" s="234"/>
      <c r="U1" s="240"/>
      <c r="V1" s="240"/>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row>
    <row r="2" outlineLevel="1">
      <c r="A2" s="588"/>
      <c r="B2" s="242"/>
      <c r="C2" s="243"/>
      <c r="D2" s="182"/>
      <c r="E2" s="182"/>
      <c r="F2" s="182"/>
      <c r="G2" s="244"/>
      <c r="H2" s="234"/>
      <c r="I2" s="240"/>
      <c r="J2" s="240"/>
      <c r="K2" s="241"/>
      <c r="L2" s="234"/>
      <c r="M2" s="240"/>
      <c r="N2" s="240"/>
      <c r="O2" s="241"/>
      <c r="P2" s="234"/>
      <c r="Q2" s="240"/>
      <c r="R2" s="240"/>
      <c r="S2" s="241"/>
      <c r="T2" s="234"/>
      <c r="U2" s="240"/>
      <c r="V2" s="240"/>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row>
    <row r="3" outlineLevel="1">
      <c r="A3" s="245"/>
      <c r="B3" s="246" t="s">
        <v>122</v>
      </c>
      <c r="C3" s="122"/>
      <c r="D3" s="250" t="s">
        <v>115</v>
      </c>
      <c r="E3" s="122"/>
      <c r="F3" s="248"/>
      <c r="G3" s="249"/>
      <c r="H3" s="234"/>
      <c r="I3" s="240"/>
      <c r="J3" s="240"/>
      <c r="K3" s="248"/>
      <c r="L3" s="234"/>
      <c r="M3" s="240"/>
      <c r="N3" s="240"/>
      <c r="O3" s="248"/>
      <c r="P3" s="234"/>
      <c r="Q3" s="240"/>
      <c r="R3" s="240"/>
      <c r="S3" s="248"/>
      <c r="T3" s="234"/>
      <c r="U3" s="240"/>
      <c r="V3" s="240"/>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8"/>
      <c r="AV3" s="248"/>
      <c r="AW3" s="248"/>
      <c r="AX3" s="248"/>
      <c r="AY3" s="248"/>
      <c r="AZ3" s="248"/>
      <c r="BA3" s="248"/>
      <c r="BB3" s="248"/>
      <c r="BC3" s="248"/>
      <c r="BD3" s="248"/>
      <c r="BE3" s="248"/>
      <c r="BF3" s="248"/>
      <c r="BG3" s="248"/>
      <c r="BH3" s="248"/>
      <c r="BI3" s="248"/>
      <c r="BJ3" s="248"/>
      <c r="BK3" s="248"/>
      <c r="BL3" s="248"/>
      <c r="BM3" s="248"/>
      <c r="BN3" s="248"/>
      <c r="BO3" s="248"/>
      <c r="BP3" s="248"/>
      <c r="BQ3" s="248"/>
      <c r="BR3" s="248"/>
      <c r="BS3" s="248"/>
      <c r="BT3" s="248"/>
      <c r="BU3" s="248"/>
      <c r="BV3" s="248"/>
      <c r="BW3" s="248"/>
      <c r="BX3" s="248"/>
      <c r="BY3" s="248"/>
      <c r="BZ3" s="248"/>
      <c r="CA3" s="248"/>
      <c r="CB3" s="248"/>
      <c r="CC3" s="248"/>
      <c r="CD3" s="248"/>
      <c r="CE3" s="248"/>
      <c r="CF3" s="248"/>
      <c r="CG3" s="248"/>
      <c r="CH3" s="248"/>
      <c r="CI3" s="248"/>
      <c r="CJ3" s="248"/>
      <c r="CK3" s="248"/>
      <c r="CL3" s="248"/>
      <c r="CM3" s="248"/>
    </row>
    <row r="4" outlineLevel="1">
      <c r="A4" s="245"/>
      <c r="B4" s="246" t="s">
        <v>123</v>
      </c>
      <c r="C4" s="122"/>
      <c r="D4" s="250" t="s">
        <v>2751</v>
      </c>
      <c r="E4" s="122"/>
      <c r="F4" s="248"/>
      <c r="G4" s="249"/>
      <c r="H4" s="234"/>
      <c r="I4" s="240"/>
      <c r="J4" s="240"/>
      <c r="K4" s="248"/>
      <c r="L4" s="234"/>
      <c r="M4" s="240"/>
      <c r="N4" s="240"/>
      <c r="O4" s="248"/>
      <c r="P4" s="234"/>
      <c r="Q4" s="240"/>
      <c r="R4" s="240"/>
      <c r="S4" s="248"/>
      <c r="T4" s="234"/>
      <c r="U4" s="240"/>
      <c r="V4" s="240"/>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8"/>
      <c r="BR4" s="248"/>
      <c r="BS4" s="248"/>
      <c r="BT4" s="248"/>
      <c r="BU4" s="248"/>
      <c r="BV4" s="248"/>
      <c r="BW4" s="248"/>
      <c r="BX4" s="248"/>
      <c r="BY4" s="248"/>
      <c r="BZ4" s="248"/>
      <c r="CA4" s="248"/>
      <c r="CB4" s="248"/>
      <c r="CC4" s="248"/>
      <c r="CD4" s="248"/>
      <c r="CE4" s="248"/>
      <c r="CF4" s="248"/>
      <c r="CG4" s="248"/>
      <c r="CH4" s="248"/>
      <c r="CI4" s="248"/>
      <c r="CJ4" s="248"/>
      <c r="CK4" s="248"/>
      <c r="CL4" s="248"/>
      <c r="CM4" s="248"/>
    </row>
    <row r="5" outlineLevel="1">
      <c r="A5" s="588"/>
      <c r="B5" s="251"/>
      <c r="C5" s="251"/>
      <c r="D5" s="251"/>
      <c r="E5" s="251"/>
      <c r="F5" s="252"/>
      <c r="G5" s="253"/>
      <c r="H5" s="234"/>
      <c r="I5" s="240"/>
      <c r="J5" s="240"/>
      <c r="K5" s="241"/>
      <c r="L5" s="234"/>
      <c r="M5" s="240"/>
      <c r="N5" s="240"/>
      <c r="O5" s="241"/>
      <c r="P5" s="234"/>
      <c r="Q5" s="240"/>
      <c r="R5" s="240"/>
      <c r="S5" s="241"/>
      <c r="T5" s="234"/>
      <c r="U5" s="240"/>
      <c r="V5" s="240"/>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c r="BH5" s="241"/>
      <c r="BI5" s="241"/>
      <c r="BJ5" s="241"/>
      <c r="BK5" s="241"/>
      <c r="BL5" s="241"/>
      <c r="BM5" s="241"/>
      <c r="BN5" s="241"/>
      <c r="BO5" s="241"/>
      <c r="BP5" s="241"/>
      <c r="BQ5" s="241"/>
      <c r="BR5" s="241"/>
      <c r="BS5" s="241"/>
      <c r="BT5" s="241"/>
      <c r="BU5" s="241"/>
      <c r="BV5" s="241"/>
      <c r="BW5" s="241"/>
      <c r="BX5" s="241"/>
      <c r="BY5" s="241"/>
      <c r="BZ5" s="241"/>
      <c r="CA5" s="241"/>
      <c r="CB5" s="241"/>
      <c r="CC5" s="241"/>
      <c r="CD5" s="241"/>
      <c r="CE5" s="241"/>
      <c r="CF5" s="241"/>
      <c r="CG5" s="241"/>
      <c r="CH5" s="241"/>
      <c r="CI5" s="241"/>
      <c r="CJ5" s="241"/>
      <c r="CK5" s="241"/>
      <c r="CL5" s="241"/>
      <c r="CM5" s="241"/>
    </row>
    <row r="6" outlineLevel="1">
      <c r="A6" s="588"/>
      <c r="B6" s="254"/>
      <c r="C6" s="254"/>
      <c r="D6" s="254"/>
      <c r="E6" s="254"/>
      <c r="F6" s="255"/>
      <c r="G6" s="253"/>
      <c r="H6" s="234"/>
      <c r="I6" s="240"/>
      <c r="J6" s="240"/>
      <c r="K6" s="241"/>
      <c r="L6" s="234"/>
      <c r="M6" s="240"/>
      <c r="N6" s="240"/>
      <c r="O6" s="241"/>
      <c r="P6" s="234"/>
      <c r="Q6" s="240"/>
      <c r="R6" s="240"/>
      <c r="S6" s="241"/>
      <c r="T6" s="234"/>
      <c r="U6" s="240"/>
      <c r="V6" s="240"/>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1"/>
      <c r="BK6" s="241"/>
      <c r="BL6" s="241"/>
      <c r="BM6" s="241"/>
      <c r="BN6" s="241"/>
      <c r="BO6" s="241"/>
      <c r="BP6" s="241"/>
      <c r="BQ6" s="241"/>
      <c r="BR6" s="241"/>
      <c r="BS6" s="241"/>
      <c r="BT6" s="241"/>
      <c r="BU6" s="241"/>
      <c r="BV6" s="241"/>
      <c r="BW6" s="241"/>
      <c r="BX6" s="241"/>
      <c r="BY6" s="241"/>
      <c r="BZ6" s="241"/>
      <c r="CA6" s="241"/>
      <c r="CB6" s="241"/>
      <c r="CC6" s="241"/>
      <c r="CD6" s="241"/>
      <c r="CE6" s="241"/>
      <c r="CF6" s="241"/>
      <c r="CG6" s="241"/>
      <c r="CH6" s="241"/>
      <c r="CI6" s="241"/>
      <c r="CJ6" s="241"/>
      <c r="CK6" s="241"/>
      <c r="CL6" s="241"/>
      <c r="CM6" s="241"/>
    </row>
    <row r="7">
      <c r="A7" s="256" t="s">
        <v>125</v>
      </c>
      <c r="B7" s="146" t="s">
        <v>126</v>
      </c>
      <c r="C7" s="146" t="s">
        <v>127</v>
      </c>
      <c r="D7" s="146" t="s">
        <v>128</v>
      </c>
      <c r="E7" s="146" t="s">
        <v>129</v>
      </c>
      <c r="F7" s="146" t="s">
        <v>130</v>
      </c>
      <c r="G7" s="311" t="s">
        <v>131</v>
      </c>
      <c r="H7" s="312" t="str">
        <f>Summary!G8</f>
        <v>Round 1 (09/04/2026 - 15/04/2026)</v>
      </c>
      <c r="I7" s="313"/>
      <c r="J7" s="313"/>
      <c r="K7" s="314"/>
      <c r="L7" s="312" t="str">
        <f>Summary!L8</f>
        <v>Round 2 (dd/mm/yyyy - dd/mm/yyyy)</v>
      </c>
      <c r="M7" s="313"/>
      <c r="N7" s="313"/>
      <c r="O7" s="314"/>
      <c r="P7" s="315" t="str">
        <f>Summary!Q8</f>
        <v>Round 3(dd/mm/yyyy - dd/mm/yyyy)</v>
      </c>
      <c r="Q7" s="148"/>
      <c r="R7" s="148"/>
      <c r="S7" s="171"/>
      <c r="T7" s="315" t="str">
        <f>Summary!V8</f>
        <v>Round 4 (dd/mm/yyyy - dd/mm/yyyy)</v>
      </c>
      <c r="U7" s="148"/>
      <c r="V7" s="148"/>
      <c r="W7" s="171"/>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c r="BO7" s="316"/>
      <c r="BP7" s="316"/>
      <c r="BQ7" s="316"/>
      <c r="BR7" s="316"/>
      <c r="BS7" s="316"/>
      <c r="BT7" s="316"/>
      <c r="BU7" s="316"/>
      <c r="BV7" s="316"/>
      <c r="BW7" s="316"/>
      <c r="BX7" s="316"/>
      <c r="BY7" s="316"/>
      <c r="BZ7" s="316"/>
      <c r="CA7" s="316"/>
      <c r="CB7" s="316"/>
      <c r="CC7" s="316"/>
      <c r="CD7" s="316"/>
      <c r="CE7" s="316"/>
      <c r="CF7" s="316"/>
      <c r="CG7" s="316"/>
      <c r="CH7" s="316"/>
      <c r="CI7" s="316"/>
      <c r="CJ7" s="316"/>
      <c r="CK7" s="316"/>
      <c r="CL7" s="316"/>
      <c r="CM7" s="316"/>
    </row>
    <row r="8">
      <c r="A8" s="56"/>
      <c r="B8" s="56"/>
      <c r="C8" s="56"/>
      <c r="D8" s="56"/>
      <c r="E8" s="56"/>
      <c r="F8" s="56"/>
      <c r="G8" s="56"/>
      <c r="H8" s="317" t="s">
        <v>132</v>
      </c>
      <c r="I8" s="317" t="s">
        <v>133</v>
      </c>
      <c r="J8" s="317" t="s">
        <v>134</v>
      </c>
      <c r="K8" s="317" t="s">
        <v>135</v>
      </c>
      <c r="L8" s="317" t="s">
        <v>132</v>
      </c>
      <c r="M8" s="317" t="s">
        <v>133</v>
      </c>
      <c r="N8" s="317" t="s">
        <v>134</v>
      </c>
      <c r="O8" s="317" t="s">
        <v>135</v>
      </c>
      <c r="P8" s="317" t="s">
        <v>132</v>
      </c>
      <c r="Q8" s="317" t="s">
        <v>133</v>
      </c>
      <c r="R8" s="317" t="s">
        <v>134</v>
      </c>
      <c r="S8" s="317" t="s">
        <v>135</v>
      </c>
      <c r="T8" s="317" t="s">
        <v>132</v>
      </c>
      <c r="U8" s="317" t="s">
        <v>133</v>
      </c>
      <c r="V8" s="317" t="s">
        <v>134</v>
      </c>
      <c r="W8" s="317" t="s">
        <v>135</v>
      </c>
      <c r="X8" s="316"/>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6"/>
      <c r="BK8" s="316"/>
      <c r="BL8" s="316"/>
      <c r="BM8" s="316"/>
      <c r="BN8" s="316"/>
      <c r="BO8" s="316"/>
      <c r="BP8" s="316"/>
      <c r="BQ8" s="316"/>
      <c r="BR8" s="316"/>
      <c r="BS8" s="316"/>
      <c r="BT8" s="316"/>
      <c r="BU8" s="316"/>
      <c r="BV8" s="316"/>
      <c r="BW8" s="316"/>
      <c r="BX8" s="316"/>
      <c r="BY8" s="316"/>
      <c r="BZ8" s="316"/>
      <c r="CA8" s="316"/>
      <c r="CB8" s="316"/>
      <c r="CC8" s="316"/>
      <c r="CD8" s="316"/>
      <c r="CE8" s="316"/>
      <c r="CF8" s="316"/>
      <c r="CG8" s="316"/>
      <c r="CH8" s="316"/>
      <c r="CI8" s="316"/>
      <c r="CJ8" s="316"/>
      <c r="CK8" s="316"/>
      <c r="CL8" s="316"/>
      <c r="CM8" s="316"/>
    </row>
    <row r="9">
      <c r="A9" s="589"/>
      <c r="B9" s="570" t="s">
        <v>2144</v>
      </c>
      <c r="C9" s="148"/>
      <c r="D9" s="148"/>
      <c r="E9" s="148"/>
      <c r="F9" s="148"/>
      <c r="G9" s="171"/>
      <c r="H9" s="265"/>
      <c r="I9" s="273"/>
      <c r="J9" s="273"/>
      <c r="K9" s="273"/>
      <c r="L9" s="273"/>
      <c r="M9" s="273"/>
      <c r="N9" s="273"/>
      <c r="O9" s="273"/>
      <c r="P9" s="273"/>
      <c r="Q9" s="273"/>
      <c r="R9" s="273"/>
      <c r="S9" s="273"/>
      <c r="T9" s="265"/>
      <c r="U9" s="273"/>
      <c r="V9" s="273"/>
      <c r="W9" s="273"/>
      <c r="X9" s="273"/>
      <c r="Y9" s="273"/>
      <c r="Z9" s="273"/>
      <c r="AA9" s="273"/>
      <c r="AB9" s="249"/>
      <c r="AC9" s="249"/>
      <c r="AD9" s="249"/>
      <c r="AE9" s="249"/>
      <c r="AF9" s="249"/>
      <c r="AG9" s="249"/>
      <c r="AH9" s="249"/>
      <c r="AI9" s="249"/>
      <c r="AJ9" s="249"/>
      <c r="AK9" s="249"/>
      <c r="AL9" s="249"/>
      <c r="AM9" s="249"/>
      <c r="AN9" s="249"/>
      <c r="AO9" s="249"/>
      <c r="AP9" s="249"/>
      <c r="AQ9" s="249"/>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c r="CM9" s="355"/>
    </row>
    <row r="10" outlineLevel="1">
      <c r="A10" s="375" t="s">
        <v>525</v>
      </c>
      <c r="B10" s="325" t="str">
        <f t="shared" ref="B10:B14" si="1">IF(F10="","",$D$3&amp;"."&amp;COUNTA($F$10:F10)&amp;"")</f>
        <v>TC_02.1</v>
      </c>
      <c r="C10" s="557" t="s">
        <v>75</v>
      </c>
      <c r="D10" s="559" t="s">
        <v>2752</v>
      </c>
      <c r="E10" s="558" t="s">
        <v>2753</v>
      </c>
      <c r="F10" s="559" t="s">
        <v>2754</v>
      </c>
      <c r="G10" s="559" t="s">
        <v>2907</v>
      </c>
      <c r="H10" s="265"/>
      <c r="I10" s="273"/>
      <c r="J10" s="273"/>
      <c r="K10" s="273"/>
      <c r="L10" s="273"/>
      <c r="M10" s="273"/>
      <c r="N10" s="273"/>
      <c r="O10" s="273"/>
      <c r="P10" s="273"/>
      <c r="Q10" s="273"/>
      <c r="R10" s="273"/>
      <c r="S10" s="273"/>
      <c r="T10" s="265"/>
      <c r="U10" s="273"/>
      <c r="V10" s="273"/>
      <c r="W10" s="273"/>
      <c r="X10" s="273"/>
      <c r="Y10" s="273"/>
      <c r="Z10" s="273"/>
      <c r="AA10" s="273"/>
      <c r="AB10" s="249"/>
      <c r="AC10" s="249"/>
      <c r="AD10" s="249"/>
      <c r="AE10" s="249"/>
      <c r="AF10" s="249"/>
      <c r="AG10" s="249"/>
      <c r="AH10" s="249"/>
      <c r="AI10" s="249"/>
      <c r="AJ10" s="249"/>
      <c r="AK10" s="249"/>
      <c r="AL10" s="249"/>
      <c r="AM10" s="249"/>
      <c r="AN10" s="249"/>
      <c r="AO10" s="249"/>
      <c r="AP10" s="249"/>
      <c r="AQ10" s="249"/>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c r="CM10" s="355"/>
    </row>
    <row r="11" outlineLevel="1">
      <c r="A11" s="375" t="s">
        <v>525</v>
      </c>
      <c r="B11" s="325" t="str">
        <f t="shared" si="1"/>
        <v>TC_02.2</v>
      </c>
      <c r="C11" s="557" t="s">
        <v>73</v>
      </c>
      <c r="D11" s="559" t="s">
        <v>2756</v>
      </c>
      <c r="E11" s="558" t="s">
        <v>2757</v>
      </c>
      <c r="F11" s="559" t="s">
        <v>2758</v>
      </c>
      <c r="G11" s="558" t="s">
        <v>2152</v>
      </c>
      <c r="H11" s="265"/>
      <c r="I11" s="273"/>
      <c r="J11" s="273"/>
      <c r="K11" s="273"/>
      <c r="L11" s="273"/>
      <c r="M11" s="273"/>
      <c r="N11" s="273"/>
      <c r="O11" s="273"/>
      <c r="P11" s="273"/>
      <c r="Q11" s="273"/>
      <c r="R11" s="273"/>
      <c r="S11" s="273"/>
      <c r="T11" s="265"/>
      <c r="U11" s="273"/>
      <c r="V11" s="273"/>
      <c r="W11" s="273"/>
      <c r="X11" s="273"/>
      <c r="Y11" s="273"/>
      <c r="Z11" s="273"/>
      <c r="AA11" s="273"/>
      <c r="AB11" s="249"/>
      <c r="AC11" s="249"/>
      <c r="AD11" s="249"/>
      <c r="AE11" s="249"/>
      <c r="AF11" s="249"/>
      <c r="AG11" s="249"/>
      <c r="AH11" s="249"/>
      <c r="AI11" s="249"/>
      <c r="AJ11" s="249"/>
      <c r="AK11" s="249"/>
      <c r="AL11" s="249"/>
      <c r="AM11" s="249"/>
      <c r="AN11" s="249"/>
      <c r="AO11" s="249"/>
      <c r="AP11" s="249"/>
      <c r="AQ11" s="249"/>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c r="CM11" s="355"/>
    </row>
    <row r="12" outlineLevel="1">
      <c r="A12" s="375" t="s">
        <v>525</v>
      </c>
      <c r="B12" s="325" t="str">
        <f t="shared" si="1"/>
        <v>TC_02.3</v>
      </c>
      <c r="C12" s="557" t="s">
        <v>75</v>
      </c>
      <c r="D12" s="558" t="s">
        <v>2153</v>
      </c>
      <c r="E12" s="558" t="s">
        <v>2154</v>
      </c>
      <c r="F12" s="559" t="s">
        <v>2155</v>
      </c>
      <c r="G12" s="561" t="s">
        <v>2156</v>
      </c>
      <c r="H12" s="265"/>
      <c r="I12" s="273"/>
      <c r="J12" s="273"/>
      <c r="K12" s="273"/>
      <c r="L12" s="273"/>
      <c r="M12" s="273"/>
      <c r="N12" s="273"/>
      <c r="O12" s="273"/>
      <c r="P12" s="273"/>
      <c r="Q12" s="273"/>
      <c r="R12" s="273"/>
      <c r="S12" s="273"/>
      <c r="T12" s="265"/>
      <c r="U12" s="273"/>
      <c r="V12" s="273"/>
      <c r="W12" s="273"/>
      <c r="X12" s="273"/>
      <c r="Y12" s="273"/>
      <c r="Z12" s="273"/>
      <c r="AA12" s="273"/>
      <c r="AB12" s="249"/>
      <c r="AC12" s="249"/>
      <c r="AD12" s="249"/>
      <c r="AE12" s="249"/>
      <c r="AF12" s="249"/>
      <c r="AG12" s="249"/>
      <c r="AH12" s="249"/>
      <c r="AI12" s="249"/>
      <c r="AJ12" s="249"/>
      <c r="AK12" s="249"/>
      <c r="AL12" s="249"/>
      <c r="AM12" s="249"/>
      <c r="AN12" s="249"/>
      <c r="AO12" s="249"/>
      <c r="AP12" s="249"/>
      <c r="AQ12" s="249"/>
      <c r="AR12" s="355"/>
      <c r="AS12" s="355"/>
      <c r="AT12" s="355"/>
      <c r="AU12" s="355"/>
      <c r="AV12" s="355"/>
      <c r="AW12" s="355"/>
      <c r="AX12" s="355"/>
      <c r="AY12" s="355"/>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c r="CM12" s="355"/>
    </row>
    <row r="13" outlineLevel="1">
      <c r="A13" s="375" t="s">
        <v>525</v>
      </c>
      <c r="B13" s="325" t="str">
        <f t="shared" si="1"/>
        <v>TC_02.4</v>
      </c>
      <c r="C13" s="557" t="s">
        <v>75</v>
      </c>
      <c r="D13" s="558" t="s">
        <v>2157</v>
      </c>
      <c r="E13" s="558" t="s">
        <v>2158</v>
      </c>
      <c r="F13" s="559" t="s">
        <v>2159</v>
      </c>
      <c r="G13" s="558" t="s">
        <v>2160</v>
      </c>
      <c r="H13" s="265"/>
      <c r="I13" s="273"/>
      <c r="J13" s="273"/>
      <c r="K13" s="273"/>
      <c r="L13" s="273"/>
      <c r="M13" s="273"/>
      <c r="N13" s="273"/>
      <c r="O13" s="273"/>
      <c r="P13" s="273"/>
      <c r="Q13" s="273"/>
      <c r="R13" s="273"/>
      <c r="S13" s="273"/>
      <c r="T13" s="265"/>
      <c r="U13" s="273"/>
      <c r="V13" s="273"/>
      <c r="W13" s="273"/>
      <c r="X13" s="273"/>
      <c r="Y13" s="273"/>
      <c r="Z13" s="273"/>
      <c r="AA13" s="273"/>
      <c r="AB13" s="249"/>
      <c r="AC13" s="249"/>
      <c r="AD13" s="249"/>
      <c r="AE13" s="249"/>
      <c r="AF13" s="249"/>
      <c r="AG13" s="249"/>
      <c r="AH13" s="249"/>
      <c r="AI13" s="249"/>
      <c r="AJ13" s="249"/>
      <c r="AK13" s="249"/>
      <c r="AL13" s="249"/>
      <c r="AM13" s="249"/>
      <c r="AN13" s="249"/>
      <c r="AO13" s="249"/>
      <c r="AP13" s="249"/>
      <c r="AQ13" s="249"/>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c r="CM13" s="355"/>
    </row>
    <row r="14" outlineLevel="1">
      <c r="A14" s="375" t="s">
        <v>525</v>
      </c>
      <c r="B14" s="325" t="str">
        <f t="shared" si="1"/>
        <v>TC_02.5</v>
      </c>
      <c r="C14" s="557" t="s">
        <v>75</v>
      </c>
      <c r="D14" s="558" t="s">
        <v>2161</v>
      </c>
      <c r="E14" s="558" t="s">
        <v>2162</v>
      </c>
      <c r="F14" s="558" t="s">
        <v>2163</v>
      </c>
      <c r="G14" s="558" t="s">
        <v>2164</v>
      </c>
      <c r="H14" s="265"/>
      <c r="I14" s="273"/>
      <c r="J14" s="273"/>
      <c r="K14" s="273"/>
      <c r="L14" s="273"/>
      <c r="M14" s="273"/>
      <c r="N14" s="273"/>
      <c r="O14" s="273"/>
      <c r="P14" s="273"/>
      <c r="Q14" s="273"/>
      <c r="R14" s="273"/>
      <c r="S14" s="273"/>
      <c r="T14" s="265"/>
      <c r="U14" s="273"/>
      <c r="V14" s="273"/>
      <c r="W14" s="273"/>
      <c r="X14" s="273"/>
      <c r="Y14" s="273"/>
      <c r="Z14" s="273"/>
      <c r="AA14" s="273"/>
      <c r="AB14" s="249"/>
      <c r="AC14" s="249"/>
      <c r="AD14" s="249"/>
      <c r="AE14" s="249"/>
      <c r="AF14" s="249"/>
      <c r="AG14" s="249"/>
      <c r="AH14" s="249"/>
      <c r="AI14" s="249"/>
      <c r="AJ14" s="249"/>
      <c r="AK14" s="249"/>
      <c r="AL14" s="249"/>
      <c r="AM14" s="249"/>
      <c r="AN14" s="249"/>
      <c r="AO14" s="249"/>
      <c r="AP14" s="249"/>
      <c r="AQ14" s="249"/>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c r="CM14" s="355"/>
    </row>
    <row r="15">
      <c r="A15" s="590"/>
      <c r="B15" s="570" t="s">
        <v>2908</v>
      </c>
      <c r="C15" s="148"/>
      <c r="D15" s="148"/>
      <c r="E15" s="148"/>
      <c r="F15" s="148"/>
      <c r="G15" s="171"/>
      <c r="H15" s="265"/>
      <c r="I15" s="265"/>
      <c r="J15" s="273"/>
      <c r="K15" s="265"/>
      <c r="L15" s="273"/>
      <c r="M15" s="273"/>
      <c r="N15" s="273"/>
      <c r="O15" s="273"/>
      <c r="P15" s="273"/>
      <c r="Q15" s="273"/>
      <c r="R15" s="273"/>
      <c r="S15" s="273"/>
      <c r="T15" s="273"/>
      <c r="U15" s="273"/>
      <c r="V15" s="273"/>
      <c r="W15" s="273"/>
      <c r="X15" s="273"/>
      <c r="Y15" s="273"/>
      <c r="Z15" s="273"/>
      <c r="AA15" s="273"/>
      <c r="AB15" s="249"/>
      <c r="AC15" s="591"/>
      <c r="AD15" s="249"/>
      <c r="AE15" s="249"/>
      <c r="AF15" s="249"/>
      <c r="AG15" s="249"/>
      <c r="AH15" s="249"/>
      <c r="AI15" s="249"/>
      <c r="AJ15" s="249"/>
      <c r="AK15" s="249"/>
      <c r="AL15" s="249"/>
      <c r="AM15" s="249"/>
      <c r="AN15" s="249"/>
      <c r="AO15" s="591"/>
      <c r="AP15" s="249"/>
      <c r="AQ15" s="249"/>
      <c r="AR15" s="249"/>
      <c r="AS15" s="249"/>
      <c r="AT15" s="249"/>
      <c r="AU15" s="249"/>
      <c r="AV15" s="249"/>
      <c r="AW15" s="249"/>
      <c r="AX15" s="249"/>
      <c r="AY15" s="249"/>
      <c r="AZ15" s="249"/>
      <c r="BA15" s="249"/>
      <c r="BB15" s="249"/>
      <c r="BC15" s="249"/>
      <c r="BD15" s="249"/>
      <c r="BE15" s="249"/>
      <c r="BF15" s="249"/>
      <c r="BG15" s="249"/>
      <c r="BH15" s="249"/>
      <c r="BI15" s="249"/>
      <c r="BJ15" s="249"/>
      <c r="BK15" s="249"/>
      <c r="BL15" s="249"/>
      <c r="BM15" s="249"/>
      <c r="BN15" s="249"/>
      <c r="BO15" s="249"/>
      <c r="BP15" s="249"/>
      <c r="BQ15" s="249"/>
      <c r="BR15" s="249"/>
      <c r="BS15" s="249"/>
      <c r="BT15" s="249"/>
      <c r="BU15" s="249"/>
      <c r="BV15" s="249"/>
      <c r="BW15" s="249"/>
      <c r="BX15" s="249"/>
      <c r="BY15" s="249"/>
      <c r="BZ15" s="249"/>
      <c r="CA15" s="249"/>
      <c r="CB15" s="249"/>
      <c r="CC15" s="249"/>
      <c r="CD15" s="249"/>
      <c r="CE15" s="249"/>
      <c r="CF15" s="249"/>
      <c r="CG15" s="249"/>
      <c r="CH15" s="249"/>
      <c r="CI15" s="249"/>
      <c r="CJ15" s="249"/>
      <c r="CK15" s="249"/>
      <c r="CL15" s="249"/>
      <c r="CM15" s="249"/>
    </row>
    <row r="16" outlineLevel="1">
      <c r="A16" s="375" t="s">
        <v>381</v>
      </c>
      <c r="B16" s="325" t="str">
        <f t="shared" ref="B16:B18" si="2">IF(F16="","",$D$3&amp;"."&amp;COUNTA($F$10:F16)&amp;"")</f>
        <v>TC_02.6</v>
      </c>
      <c r="C16" s="557" t="s">
        <v>73</v>
      </c>
      <c r="D16" s="558" t="s">
        <v>2909</v>
      </c>
      <c r="E16" s="558" t="s">
        <v>2910</v>
      </c>
      <c r="F16" s="558" t="s">
        <v>2911</v>
      </c>
      <c r="G16" s="558" t="s">
        <v>2912</v>
      </c>
      <c r="H16" s="265"/>
      <c r="I16" s="375"/>
      <c r="J16" s="273"/>
      <c r="K16" s="265"/>
      <c r="L16" s="273"/>
      <c r="M16" s="273"/>
      <c r="N16" s="273"/>
      <c r="O16" s="273"/>
      <c r="P16" s="273"/>
      <c r="Q16" s="273"/>
      <c r="R16" s="273"/>
      <c r="S16" s="273"/>
      <c r="T16" s="273"/>
      <c r="U16" s="273"/>
      <c r="V16" s="273"/>
      <c r="W16" s="273"/>
      <c r="X16" s="273"/>
      <c r="Y16" s="273"/>
      <c r="Z16" s="273"/>
      <c r="AA16" s="273"/>
      <c r="AB16" s="249"/>
      <c r="AC16" s="591"/>
      <c r="AD16" s="249"/>
      <c r="AE16" s="249"/>
      <c r="AF16" s="249"/>
      <c r="AG16" s="249"/>
      <c r="AH16" s="249"/>
      <c r="AI16" s="249"/>
      <c r="AJ16" s="249"/>
      <c r="AK16" s="249"/>
      <c r="AL16" s="249"/>
      <c r="AM16" s="249"/>
      <c r="AN16" s="249"/>
      <c r="AO16" s="591"/>
      <c r="AP16" s="249"/>
      <c r="AQ16" s="249"/>
      <c r="AR16" s="249"/>
      <c r="AS16" s="249"/>
      <c r="AT16" s="249"/>
      <c r="AU16" s="249"/>
      <c r="AV16" s="249"/>
      <c r="AW16" s="249"/>
      <c r="AX16" s="249"/>
      <c r="AY16" s="249"/>
      <c r="AZ16" s="249"/>
      <c r="BA16" s="249"/>
      <c r="BB16" s="249"/>
      <c r="BC16" s="249"/>
      <c r="BD16" s="249"/>
      <c r="BE16" s="249"/>
      <c r="BF16" s="249"/>
      <c r="BG16" s="249"/>
      <c r="BH16" s="249"/>
      <c r="BI16" s="249"/>
      <c r="BJ16" s="249"/>
      <c r="BK16" s="249"/>
      <c r="BL16" s="249"/>
      <c r="BM16" s="249"/>
      <c r="BN16" s="249"/>
      <c r="BO16" s="249"/>
      <c r="BP16" s="249"/>
      <c r="BQ16" s="249"/>
      <c r="BR16" s="249"/>
      <c r="BS16" s="249"/>
      <c r="BT16" s="249"/>
      <c r="BU16" s="249"/>
      <c r="BV16" s="249"/>
      <c r="BW16" s="249"/>
      <c r="BX16" s="249"/>
      <c r="BY16" s="249"/>
      <c r="BZ16" s="249"/>
      <c r="CA16" s="249"/>
      <c r="CB16" s="249"/>
      <c r="CC16" s="249"/>
      <c r="CD16" s="249"/>
      <c r="CE16" s="249"/>
      <c r="CF16" s="249"/>
      <c r="CG16" s="249"/>
      <c r="CH16" s="249"/>
      <c r="CI16" s="249"/>
      <c r="CJ16" s="249"/>
      <c r="CK16" s="249"/>
      <c r="CL16" s="249"/>
      <c r="CM16" s="249"/>
    </row>
    <row r="17" outlineLevel="1">
      <c r="A17" s="375" t="s">
        <v>381</v>
      </c>
      <c r="B17" s="325" t="str">
        <f t="shared" si="2"/>
        <v>TC_02.7</v>
      </c>
      <c r="C17" s="557" t="s">
        <v>75</v>
      </c>
      <c r="D17" s="558" t="s">
        <v>2913</v>
      </c>
      <c r="E17" s="558" t="s">
        <v>2910</v>
      </c>
      <c r="F17" s="558" t="s">
        <v>2914</v>
      </c>
      <c r="G17" s="558" t="s">
        <v>2915</v>
      </c>
      <c r="H17" s="265"/>
      <c r="I17" s="375"/>
      <c r="J17" s="273"/>
      <c r="K17" s="265"/>
      <c r="L17" s="273"/>
      <c r="M17" s="273"/>
      <c r="N17" s="273"/>
      <c r="O17" s="273"/>
      <c r="P17" s="273"/>
      <c r="Q17" s="273"/>
      <c r="R17" s="273"/>
      <c r="S17" s="273"/>
      <c r="T17" s="273"/>
      <c r="U17" s="273"/>
      <c r="V17" s="273"/>
      <c r="W17" s="273"/>
      <c r="X17" s="273"/>
      <c r="Y17" s="273"/>
      <c r="Z17" s="273"/>
      <c r="AA17" s="273"/>
      <c r="AB17" s="249"/>
      <c r="AC17" s="591"/>
      <c r="AD17" s="249"/>
      <c r="AE17" s="249"/>
      <c r="AF17" s="249"/>
      <c r="AG17" s="249"/>
      <c r="AH17" s="249"/>
      <c r="AI17" s="249"/>
      <c r="AJ17" s="249"/>
      <c r="AK17" s="249"/>
      <c r="AL17" s="249"/>
      <c r="AM17" s="249"/>
      <c r="AN17" s="249"/>
      <c r="AO17" s="591"/>
      <c r="AP17" s="249"/>
      <c r="AQ17" s="249"/>
      <c r="AR17" s="249"/>
      <c r="AS17" s="249"/>
      <c r="AT17" s="249"/>
      <c r="AU17" s="249"/>
      <c r="AV17" s="249"/>
      <c r="AW17" s="249"/>
      <c r="AX17" s="249"/>
      <c r="AY17" s="249"/>
      <c r="AZ17" s="249"/>
      <c r="BA17" s="249"/>
      <c r="BB17" s="249"/>
      <c r="BC17" s="249"/>
      <c r="BD17" s="249"/>
      <c r="BE17" s="249"/>
      <c r="BF17" s="249"/>
      <c r="BG17" s="249"/>
      <c r="BH17" s="249"/>
      <c r="BI17" s="249"/>
      <c r="BJ17" s="249"/>
      <c r="BK17" s="249"/>
      <c r="BL17" s="249"/>
      <c r="BM17" s="249"/>
      <c r="BN17" s="249"/>
      <c r="BO17" s="249"/>
      <c r="BP17" s="249"/>
      <c r="BQ17" s="249"/>
      <c r="BR17" s="249"/>
      <c r="BS17" s="249"/>
      <c r="BT17" s="249"/>
      <c r="BU17" s="249"/>
      <c r="BV17" s="249"/>
      <c r="BW17" s="249"/>
      <c r="BX17" s="249"/>
      <c r="BY17" s="249"/>
      <c r="BZ17" s="249"/>
      <c r="CA17" s="249"/>
      <c r="CB17" s="249"/>
      <c r="CC17" s="249"/>
      <c r="CD17" s="249"/>
      <c r="CE17" s="249"/>
      <c r="CF17" s="249"/>
      <c r="CG17" s="249"/>
      <c r="CH17" s="249"/>
      <c r="CI17" s="249"/>
      <c r="CJ17" s="249"/>
      <c r="CK17" s="249"/>
      <c r="CL17" s="249"/>
      <c r="CM17" s="249"/>
    </row>
    <row r="18" outlineLevel="1">
      <c r="A18" s="375" t="s">
        <v>381</v>
      </c>
      <c r="B18" s="325" t="str">
        <f t="shared" si="2"/>
        <v>TC_02.8</v>
      </c>
      <c r="C18" s="557" t="s">
        <v>75</v>
      </c>
      <c r="D18" s="558" t="s">
        <v>2916</v>
      </c>
      <c r="E18" s="558" t="s">
        <v>2917</v>
      </c>
      <c r="F18" s="558" t="s">
        <v>2918</v>
      </c>
      <c r="G18" s="558" t="s">
        <v>2919</v>
      </c>
      <c r="H18" s="265"/>
      <c r="I18" s="375"/>
      <c r="J18" s="273"/>
      <c r="K18" s="265"/>
      <c r="L18" s="273"/>
      <c r="M18" s="273"/>
      <c r="N18" s="273"/>
      <c r="O18" s="273"/>
      <c r="P18" s="273"/>
      <c r="Q18" s="273"/>
      <c r="R18" s="273"/>
      <c r="S18" s="273"/>
      <c r="T18" s="273"/>
      <c r="U18" s="273"/>
      <c r="V18" s="273"/>
      <c r="W18" s="273"/>
      <c r="X18" s="273"/>
      <c r="Y18" s="273"/>
      <c r="Z18" s="273"/>
      <c r="AA18" s="273"/>
      <c r="AB18" s="249"/>
      <c r="AC18" s="591"/>
      <c r="AD18" s="249"/>
      <c r="AE18" s="249"/>
      <c r="AF18" s="249"/>
      <c r="AG18" s="249"/>
      <c r="AH18" s="249"/>
      <c r="AI18" s="249"/>
      <c r="AJ18" s="249"/>
      <c r="AK18" s="249"/>
      <c r="AL18" s="249"/>
      <c r="AM18" s="249"/>
      <c r="AN18" s="249"/>
      <c r="AO18" s="591"/>
      <c r="AP18" s="249"/>
      <c r="AQ18" s="249"/>
      <c r="AR18" s="249"/>
      <c r="AS18" s="249"/>
      <c r="AT18" s="249"/>
      <c r="AU18" s="249"/>
      <c r="AV18" s="249"/>
      <c r="AW18" s="249"/>
      <c r="AX18" s="249"/>
      <c r="AY18" s="249"/>
      <c r="AZ18" s="249"/>
      <c r="BA18" s="249"/>
      <c r="BB18" s="249"/>
      <c r="BC18" s="249"/>
      <c r="BD18" s="249"/>
      <c r="BE18" s="249"/>
      <c r="BF18" s="249"/>
      <c r="BG18" s="249"/>
      <c r="BH18" s="249"/>
      <c r="BI18" s="249"/>
      <c r="BJ18" s="249"/>
      <c r="BK18" s="249"/>
      <c r="BL18" s="249"/>
      <c r="BM18" s="249"/>
      <c r="BN18" s="249"/>
      <c r="BO18" s="249"/>
      <c r="BP18" s="249"/>
      <c r="BQ18" s="249"/>
      <c r="BR18" s="249"/>
      <c r="BS18" s="249"/>
      <c r="BT18" s="249"/>
      <c r="BU18" s="249"/>
      <c r="BV18" s="249"/>
      <c r="BW18" s="249"/>
      <c r="BX18" s="249"/>
      <c r="BY18" s="249"/>
      <c r="BZ18" s="249"/>
      <c r="CA18" s="249"/>
      <c r="CB18" s="249"/>
      <c r="CC18" s="249"/>
      <c r="CD18" s="249"/>
      <c r="CE18" s="249"/>
      <c r="CF18" s="249"/>
      <c r="CG18" s="249"/>
      <c r="CH18" s="249"/>
      <c r="CI18" s="249"/>
      <c r="CJ18" s="249"/>
      <c r="CK18" s="249"/>
      <c r="CL18" s="249"/>
      <c r="CM18" s="249"/>
    </row>
    <row r="19">
      <c r="A19" s="375"/>
      <c r="B19" s="570" t="s">
        <v>2759</v>
      </c>
      <c r="C19" s="148"/>
      <c r="D19" s="148"/>
      <c r="E19" s="148"/>
      <c r="F19" s="148"/>
      <c r="G19" s="171"/>
      <c r="H19" s="265"/>
      <c r="I19" s="273"/>
      <c r="J19" s="273"/>
      <c r="K19" s="273"/>
      <c r="L19" s="273"/>
      <c r="M19" s="273"/>
      <c r="N19" s="273"/>
      <c r="O19" s="273"/>
      <c r="P19" s="273"/>
      <c r="Q19" s="273"/>
      <c r="R19" s="273"/>
      <c r="S19" s="273"/>
      <c r="T19" s="265"/>
      <c r="U19" s="273"/>
      <c r="V19" s="273"/>
      <c r="W19" s="273"/>
      <c r="X19" s="273"/>
      <c r="Y19" s="273"/>
      <c r="Z19" s="273"/>
      <c r="AA19" s="273"/>
      <c r="AB19" s="249"/>
      <c r="AC19" s="249"/>
      <c r="AD19" s="249"/>
      <c r="AE19" s="249"/>
      <c r="AF19" s="249"/>
      <c r="AG19" s="249"/>
      <c r="AH19" s="249"/>
      <c r="AI19" s="249"/>
      <c r="AJ19" s="249"/>
      <c r="AK19" s="249"/>
      <c r="AL19" s="249"/>
      <c r="AM19" s="249"/>
      <c r="AN19" s="249"/>
      <c r="AO19" s="249"/>
      <c r="AP19" s="249"/>
      <c r="AQ19" s="249"/>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55"/>
      <c r="BR19" s="355"/>
      <c r="BS19" s="355"/>
      <c r="BT19" s="355"/>
      <c r="BU19" s="355"/>
      <c r="BV19" s="355"/>
      <c r="BW19" s="355"/>
      <c r="BX19" s="355"/>
      <c r="BY19" s="355"/>
      <c r="BZ19" s="355"/>
      <c r="CA19" s="355"/>
      <c r="CB19" s="355"/>
      <c r="CC19" s="355"/>
      <c r="CD19" s="355"/>
      <c r="CE19" s="355"/>
      <c r="CF19" s="355"/>
      <c r="CG19" s="355"/>
      <c r="CH19" s="355"/>
      <c r="CI19" s="355"/>
      <c r="CJ19" s="355"/>
      <c r="CK19" s="355"/>
      <c r="CL19" s="355"/>
      <c r="CM19" s="355"/>
    </row>
    <row r="20" outlineLevel="1">
      <c r="A20" s="375" t="s">
        <v>381</v>
      </c>
      <c r="B20" s="325" t="str">
        <f t="shared" ref="B20:B27" si="3">IF(F20="","",$D$3&amp;"."&amp;COUNTA($F$10:F20)&amp;"")</f>
        <v>TC_02.9</v>
      </c>
      <c r="C20" s="557" t="s">
        <v>73</v>
      </c>
      <c r="D20" s="558" t="s">
        <v>2920</v>
      </c>
      <c r="E20" s="558" t="s">
        <v>2921</v>
      </c>
      <c r="F20" s="558" t="s">
        <v>2922</v>
      </c>
      <c r="G20" s="558" t="s">
        <v>2923</v>
      </c>
      <c r="H20" s="265"/>
      <c r="I20" s="375"/>
      <c r="J20" s="273"/>
      <c r="K20" s="273"/>
      <c r="L20" s="273"/>
      <c r="M20" s="273"/>
      <c r="N20" s="273"/>
      <c r="O20" s="273"/>
      <c r="P20" s="273"/>
      <c r="Q20" s="273"/>
      <c r="R20" s="273"/>
      <c r="S20" s="273"/>
      <c r="T20" s="265"/>
      <c r="U20" s="273"/>
      <c r="V20" s="273"/>
      <c r="W20" s="273"/>
      <c r="X20" s="273"/>
      <c r="Y20" s="273"/>
      <c r="Z20" s="273"/>
      <c r="AA20" s="273"/>
      <c r="AB20" s="332"/>
      <c r="AC20" s="332"/>
      <c r="AD20" s="332"/>
      <c r="AE20" s="332"/>
      <c r="AF20" s="332"/>
      <c r="AG20" s="332"/>
      <c r="AH20" s="332"/>
      <c r="AI20" s="332"/>
      <c r="AJ20" s="332"/>
      <c r="AK20" s="332"/>
      <c r="AL20" s="332"/>
      <c r="AM20" s="332"/>
      <c r="AN20" s="332"/>
      <c r="AO20" s="332"/>
      <c r="AP20" s="332"/>
      <c r="AQ20" s="332"/>
      <c r="AR20" s="33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32"/>
      <c r="BO20" s="332"/>
      <c r="BP20" s="332"/>
      <c r="BQ20" s="332"/>
      <c r="BR20" s="332"/>
      <c r="BS20" s="332"/>
      <c r="BT20" s="332"/>
      <c r="BU20" s="332"/>
      <c r="BV20" s="332"/>
      <c r="BW20" s="332"/>
      <c r="BX20" s="332"/>
      <c r="BY20" s="332"/>
      <c r="BZ20" s="332"/>
      <c r="CA20" s="332"/>
      <c r="CB20" s="332"/>
      <c r="CC20" s="332"/>
      <c r="CD20" s="332"/>
      <c r="CE20" s="332"/>
      <c r="CF20" s="332"/>
      <c r="CG20" s="332"/>
      <c r="CH20" s="332"/>
      <c r="CI20" s="332"/>
      <c r="CJ20" s="332"/>
      <c r="CK20" s="332"/>
      <c r="CL20" s="332"/>
      <c r="CM20" s="332"/>
    </row>
    <row r="21" outlineLevel="1">
      <c r="A21" s="375" t="s">
        <v>381</v>
      </c>
      <c r="B21" s="325" t="str">
        <f t="shared" si="3"/>
        <v>TC_02.10</v>
      </c>
      <c r="C21" s="557" t="s">
        <v>73</v>
      </c>
      <c r="D21" s="558" t="s">
        <v>2924</v>
      </c>
      <c r="E21" s="558" t="s">
        <v>2925</v>
      </c>
      <c r="F21" s="558" t="s">
        <v>2926</v>
      </c>
      <c r="G21" s="558" t="s">
        <v>2927</v>
      </c>
      <c r="H21" s="265"/>
      <c r="I21" s="375"/>
      <c r="J21" s="273"/>
      <c r="K21" s="273"/>
      <c r="L21" s="273"/>
      <c r="M21" s="273"/>
      <c r="N21" s="273"/>
      <c r="O21" s="273"/>
      <c r="P21" s="273"/>
      <c r="Q21" s="273"/>
      <c r="R21" s="273"/>
      <c r="S21" s="273"/>
      <c r="T21" s="265"/>
      <c r="U21" s="273"/>
      <c r="V21" s="273"/>
      <c r="W21" s="273"/>
      <c r="X21" s="273"/>
      <c r="Y21" s="273"/>
      <c r="Z21" s="273"/>
      <c r="AA21" s="273"/>
      <c r="AB21" s="332"/>
      <c r="AC21" s="332"/>
      <c r="AD21" s="332"/>
      <c r="AE21" s="332"/>
      <c r="AF21" s="332"/>
      <c r="AG21" s="332"/>
      <c r="AH21" s="332"/>
      <c r="AI21" s="332"/>
      <c r="AJ21" s="332"/>
      <c r="AK21" s="332"/>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32"/>
      <c r="BO21" s="332"/>
      <c r="BP21" s="332"/>
      <c r="BQ21" s="332"/>
      <c r="BR21" s="332"/>
      <c r="BS21" s="332"/>
      <c r="BT21" s="332"/>
      <c r="BU21" s="332"/>
      <c r="BV21" s="332"/>
      <c r="BW21" s="332"/>
      <c r="BX21" s="332"/>
      <c r="BY21" s="332"/>
      <c r="BZ21" s="332"/>
      <c r="CA21" s="332"/>
      <c r="CB21" s="332"/>
      <c r="CC21" s="332"/>
      <c r="CD21" s="332"/>
      <c r="CE21" s="332"/>
      <c r="CF21" s="332"/>
      <c r="CG21" s="332"/>
      <c r="CH21" s="332"/>
      <c r="CI21" s="332"/>
      <c r="CJ21" s="332"/>
      <c r="CK21" s="332"/>
      <c r="CL21" s="332"/>
      <c r="CM21" s="332"/>
    </row>
    <row r="22" outlineLevel="1">
      <c r="A22" s="375" t="s">
        <v>525</v>
      </c>
      <c r="B22" s="325" t="str">
        <f t="shared" si="3"/>
        <v>TC_02.11</v>
      </c>
      <c r="C22" s="557" t="s">
        <v>73</v>
      </c>
      <c r="D22" s="558" t="s">
        <v>2928</v>
      </c>
      <c r="E22" s="558" t="s">
        <v>2929</v>
      </c>
      <c r="F22" s="558" t="s">
        <v>2930</v>
      </c>
      <c r="G22" s="561" t="s">
        <v>2931</v>
      </c>
      <c r="H22" s="265"/>
      <c r="I22" s="375"/>
      <c r="J22" s="273"/>
      <c r="K22" s="273"/>
      <c r="L22" s="273"/>
      <c r="M22" s="273"/>
      <c r="N22" s="273"/>
      <c r="O22" s="273"/>
      <c r="P22" s="273"/>
      <c r="Q22" s="273"/>
      <c r="R22" s="273"/>
      <c r="S22" s="273"/>
      <c r="T22" s="265"/>
      <c r="U22" s="273"/>
      <c r="V22" s="273"/>
      <c r="W22" s="273"/>
      <c r="X22" s="273"/>
      <c r="Y22" s="273"/>
      <c r="Z22" s="273"/>
      <c r="AA22" s="273"/>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332"/>
      <c r="BU22" s="332"/>
      <c r="BV22" s="332"/>
      <c r="BW22" s="332"/>
      <c r="BX22" s="332"/>
      <c r="BY22" s="332"/>
      <c r="BZ22" s="332"/>
      <c r="CA22" s="332"/>
      <c r="CB22" s="332"/>
      <c r="CC22" s="332"/>
      <c r="CD22" s="332"/>
      <c r="CE22" s="332"/>
      <c r="CF22" s="332"/>
      <c r="CG22" s="332"/>
      <c r="CH22" s="332"/>
      <c r="CI22" s="332"/>
      <c r="CJ22" s="332"/>
      <c r="CK22" s="332"/>
      <c r="CL22" s="332"/>
      <c r="CM22" s="332"/>
    </row>
    <row r="23" outlineLevel="1">
      <c r="A23" s="375" t="s">
        <v>381</v>
      </c>
      <c r="B23" s="325" t="str">
        <f t="shared" si="3"/>
        <v>TC_02.12</v>
      </c>
      <c r="C23" s="557" t="s">
        <v>75</v>
      </c>
      <c r="D23" s="558" t="s">
        <v>2932</v>
      </c>
      <c r="E23" s="558" t="s">
        <v>2933</v>
      </c>
      <c r="F23" s="558" t="s">
        <v>2934</v>
      </c>
      <c r="G23" s="558" t="s">
        <v>2935</v>
      </c>
      <c r="H23" s="265"/>
      <c r="I23" s="375"/>
      <c r="J23" s="273"/>
      <c r="K23" s="273"/>
      <c r="L23" s="273"/>
      <c r="M23" s="273"/>
      <c r="N23" s="273"/>
      <c r="O23" s="273"/>
      <c r="P23" s="273"/>
      <c r="Q23" s="273"/>
      <c r="R23" s="273"/>
      <c r="S23" s="273"/>
      <c r="T23" s="265"/>
      <c r="U23" s="273"/>
      <c r="V23" s="273"/>
      <c r="W23" s="273"/>
      <c r="X23" s="273"/>
      <c r="Y23" s="273"/>
      <c r="Z23" s="273"/>
      <c r="AA23" s="273"/>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332"/>
      <c r="BU23" s="332"/>
      <c r="BV23" s="332"/>
      <c r="BW23" s="332"/>
      <c r="BX23" s="332"/>
      <c r="BY23" s="332"/>
      <c r="BZ23" s="332"/>
      <c r="CA23" s="332"/>
      <c r="CB23" s="332"/>
      <c r="CC23" s="332"/>
      <c r="CD23" s="332"/>
      <c r="CE23" s="332"/>
      <c r="CF23" s="332"/>
      <c r="CG23" s="332"/>
      <c r="CH23" s="332"/>
      <c r="CI23" s="332"/>
      <c r="CJ23" s="332"/>
      <c r="CK23" s="332"/>
      <c r="CL23" s="332"/>
      <c r="CM23" s="332"/>
    </row>
    <row r="24" outlineLevel="1">
      <c r="A24" s="375" t="s">
        <v>381</v>
      </c>
      <c r="B24" s="325" t="str">
        <f t="shared" si="3"/>
        <v>TC_02.13</v>
      </c>
      <c r="C24" s="557" t="s">
        <v>75</v>
      </c>
      <c r="D24" s="558" t="s">
        <v>2936</v>
      </c>
      <c r="E24" s="558" t="s">
        <v>2937</v>
      </c>
      <c r="F24" s="558" t="s">
        <v>2938</v>
      </c>
      <c r="G24" s="558" t="s">
        <v>2939</v>
      </c>
      <c r="H24" s="265"/>
      <c r="I24" s="375"/>
      <c r="J24" s="273"/>
      <c r="K24" s="273"/>
      <c r="L24" s="273"/>
      <c r="M24" s="273"/>
      <c r="N24" s="273"/>
      <c r="O24" s="273"/>
      <c r="P24" s="273"/>
      <c r="Q24" s="273"/>
      <c r="R24" s="273"/>
      <c r="S24" s="273"/>
      <c r="T24" s="265"/>
      <c r="U24" s="273"/>
      <c r="V24" s="273"/>
      <c r="W24" s="273"/>
      <c r="X24" s="273"/>
      <c r="Y24" s="273"/>
      <c r="Z24" s="273"/>
      <c r="AA24" s="273"/>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2"/>
      <c r="BX24" s="332"/>
      <c r="BY24" s="332"/>
      <c r="BZ24" s="332"/>
      <c r="CA24" s="332"/>
      <c r="CB24" s="332"/>
      <c r="CC24" s="332"/>
      <c r="CD24" s="332"/>
      <c r="CE24" s="332"/>
      <c r="CF24" s="332"/>
      <c r="CG24" s="332"/>
      <c r="CH24" s="332"/>
      <c r="CI24" s="332"/>
      <c r="CJ24" s="332"/>
      <c r="CK24" s="332"/>
      <c r="CL24" s="332"/>
      <c r="CM24" s="332"/>
    </row>
    <row r="25" outlineLevel="1">
      <c r="A25" s="375" t="s">
        <v>381</v>
      </c>
      <c r="B25" s="325" t="str">
        <f t="shared" si="3"/>
        <v>TC_02.14</v>
      </c>
      <c r="C25" s="557" t="s">
        <v>75</v>
      </c>
      <c r="D25" s="558" t="s">
        <v>2940</v>
      </c>
      <c r="E25" s="558" t="s">
        <v>2941</v>
      </c>
      <c r="F25" s="558" t="s">
        <v>2942</v>
      </c>
      <c r="G25" s="558" t="s">
        <v>2943</v>
      </c>
      <c r="H25" s="265"/>
      <c r="I25" s="375"/>
      <c r="J25" s="273"/>
      <c r="K25" s="273"/>
      <c r="L25" s="273"/>
      <c r="M25" s="273"/>
      <c r="N25" s="273"/>
      <c r="O25" s="273"/>
      <c r="P25" s="273"/>
      <c r="Q25" s="273"/>
      <c r="R25" s="273"/>
      <c r="S25" s="273"/>
      <c r="T25" s="265"/>
      <c r="U25" s="273"/>
      <c r="V25" s="273"/>
      <c r="W25" s="273"/>
      <c r="X25" s="273"/>
      <c r="Y25" s="273"/>
      <c r="Z25" s="273"/>
      <c r="AA25" s="273"/>
      <c r="AB25" s="332"/>
      <c r="AC25" s="332"/>
      <c r="AD25" s="332"/>
      <c r="AE25" s="332"/>
      <c r="AF25" s="332"/>
      <c r="AG25" s="332"/>
      <c r="AH25" s="332"/>
      <c r="AI25" s="332"/>
      <c r="AJ25" s="332"/>
      <c r="AK25" s="332"/>
      <c r="AL25" s="332"/>
      <c r="AM25" s="332"/>
      <c r="AN25" s="332"/>
      <c r="AO25" s="332"/>
      <c r="AP25" s="332"/>
      <c r="AQ25" s="332"/>
      <c r="AR25" s="332"/>
      <c r="AS25" s="332"/>
      <c r="AT25" s="332"/>
      <c r="AU25" s="332"/>
      <c r="AV25" s="332"/>
      <c r="AW25" s="332"/>
      <c r="AX25" s="332"/>
      <c r="AY25" s="332"/>
      <c r="AZ25" s="332"/>
      <c r="BA25" s="332"/>
      <c r="BB25" s="332"/>
      <c r="BC25" s="332"/>
      <c r="BD25" s="332"/>
      <c r="BE25" s="332"/>
      <c r="BF25" s="332"/>
      <c r="BG25" s="332"/>
      <c r="BH25" s="332"/>
      <c r="BI25" s="332"/>
      <c r="BJ25" s="332"/>
      <c r="BK25" s="332"/>
      <c r="BL25" s="332"/>
      <c r="BM25" s="332"/>
      <c r="BN25" s="332"/>
      <c r="BO25" s="332"/>
      <c r="BP25" s="332"/>
      <c r="BQ25" s="332"/>
      <c r="BR25" s="332"/>
      <c r="BS25" s="332"/>
      <c r="BT25" s="332"/>
      <c r="BU25" s="332"/>
      <c r="BV25" s="332"/>
      <c r="BW25" s="332"/>
      <c r="BX25" s="332"/>
      <c r="BY25" s="332"/>
      <c r="BZ25" s="332"/>
      <c r="CA25" s="332"/>
      <c r="CB25" s="332"/>
      <c r="CC25" s="332"/>
      <c r="CD25" s="332"/>
      <c r="CE25" s="332"/>
      <c r="CF25" s="332"/>
      <c r="CG25" s="332"/>
      <c r="CH25" s="332"/>
      <c r="CI25" s="332"/>
      <c r="CJ25" s="332"/>
      <c r="CK25" s="332"/>
      <c r="CL25" s="332"/>
      <c r="CM25" s="332"/>
    </row>
    <row r="26" outlineLevel="1">
      <c r="A26" s="375" t="s">
        <v>525</v>
      </c>
      <c r="B26" s="325" t="str">
        <f t="shared" si="3"/>
        <v>TC_02.15</v>
      </c>
      <c r="C26" s="557" t="s">
        <v>77</v>
      </c>
      <c r="D26" s="558" t="s">
        <v>2944</v>
      </c>
      <c r="E26" s="558" t="s">
        <v>2945</v>
      </c>
      <c r="F26" s="558" t="s">
        <v>2946</v>
      </c>
      <c r="G26" s="561" t="s">
        <v>2947</v>
      </c>
      <c r="H26" s="265"/>
      <c r="I26" s="375"/>
      <c r="J26" s="273"/>
      <c r="K26" s="273"/>
      <c r="L26" s="273"/>
      <c r="M26" s="273"/>
      <c r="N26" s="273"/>
      <c r="O26" s="273"/>
      <c r="P26" s="273"/>
      <c r="Q26" s="273"/>
      <c r="R26" s="273"/>
      <c r="S26" s="273"/>
      <c r="T26" s="265"/>
      <c r="U26" s="273"/>
      <c r="V26" s="273"/>
      <c r="W26" s="273"/>
      <c r="X26" s="273"/>
      <c r="Y26" s="273"/>
      <c r="Z26" s="273"/>
      <c r="AA26" s="273"/>
      <c r="AB26" s="332"/>
      <c r="AC26" s="332"/>
      <c r="AD26" s="332"/>
      <c r="AE26" s="332"/>
      <c r="AF26" s="332"/>
      <c r="AG26" s="332"/>
      <c r="AH26" s="332"/>
      <c r="AI26" s="332"/>
      <c r="AJ26" s="332"/>
      <c r="AK26" s="332"/>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2"/>
      <c r="BL26" s="332"/>
      <c r="BM26" s="332"/>
      <c r="BN26" s="332"/>
      <c r="BO26" s="332"/>
      <c r="BP26" s="332"/>
      <c r="BQ26" s="332"/>
      <c r="BR26" s="332"/>
      <c r="BS26" s="332"/>
      <c r="BT26" s="332"/>
      <c r="BU26" s="332"/>
      <c r="BV26" s="332"/>
      <c r="BW26" s="332"/>
      <c r="BX26" s="332"/>
      <c r="BY26" s="332"/>
      <c r="BZ26" s="332"/>
      <c r="CA26" s="332"/>
      <c r="CB26" s="332"/>
      <c r="CC26" s="332"/>
      <c r="CD26" s="332"/>
      <c r="CE26" s="332"/>
      <c r="CF26" s="332"/>
      <c r="CG26" s="332"/>
      <c r="CH26" s="332"/>
      <c r="CI26" s="332"/>
      <c r="CJ26" s="332"/>
      <c r="CK26" s="332"/>
      <c r="CL26" s="332"/>
      <c r="CM26" s="332"/>
    </row>
    <row r="27" outlineLevel="1">
      <c r="A27" s="375" t="s">
        <v>381</v>
      </c>
      <c r="B27" s="325" t="str">
        <f t="shared" si="3"/>
        <v>TC_02.16</v>
      </c>
      <c r="C27" s="557" t="s">
        <v>77</v>
      </c>
      <c r="D27" s="558" t="s">
        <v>2948</v>
      </c>
      <c r="E27" s="558" t="s">
        <v>2949</v>
      </c>
      <c r="F27" s="558" t="s">
        <v>2950</v>
      </c>
      <c r="G27" s="558" t="s">
        <v>2951</v>
      </c>
      <c r="H27" s="265"/>
      <c r="I27" s="375"/>
      <c r="J27" s="273"/>
      <c r="K27" s="273"/>
      <c r="L27" s="273"/>
      <c r="M27" s="273"/>
      <c r="N27" s="273"/>
      <c r="O27" s="273"/>
      <c r="P27" s="273"/>
      <c r="Q27" s="273"/>
      <c r="R27" s="273"/>
      <c r="S27" s="273"/>
      <c r="T27" s="265"/>
      <c r="U27" s="273"/>
      <c r="V27" s="273"/>
      <c r="W27" s="273"/>
      <c r="X27" s="273"/>
      <c r="Y27" s="273"/>
      <c r="Z27" s="273"/>
      <c r="AA27" s="273"/>
      <c r="AB27" s="332"/>
      <c r="AC27" s="332"/>
      <c r="AD27" s="332"/>
      <c r="AE27" s="332"/>
      <c r="AF27" s="332"/>
      <c r="AG27" s="332"/>
      <c r="AH27" s="332"/>
      <c r="AI27" s="332"/>
      <c r="AJ27" s="332"/>
      <c r="AK27" s="332"/>
      <c r="AL27" s="332"/>
      <c r="AM27" s="332"/>
      <c r="AN27" s="332"/>
      <c r="AO27" s="332"/>
      <c r="AP27" s="332"/>
      <c r="AQ27" s="332"/>
      <c r="AR27" s="332"/>
      <c r="AS27" s="332"/>
      <c r="AT27" s="332"/>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332"/>
      <c r="BU27" s="332"/>
      <c r="BV27" s="332"/>
      <c r="BW27" s="332"/>
      <c r="BX27" s="332"/>
      <c r="BY27" s="332"/>
      <c r="BZ27" s="332"/>
      <c r="CA27" s="332"/>
      <c r="CB27" s="332"/>
      <c r="CC27" s="332"/>
      <c r="CD27" s="332"/>
      <c r="CE27" s="332"/>
      <c r="CF27" s="332"/>
      <c r="CG27" s="332"/>
      <c r="CH27" s="332"/>
      <c r="CI27" s="332"/>
      <c r="CJ27" s="332"/>
      <c r="CK27" s="332"/>
      <c r="CL27" s="332"/>
      <c r="CM27" s="332"/>
    </row>
    <row r="28">
      <c r="A28" s="590"/>
      <c r="B28" s="570" t="s">
        <v>2952</v>
      </c>
      <c r="C28" s="148"/>
      <c r="D28" s="148"/>
      <c r="E28" s="148"/>
      <c r="F28" s="148"/>
      <c r="G28" s="171"/>
      <c r="H28" s="265"/>
      <c r="I28" s="265"/>
      <c r="J28" s="273"/>
      <c r="K28" s="273"/>
      <c r="L28" s="273"/>
      <c r="M28" s="273"/>
      <c r="N28" s="273"/>
      <c r="O28" s="273"/>
      <c r="P28" s="273"/>
      <c r="Q28" s="273"/>
      <c r="R28" s="273"/>
      <c r="S28" s="273"/>
      <c r="T28" s="265"/>
      <c r="U28" s="273"/>
      <c r="V28" s="273"/>
      <c r="W28" s="273"/>
      <c r="X28" s="273"/>
      <c r="Y28" s="273"/>
      <c r="Z28" s="273"/>
      <c r="AA28" s="273"/>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c r="BA28" s="332"/>
      <c r="BB28" s="332"/>
      <c r="BC28" s="332"/>
      <c r="BD28" s="332"/>
      <c r="BE28" s="332"/>
      <c r="BF28" s="332"/>
      <c r="BG28" s="332"/>
      <c r="BH28" s="332"/>
      <c r="BI28" s="332"/>
      <c r="BJ28" s="332"/>
      <c r="BK28" s="332"/>
      <c r="BL28" s="332"/>
      <c r="BM28" s="332"/>
      <c r="BN28" s="332"/>
      <c r="BO28" s="332"/>
      <c r="BP28" s="332"/>
      <c r="BQ28" s="332"/>
      <c r="BR28" s="332"/>
      <c r="BS28" s="332"/>
      <c r="BT28" s="332"/>
      <c r="BU28" s="332"/>
      <c r="BV28" s="332"/>
      <c r="BW28" s="332"/>
      <c r="BX28" s="332"/>
      <c r="BY28" s="332"/>
      <c r="BZ28" s="332"/>
      <c r="CA28" s="332"/>
      <c r="CB28" s="332"/>
      <c r="CC28" s="332"/>
      <c r="CD28" s="332"/>
      <c r="CE28" s="332"/>
      <c r="CF28" s="332"/>
      <c r="CG28" s="332"/>
      <c r="CH28" s="332"/>
      <c r="CI28" s="332"/>
      <c r="CJ28" s="332"/>
      <c r="CK28" s="332"/>
      <c r="CL28" s="332"/>
      <c r="CM28" s="332"/>
    </row>
    <row r="29" outlineLevel="1">
      <c r="A29" s="375" t="s">
        <v>381</v>
      </c>
      <c r="B29" s="325" t="str">
        <f t="shared" ref="B29:B39" si="4">IF(F29="","",$D$3&amp;"."&amp;COUNTA($F$10:F29)&amp;"")</f>
        <v>TC_02.17</v>
      </c>
      <c r="C29" s="557" t="s">
        <v>73</v>
      </c>
      <c r="D29" s="558" t="s">
        <v>2953</v>
      </c>
      <c r="E29" s="558" t="s">
        <v>2954</v>
      </c>
      <c r="F29" s="558" t="s">
        <v>2955</v>
      </c>
      <c r="G29" s="558" t="s">
        <v>2956</v>
      </c>
      <c r="H29" s="265"/>
      <c r="I29" s="265"/>
      <c r="J29" s="273"/>
      <c r="K29" s="273"/>
      <c r="L29" s="273"/>
      <c r="M29" s="273"/>
      <c r="N29" s="273"/>
      <c r="O29" s="273"/>
      <c r="P29" s="273"/>
      <c r="Q29" s="273"/>
      <c r="R29" s="273"/>
      <c r="S29" s="273"/>
      <c r="T29" s="265"/>
      <c r="U29" s="273"/>
      <c r="V29" s="273"/>
      <c r="W29" s="273"/>
      <c r="X29" s="273"/>
      <c r="Y29" s="273"/>
      <c r="Z29" s="273"/>
      <c r="AA29" s="273"/>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32"/>
      <c r="BO29" s="332"/>
      <c r="BP29" s="332"/>
      <c r="BQ29" s="332"/>
      <c r="BR29" s="332"/>
      <c r="BS29" s="332"/>
      <c r="BT29" s="332"/>
      <c r="BU29" s="332"/>
      <c r="BV29" s="332"/>
      <c r="BW29" s="332"/>
      <c r="BX29" s="332"/>
      <c r="BY29" s="332"/>
      <c r="BZ29" s="332"/>
      <c r="CA29" s="332"/>
      <c r="CB29" s="332"/>
      <c r="CC29" s="332"/>
      <c r="CD29" s="332"/>
      <c r="CE29" s="332"/>
      <c r="CF29" s="332"/>
      <c r="CG29" s="332"/>
      <c r="CH29" s="332"/>
      <c r="CI29" s="332"/>
      <c r="CJ29" s="332"/>
      <c r="CK29" s="332"/>
      <c r="CL29" s="332"/>
      <c r="CM29" s="332"/>
    </row>
    <row r="30" outlineLevel="1">
      <c r="A30" s="375" t="s">
        <v>381</v>
      </c>
      <c r="B30" s="325" t="str">
        <f t="shared" si="4"/>
        <v>TC_02.18</v>
      </c>
      <c r="C30" s="557" t="s">
        <v>73</v>
      </c>
      <c r="D30" s="558" t="s">
        <v>2957</v>
      </c>
      <c r="E30" s="558" t="s">
        <v>2958</v>
      </c>
      <c r="F30" s="558" t="s">
        <v>2959</v>
      </c>
      <c r="G30" s="558" t="s">
        <v>2960</v>
      </c>
      <c r="H30" s="265"/>
      <c r="I30" s="273"/>
      <c r="J30" s="273"/>
      <c r="K30" s="273"/>
      <c r="L30" s="273"/>
      <c r="M30" s="273"/>
      <c r="N30" s="273"/>
      <c r="O30" s="273"/>
      <c r="P30" s="273"/>
      <c r="Q30" s="273"/>
      <c r="R30" s="273"/>
      <c r="S30" s="273"/>
      <c r="T30" s="265"/>
      <c r="U30" s="273"/>
      <c r="V30" s="273"/>
      <c r="W30" s="273"/>
      <c r="X30" s="273"/>
      <c r="Y30" s="273"/>
      <c r="Z30" s="273"/>
      <c r="AA30" s="273"/>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c r="BR30" s="355"/>
      <c r="BS30" s="355"/>
      <c r="BT30" s="355"/>
      <c r="BU30" s="355"/>
      <c r="BV30" s="355"/>
      <c r="BW30" s="355"/>
      <c r="BX30" s="355"/>
      <c r="BY30" s="355"/>
      <c r="BZ30" s="355"/>
      <c r="CA30" s="355"/>
      <c r="CB30" s="355"/>
      <c r="CC30" s="355"/>
      <c r="CD30" s="355"/>
      <c r="CE30" s="355"/>
      <c r="CF30" s="355"/>
      <c r="CG30" s="355"/>
      <c r="CH30" s="355"/>
      <c r="CI30" s="355"/>
      <c r="CJ30" s="355"/>
      <c r="CK30" s="355"/>
      <c r="CL30" s="355"/>
      <c r="CM30" s="355"/>
    </row>
    <row r="31" outlineLevel="1">
      <c r="A31" s="375" t="s">
        <v>525</v>
      </c>
      <c r="B31" s="325" t="str">
        <f t="shared" si="4"/>
        <v>TC_02.19</v>
      </c>
      <c r="C31" s="592" t="s">
        <v>75</v>
      </c>
      <c r="D31" s="375" t="s">
        <v>2789</v>
      </c>
      <c r="E31" s="375" t="s">
        <v>2961</v>
      </c>
      <c r="F31" s="375" t="s">
        <v>2962</v>
      </c>
      <c r="G31" s="265" t="s">
        <v>2305</v>
      </c>
      <c r="H31" s="265"/>
      <c r="I31" s="273"/>
      <c r="J31" s="273"/>
      <c r="K31" s="273"/>
      <c r="L31" s="273"/>
      <c r="M31" s="273"/>
      <c r="N31" s="273"/>
      <c r="O31" s="273"/>
      <c r="P31" s="273"/>
      <c r="Q31" s="273"/>
      <c r="R31" s="273"/>
      <c r="S31" s="273"/>
      <c r="T31" s="265"/>
      <c r="U31" s="273"/>
      <c r="V31" s="273"/>
      <c r="W31" s="273"/>
      <c r="X31" s="273"/>
      <c r="Y31" s="273"/>
      <c r="Z31" s="273"/>
      <c r="AA31" s="273"/>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c r="BR31" s="355"/>
      <c r="BS31" s="355"/>
      <c r="BT31" s="355"/>
      <c r="BU31" s="355"/>
      <c r="BV31" s="355"/>
      <c r="BW31" s="355"/>
      <c r="BX31" s="355"/>
      <c r="BY31" s="355"/>
      <c r="BZ31" s="355"/>
      <c r="CA31" s="355"/>
      <c r="CB31" s="355"/>
      <c r="CC31" s="355"/>
      <c r="CD31" s="355"/>
      <c r="CE31" s="355"/>
      <c r="CF31" s="355"/>
      <c r="CG31" s="355"/>
      <c r="CH31" s="355"/>
      <c r="CI31" s="355"/>
      <c r="CJ31" s="355"/>
      <c r="CK31" s="355"/>
      <c r="CL31" s="355"/>
      <c r="CM31" s="355"/>
    </row>
    <row r="32" outlineLevel="1">
      <c r="A32" s="375" t="s">
        <v>525</v>
      </c>
      <c r="B32" s="325" t="str">
        <f t="shared" si="4"/>
        <v>TC_02.20</v>
      </c>
      <c r="C32" s="592" t="s">
        <v>75</v>
      </c>
      <c r="D32" s="375" t="s">
        <v>2791</v>
      </c>
      <c r="E32" s="375" t="s">
        <v>2961</v>
      </c>
      <c r="F32" s="375" t="s">
        <v>2963</v>
      </c>
      <c r="G32" s="265" t="s">
        <v>2308</v>
      </c>
      <c r="H32" s="265"/>
      <c r="I32" s="273"/>
      <c r="J32" s="273"/>
      <c r="K32" s="273"/>
      <c r="L32" s="273"/>
      <c r="M32" s="273"/>
      <c r="N32" s="273"/>
      <c r="O32" s="273"/>
      <c r="P32" s="273"/>
      <c r="Q32" s="273"/>
      <c r="R32" s="273"/>
      <c r="S32" s="273"/>
      <c r="T32" s="265"/>
      <c r="U32" s="273"/>
      <c r="V32" s="273"/>
      <c r="W32" s="273"/>
      <c r="X32" s="273"/>
      <c r="Y32" s="273"/>
      <c r="Z32" s="273"/>
      <c r="AA32" s="273"/>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c r="BR32" s="355"/>
      <c r="BS32" s="355"/>
      <c r="BT32" s="355"/>
      <c r="BU32" s="355"/>
      <c r="BV32" s="355"/>
      <c r="BW32" s="355"/>
      <c r="BX32" s="355"/>
      <c r="BY32" s="355"/>
      <c r="BZ32" s="355"/>
      <c r="CA32" s="355"/>
      <c r="CB32" s="355"/>
      <c r="CC32" s="355"/>
      <c r="CD32" s="355"/>
      <c r="CE32" s="355"/>
      <c r="CF32" s="355"/>
      <c r="CG32" s="355"/>
      <c r="CH32" s="355"/>
      <c r="CI32" s="355"/>
      <c r="CJ32" s="355"/>
      <c r="CK32" s="355"/>
      <c r="CL32" s="355"/>
      <c r="CM32" s="355"/>
    </row>
    <row r="33" outlineLevel="1">
      <c r="A33" s="375" t="s">
        <v>525</v>
      </c>
      <c r="B33" s="325" t="str">
        <f t="shared" si="4"/>
        <v>TC_02.21</v>
      </c>
      <c r="C33" s="592" t="s">
        <v>75</v>
      </c>
      <c r="D33" s="375" t="s">
        <v>2793</v>
      </c>
      <c r="E33" s="375" t="s">
        <v>2961</v>
      </c>
      <c r="F33" s="375" t="s">
        <v>2964</v>
      </c>
      <c r="G33" s="265" t="s">
        <v>2311</v>
      </c>
      <c r="H33" s="265"/>
      <c r="I33" s="273"/>
      <c r="J33" s="273"/>
      <c r="K33" s="273"/>
      <c r="L33" s="273"/>
      <c r="M33" s="273"/>
      <c r="N33" s="273"/>
      <c r="O33" s="273"/>
      <c r="P33" s="273"/>
      <c r="Q33" s="273"/>
      <c r="R33" s="273"/>
      <c r="S33" s="273"/>
      <c r="T33" s="265"/>
      <c r="U33" s="273"/>
      <c r="V33" s="273"/>
      <c r="W33" s="273"/>
      <c r="X33" s="273"/>
      <c r="Y33" s="273"/>
      <c r="Z33" s="273"/>
      <c r="AA33" s="273"/>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c r="BR33" s="355"/>
      <c r="BS33" s="355"/>
      <c r="BT33" s="355"/>
      <c r="BU33" s="355"/>
      <c r="BV33" s="355"/>
      <c r="BW33" s="355"/>
      <c r="BX33" s="355"/>
      <c r="BY33" s="355"/>
      <c r="BZ33" s="355"/>
      <c r="CA33" s="355"/>
      <c r="CB33" s="355"/>
      <c r="CC33" s="355"/>
      <c r="CD33" s="355"/>
      <c r="CE33" s="355"/>
      <c r="CF33" s="355"/>
      <c r="CG33" s="355"/>
      <c r="CH33" s="355"/>
      <c r="CI33" s="355"/>
      <c r="CJ33" s="355"/>
      <c r="CK33" s="355"/>
      <c r="CL33" s="355"/>
      <c r="CM33" s="355"/>
    </row>
    <row r="34" outlineLevel="1">
      <c r="A34" s="375" t="s">
        <v>525</v>
      </c>
      <c r="B34" s="325" t="str">
        <f t="shared" si="4"/>
        <v>TC_02.22</v>
      </c>
      <c r="C34" s="592" t="s">
        <v>75</v>
      </c>
      <c r="D34" s="375" t="s">
        <v>2795</v>
      </c>
      <c r="E34" s="375" t="s">
        <v>2961</v>
      </c>
      <c r="F34" s="375" t="s">
        <v>2965</v>
      </c>
      <c r="G34" s="375" t="s">
        <v>2797</v>
      </c>
      <c r="H34" s="265"/>
      <c r="I34" s="273"/>
      <c r="J34" s="273"/>
      <c r="K34" s="273"/>
      <c r="L34" s="273"/>
      <c r="M34" s="273"/>
      <c r="N34" s="273"/>
      <c r="O34" s="273"/>
      <c r="P34" s="273"/>
      <c r="Q34" s="273"/>
      <c r="R34" s="273"/>
      <c r="S34" s="273"/>
      <c r="T34" s="265"/>
      <c r="U34" s="273"/>
      <c r="V34" s="273"/>
      <c r="W34" s="273"/>
      <c r="X34" s="273"/>
      <c r="Y34" s="273"/>
      <c r="Z34" s="273"/>
      <c r="AA34" s="273"/>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c r="BR34" s="355"/>
      <c r="BS34" s="355"/>
      <c r="BT34" s="355"/>
      <c r="BU34" s="355"/>
      <c r="BV34" s="355"/>
      <c r="BW34" s="355"/>
      <c r="BX34" s="355"/>
      <c r="BY34" s="355"/>
      <c r="BZ34" s="355"/>
      <c r="CA34" s="355"/>
      <c r="CB34" s="355"/>
      <c r="CC34" s="355"/>
      <c r="CD34" s="355"/>
      <c r="CE34" s="355"/>
      <c r="CF34" s="355"/>
      <c r="CG34" s="355"/>
      <c r="CH34" s="355"/>
      <c r="CI34" s="355"/>
      <c r="CJ34" s="355"/>
      <c r="CK34" s="355"/>
      <c r="CL34" s="355"/>
      <c r="CM34" s="355"/>
    </row>
    <row r="35" outlineLevel="1">
      <c r="A35" s="375" t="s">
        <v>525</v>
      </c>
      <c r="B35" s="325" t="str">
        <f t="shared" si="4"/>
        <v>TC_02.23</v>
      </c>
      <c r="C35" s="592" t="s">
        <v>75</v>
      </c>
      <c r="D35" s="375" t="s">
        <v>2798</v>
      </c>
      <c r="E35" s="375" t="s">
        <v>2961</v>
      </c>
      <c r="F35" s="375" t="s">
        <v>2966</v>
      </c>
      <c r="G35" s="375" t="s">
        <v>2800</v>
      </c>
      <c r="H35" s="265"/>
      <c r="I35" s="273"/>
      <c r="J35" s="273"/>
      <c r="K35" s="273"/>
      <c r="L35" s="273"/>
      <c r="M35" s="273"/>
      <c r="N35" s="273"/>
      <c r="O35" s="273"/>
      <c r="P35" s="273"/>
      <c r="Q35" s="273"/>
      <c r="R35" s="273"/>
      <c r="S35" s="273"/>
      <c r="T35" s="265"/>
      <c r="U35" s="273"/>
      <c r="V35" s="273"/>
      <c r="W35" s="273"/>
      <c r="X35" s="273"/>
      <c r="Y35" s="273"/>
      <c r="Z35" s="273"/>
      <c r="AA35" s="273"/>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c r="BR35" s="355"/>
      <c r="BS35" s="355"/>
      <c r="BT35" s="355"/>
      <c r="BU35" s="355"/>
      <c r="BV35" s="355"/>
      <c r="BW35" s="355"/>
      <c r="BX35" s="355"/>
      <c r="BY35" s="355"/>
      <c r="BZ35" s="355"/>
      <c r="CA35" s="355"/>
      <c r="CB35" s="355"/>
      <c r="CC35" s="355"/>
      <c r="CD35" s="355"/>
      <c r="CE35" s="355"/>
      <c r="CF35" s="355"/>
      <c r="CG35" s="355"/>
      <c r="CH35" s="355"/>
      <c r="CI35" s="355"/>
      <c r="CJ35" s="355"/>
      <c r="CK35" s="355"/>
      <c r="CL35" s="355"/>
      <c r="CM35" s="355"/>
    </row>
    <row r="36" outlineLevel="1">
      <c r="A36" s="375" t="s">
        <v>525</v>
      </c>
      <c r="B36" s="325" t="str">
        <f t="shared" si="4"/>
        <v>TC_02.24</v>
      </c>
      <c r="C36" s="557" t="s">
        <v>73</v>
      </c>
      <c r="D36" s="375" t="s">
        <v>2801</v>
      </c>
      <c r="E36" s="375" t="s">
        <v>2961</v>
      </c>
      <c r="F36" s="375" t="s">
        <v>2967</v>
      </c>
      <c r="G36" s="375" t="s">
        <v>2968</v>
      </c>
      <c r="H36" s="265"/>
      <c r="I36" s="273"/>
      <c r="J36" s="273"/>
      <c r="K36" s="273"/>
      <c r="L36" s="273"/>
      <c r="M36" s="273"/>
      <c r="N36" s="273"/>
      <c r="O36" s="273"/>
      <c r="P36" s="273"/>
      <c r="Q36" s="273"/>
      <c r="R36" s="273"/>
      <c r="S36" s="273"/>
      <c r="T36" s="265"/>
      <c r="U36" s="273"/>
      <c r="V36" s="273"/>
      <c r="W36" s="273"/>
      <c r="X36" s="273"/>
      <c r="Y36" s="273"/>
      <c r="Z36" s="273"/>
      <c r="AA36" s="273"/>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c r="BR36" s="355"/>
      <c r="BS36" s="355"/>
      <c r="BT36" s="355"/>
      <c r="BU36" s="355"/>
      <c r="BV36" s="355"/>
      <c r="BW36" s="355"/>
      <c r="BX36" s="355"/>
      <c r="BY36" s="355"/>
      <c r="BZ36" s="355"/>
      <c r="CA36" s="355"/>
      <c r="CB36" s="355"/>
      <c r="CC36" s="355"/>
      <c r="CD36" s="355"/>
      <c r="CE36" s="355"/>
      <c r="CF36" s="355"/>
      <c r="CG36" s="355"/>
      <c r="CH36" s="355"/>
      <c r="CI36" s="355"/>
      <c r="CJ36" s="355"/>
      <c r="CK36" s="355"/>
      <c r="CL36" s="355"/>
      <c r="CM36" s="355"/>
    </row>
    <row r="37" outlineLevel="1">
      <c r="A37" s="375" t="s">
        <v>525</v>
      </c>
      <c r="B37" s="325" t="str">
        <f t="shared" si="4"/>
        <v>TC_02.25</v>
      </c>
      <c r="C37" s="557" t="s">
        <v>73</v>
      </c>
      <c r="D37" s="558" t="s">
        <v>2969</v>
      </c>
      <c r="E37" s="558" t="s">
        <v>2970</v>
      </c>
      <c r="F37" s="558" t="s">
        <v>2971</v>
      </c>
      <c r="G37" s="561" t="s">
        <v>2972</v>
      </c>
      <c r="H37" s="265"/>
      <c r="I37" s="273"/>
      <c r="J37" s="273"/>
      <c r="K37" s="273"/>
      <c r="L37" s="273"/>
      <c r="M37" s="273"/>
      <c r="N37" s="273"/>
      <c r="O37" s="273"/>
      <c r="P37" s="273"/>
      <c r="Q37" s="273"/>
      <c r="R37" s="273"/>
      <c r="S37" s="273"/>
      <c r="T37" s="265"/>
      <c r="U37" s="273"/>
      <c r="V37" s="273"/>
      <c r="W37" s="273"/>
      <c r="X37" s="273"/>
      <c r="Y37" s="273"/>
      <c r="Z37" s="273"/>
      <c r="AA37" s="273"/>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c r="CM37" s="355"/>
    </row>
    <row r="38" outlineLevel="1">
      <c r="A38" s="375" t="s">
        <v>381</v>
      </c>
      <c r="B38" s="325" t="str">
        <f t="shared" si="4"/>
        <v>TC_02.26</v>
      </c>
      <c r="C38" s="557" t="s">
        <v>75</v>
      </c>
      <c r="D38" s="558" t="s">
        <v>2973</v>
      </c>
      <c r="E38" s="558" t="s">
        <v>2974</v>
      </c>
      <c r="F38" s="558" t="s">
        <v>2975</v>
      </c>
      <c r="G38" s="558" t="s">
        <v>2976</v>
      </c>
      <c r="H38" s="265"/>
      <c r="I38" s="265"/>
      <c r="J38" s="273"/>
      <c r="K38" s="273"/>
      <c r="L38" s="273"/>
      <c r="M38" s="273"/>
      <c r="N38" s="273"/>
      <c r="O38" s="273"/>
      <c r="P38" s="273"/>
      <c r="Q38" s="273"/>
      <c r="R38" s="273"/>
      <c r="S38" s="273"/>
      <c r="T38" s="265"/>
      <c r="U38" s="273"/>
      <c r="V38" s="273"/>
      <c r="W38" s="273"/>
      <c r="X38" s="273"/>
      <c r="Y38" s="273"/>
      <c r="Z38" s="273"/>
      <c r="AA38" s="273"/>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c r="BW38" s="355"/>
      <c r="BX38" s="355"/>
      <c r="BY38" s="355"/>
      <c r="BZ38" s="355"/>
      <c r="CA38" s="355"/>
      <c r="CB38" s="355"/>
      <c r="CC38" s="355"/>
      <c r="CD38" s="355"/>
      <c r="CE38" s="355"/>
      <c r="CF38" s="355"/>
      <c r="CG38" s="355"/>
      <c r="CH38" s="355"/>
      <c r="CI38" s="355"/>
      <c r="CJ38" s="355"/>
      <c r="CK38" s="355"/>
      <c r="CL38" s="355"/>
      <c r="CM38" s="355"/>
    </row>
    <row r="39" outlineLevel="1">
      <c r="A39" s="375" t="s">
        <v>381</v>
      </c>
      <c r="B39" s="325" t="str">
        <f t="shared" si="4"/>
        <v>TC_02.27</v>
      </c>
      <c r="C39" s="557" t="s">
        <v>77</v>
      </c>
      <c r="D39" s="558" t="s">
        <v>2977</v>
      </c>
      <c r="E39" s="558" t="s">
        <v>2937</v>
      </c>
      <c r="F39" s="558" t="s">
        <v>2978</v>
      </c>
      <c r="G39" s="558" t="s">
        <v>2979</v>
      </c>
      <c r="H39" s="265"/>
      <c r="I39" s="273"/>
      <c r="J39" s="273"/>
      <c r="K39" s="273"/>
      <c r="L39" s="273"/>
      <c r="M39" s="273"/>
      <c r="N39" s="273"/>
      <c r="O39" s="273"/>
      <c r="P39" s="273"/>
      <c r="Q39" s="273"/>
      <c r="R39" s="273"/>
      <c r="S39" s="273"/>
      <c r="T39" s="265"/>
      <c r="U39" s="273"/>
      <c r="V39" s="273"/>
      <c r="W39" s="273"/>
      <c r="X39" s="273"/>
      <c r="Y39" s="273"/>
      <c r="Z39" s="273"/>
      <c r="AA39" s="273"/>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c r="BW39" s="355"/>
      <c r="BX39" s="355"/>
      <c r="BY39" s="355"/>
      <c r="BZ39" s="355"/>
      <c r="CA39" s="355"/>
      <c r="CB39" s="355"/>
      <c r="CC39" s="355"/>
      <c r="CD39" s="355"/>
      <c r="CE39" s="355"/>
      <c r="CF39" s="355"/>
      <c r="CG39" s="355"/>
      <c r="CH39" s="355"/>
      <c r="CI39" s="355"/>
      <c r="CJ39" s="355"/>
      <c r="CK39" s="355"/>
      <c r="CL39" s="355"/>
      <c r="CM39" s="355"/>
    </row>
    <row r="40">
      <c r="A40" s="273"/>
      <c r="B40" s="570" t="s">
        <v>2980</v>
      </c>
      <c r="C40" s="148"/>
      <c r="D40" s="148"/>
      <c r="E40" s="148"/>
      <c r="F40" s="148"/>
      <c r="G40" s="171"/>
      <c r="H40" s="265"/>
      <c r="I40" s="265"/>
      <c r="J40" s="273"/>
      <c r="K40" s="273"/>
      <c r="L40" s="273"/>
      <c r="M40" s="273"/>
      <c r="N40" s="273"/>
      <c r="O40" s="273"/>
      <c r="P40" s="273"/>
      <c r="Q40" s="273"/>
      <c r="R40" s="273"/>
      <c r="S40" s="273"/>
      <c r="T40" s="265"/>
      <c r="U40" s="273"/>
      <c r="V40" s="273"/>
      <c r="W40" s="273"/>
      <c r="X40" s="273"/>
      <c r="Y40" s="273"/>
      <c r="Z40" s="273"/>
      <c r="AA40" s="273"/>
      <c r="AB40" s="332"/>
      <c r="AC40" s="332"/>
      <c r="AD40" s="332"/>
      <c r="AE40" s="332"/>
      <c r="AF40" s="332"/>
      <c r="AG40" s="332"/>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2"/>
      <c r="BD40" s="332"/>
      <c r="BE40" s="332"/>
      <c r="BF40" s="332"/>
      <c r="BG40" s="332"/>
      <c r="BH40" s="332"/>
      <c r="BI40" s="332"/>
      <c r="BJ40" s="332"/>
      <c r="BK40" s="332"/>
      <c r="BL40" s="332"/>
      <c r="BM40" s="332"/>
      <c r="BN40" s="332"/>
      <c r="BO40" s="332"/>
      <c r="BP40" s="332"/>
      <c r="BQ40" s="332"/>
      <c r="BR40" s="332"/>
      <c r="BS40" s="332"/>
      <c r="BT40" s="332"/>
      <c r="BU40" s="332"/>
      <c r="BV40" s="332"/>
      <c r="BW40" s="332"/>
      <c r="BX40" s="332"/>
      <c r="BY40" s="332"/>
      <c r="BZ40" s="332"/>
      <c r="CA40" s="332"/>
      <c r="CB40" s="332"/>
      <c r="CC40" s="332"/>
      <c r="CD40" s="332"/>
      <c r="CE40" s="332"/>
      <c r="CF40" s="332"/>
      <c r="CG40" s="332"/>
      <c r="CH40" s="332"/>
      <c r="CI40" s="332"/>
      <c r="CJ40" s="332"/>
      <c r="CK40" s="332"/>
      <c r="CL40" s="332"/>
      <c r="CM40" s="332"/>
    </row>
    <row r="41" outlineLevel="1">
      <c r="A41" s="375" t="s">
        <v>381</v>
      </c>
      <c r="B41" s="325" t="str">
        <f t="shared" ref="B41:B43" si="5">IF(F41="","",$D$3&amp;"."&amp;COUNTA($F$10:F41)&amp;"")</f>
        <v>TC_02.28</v>
      </c>
      <c r="C41" s="563" t="s">
        <v>73</v>
      </c>
      <c r="D41" s="558" t="s">
        <v>2981</v>
      </c>
      <c r="E41" s="558" t="s">
        <v>2982</v>
      </c>
      <c r="F41" s="558" t="s">
        <v>2983</v>
      </c>
      <c r="G41" s="558" t="s">
        <v>2984</v>
      </c>
      <c r="H41" s="265"/>
      <c r="I41" s="265"/>
      <c r="J41" s="273"/>
      <c r="K41" s="273"/>
      <c r="L41" s="265"/>
      <c r="M41" s="265"/>
      <c r="N41" s="273"/>
      <c r="O41" s="273"/>
      <c r="P41" s="265"/>
      <c r="Q41" s="265"/>
      <c r="R41" s="273"/>
      <c r="S41" s="273"/>
      <c r="T41" s="265"/>
      <c r="U41" s="265"/>
      <c r="V41" s="273"/>
      <c r="W41" s="273"/>
      <c r="X41" s="265"/>
      <c r="Y41" s="265"/>
      <c r="Z41" s="273"/>
      <c r="AA41" s="273"/>
      <c r="AB41" s="359"/>
      <c r="AC41" s="356"/>
      <c r="AD41" s="357"/>
      <c r="AE41" s="358"/>
      <c r="AF41" s="43"/>
      <c r="AG41" s="356"/>
      <c r="AH41" s="572"/>
      <c r="AI41" s="364"/>
      <c r="AJ41" s="43"/>
      <c r="AK41" s="356"/>
      <c r="AL41" s="353"/>
      <c r="AM41" s="364"/>
      <c r="AN41" s="43"/>
      <c r="AO41" s="356"/>
      <c r="AP41" s="353"/>
      <c r="AQ41" s="364"/>
      <c r="AR41" s="468"/>
      <c r="AS41" s="357"/>
      <c r="AT41" s="357"/>
      <c r="AU41" s="358"/>
      <c r="AV41" s="468"/>
      <c r="AW41" s="357"/>
      <c r="AX41" s="357"/>
      <c r="AY41" s="358"/>
      <c r="AZ41" s="468"/>
      <c r="BA41" s="357"/>
      <c r="BB41" s="357"/>
      <c r="BC41" s="573"/>
      <c r="BD41" s="574"/>
      <c r="BE41" s="574"/>
      <c r="BF41" s="574"/>
      <c r="BG41" s="574"/>
      <c r="BH41" s="574"/>
      <c r="BI41" s="574"/>
      <c r="BJ41" s="574"/>
      <c r="BK41" s="574"/>
      <c r="BL41" s="574"/>
      <c r="BM41" s="574"/>
      <c r="BN41" s="574"/>
      <c r="BO41" s="574"/>
      <c r="BP41" s="574"/>
      <c r="BQ41" s="574"/>
      <c r="BR41" s="574"/>
      <c r="BS41" s="574"/>
      <c r="BT41" s="574"/>
      <c r="BU41" s="574"/>
      <c r="BV41" s="574"/>
      <c r="BW41" s="574"/>
      <c r="BX41" s="574"/>
      <c r="BY41" s="574"/>
      <c r="BZ41" s="574"/>
      <c r="CA41" s="574"/>
      <c r="CB41" s="574"/>
      <c r="CC41" s="574"/>
      <c r="CD41" s="574"/>
      <c r="CE41" s="574"/>
      <c r="CF41" s="574"/>
      <c r="CG41" s="574"/>
      <c r="CH41" s="574"/>
      <c r="CI41" s="574"/>
      <c r="CJ41" s="574"/>
      <c r="CK41" s="574"/>
      <c r="CL41" s="574"/>
      <c r="CM41" s="574"/>
    </row>
    <row r="42" outlineLevel="1">
      <c r="A42" s="375" t="s">
        <v>381</v>
      </c>
      <c r="B42" s="325" t="str">
        <f t="shared" si="5"/>
        <v>TC_02.29</v>
      </c>
      <c r="C42" s="557" t="s">
        <v>73</v>
      </c>
      <c r="D42" s="558" t="s">
        <v>2985</v>
      </c>
      <c r="E42" s="558" t="s">
        <v>2986</v>
      </c>
      <c r="F42" s="558" t="s">
        <v>2987</v>
      </c>
      <c r="G42" s="558" t="s">
        <v>2988</v>
      </c>
      <c r="H42" s="265"/>
      <c r="I42" s="265"/>
      <c r="J42" s="273"/>
      <c r="K42" s="273"/>
      <c r="L42" s="265"/>
      <c r="M42" s="265"/>
      <c r="N42" s="265"/>
      <c r="O42" s="273"/>
      <c r="P42" s="265"/>
      <c r="Q42" s="265"/>
      <c r="R42" s="265"/>
      <c r="S42" s="273"/>
      <c r="T42" s="265"/>
      <c r="U42" s="265"/>
      <c r="V42" s="265"/>
      <c r="W42" s="265"/>
      <c r="X42" s="265"/>
      <c r="Y42" s="265"/>
      <c r="Z42" s="265"/>
      <c r="AA42" s="265"/>
      <c r="AB42" s="43"/>
      <c r="AC42" s="356"/>
      <c r="AD42" s="575"/>
      <c r="AE42" s="364"/>
      <c r="AF42" s="43"/>
      <c r="AG42" s="356"/>
      <c r="AH42" s="572"/>
      <c r="AI42" s="364"/>
      <c r="AJ42" s="43"/>
      <c r="AK42" s="356"/>
      <c r="AL42" s="353"/>
      <c r="AM42" s="364"/>
      <c r="AN42" s="43"/>
      <c r="AO42" s="356"/>
      <c r="AP42" s="353"/>
      <c r="AQ42" s="364"/>
      <c r="AR42" s="61"/>
      <c r="AS42" s="353"/>
      <c r="AT42" s="353"/>
      <c r="AU42" s="354"/>
      <c r="AV42" s="61"/>
      <c r="AW42" s="353"/>
      <c r="AX42" s="353"/>
      <c r="AY42" s="354"/>
      <c r="AZ42" s="61"/>
      <c r="BA42" s="353"/>
      <c r="BB42" s="353"/>
      <c r="BC42" s="576"/>
      <c r="BD42" s="369"/>
      <c r="BE42" s="369"/>
      <c r="BF42" s="369"/>
      <c r="BG42" s="369"/>
      <c r="BH42" s="369"/>
      <c r="BI42" s="369"/>
      <c r="BJ42" s="369"/>
      <c r="BK42" s="369"/>
      <c r="BL42" s="369"/>
      <c r="BM42" s="369"/>
      <c r="BN42" s="369"/>
      <c r="BO42" s="369"/>
      <c r="BP42" s="369"/>
      <c r="BQ42" s="369"/>
      <c r="BR42" s="369"/>
      <c r="BS42" s="369"/>
      <c r="BT42" s="369"/>
      <c r="BU42" s="369"/>
      <c r="BV42" s="369"/>
      <c r="BW42" s="369"/>
      <c r="BX42" s="369"/>
      <c r="BY42" s="369"/>
      <c r="BZ42" s="369"/>
      <c r="CA42" s="369"/>
      <c r="CB42" s="369"/>
      <c r="CC42" s="369"/>
      <c r="CD42" s="369"/>
      <c r="CE42" s="369"/>
      <c r="CF42" s="369"/>
      <c r="CG42" s="369"/>
      <c r="CH42" s="369"/>
      <c r="CI42" s="369"/>
      <c r="CJ42" s="369"/>
      <c r="CK42" s="369"/>
      <c r="CL42" s="369"/>
      <c r="CM42" s="369"/>
    </row>
    <row r="43" outlineLevel="1">
      <c r="A43" s="375" t="s">
        <v>381</v>
      </c>
      <c r="B43" s="325" t="str">
        <f t="shared" si="5"/>
        <v>TC_02.30</v>
      </c>
      <c r="C43" s="557" t="s">
        <v>73</v>
      </c>
      <c r="D43" s="558" t="s">
        <v>2989</v>
      </c>
      <c r="E43" s="558" t="s">
        <v>2990</v>
      </c>
      <c r="F43" s="558" t="s">
        <v>2991</v>
      </c>
      <c r="G43" s="558" t="s">
        <v>2992</v>
      </c>
      <c r="H43" s="265"/>
      <c r="I43" s="265"/>
      <c r="J43" s="273"/>
      <c r="K43" s="273"/>
      <c r="L43" s="265"/>
      <c r="M43" s="265"/>
      <c r="N43" s="265"/>
      <c r="O43" s="273"/>
      <c r="P43" s="265"/>
      <c r="Q43" s="265"/>
      <c r="R43" s="265"/>
      <c r="S43" s="273"/>
      <c r="T43" s="265"/>
      <c r="U43" s="265"/>
      <c r="V43" s="265"/>
      <c r="W43" s="265"/>
      <c r="X43" s="265"/>
      <c r="Y43" s="265"/>
      <c r="Z43" s="265"/>
      <c r="AA43" s="265"/>
      <c r="AB43" s="43"/>
      <c r="AC43" s="356"/>
      <c r="AD43" s="575"/>
      <c r="AE43" s="364"/>
      <c r="AF43" s="43"/>
      <c r="AG43" s="356"/>
      <c r="AH43" s="572"/>
      <c r="AI43" s="364"/>
      <c r="AJ43" s="43"/>
      <c r="AK43" s="356"/>
      <c r="AL43" s="353"/>
      <c r="AM43" s="364"/>
      <c r="AN43" s="43"/>
      <c r="AO43" s="356"/>
      <c r="AP43" s="353"/>
      <c r="AQ43" s="364"/>
      <c r="AR43" s="61"/>
      <c r="AS43" s="353"/>
      <c r="AT43" s="353"/>
      <c r="AU43" s="354"/>
      <c r="AV43" s="61"/>
      <c r="AW43" s="353"/>
      <c r="AX43" s="353"/>
      <c r="AY43" s="354"/>
      <c r="AZ43" s="61"/>
      <c r="BA43" s="353"/>
      <c r="BB43" s="353"/>
      <c r="BC43" s="576"/>
      <c r="BD43" s="369"/>
      <c r="BE43" s="369"/>
      <c r="BF43" s="369"/>
      <c r="BG43" s="369"/>
      <c r="BH43" s="369"/>
      <c r="BI43" s="369"/>
      <c r="BJ43" s="369"/>
      <c r="BK43" s="369"/>
      <c r="BL43" s="369"/>
      <c r="BM43" s="369"/>
      <c r="BN43" s="369"/>
      <c r="BO43" s="369"/>
      <c r="BP43" s="369"/>
      <c r="BQ43" s="369"/>
      <c r="BR43" s="369"/>
      <c r="BS43" s="369"/>
      <c r="BT43" s="369"/>
      <c r="BU43" s="369"/>
      <c r="BV43" s="369"/>
      <c r="BW43" s="369"/>
      <c r="BX43" s="369"/>
      <c r="BY43" s="369"/>
      <c r="BZ43" s="369"/>
      <c r="CA43" s="369"/>
      <c r="CB43" s="369"/>
      <c r="CC43" s="369"/>
      <c r="CD43" s="369"/>
      <c r="CE43" s="369"/>
      <c r="CF43" s="369"/>
      <c r="CG43" s="369"/>
      <c r="CH43" s="369"/>
      <c r="CI43" s="369"/>
      <c r="CJ43" s="369"/>
      <c r="CK43" s="369"/>
      <c r="CL43" s="369"/>
      <c r="CM43" s="369"/>
    </row>
    <row r="44">
      <c r="A44" s="590"/>
      <c r="B44" s="570" t="s">
        <v>2993</v>
      </c>
      <c r="C44" s="148"/>
      <c r="D44" s="148"/>
      <c r="E44" s="148"/>
      <c r="F44" s="148"/>
      <c r="G44" s="171"/>
      <c r="H44" s="265"/>
      <c r="I44" s="265"/>
      <c r="J44" s="273"/>
      <c r="K44" s="273"/>
      <c r="L44" s="273"/>
      <c r="M44" s="273"/>
      <c r="N44" s="273"/>
      <c r="O44" s="273"/>
      <c r="P44" s="273"/>
      <c r="Q44" s="273"/>
      <c r="R44" s="273"/>
      <c r="S44" s="273"/>
      <c r="T44" s="265"/>
      <c r="U44" s="273"/>
      <c r="V44" s="273"/>
      <c r="W44" s="273"/>
      <c r="X44" s="273"/>
      <c r="Y44" s="273"/>
      <c r="Z44" s="273"/>
      <c r="AA44" s="273"/>
      <c r="AB44" s="332"/>
      <c r="AC44" s="332"/>
      <c r="AD44" s="332"/>
      <c r="AE44" s="332"/>
      <c r="AF44" s="332"/>
      <c r="AG44" s="332"/>
      <c r="AH44" s="332"/>
      <c r="AI44" s="332"/>
      <c r="AJ44" s="332"/>
      <c r="AK44" s="332"/>
      <c r="AL44" s="332"/>
      <c r="AM44" s="332"/>
      <c r="AN44" s="332"/>
      <c r="AO44" s="332"/>
      <c r="AP44" s="332"/>
      <c r="AQ44" s="332"/>
      <c r="AR44" s="332"/>
      <c r="AS44" s="332"/>
      <c r="AT44" s="332"/>
      <c r="AU44" s="332"/>
      <c r="AV44" s="332"/>
      <c r="AW44" s="332"/>
      <c r="AX44" s="332"/>
      <c r="AY44" s="332"/>
      <c r="AZ44" s="332"/>
      <c r="BA44" s="332"/>
      <c r="BB44" s="332"/>
      <c r="BC44" s="332"/>
      <c r="BD44" s="332"/>
      <c r="BE44" s="332"/>
      <c r="BF44" s="332"/>
      <c r="BG44" s="332"/>
      <c r="BH44" s="332"/>
      <c r="BI44" s="332"/>
      <c r="BJ44" s="332"/>
      <c r="BK44" s="332"/>
      <c r="BL44" s="332"/>
      <c r="BM44" s="332"/>
      <c r="BN44" s="332"/>
      <c r="BO44" s="332"/>
      <c r="BP44" s="332"/>
      <c r="BQ44" s="332"/>
      <c r="BR44" s="332"/>
      <c r="BS44" s="332"/>
      <c r="BT44" s="332"/>
      <c r="BU44" s="332"/>
      <c r="BV44" s="332"/>
      <c r="BW44" s="332"/>
      <c r="BX44" s="332"/>
      <c r="BY44" s="332"/>
      <c r="BZ44" s="332"/>
      <c r="CA44" s="332"/>
      <c r="CB44" s="332"/>
      <c r="CC44" s="332"/>
      <c r="CD44" s="332"/>
      <c r="CE44" s="332"/>
      <c r="CF44" s="332"/>
      <c r="CG44" s="332"/>
      <c r="CH44" s="332"/>
      <c r="CI44" s="332"/>
      <c r="CJ44" s="332"/>
      <c r="CK44" s="332"/>
      <c r="CL44" s="332"/>
      <c r="CM44" s="332"/>
    </row>
    <row r="45" outlineLevel="1">
      <c r="A45" s="375" t="s">
        <v>381</v>
      </c>
      <c r="B45" s="325" t="str">
        <f t="shared" ref="B45:B51" si="6">IF(F45="","",$D$3&amp;"."&amp;COUNTA($F$10:F45)&amp;"")</f>
        <v>TC_02.31</v>
      </c>
      <c r="C45" s="557" t="s">
        <v>73</v>
      </c>
      <c r="D45" s="558" t="s">
        <v>2994</v>
      </c>
      <c r="E45" s="558" t="s">
        <v>2995</v>
      </c>
      <c r="F45" s="558" t="s">
        <v>2996</v>
      </c>
      <c r="G45" s="558" t="s">
        <v>2997</v>
      </c>
      <c r="H45" s="265"/>
      <c r="I45" s="265"/>
      <c r="J45" s="273"/>
      <c r="K45" s="273"/>
      <c r="L45" s="265"/>
      <c r="M45" s="265"/>
      <c r="N45" s="265"/>
      <c r="O45" s="273"/>
      <c r="P45" s="265"/>
      <c r="Q45" s="265"/>
      <c r="R45" s="265"/>
      <c r="S45" s="273"/>
      <c r="T45" s="265"/>
      <c r="U45" s="265"/>
      <c r="V45" s="265"/>
      <c r="W45" s="265"/>
      <c r="X45" s="265"/>
      <c r="Y45" s="265"/>
      <c r="Z45" s="265"/>
      <c r="AA45" s="265"/>
      <c r="AB45" s="577"/>
      <c r="AC45" s="578"/>
      <c r="AD45" s="579"/>
      <c r="AE45" s="365"/>
      <c r="AF45" s="577"/>
      <c r="AG45" s="578"/>
      <c r="AH45" s="580"/>
      <c r="AI45" s="365"/>
      <c r="AJ45" s="577"/>
      <c r="AK45" s="578"/>
      <c r="AL45" s="581"/>
      <c r="AM45" s="365"/>
      <c r="AN45" s="577"/>
      <c r="AO45" s="578"/>
      <c r="AP45" s="581"/>
      <c r="AQ45" s="365"/>
      <c r="AR45" s="582"/>
      <c r="AS45" s="581"/>
      <c r="AT45" s="581"/>
      <c r="AU45" s="355"/>
      <c r="AV45" s="582"/>
      <c r="AW45" s="581"/>
      <c r="AX45" s="581"/>
      <c r="AY45" s="355"/>
      <c r="AZ45" s="582"/>
      <c r="BA45" s="581"/>
      <c r="BB45" s="581"/>
      <c r="BC45" s="355"/>
      <c r="BD45" s="369"/>
      <c r="BE45" s="369"/>
      <c r="BF45" s="369"/>
      <c r="BG45" s="369"/>
      <c r="BH45" s="369"/>
      <c r="BI45" s="369"/>
      <c r="BJ45" s="369"/>
      <c r="BK45" s="369"/>
      <c r="BL45" s="369"/>
      <c r="BM45" s="369"/>
      <c r="BN45" s="369"/>
      <c r="BO45" s="369"/>
      <c r="BP45" s="369"/>
      <c r="BQ45" s="369"/>
      <c r="BR45" s="369"/>
      <c r="BS45" s="369"/>
      <c r="BT45" s="369"/>
      <c r="BU45" s="369"/>
      <c r="BV45" s="369"/>
      <c r="BW45" s="369"/>
      <c r="BX45" s="369"/>
      <c r="BY45" s="369"/>
      <c r="BZ45" s="369"/>
      <c r="CA45" s="369"/>
      <c r="CB45" s="369"/>
      <c r="CC45" s="369"/>
      <c r="CD45" s="369"/>
      <c r="CE45" s="369"/>
      <c r="CF45" s="369"/>
      <c r="CG45" s="369"/>
      <c r="CH45" s="369"/>
      <c r="CI45" s="369"/>
      <c r="CJ45" s="369"/>
      <c r="CK45" s="369"/>
      <c r="CL45" s="369"/>
      <c r="CM45" s="369"/>
    </row>
    <row r="46" outlineLevel="1">
      <c r="A46" s="375" t="s">
        <v>381</v>
      </c>
      <c r="B46" s="325" t="str">
        <f t="shared" si="6"/>
        <v>TC_02.32</v>
      </c>
      <c r="C46" s="557" t="s">
        <v>75</v>
      </c>
      <c r="D46" s="558" t="s">
        <v>2998</v>
      </c>
      <c r="E46" s="558" t="s">
        <v>2999</v>
      </c>
      <c r="F46" s="558" t="s">
        <v>3000</v>
      </c>
      <c r="G46" s="558" t="s">
        <v>3001</v>
      </c>
      <c r="H46" s="265"/>
      <c r="I46" s="265"/>
      <c r="J46" s="273"/>
      <c r="K46" s="273"/>
      <c r="L46" s="265"/>
      <c r="M46" s="265"/>
      <c r="N46" s="265"/>
      <c r="O46" s="273"/>
      <c r="P46" s="265"/>
      <c r="Q46" s="265"/>
      <c r="R46" s="265"/>
      <c r="S46" s="273"/>
      <c r="T46" s="265"/>
      <c r="U46" s="265"/>
      <c r="V46" s="265"/>
      <c r="W46" s="265"/>
      <c r="X46" s="265"/>
      <c r="Y46" s="265"/>
      <c r="Z46" s="265"/>
      <c r="AA46" s="265"/>
      <c r="AB46" s="577"/>
      <c r="AC46" s="578"/>
      <c r="AD46" s="579"/>
      <c r="AE46" s="365"/>
      <c r="AF46" s="577"/>
      <c r="AG46" s="578"/>
      <c r="AH46" s="580"/>
      <c r="AI46" s="365"/>
      <c r="AJ46" s="577"/>
      <c r="AK46" s="578"/>
      <c r="AL46" s="581"/>
      <c r="AM46" s="365"/>
      <c r="AN46" s="577"/>
      <c r="AO46" s="578"/>
      <c r="AP46" s="581"/>
      <c r="AQ46" s="365"/>
      <c r="AR46" s="582"/>
      <c r="AS46" s="581"/>
      <c r="AT46" s="581"/>
      <c r="AU46" s="355"/>
      <c r="AV46" s="582"/>
      <c r="AW46" s="581"/>
      <c r="AX46" s="581"/>
      <c r="AY46" s="355"/>
      <c r="AZ46" s="582"/>
      <c r="BA46" s="581"/>
      <c r="BB46" s="581"/>
      <c r="BC46" s="355"/>
      <c r="BD46" s="369"/>
      <c r="BE46" s="369"/>
      <c r="BF46" s="369"/>
      <c r="BG46" s="369"/>
      <c r="BH46" s="369"/>
      <c r="BI46" s="369"/>
      <c r="BJ46" s="369"/>
      <c r="BK46" s="369"/>
      <c r="BL46" s="369"/>
      <c r="BM46" s="369"/>
      <c r="BN46" s="369"/>
      <c r="BO46" s="369"/>
      <c r="BP46" s="369"/>
      <c r="BQ46" s="369"/>
      <c r="BR46" s="369"/>
      <c r="BS46" s="369"/>
      <c r="BT46" s="369"/>
      <c r="BU46" s="369"/>
      <c r="BV46" s="369"/>
      <c r="BW46" s="369"/>
      <c r="BX46" s="369"/>
      <c r="BY46" s="369"/>
      <c r="BZ46" s="369"/>
      <c r="CA46" s="369"/>
      <c r="CB46" s="369"/>
      <c r="CC46" s="369"/>
      <c r="CD46" s="369"/>
      <c r="CE46" s="369"/>
      <c r="CF46" s="369"/>
      <c r="CG46" s="369"/>
      <c r="CH46" s="369"/>
      <c r="CI46" s="369"/>
      <c r="CJ46" s="369"/>
      <c r="CK46" s="369"/>
      <c r="CL46" s="369"/>
      <c r="CM46" s="369"/>
    </row>
    <row r="47" outlineLevel="1">
      <c r="A47" s="375" t="s">
        <v>381</v>
      </c>
      <c r="B47" s="325" t="str">
        <f t="shared" si="6"/>
        <v>TC_02.33</v>
      </c>
      <c r="C47" s="557" t="s">
        <v>73</v>
      </c>
      <c r="D47" s="558" t="s">
        <v>3002</v>
      </c>
      <c r="E47" s="558" t="s">
        <v>3003</v>
      </c>
      <c r="F47" s="558" t="s">
        <v>3004</v>
      </c>
      <c r="G47" s="558" t="s">
        <v>3005</v>
      </c>
      <c r="H47" s="265"/>
      <c r="I47" s="265"/>
      <c r="J47" s="273"/>
      <c r="K47" s="273"/>
      <c r="L47" s="265"/>
      <c r="M47" s="265"/>
      <c r="N47" s="265"/>
      <c r="O47" s="273"/>
      <c r="P47" s="265"/>
      <c r="Q47" s="265"/>
      <c r="R47" s="265"/>
      <c r="S47" s="273"/>
      <c r="T47" s="265"/>
      <c r="U47" s="265"/>
      <c r="V47" s="265"/>
      <c r="W47" s="265"/>
      <c r="X47" s="265"/>
      <c r="Y47" s="265"/>
      <c r="Z47" s="265"/>
      <c r="AA47" s="265"/>
      <c r="AB47" s="577"/>
      <c r="AC47" s="578"/>
      <c r="AD47" s="579"/>
      <c r="AE47" s="365"/>
      <c r="AF47" s="577"/>
      <c r="AG47" s="578"/>
      <c r="AH47" s="580"/>
      <c r="AI47" s="365"/>
      <c r="AJ47" s="577"/>
      <c r="AK47" s="578"/>
      <c r="AL47" s="581"/>
      <c r="AM47" s="365"/>
      <c r="AN47" s="577"/>
      <c r="AO47" s="578"/>
      <c r="AP47" s="581"/>
      <c r="AQ47" s="365"/>
      <c r="AR47" s="582"/>
      <c r="AS47" s="581"/>
      <c r="AT47" s="581"/>
      <c r="AU47" s="355"/>
      <c r="AV47" s="582"/>
      <c r="AW47" s="581"/>
      <c r="AX47" s="581"/>
      <c r="AY47" s="355"/>
      <c r="AZ47" s="582"/>
      <c r="BA47" s="581"/>
      <c r="BB47" s="581"/>
      <c r="BC47" s="355"/>
      <c r="BD47" s="369"/>
      <c r="BE47" s="369"/>
      <c r="BF47" s="369"/>
      <c r="BG47" s="369"/>
      <c r="BH47" s="369"/>
      <c r="BI47" s="369"/>
      <c r="BJ47" s="369"/>
      <c r="BK47" s="369"/>
      <c r="BL47" s="369"/>
      <c r="BM47" s="369"/>
      <c r="BN47" s="369"/>
      <c r="BO47" s="369"/>
      <c r="BP47" s="369"/>
      <c r="BQ47" s="369"/>
      <c r="BR47" s="369"/>
      <c r="BS47" s="369"/>
      <c r="BT47" s="369"/>
      <c r="BU47" s="369"/>
      <c r="BV47" s="369"/>
      <c r="BW47" s="369"/>
      <c r="BX47" s="369"/>
      <c r="BY47" s="369"/>
      <c r="BZ47" s="369"/>
      <c r="CA47" s="369"/>
      <c r="CB47" s="369"/>
      <c r="CC47" s="369"/>
      <c r="CD47" s="369"/>
      <c r="CE47" s="369"/>
      <c r="CF47" s="369"/>
      <c r="CG47" s="369"/>
      <c r="CH47" s="369"/>
      <c r="CI47" s="369"/>
      <c r="CJ47" s="369"/>
      <c r="CK47" s="369"/>
      <c r="CL47" s="369"/>
      <c r="CM47" s="369"/>
    </row>
    <row r="48" outlineLevel="1">
      <c r="A48" s="375" t="s">
        <v>381</v>
      </c>
      <c r="B48" s="325" t="str">
        <f t="shared" si="6"/>
        <v>TC_02.34</v>
      </c>
      <c r="C48" s="557" t="s">
        <v>73</v>
      </c>
      <c r="D48" s="558" t="s">
        <v>3006</v>
      </c>
      <c r="E48" s="558" t="s">
        <v>3007</v>
      </c>
      <c r="F48" s="558" t="s">
        <v>3008</v>
      </c>
      <c r="G48" s="558" t="s">
        <v>3009</v>
      </c>
      <c r="H48" s="265"/>
      <c r="I48" s="265"/>
      <c r="J48" s="273"/>
      <c r="K48" s="273"/>
      <c r="L48" s="265"/>
      <c r="M48" s="265"/>
      <c r="N48" s="265"/>
      <c r="O48" s="273"/>
      <c r="P48" s="265"/>
      <c r="Q48" s="265"/>
      <c r="R48" s="265"/>
      <c r="S48" s="273"/>
      <c r="T48" s="265"/>
      <c r="U48" s="265"/>
      <c r="V48" s="265"/>
      <c r="W48" s="265"/>
      <c r="X48" s="265"/>
      <c r="Y48" s="265"/>
      <c r="Z48" s="265"/>
      <c r="AA48" s="265"/>
      <c r="AB48" s="577"/>
      <c r="AC48" s="578"/>
      <c r="AD48" s="579"/>
      <c r="AE48" s="365"/>
      <c r="AF48" s="577"/>
      <c r="AG48" s="578"/>
      <c r="AH48" s="580"/>
      <c r="AI48" s="365"/>
      <c r="AJ48" s="577"/>
      <c r="AK48" s="578"/>
      <c r="AL48" s="581"/>
      <c r="AM48" s="365"/>
      <c r="AN48" s="577"/>
      <c r="AO48" s="578"/>
      <c r="AP48" s="581"/>
      <c r="AQ48" s="365"/>
      <c r="AR48" s="582"/>
      <c r="AS48" s="581"/>
      <c r="AT48" s="581"/>
      <c r="AU48" s="355"/>
      <c r="AV48" s="582"/>
      <c r="AW48" s="581"/>
      <c r="AX48" s="581"/>
      <c r="AY48" s="355"/>
      <c r="AZ48" s="582"/>
      <c r="BA48" s="581"/>
      <c r="BB48" s="581"/>
      <c r="BC48" s="355"/>
      <c r="BD48" s="369"/>
      <c r="BE48" s="369"/>
      <c r="BF48" s="369"/>
      <c r="BG48" s="369"/>
      <c r="BH48" s="369"/>
      <c r="BI48" s="369"/>
      <c r="BJ48" s="369"/>
      <c r="BK48" s="369"/>
      <c r="BL48" s="369"/>
      <c r="BM48" s="369"/>
      <c r="BN48" s="369"/>
      <c r="BO48" s="369"/>
      <c r="BP48" s="369"/>
      <c r="BQ48" s="369"/>
      <c r="BR48" s="369"/>
      <c r="BS48" s="369"/>
      <c r="BT48" s="369"/>
      <c r="BU48" s="369"/>
      <c r="BV48" s="369"/>
      <c r="BW48" s="369"/>
      <c r="BX48" s="369"/>
      <c r="BY48" s="369"/>
      <c r="BZ48" s="369"/>
      <c r="CA48" s="369"/>
      <c r="CB48" s="369"/>
      <c r="CC48" s="369"/>
      <c r="CD48" s="369"/>
      <c r="CE48" s="369"/>
      <c r="CF48" s="369"/>
      <c r="CG48" s="369"/>
      <c r="CH48" s="369"/>
      <c r="CI48" s="369"/>
      <c r="CJ48" s="369"/>
      <c r="CK48" s="369"/>
      <c r="CL48" s="369"/>
      <c r="CM48" s="369"/>
    </row>
    <row r="49" outlineLevel="1">
      <c r="A49" s="375" t="s">
        <v>381</v>
      </c>
      <c r="B49" s="325" t="str">
        <f t="shared" si="6"/>
        <v>TC_02.35</v>
      </c>
      <c r="C49" s="557" t="s">
        <v>73</v>
      </c>
      <c r="D49" s="558" t="s">
        <v>3010</v>
      </c>
      <c r="E49" s="558" t="s">
        <v>3007</v>
      </c>
      <c r="F49" s="558" t="s">
        <v>3011</v>
      </c>
      <c r="G49" s="558" t="s">
        <v>3012</v>
      </c>
      <c r="H49" s="265"/>
      <c r="I49" s="265"/>
      <c r="J49" s="273"/>
      <c r="K49" s="273"/>
      <c r="L49" s="265"/>
      <c r="M49" s="265"/>
      <c r="N49" s="265"/>
      <c r="O49" s="273"/>
      <c r="P49" s="265"/>
      <c r="Q49" s="265"/>
      <c r="R49" s="265"/>
      <c r="S49" s="273"/>
      <c r="T49" s="265"/>
      <c r="U49" s="265"/>
      <c r="V49" s="265"/>
      <c r="W49" s="265"/>
      <c r="X49" s="265"/>
      <c r="Y49" s="265"/>
      <c r="Z49" s="265"/>
      <c r="AA49" s="265"/>
      <c r="AB49" s="577"/>
      <c r="AC49" s="578"/>
      <c r="AD49" s="579"/>
      <c r="AE49" s="365"/>
      <c r="AF49" s="577"/>
      <c r="AG49" s="578"/>
      <c r="AH49" s="580"/>
      <c r="AI49" s="365"/>
      <c r="AJ49" s="577"/>
      <c r="AK49" s="578"/>
      <c r="AL49" s="581"/>
      <c r="AM49" s="365"/>
      <c r="AN49" s="577"/>
      <c r="AO49" s="578"/>
      <c r="AP49" s="581"/>
      <c r="AQ49" s="365"/>
      <c r="AR49" s="582"/>
      <c r="AS49" s="581"/>
      <c r="AT49" s="581"/>
      <c r="AU49" s="355"/>
      <c r="AV49" s="582"/>
      <c r="AW49" s="581"/>
      <c r="AX49" s="581"/>
      <c r="AY49" s="355"/>
      <c r="AZ49" s="582"/>
      <c r="BA49" s="581"/>
      <c r="BB49" s="581"/>
      <c r="BC49" s="355"/>
      <c r="BD49" s="369"/>
      <c r="BE49" s="369"/>
      <c r="BF49" s="369"/>
      <c r="BG49" s="369"/>
      <c r="BH49" s="369"/>
      <c r="BI49" s="369"/>
      <c r="BJ49" s="369"/>
      <c r="BK49" s="369"/>
      <c r="BL49" s="369"/>
      <c r="BM49" s="369"/>
      <c r="BN49" s="369"/>
      <c r="BO49" s="369"/>
      <c r="BP49" s="369"/>
      <c r="BQ49" s="369"/>
      <c r="BR49" s="369"/>
      <c r="BS49" s="369"/>
      <c r="BT49" s="369"/>
      <c r="BU49" s="369"/>
      <c r="BV49" s="369"/>
      <c r="BW49" s="369"/>
      <c r="BX49" s="369"/>
      <c r="BY49" s="369"/>
      <c r="BZ49" s="369"/>
      <c r="CA49" s="369"/>
      <c r="CB49" s="369"/>
      <c r="CC49" s="369"/>
      <c r="CD49" s="369"/>
      <c r="CE49" s="369"/>
      <c r="CF49" s="369"/>
      <c r="CG49" s="369"/>
      <c r="CH49" s="369"/>
      <c r="CI49" s="369"/>
      <c r="CJ49" s="369"/>
      <c r="CK49" s="369"/>
      <c r="CL49" s="369"/>
      <c r="CM49" s="369"/>
    </row>
    <row r="50" outlineLevel="1">
      <c r="A50" s="375" t="s">
        <v>381</v>
      </c>
      <c r="B50" s="325" t="str">
        <f t="shared" si="6"/>
        <v>TC_02.36</v>
      </c>
      <c r="C50" s="557" t="s">
        <v>75</v>
      </c>
      <c r="D50" s="558" t="s">
        <v>3013</v>
      </c>
      <c r="E50" s="558" t="s">
        <v>3014</v>
      </c>
      <c r="F50" s="558" t="s">
        <v>3015</v>
      </c>
      <c r="G50" s="558" t="s">
        <v>3016</v>
      </c>
      <c r="H50" s="265"/>
      <c r="I50" s="265"/>
      <c r="J50" s="273"/>
      <c r="K50" s="273"/>
      <c r="L50" s="265"/>
      <c r="M50" s="265"/>
      <c r="N50" s="265"/>
      <c r="O50" s="273"/>
      <c r="P50" s="265"/>
      <c r="Q50" s="265"/>
      <c r="R50" s="265"/>
      <c r="S50" s="273"/>
      <c r="T50" s="265"/>
      <c r="U50" s="265"/>
      <c r="V50" s="265"/>
      <c r="W50" s="265"/>
      <c r="X50" s="265"/>
      <c r="Y50" s="265"/>
      <c r="Z50" s="265"/>
      <c r="AA50" s="265"/>
      <c r="AB50" s="577"/>
      <c r="AC50" s="578"/>
      <c r="AD50" s="579"/>
      <c r="AE50" s="365"/>
      <c r="AF50" s="577"/>
      <c r="AG50" s="578"/>
      <c r="AH50" s="580"/>
      <c r="AI50" s="365"/>
      <c r="AJ50" s="577"/>
      <c r="AK50" s="578"/>
      <c r="AL50" s="581"/>
      <c r="AM50" s="365"/>
      <c r="AN50" s="577"/>
      <c r="AO50" s="578"/>
      <c r="AP50" s="581"/>
      <c r="AQ50" s="365"/>
      <c r="AR50" s="582"/>
      <c r="AS50" s="581"/>
      <c r="AT50" s="581"/>
      <c r="AU50" s="355"/>
      <c r="AV50" s="582"/>
      <c r="AW50" s="581"/>
      <c r="AX50" s="581"/>
      <c r="AY50" s="355"/>
      <c r="AZ50" s="582"/>
      <c r="BA50" s="581"/>
      <c r="BB50" s="581"/>
      <c r="BC50" s="355"/>
      <c r="BD50" s="369"/>
      <c r="BE50" s="369"/>
      <c r="BF50" s="369"/>
      <c r="BG50" s="369"/>
      <c r="BH50" s="369"/>
      <c r="BI50" s="369"/>
      <c r="BJ50" s="369"/>
      <c r="BK50" s="369"/>
      <c r="BL50" s="369"/>
      <c r="BM50" s="369"/>
      <c r="BN50" s="369"/>
      <c r="BO50" s="369"/>
      <c r="BP50" s="369"/>
      <c r="BQ50" s="369"/>
      <c r="BR50" s="369"/>
      <c r="BS50" s="369"/>
      <c r="BT50" s="369"/>
      <c r="BU50" s="369"/>
      <c r="BV50" s="369"/>
      <c r="BW50" s="369"/>
      <c r="BX50" s="369"/>
      <c r="BY50" s="369"/>
      <c r="BZ50" s="369"/>
      <c r="CA50" s="369"/>
      <c r="CB50" s="369"/>
      <c r="CC50" s="369"/>
      <c r="CD50" s="369"/>
      <c r="CE50" s="369"/>
      <c r="CF50" s="369"/>
      <c r="CG50" s="369"/>
      <c r="CH50" s="369"/>
      <c r="CI50" s="369"/>
      <c r="CJ50" s="369"/>
      <c r="CK50" s="369"/>
      <c r="CL50" s="369"/>
      <c r="CM50" s="369"/>
    </row>
    <row r="51" outlineLevel="1">
      <c r="A51" s="375" t="s">
        <v>381</v>
      </c>
      <c r="B51" s="325" t="str">
        <f t="shared" si="6"/>
        <v>TC_02.37</v>
      </c>
      <c r="C51" s="557" t="s">
        <v>75</v>
      </c>
      <c r="D51" s="558" t="s">
        <v>3017</v>
      </c>
      <c r="E51" s="558" t="s">
        <v>3018</v>
      </c>
      <c r="F51" s="558" t="s">
        <v>3019</v>
      </c>
      <c r="G51" s="558" t="s">
        <v>3020</v>
      </c>
      <c r="H51" s="265"/>
      <c r="I51" s="265"/>
      <c r="J51" s="273"/>
      <c r="K51" s="273"/>
      <c r="L51" s="265"/>
      <c r="M51" s="265"/>
      <c r="N51" s="265"/>
      <c r="O51" s="273"/>
      <c r="P51" s="265"/>
      <c r="Q51" s="265"/>
      <c r="R51" s="265"/>
      <c r="S51" s="273"/>
      <c r="T51" s="265"/>
      <c r="U51" s="265"/>
      <c r="V51" s="265"/>
      <c r="W51" s="265"/>
      <c r="X51" s="265"/>
      <c r="Y51" s="265"/>
      <c r="Z51" s="265"/>
      <c r="AA51" s="265"/>
      <c r="AB51" s="577"/>
      <c r="AC51" s="578"/>
      <c r="AD51" s="579"/>
      <c r="AE51" s="365"/>
      <c r="AF51" s="577"/>
      <c r="AG51" s="578"/>
      <c r="AH51" s="580"/>
      <c r="AI51" s="365"/>
      <c r="AJ51" s="577"/>
      <c r="AK51" s="578"/>
      <c r="AL51" s="581"/>
      <c r="AM51" s="365"/>
      <c r="AN51" s="577"/>
      <c r="AO51" s="578"/>
      <c r="AP51" s="581"/>
      <c r="AQ51" s="365"/>
      <c r="AR51" s="582"/>
      <c r="AS51" s="581"/>
      <c r="AT51" s="581"/>
      <c r="AU51" s="355"/>
      <c r="AV51" s="582"/>
      <c r="AW51" s="581"/>
      <c r="AX51" s="581"/>
      <c r="AY51" s="355"/>
      <c r="AZ51" s="582"/>
      <c r="BA51" s="581"/>
      <c r="BB51" s="581"/>
      <c r="BC51" s="355"/>
      <c r="BD51" s="369"/>
      <c r="BE51" s="369"/>
      <c r="BF51" s="369"/>
      <c r="BG51" s="369"/>
      <c r="BH51" s="369"/>
      <c r="BI51" s="369"/>
      <c r="BJ51" s="369"/>
      <c r="BK51" s="369"/>
      <c r="BL51" s="369"/>
      <c r="BM51" s="369"/>
      <c r="BN51" s="369"/>
      <c r="BO51" s="369"/>
      <c r="BP51" s="369"/>
      <c r="BQ51" s="369"/>
      <c r="BR51" s="369"/>
      <c r="BS51" s="369"/>
      <c r="BT51" s="369"/>
      <c r="BU51" s="369"/>
      <c r="BV51" s="369"/>
      <c r="BW51" s="369"/>
      <c r="BX51" s="369"/>
      <c r="BY51" s="369"/>
      <c r="BZ51" s="369"/>
      <c r="CA51" s="369"/>
      <c r="CB51" s="369"/>
      <c r="CC51" s="369"/>
      <c r="CD51" s="369"/>
      <c r="CE51" s="369"/>
      <c r="CF51" s="369"/>
      <c r="CG51" s="369"/>
      <c r="CH51" s="369"/>
      <c r="CI51" s="369"/>
      <c r="CJ51" s="369"/>
      <c r="CK51" s="369"/>
      <c r="CL51" s="369"/>
      <c r="CM51" s="369"/>
    </row>
    <row r="52">
      <c r="A52" s="590"/>
      <c r="B52" s="570" t="s">
        <v>3021</v>
      </c>
      <c r="C52" s="148"/>
      <c r="D52" s="148"/>
      <c r="E52" s="148"/>
      <c r="F52" s="148"/>
      <c r="G52" s="171"/>
      <c r="H52" s="265"/>
      <c r="I52" s="265"/>
      <c r="J52" s="273"/>
      <c r="K52" s="273"/>
      <c r="L52" s="273"/>
      <c r="M52" s="273"/>
      <c r="N52" s="273"/>
      <c r="O52" s="273"/>
      <c r="P52" s="273"/>
      <c r="Q52" s="273"/>
      <c r="R52" s="273"/>
      <c r="S52" s="273"/>
      <c r="T52" s="265"/>
      <c r="U52" s="273"/>
      <c r="V52" s="273"/>
      <c r="W52" s="273"/>
      <c r="X52" s="273"/>
      <c r="Y52" s="273"/>
      <c r="Z52" s="273"/>
      <c r="AA52" s="273"/>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332"/>
      <c r="BL52" s="332"/>
      <c r="BM52" s="332"/>
      <c r="BN52" s="332"/>
      <c r="BO52" s="332"/>
      <c r="BP52" s="332"/>
      <c r="BQ52" s="332"/>
      <c r="BR52" s="332"/>
      <c r="BS52" s="332"/>
      <c r="BT52" s="332"/>
      <c r="BU52" s="332"/>
      <c r="BV52" s="332"/>
      <c r="BW52" s="332"/>
      <c r="BX52" s="332"/>
      <c r="BY52" s="332"/>
      <c r="BZ52" s="332"/>
      <c r="CA52" s="332"/>
      <c r="CB52" s="332"/>
      <c r="CC52" s="332"/>
      <c r="CD52" s="332"/>
      <c r="CE52" s="332"/>
      <c r="CF52" s="332"/>
      <c r="CG52" s="332"/>
      <c r="CH52" s="332"/>
      <c r="CI52" s="332"/>
      <c r="CJ52" s="332"/>
      <c r="CK52" s="332"/>
      <c r="CL52" s="332"/>
      <c r="CM52" s="332"/>
    </row>
    <row r="53" outlineLevel="1">
      <c r="A53" s="375" t="s">
        <v>381</v>
      </c>
      <c r="B53" s="325" t="str">
        <f t="shared" ref="B53:B58" si="7">IF(F53="","",$D$3&amp;"."&amp;COUNTA($F$10:F53)&amp;"")</f>
        <v>TC_02.38</v>
      </c>
      <c r="C53" s="563" t="s">
        <v>73</v>
      </c>
      <c r="D53" s="558" t="s">
        <v>3022</v>
      </c>
      <c r="E53" s="564" t="s">
        <v>3023</v>
      </c>
      <c r="F53" s="558" t="s">
        <v>3024</v>
      </c>
      <c r="G53" s="558" t="s">
        <v>3025</v>
      </c>
      <c r="H53" s="265"/>
      <c r="I53" s="265"/>
      <c r="J53" s="273"/>
      <c r="K53" s="273"/>
      <c r="L53" s="265"/>
      <c r="M53" s="265"/>
      <c r="N53" s="273"/>
      <c r="O53" s="273"/>
      <c r="P53" s="265"/>
      <c r="Q53" s="265"/>
      <c r="R53" s="273"/>
      <c r="S53" s="273"/>
      <c r="T53" s="265"/>
      <c r="U53" s="265"/>
      <c r="V53" s="273"/>
      <c r="W53" s="273"/>
      <c r="X53" s="265"/>
      <c r="Y53" s="265"/>
      <c r="Z53" s="273"/>
      <c r="AA53" s="273"/>
      <c r="AB53" s="359"/>
      <c r="AC53" s="356"/>
      <c r="AD53" s="357"/>
      <c r="AE53" s="358"/>
      <c r="AF53" s="43"/>
      <c r="AG53" s="356"/>
      <c r="AH53" s="572"/>
      <c r="AI53" s="364"/>
      <c r="AJ53" s="43"/>
      <c r="AK53" s="356"/>
      <c r="AL53" s="353"/>
      <c r="AM53" s="364"/>
      <c r="AN53" s="43"/>
      <c r="AO53" s="356"/>
      <c r="AP53" s="353"/>
      <c r="AQ53" s="364"/>
      <c r="AR53" s="468"/>
      <c r="AS53" s="357"/>
      <c r="AT53" s="357"/>
      <c r="AU53" s="358"/>
      <c r="AV53" s="468"/>
      <c r="AW53" s="357"/>
      <c r="AX53" s="357"/>
      <c r="AY53" s="358"/>
      <c r="AZ53" s="468"/>
      <c r="BA53" s="357"/>
      <c r="BB53" s="357"/>
      <c r="BC53" s="573"/>
      <c r="BD53" s="574"/>
      <c r="BE53" s="574"/>
      <c r="BF53" s="574"/>
      <c r="BG53" s="574"/>
      <c r="BH53" s="574"/>
      <c r="BI53" s="574"/>
      <c r="BJ53" s="574"/>
      <c r="BK53" s="574"/>
      <c r="BL53" s="574"/>
      <c r="BM53" s="574"/>
      <c r="BN53" s="574"/>
      <c r="BO53" s="574"/>
      <c r="BP53" s="574"/>
      <c r="BQ53" s="574"/>
      <c r="BR53" s="574"/>
      <c r="BS53" s="574"/>
      <c r="BT53" s="574"/>
      <c r="BU53" s="574"/>
      <c r="BV53" s="574"/>
      <c r="BW53" s="574"/>
      <c r="BX53" s="574"/>
      <c r="BY53" s="574"/>
      <c r="BZ53" s="574"/>
      <c r="CA53" s="574"/>
      <c r="CB53" s="574"/>
      <c r="CC53" s="574"/>
      <c r="CD53" s="574"/>
      <c r="CE53" s="574"/>
      <c r="CF53" s="574"/>
      <c r="CG53" s="574"/>
      <c r="CH53" s="574"/>
      <c r="CI53" s="574"/>
      <c r="CJ53" s="574"/>
      <c r="CK53" s="574"/>
      <c r="CL53" s="574"/>
      <c r="CM53" s="574"/>
    </row>
    <row r="54" outlineLevel="1">
      <c r="A54" s="375" t="s">
        <v>381</v>
      </c>
      <c r="B54" s="325" t="str">
        <f t="shared" si="7"/>
        <v>TC_02.39</v>
      </c>
      <c r="C54" s="563" t="s">
        <v>73</v>
      </c>
      <c r="D54" s="558" t="s">
        <v>3026</v>
      </c>
      <c r="E54" s="558" t="s">
        <v>3027</v>
      </c>
      <c r="F54" s="558" t="s">
        <v>3028</v>
      </c>
      <c r="G54" s="558" t="s">
        <v>3029</v>
      </c>
      <c r="H54" s="265"/>
      <c r="I54" s="265"/>
      <c r="J54" s="273"/>
      <c r="K54" s="265"/>
      <c r="L54" s="265"/>
      <c r="M54" s="265"/>
      <c r="N54" s="265"/>
      <c r="O54" s="273"/>
      <c r="P54" s="265"/>
      <c r="Q54" s="265"/>
      <c r="R54" s="265"/>
      <c r="S54" s="273"/>
      <c r="T54" s="265"/>
      <c r="U54" s="265"/>
      <c r="V54" s="265"/>
      <c r="W54" s="265"/>
      <c r="X54" s="265"/>
      <c r="Y54" s="265"/>
      <c r="Z54" s="265"/>
      <c r="AA54" s="265"/>
      <c r="AB54" s="43"/>
      <c r="AC54" s="356"/>
      <c r="AD54" s="366"/>
      <c r="AE54" s="364"/>
      <c r="AF54" s="43"/>
      <c r="AG54" s="356"/>
      <c r="AH54" s="366"/>
      <c r="AI54" s="364"/>
      <c r="AJ54" s="43"/>
      <c r="AK54" s="356"/>
      <c r="AL54" s="366"/>
      <c r="AM54" s="364"/>
      <c r="AN54" s="43"/>
      <c r="AO54" s="356"/>
      <c r="AP54" s="366"/>
      <c r="AQ54" s="364"/>
      <c r="AR54" s="61"/>
      <c r="AS54" s="353"/>
      <c r="AT54" s="353"/>
      <c r="AU54" s="354"/>
      <c r="AV54" s="61"/>
      <c r="AW54" s="353"/>
      <c r="AX54" s="353"/>
      <c r="AY54" s="354"/>
      <c r="AZ54" s="61"/>
      <c r="BA54" s="353"/>
      <c r="BB54" s="353"/>
      <c r="BC54" s="576"/>
      <c r="BD54" s="369"/>
      <c r="BE54" s="369"/>
      <c r="BF54" s="369"/>
      <c r="BG54" s="369"/>
      <c r="BH54" s="369"/>
      <c r="BI54" s="369"/>
      <c r="BJ54" s="369"/>
      <c r="BK54" s="369"/>
      <c r="BL54" s="369"/>
      <c r="BM54" s="369"/>
      <c r="BN54" s="369"/>
      <c r="BO54" s="369"/>
      <c r="BP54" s="369"/>
      <c r="BQ54" s="369"/>
      <c r="BR54" s="369"/>
      <c r="BS54" s="369"/>
      <c r="BT54" s="369"/>
      <c r="BU54" s="369"/>
      <c r="BV54" s="369"/>
      <c r="BW54" s="369"/>
      <c r="BX54" s="369"/>
      <c r="BY54" s="369"/>
      <c r="BZ54" s="369"/>
      <c r="CA54" s="369"/>
      <c r="CB54" s="369"/>
      <c r="CC54" s="369"/>
      <c r="CD54" s="369"/>
      <c r="CE54" s="369"/>
      <c r="CF54" s="369"/>
      <c r="CG54" s="369"/>
      <c r="CH54" s="369"/>
      <c r="CI54" s="369"/>
      <c r="CJ54" s="369"/>
      <c r="CK54" s="369"/>
      <c r="CL54" s="369"/>
      <c r="CM54" s="369"/>
    </row>
    <row r="55" outlineLevel="1">
      <c r="A55" s="273" t="s">
        <v>381</v>
      </c>
      <c r="B55" s="325" t="str">
        <f t="shared" si="7"/>
        <v>TC_02.40</v>
      </c>
      <c r="C55" s="563" t="s">
        <v>75</v>
      </c>
      <c r="D55" s="558" t="s">
        <v>3030</v>
      </c>
      <c r="E55" s="564" t="s">
        <v>3031</v>
      </c>
      <c r="F55" s="558" t="s">
        <v>3032</v>
      </c>
      <c r="G55" s="558" t="s">
        <v>3033</v>
      </c>
      <c r="H55" s="265"/>
      <c r="I55" s="265"/>
      <c r="J55" s="273"/>
      <c r="K55" s="273"/>
      <c r="L55" s="265"/>
      <c r="M55" s="265"/>
      <c r="N55" s="273"/>
      <c r="O55" s="273"/>
      <c r="P55" s="265"/>
      <c r="Q55" s="265"/>
      <c r="R55" s="265"/>
      <c r="S55" s="273"/>
      <c r="T55" s="265"/>
      <c r="U55" s="265"/>
      <c r="V55" s="273"/>
      <c r="W55" s="273"/>
      <c r="X55" s="265"/>
      <c r="Y55" s="265"/>
      <c r="Z55" s="273"/>
      <c r="AA55" s="273"/>
      <c r="AB55" s="359"/>
      <c r="AC55" s="356"/>
      <c r="AD55" s="357"/>
      <c r="AE55" s="358"/>
      <c r="AF55" s="43"/>
      <c r="AG55" s="356"/>
      <c r="AH55" s="572"/>
      <c r="AI55" s="364"/>
      <c r="AJ55" s="43"/>
      <c r="AK55" s="356"/>
      <c r="AL55" s="353"/>
      <c r="AM55" s="364"/>
      <c r="AN55" s="43"/>
      <c r="AO55" s="356"/>
      <c r="AP55" s="353"/>
      <c r="AQ55" s="364"/>
      <c r="AR55" s="468"/>
      <c r="AS55" s="357"/>
      <c r="AT55" s="357"/>
      <c r="AU55" s="358"/>
      <c r="AV55" s="468"/>
      <c r="AW55" s="357"/>
      <c r="AX55" s="357"/>
      <c r="AY55" s="358"/>
      <c r="AZ55" s="468"/>
      <c r="BA55" s="357"/>
      <c r="BB55" s="357"/>
      <c r="BC55" s="573"/>
      <c r="BD55" s="574"/>
      <c r="BE55" s="574"/>
      <c r="BF55" s="574"/>
      <c r="BG55" s="574"/>
      <c r="BH55" s="574"/>
      <c r="BI55" s="574"/>
      <c r="BJ55" s="574"/>
      <c r="BK55" s="574"/>
      <c r="BL55" s="574"/>
      <c r="BM55" s="574"/>
      <c r="BN55" s="574"/>
      <c r="BO55" s="574"/>
      <c r="BP55" s="574"/>
      <c r="BQ55" s="574"/>
      <c r="BR55" s="574"/>
      <c r="BS55" s="574"/>
      <c r="BT55" s="574"/>
      <c r="BU55" s="574"/>
      <c r="BV55" s="574"/>
      <c r="BW55" s="574"/>
      <c r="BX55" s="574"/>
      <c r="BY55" s="574"/>
      <c r="BZ55" s="574"/>
      <c r="CA55" s="574"/>
      <c r="CB55" s="574"/>
      <c r="CC55" s="574"/>
      <c r="CD55" s="574"/>
      <c r="CE55" s="574"/>
      <c r="CF55" s="574"/>
      <c r="CG55" s="574"/>
      <c r="CH55" s="574"/>
      <c r="CI55" s="574"/>
      <c r="CJ55" s="574"/>
      <c r="CK55" s="574"/>
      <c r="CL55" s="574"/>
      <c r="CM55" s="574"/>
    </row>
    <row r="56" outlineLevel="1">
      <c r="A56" s="265" t="s">
        <v>381</v>
      </c>
      <c r="B56" s="325" t="str">
        <f t="shared" si="7"/>
        <v>TC_02.41</v>
      </c>
      <c r="C56" s="563" t="s">
        <v>75</v>
      </c>
      <c r="D56" s="558" t="s">
        <v>3034</v>
      </c>
      <c r="E56" s="558" t="s">
        <v>3035</v>
      </c>
      <c r="F56" s="558" t="s">
        <v>3036</v>
      </c>
      <c r="G56" s="558" t="s">
        <v>3037</v>
      </c>
      <c r="H56" s="265"/>
      <c r="I56" s="265"/>
      <c r="J56" s="273"/>
      <c r="K56" s="273"/>
      <c r="L56" s="265"/>
      <c r="M56" s="265"/>
      <c r="N56" s="273"/>
      <c r="O56" s="273"/>
      <c r="P56" s="265"/>
      <c r="Q56" s="265"/>
      <c r="R56" s="265"/>
      <c r="S56" s="273"/>
      <c r="T56" s="265"/>
      <c r="U56" s="265"/>
      <c r="V56" s="273"/>
      <c r="W56" s="273"/>
      <c r="X56" s="265"/>
      <c r="Y56" s="265"/>
      <c r="Z56" s="273"/>
      <c r="AA56" s="273"/>
      <c r="AB56" s="359"/>
      <c r="AC56" s="356"/>
      <c r="AD56" s="357"/>
      <c r="AE56" s="358"/>
      <c r="AF56" s="43"/>
      <c r="AG56" s="356"/>
      <c r="AH56" s="572"/>
      <c r="AI56" s="364"/>
      <c r="AJ56" s="43"/>
      <c r="AK56" s="356"/>
      <c r="AL56" s="353"/>
      <c r="AM56" s="364"/>
      <c r="AN56" s="43"/>
      <c r="AO56" s="356"/>
      <c r="AP56" s="353"/>
      <c r="AQ56" s="364"/>
      <c r="AR56" s="468"/>
      <c r="AS56" s="357"/>
      <c r="AT56" s="357"/>
      <c r="AU56" s="358"/>
      <c r="AV56" s="468"/>
      <c r="AW56" s="357"/>
      <c r="AX56" s="357"/>
      <c r="AY56" s="358"/>
      <c r="AZ56" s="468"/>
      <c r="BA56" s="357"/>
      <c r="BB56" s="357"/>
      <c r="BC56" s="573"/>
      <c r="BD56" s="574"/>
      <c r="BE56" s="574"/>
      <c r="BF56" s="574"/>
      <c r="BG56" s="574"/>
      <c r="BH56" s="574"/>
      <c r="BI56" s="574"/>
      <c r="BJ56" s="574"/>
      <c r="BK56" s="574"/>
      <c r="BL56" s="574"/>
      <c r="BM56" s="574"/>
      <c r="BN56" s="574"/>
      <c r="BO56" s="574"/>
      <c r="BP56" s="574"/>
      <c r="BQ56" s="574"/>
      <c r="BR56" s="574"/>
      <c r="BS56" s="574"/>
      <c r="BT56" s="574"/>
      <c r="BU56" s="574"/>
      <c r="BV56" s="574"/>
      <c r="BW56" s="574"/>
      <c r="BX56" s="574"/>
      <c r="BY56" s="574"/>
      <c r="BZ56" s="574"/>
      <c r="CA56" s="574"/>
      <c r="CB56" s="574"/>
      <c r="CC56" s="574"/>
      <c r="CD56" s="574"/>
      <c r="CE56" s="574"/>
      <c r="CF56" s="574"/>
      <c r="CG56" s="574"/>
      <c r="CH56" s="574"/>
      <c r="CI56" s="574"/>
      <c r="CJ56" s="574"/>
      <c r="CK56" s="574"/>
      <c r="CL56" s="574"/>
      <c r="CM56" s="574"/>
    </row>
    <row r="57" outlineLevel="1">
      <c r="A57" s="375" t="s">
        <v>525</v>
      </c>
      <c r="B57" s="325" t="str">
        <f t="shared" si="7"/>
        <v>TC_02.42</v>
      </c>
      <c r="C57" s="563" t="s">
        <v>75</v>
      </c>
      <c r="D57" s="558" t="s">
        <v>3038</v>
      </c>
      <c r="E57" s="558" t="s">
        <v>3039</v>
      </c>
      <c r="F57" s="558" t="s">
        <v>3040</v>
      </c>
      <c r="G57" s="561" t="s">
        <v>3041</v>
      </c>
      <c r="H57" s="265"/>
      <c r="I57" s="265"/>
      <c r="J57" s="273"/>
      <c r="K57" s="273"/>
      <c r="L57" s="265"/>
      <c r="M57" s="265"/>
      <c r="N57" s="273"/>
      <c r="O57" s="273"/>
      <c r="P57" s="265"/>
      <c r="Q57" s="265"/>
      <c r="R57" s="265"/>
      <c r="S57" s="273"/>
      <c r="T57" s="265"/>
      <c r="U57" s="265"/>
      <c r="V57" s="273"/>
      <c r="W57" s="273"/>
      <c r="X57" s="265"/>
      <c r="Y57" s="265"/>
      <c r="Z57" s="273"/>
      <c r="AA57" s="273"/>
      <c r="AB57" s="359"/>
      <c r="AC57" s="356"/>
      <c r="AD57" s="357"/>
      <c r="AE57" s="358"/>
      <c r="AF57" s="43"/>
      <c r="AG57" s="356"/>
      <c r="AH57" s="572"/>
      <c r="AI57" s="364"/>
      <c r="AJ57" s="43"/>
      <c r="AK57" s="356"/>
      <c r="AL57" s="353"/>
      <c r="AM57" s="364"/>
      <c r="AN57" s="43"/>
      <c r="AO57" s="356"/>
      <c r="AP57" s="353"/>
      <c r="AQ57" s="364"/>
      <c r="AR57" s="468"/>
      <c r="AS57" s="357"/>
      <c r="AT57" s="357"/>
      <c r="AU57" s="358"/>
      <c r="AV57" s="468"/>
      <c r="AW57" s="357"/>
      <c r="AX57" s="357"/>
      <c r="AY57" s="358"/>
      <c r="AZ57" s="468"/>
      <c r="BA57" s="357"/>
      <c r="BB57" s="357"/>
      <c r="BC57" s="573"/>
      <c r="BD57" s="574"/>
      <c r="BE57" s="574"/>
      <c r="BF57" s="574"/>
      <c r="BG57" s="574"/>
      <c r="BH57" s="574"/>
      <c r="BI57" s="574"/>
      <c r="BJ57" s="574"/>
      <c r="BK57" s="574"/>
      <c r="BL57" s="574"/>
      <c r="BM57" s="574"/>
      <c r="BN57" s="574"/>
      <c r="BO57" s="574"/>
      <c r="BP57" s="574"/>
      <c r="BQ57" s="574"/>
      <c r="BR57" s="574"/>
      <c r="BS57" s="574"/>
      <c r="BT57" s="574"/>
      <c r="BU57" s="574"/>
      <c r="BV57" s="574"/>
      <c r="BW57" s="574"/>
      <c r="BX57" s="574"/>
      <c r="BY57" s="574"/>
      <c r="BZ57" s="574"/>
      <c r="CA57" s="574"/>
      <c r="CB57" s="574"/>
      <c r="CC57" s="574"/>
      <c r="CD57" s="574"/>
      <c r="CE57" s="574"/>
      <c r="CF57" s="574"/>
      <c r="CG57" s="574"/>
      <c r="CH57" s="574"/>
      <c r="CI57" s="574"/>
      <c r="CJ57" s="574"/>
      <c r="CK57" s="574"/>
      <c r="CL57" s="574"/>
      <c r="CM57" s="574"/>
    </row>
    <row r="58" outlineLevel="1">
      <c r="A58" s="273" t="s">
        <v>381</v>
      </c>
      <c r="B58" s="325" t="str">
        <f t="shared" si="7"/>
        <v>TC_02.43</v>
      </c>
      <c r="C58" s="563" t="s">
        <v>77</v>
      </c>
      <c r="D58" s="564" t="s">
        <v>3042</v>
      </c>
      <c r="E58" s="564" t="s">
        <v>3043</v>
      </c>
      <c r="F58" s="558" t="s">
        <v>3044</v>
      </c>
      <c r="G58" s="558" t="s">
        <v>3045</v>
      </c>
      <c r="H58" s="265"/>
      <c r="I58" s="265"/>
      <c r="J58" s="273"/>
      <c r="K58" s="273"/>
      <c r="L58" s="265"/>
      <c r="M58" s="265"/>
      <c r="N58" s="273"/>
      <c r="O58" s="273"/>
      <c r="P58" s="265"/>
      <c r="Q58" s="265"/>
      <c r="R58" s="273"/>
      <c r="S58" s="273"/>
      <c r="T58" s="265"/>
      <c r="U58" s="265"/>
      <c r="V58" s="273"/>
      <c r="W58" s="273"/>
      <c r="X58" s="265"/>
      <c r="Y58" s="265"/>
      <c r="Z58" s="273"/>
      <c r="AA58" s="273"/>
      <c r="AB58" s="43"/>
      <c r="AC58" s="356"/>
      <c r="AD58" s="353"/>
      <c r="AE58" s="354"/>
      <c r="AF58" s="43"/>
      <c r="AG58" s="356"/>
      <c r="AH58" s="572"/>
      <c r="AI58" s="364"/>
      <c r="AJ58" s="43"/>
      <c r="AK58" s="356"/>
      <c r="AL58" s="353"/>
      <c r="AM58" s="364"/>
      <c r="AN58" s="43"/>
      <c r="AO58" s="356"/>
      <c r="AP58" s="353"/>
      <c r="AQ58" s="364"/>
      <c r="AR58" s="61"/>
      <c r="AS58" s="353"/>
      <c r="AT58" s="353"/>
      <c r="AU58" s="354"/>
      <c r="AV58" s="61"/>
      <c r="AW58" s="353"/>
      <c r="AX58" s="353"/>
      <c r="AY58" s="354"/>
      <c r="AZ58" s="61"/>
      <c r="BA58" s="353"/>
      <c r="BB58" s="353"/>
      <c r="BC58" s="576"/>
      <c r="BD58" s="369"/>
      <c r="BE58" s="369"/>
      <c r="BF58" s="369"/>
      <c r="BG58" s="369"/>
      <c r="BH58" s="369"/>
      <c r="BI58" s="369"/>
      <c r="BJ58" s="369"/>
      <c r="BK58" s="369"/>
      <c r="BL58" s="369"/>
      <c r="BM58" s="369"/>
      <c r="BN58" s="369"/>
      <c r="BO58" s="369"/>
      <c r="BP58" s="369"/>
      <c r="BQ58" s="369"/>
      <c r="BR58" s="369"/>
      <c r="BS58" s="369"/>
      <c r="BT58" s="369"/>
      <c r="BU58" s="369"/>
      <c r="BV58" s="369"/>
      <c r="BW58" s="369"/>
      <c r="BX58" s="369"/>
      <c r="BY58" s="369"/>
      <c r="BZ58" s="369"/>
      <c r="CA58" s="369"/>
      <c r="CB58" s="369"/>
      <c r="CC58" s="369"/>
      <c r="CD58" s="369"/>
      <c r="CE58" s="369"/>
      <c r="CF58" s="369"/>
      <c r="CG58" s="369"/>
      <c r="CH58" s="369"/>
      <c r="CI58" s="369"/>
      <c r="CJ58" s="369"/>
      <c r="CK58" s="369"/>
      <c r="CL58" s="369"/>
      <c r="CM58" s="369"/>
    </row>
    <row r="59">
      <c r="A59" s="590"/>
      <c r="B59" s="570" t="s">
        <v>3046</v>
      </c>
      <c r="C59" s="148"/>
      <c r="D59" s="148"/>
      <c r="E59" s="148"/>
      <c r="F59" s="148"/>
      <c r="G59" s="171"/>
      <c r="H59" s="265"/>
      <c r="I59" s="265"/>
      <c r="J59" s="273"/>
      <c r="K59" s="273"/>
      <c r="L59" s="273"/>
      <c r="M59" s="273"/>
      <c r="N59" s="273"/>
      <c r="O59" s="273"/>
      <c r="P59" s="273"/>
      <c r="Q59" s="273"/>
      <c r="R59" s="273"/>
      <c r="S59" s="273"/>
      <c r="T59" s="265"/>
      <c r="U59" s="273"/>
      <c r="V59" s="273"/>
      <c r="W59" s="273"/>
      <c r="X59" s="273"/>
      <c r="Y59" s="273"/>
      <c r="Z59" s="273"/>
      <c r="AA59" s="273"/>
      <c r="AB59" s="355"/>
      <c r="AC59" s="355"/>
      <c r="AD59" s="355"/>
      <c r="AE59" s="355"/>
      <c r="AF59" s="355"/>
      <c r="AG59" s="355"/>
      <c r="AH59" s="355"/>
      <c r="AI59" s="355"/>
      <c r="AJ59" s="355"/>
      <c r="AK59" s="355"/>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5"/>
      <c r="BL59" s="355"/>
      <c r="BM59" s="355"/>
      <c r="BN59" s="355"/>
      <c r="BO59" s="355"/>
      <c r="BP59" s="355"/>
      <c r="BQ59" s="355"/>
      <c r="BR59" s="355"/>
      <c r="BS59" s="355"/>
      <c r="BT59" s="355"/>
      <c r="BU59" s="355"/>
      <c r="BV59" s="355"/>
      <c r="BW59" s="355"/>
      <c r="BX59" s="355"/>
      <c r="BY59" s="355"/>
      <c r="BZ59" s="355"/>
      <c r="CA59" s="355"/>
      <c r="CB59" s="355"/>
      <c r="CC59" s="355"/>
      <c r="CD59" s="355"/>
      <c r="CE59" s="355"/>
      <c r="CF59" s="355"/>
      <c r="CG59" s="355"/>
      <c r="CH59" s="355"/>
      <c r="CI59" s="355"/>
      <c r="CJ59" s="355"/>
      <c r="CK59" s="355"/>
      <c r="CL59" s="355"/>
      <c r="CM59" s="355"/>
    </row>
    <row r="60" outlineLevel="1">
      <c r="A60" s="375" t="s">
        <v>381</v>
      </c>
      <c r="B60" s="325" t="str">
        <f t="shared" ref="B60:B64" si="8">IF(F60="","",$D$3&amp;"."&amp;COUNTA($F$10:F60)&amp;"")</f>
        <v>TC_02.44</v>
      </c>
      <c r="C60" s="557" t="s">
        <v>73</v>
      </c>
      <c r="D60" s="558" t="s">
        <v>3047</v>
      </c>
      <c r="E60" s="558" t="s">
        <v>3048</v>
      </c>
      <c r="F60" s="558" t="s">
        <v>3049</v>
      </c>
      <c r="G60" s="558" t="s">
        <v>3050</v>
      </c>
      <c r="H60" s="265"/>
      <c r="I60" s="273"/>
      <c r="J60" s="273"/>
      <c r="K60" s="273"/>
      <c r="L60" s="273"/>
      <c r="M60" s="273"/>
      <c r="N60" s="273"/>
      <c r="O60" s="273"/>
      <c r="P60" s="273"/>
      <c r="Q60" s="273"/>
      <c r="R60" s="273"/>
      <c r="S60" s="273"/>
      <c r="T60" s="265"/>
      <c r="U60" s="273"/>
      <c r="V60" s="273"/>
      <c r="W60" s="273"/>
      <c r="X60" s="273"/>
      <c r="Y60" s="273"/>
      <c r="Z60" s="273"/>
      <c r="AA60" s="273"/>
      <c r="AB60" s="355"/>
      <c r="AC60" s="355"/>
      <c r="AD60" s="355"/>
      <c r="AE60" s="355"/>
      <c r="AF60" s="355"/>
      <c r="AG60" s="355"/>
      <c r="AH60" s="355"/>
      <c r="AI60" s="355"/>
      <c r="AJ60" s="355"/>
      <c r="AK60" s="355"/>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5"/>
      <c r="BL60" s="355"/>
      <c r="BM60" s="355"/>
      <c r="BN60" s="355"/>
      <c r="BO60" s="355"/>
      <c r="BP60" s="355"/>
      <c r="BQ60" s="355"/>
      <c r="BR60" s="355"/>
      <c r="BS60" s="355"/>
      <c r="BT60" s="355"/>
      <c r="BU60" s="355"/>
      <c r="BV60" s="355"/>
      <c r="BW60" s="355"/>
      <c r="BX60" s="355"/>
      <c r="BY60" s="355"/>
      <c r="BZ60" s="355"/>
      <c r="CA60" s="355"/>
      <c r="CB60" s="355"/>
      <c r="CC60" s="355"/>
      <c r="CD60" s="355"/>
      <c r="CE60" s="355"/>
      <c r="CF60" s="355"/>
      <c r="CG60" s="355"/>
      <c r="CH60" s="355"/>
      <c r="CI60" s="355"/>
      <c r="CJ60" s="355"/>
      <c r="CK60" s="355"/>
      <c r="CL60" s="355"/>
      <c r="CM60" s="355"/>
    </row>
    <row r="61" outlineLevel="1">
      <c r="A61" s="375" t="s">
        <v>381</v>
      </c>
      <c r="B61" s="325" t="str">
        <f t="shared" si="8"/>
        <v>TC_02.45</v>
      </c>
      <c r="C61" s="557" t="s">
        <v>73</v>
      </c>
      <c r="D61" s="558" t="s">
        <v>3051</v>
      </c>
      <c r="E61" s="558" t="s">
        <v>3052</v>
      </c>
      <c r="F61" s="558" t="s">
        <v>3053</v>
      </c>
      <c r="G61" s="558" t="s">
        <v>3054</v>
      </c>
      <c r="H61" s="265"/>
      <c r="I61" s="265"/>
      <c r="J61" s="273"/>
      <c r="K61" s="265"/>
      <c r="L61" s="273"/>
      <c r="M61" s="273"/>
      <c r="N61" s="273"/>
      <c r="O61" s="273"/>
      <c r="P61" s="273"/>
      <c r="Q61" s="273"/>
      <c r="R61" s="273"/>
      <c r="S61" s="273"/>
      <c r="T61" s="273"/>
      <c r="U61" s="273"/>
      <c r="V61" s="273"/>
      <c r="W61" s="273"/>
      <c r="X61" s="273"/>
      <c r="Y61" s="273"/>
      <c r="Z61" s="273"/>
      <c r="AA61" s="273"/>
      <c r="AB61" s="249"/>
      <c r="AC61" s="591"/>
      <c r="AD61" s="249"/>
      <c r="AE61" s="249"/>
      <c r="AF61" s="249"/>
      <c r="AG61" s="249"/>
      <c r="AH61" s="249"/>
      <c r="AI61" s="249"/>
      <c r="AJ61" s="249"/>
      <c r="AK61" s="249"/>
      <c r="AL61" s="249"/>
      <c r="AM61" s="249"/>
      <c r="AN61" s="249"/>
      <c r="AO61" s="591"/>
      <c r="AP61" s="249"/>
      <c r="AQ61" s="249"/>
      <c r="AR61" s="249"/>
      <c r="AS61" s="249"/>
      <c r="AT61" s="249"/>
      <c r="AU61" s="249"/>
      <c r="AV61" s="249"/>
      <c r="AW61" s="249"/>
      <c r="AX61" s="249"/>
      <c r="AY61" s="249"/>
      <c r="AZ61" s="249"/>
      <c r="BA61" s="249"/>
      <c r="BB61" s="249"/>
      <c r="BC61" s="249"/>
      <c r="BD61" s="249"/>
      <c r="BE61" s="249"/>
      <c r="BF61" s="249"/>
      <c r="BG61" s="249"/>
      <c r="BH61" s="249"/>
      <c r="BI61" s="249"/>
      <c r="BJ61" s="249"/>
      <c r="BK61" s="249"/>
      <c r="BL61" s="249"/>
      <c r="BM61" s="249"/>
      <c r="BN61" s="249"/>
      <c r="BO61" s="249"/>
      <c r="BP61" s="249"/>
      <c r="BQ61" s="249"/>
      <c r="BR61" s="249"/>
      <c r="BS61" s="249"/>
      <c r="BT61" s="249"/>
      <c r="BU61" s="249"/>
      <c r="BV61" s="249"/>
      <c r="BW61" s="249"/>
      <c r="BX61" s="249"/>
      <c r="BY61" s="249"/>
      <c r="BZ61" s="249"/>
      <c r="CA61" s="249"/>
      <c r="CB61" s="249"/>
      <c r="CC61" s="249"/>
      <c r="CD61" s="249"/>
      <c r="CE61" s="249"/>
      <c r="CF61" s="249"/>
      <c r="CG61" s="249"/>
      <c r="CH61" s="249"/>
      <c r="CI61" s="249"/>
      <c r="CJ61" s="249"/>
      <c r="CK61" s="249"/>
      <c r="CL61" s="249"/>
      <c r="CM61" s="249"/>
    </row>
    <row r="62" outlineLevel="1">
      <c r="A62" s="375" t="s">
        <v>381</v>
      </c>
      <c r="B62" s="325" t="str">
        <f t="shared" si="8"/>
        <v>TC_02.46</v>
      </c>
      <c r="C62" s="557" t="s">
        <v>75</v>
      </c>
      <c r="D62" s="558" t="s">
        <v>3055</v>
      </c>
      <c r="E62" s="558" t="s">
        <v>3056</v>
      </c>
      <c r="F62" s="558" t="s">
        <v>3057</v>
      </c>
      <c r="G62" s="558" t="s">
        <v>3058</v>
      </c>
      <c r="H62" s="265"/>
      <c r="I62" s="265"/>
      <c r="J62" s="265"/>
      <c r="K62" s="265"/>
      <c r="L62" s="273"/>
      <c r="M62" s="273"/>
      <c r="N62" s="273"/>
      <c r="O62" s="273"/>
      <c r="P62" s="273"/>
      <c r="Q62" s="273"/>
      <c r="R62" s="273"/>
      <c r="S62" s="273"/>
      <c r="T62" s="273"/>
      <c r="U62" s="273"/>
      <c r="V62" s="273"/>
      <c r="W62" s="273"/>
      <c r="X62" s="273"/>
      <c r="Y62" s="273"/>
      <c r="Z62" s="273"/>
      <c r="AA62" s="273"/>
      <c r="AB62" s="249"/>
      <c r="AC62" s="591"/>
      <c r="AD62" s="249"/>
      <c r="AE62" s="249"/>
      <c r="AF62" s="249"/>
      <c r="AG62" s="249"/>
      <c r="AH62" s="249"/>
      <c r="AI62" s="249"/>
      <c r="AJ62" s="249"/>
      <c r="AK62" s="249"/>
      <c r="AL62" s="249"/>
      <c r="AM62" s="249"/>
      <c r="AN62" s="249"/>
      <c r="AO62" s="591"/>
      <c r="AP62" s="249"/>
      <c r="AQ62" s="249"/>
      <c r="AR62" s="249"/>
      <c r="AS62" s="249"/>
      <c r="AT62" s="249"/>
      <c r="AU62" s="249"/>
      <c r="AV62" s="249"/>
      <c r="AW62" s="249"/>
      <c r="AX62" s="249"/>
      <c r="AY62" s="249"/>
      <c r="AZ62" s="249"/>
      <c r="BA62" s="249"/>
      <c r="BB62" s="249"/>
      <c r="BC62" s="249"/>
      <c r="BD62" s="249"/>
      <c r="BE62" s="249"/>
      <c r="BF62" s="249"/>
      <c r="BG62" s="249"/>
      <c r="BH62" s="249"/>
      <c r="BI62" s="249"/>
      <c r="BJ62" s="249"/>
      <c r="BK62" s="249"/>
      <c r="BL62" s="249"/>
      <c r="BM62" s="249"/>
      <c r="BN62" s="249"/>
      <c r="BO62" s="249"/>
      <c r="BP62" s="249"/>
      <c r="BQ62" s="249"/>
      <c r="BR62" s="249"/>
      <c r="BS62" s="249"/>
      <c r="BT62" s="249"/>
      <c r="BU62" s="249"/>
      <c r="BV62" s="249"/>
      <c r="BW62" s="249"/>
      <c r="BX62" s="249"/>
      <c r="BY62" s="249"/>
      <c r="BZ62" s="249"/>
      <c r="CA62" s="249"/>
      <c r="CB62" s="249"/>
      <c r="CC62" s="249"/>
      <c r="CD62" s="249"/>
      <c r="CE62" s="249"/>
      <c r="CF62" s="249"/>
      <c r="CG62" s="249"/>
      <c r="CH62" s="249"/>
      <c r="CI62" s="249"/>
      <c r="CJ62" s="249"/>
      <c r="CK62" s="249"/>
      <c r="CL62" s="249"/>
      <c r="CM62" s="249"/>
    </row>
    <row r="63" outlineLevel="1">
      <c r="A63" s="375" t="s">
        <v>525</v>
      </c>
      <c r="B63" s="325" t="str">
        <f t="shared" si="8"/>
        <v>TC_02.47</v>
      </c>
      <c r="C63" s="557" t="s">
        <v>75</v>
      </c>
      <c r="D63" s="558" t="s">
        <v>3059</v>
      </c>
      <c r="E63" s="558" t="s">
        <v>3060</v>
      </c>
      <c r="F63" s="558" t="s">
        <v>3061</v>
      </c>
      <c r="G63" s="559" t="s">
        <v>3062</v>
      </c>
      <c r="H63" s="265"/>
      <c r="I63" s="265"/>
      <c r="J63" s="273"/>
      <c r="K63" s="265"/>
      <c r="L63" s="273"/>
      <c r="M63" s="273"/>
      <c r="N63" s="273"/>
      <c r="O63" s="273"/>
      <c r="P63" s="273"/>
      <c r="Q63" s="273"/>
      <c r="R63" s="273"/>
      <c r="S63" s="273"/>
      <c r="T63" s="273"/>
      <c r="U63" s="273"/>
      <c r="V63" s="273"/>
      <c r="W63" s="273"/>
      <c r="X63" s="273"/>
      <c r="Y63" s="273"/>
      <c r="Z63" s="273"/>
      <c r="AA63" s="273"/>
      <c r="AB63" s="249"/>
      <c r="AC63" s="591"/>
      <c r="AD63" s="249"/>
      <c r="AE63" s="249"/>
      <c r="AF63" s="249"/>
      <c r="AG63" s="249"/>
      <c r="AH63" s="249"/>
      <c r="AI63" s="249"/>
      <c r="AJ63" s="249"/>
      <c r="AK63" s="249"/>
      <c r="AL63" s="249"/>
      <c r="AM63" s="249"/>
      <c r="AN63" s="249"/>
      <c r="AO63" s="591"/>
      <c r="AP63" s="249"/>
      <c r="AQ63" s="249"/>
      <c r="AR63" s="249"/>
      <c r="AS63" s="249"/>
      <c r="AT63" s="249"/>
      <c r="AU63" s="249"/>
      <c r="AV63" s="249"/>
      <c r="AW63" s="249"/>
      <c r="AX63" s="249"/>
      <c r="AY63" s="249"/>
      <c r="AZ63" s="249"/>
      <c r="BA63" s="249"/>
      <c r="BB63" s="249"/>
      <c r="BC63" s="249"/>
      <c r="BD63" s="249"/>
      <c r="BE63" s="249"/>
      <c r="BF63" s="249"/>
      <c r="BG63" s="249"/>
      <c r="BH63" s="249"/>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row>
    <row r="64" outlineLevel="1">
      <c r="A64" s="375" t="s">
        <v>381</v>
      </c>
      <c r="B64" s="325" t="str">
        <f t="shared" si="8"/>
        <v>TC_02.48</v>
      </c>
      <c r="C64" s="557" t="s">
        <v>77</v>
      </c>
      <c r="D64" s="558" t="s">
        <v>3063</v>
      </c>
      <c r="E64" s="558" t="s">
        <v>2937</v>
      </c>
      <c r="F64" s="558" t="s">
        <v>3064</v>
      </c>
      <c r="G64" s="558" t="s">
        <v>3065</v>
      </c>
      <c r="H64" s="265"/>
      <c r="I64" s="265"/>
      <c r="J64" s="273"/>
      <c r="K64" s="265"/>
      <c r="L64" s="273"/>
      <c r="M64" s="273"/>
      <c r="N64" s="273"/>
      <c r="O64" s="273"/>
      <c r="P64" s="273"/>
      <c r="Q64" s="273"/>
      <c r="R64" s="273"/>
      <c r="S64" s="273"/>
      <c r="T64" s="273"/>
      <c r="U64" s="273"/>
      <c r="V64" s="273"/>
      <c r="W64" s="273"/>
      <c r="X64" s="273"/>
      <c r="Y64" s="273"/>
      <c r="Z64" s="273"/>
      <c r="AA64" s="273"/>
      <c r="AB64" s="249"/>
      <c r="AC64" s="591"/>
      <c r="AD64" s="249"/>
      <c r="AE64" s="249"/>
      <c r="AF64" s="249"/>
      <c r="AG64" s="249"/>
      <c r="AH64" s="249"/>
      <c r="AI64" s="249"/>
      <c r="AJ64" s="249"/>
      <c r="AK64" s="249"/>
      <c r="AL64" s="249"/>
      <c r="AM64" s="249"/>
      <c r="AN64" s="249"/>
      <c r="AO64" s="591"/>
      <c r="AP64" s="249"/>
      <c r="AQ64" s="249"/>
      <c r="AR64" s="249"/>
      <c r="AS64" s="249"/>
      <c r="AT64" s="249"/>
      <c r="AU64" s="249"/>
      <c r="AV64" s="249"/>
      <c r="AW64" s="249"/>
      <c r="AX64" s="249"/>
      <c r="AY64" s="249"/>
      <c r="AZ64" s="249"/>
      <c r="BA64" s="249"/>
      <c r="BB64" s="249"/>
      <c r="BC64" s="249"/>
      <c r="BD64" s="249"/>
      <c r="BE64" s="249"/>
      <c r="BF64" s="249"/>
      <c r="BG64" s="249"/>
      <c r="BH64" s="249"/>
      <c r="BI64" s="249"/>
      <c r="BJ64" s="249"/>
      <c r="BK64" s="249"/>
      <c r="BL64" s="249"/>
      <c r="BM64" s="249"/>
      <c r="BN64" s="249"/>
      <c r="BO64" s="249"/>
      <c r="BP64" s="249"/>
      <c r="BQ64" s="249"/>
      <c r="BR64" s="249"/>
      <c r="BS64" s="249"/>
      <c r="BT64" s="249"/>
      <c r="BU64" s="249"/>
      <c r="BV64" s="249"/>
      <c r="BW64" s="249"/>
      <c r="BX64" s="249"/>
      <c r="BY64" s="249"/>
      <c r="BZ64" s="249"/>
      <c r="CA64" s="249"/>
      <c r="CB64" s="249"/>
      <c r="CC64" s="249"/>
      <c r="CD64" s="249"/>
      <c r="CE64" s="249"/>
      <c r="CF64" s="249"/>
      <c r="CG64" s="249"/>
      <c r="CH64" s="249"/>
      <c r="CI64" s="249"/>
      <c r="CJ64" s="249"/>
      <c r="CK64" s="249"/>
      <c r="CL64" s="249"/>
      <c r="CM64" s="249"/>
    </row>
    <row r="65">
      <c r="A65" s="590"/>
      <c r="B65" s="570" t="s">
        <v>2906</v>
      </c>
      <c r="C65" s="148"/>
      <c r="D65" s="148"/>
      <c r="E65" s="148"/>
      <c r="F65" s="148"/>
      <c r="G65" s="171"/>
      <c r="H65" s="265"/>
      <c r="I65" s="265"/>
      <c r="J65" s="273"/>
      <c r="K65" s="273"/>
      <c r="L65" s="273"/>
      <c r="M65" s="273"/>
      <c r="N65" s="273"/>
      <c r="O65" s="273"/>
      <c r="P65" s="273"/>
      <c r="Q65" s="273"/>
      <c r="R65" s="273"/>
      <c r="S65" s="273"/>
      <c r="T65" s="265"/>
      <c r="U65" s="273"/>
      <c r="V65" s="273"/>
      <c r="W65" s="273"/>
      <c r="X65" s="273"/>
      <c r="Y65" s="273"/>
      <c r="Z65" s="273"/>
      <c r="AA65" s="273"/>
      <c r="AB65" s="332"/>
      <c r="AC65" s="332"/>
      <c r="AD65" s="332"/>
      <c r="AE65" s="332"/>
      <c r="AF65" s="332"/>
      <c r="AG65" s="332"/>
      <c r="AH65" s="332"/>
      <c r="AI65" s="332"/>
      <c r="AJ65" s="332"/>
      <c r="AK65" s="332"/>
      <c r="AL65" s="332"/>
      <c r="AM65" s="332"/>
      <c r="AN65" s="332"/>
      <c r="AO65" s="332"/>
      <c r="AP65" s="332"/>
      <c r="AQ65" s="332"/>
      <c r="AR65" s="332"/>
      <c r="AS65" s="332"/>
      <c r="AT65" s="332"/>
      <c r="AU65" s="332"/>
      <c r="AV65" s="332"/>
      <c r="AW65" s="332"/>
      <c r="AX65" s="332"/>
      <c r="AY65" s="332"/>
      <c r="AZ65" s="332"/>
      <c r="BA65" s="332"/>
      <c r="BB65" s="332"/>
      <c r="BC65" s="332"/>
      <c r="BD65" s="332"/>
      <c r="BE65" s="332"/>
      <c r="BF65" s="332"/>
      <c r="BG65" s="332"/>
      <c r="BH65" s="332"/>
      <c r="BI65" s="332"/>
      <c r="BJ65" s="332"/>
      <c r="BK65" s="332"/>
      <c r="BL65" s="332"/>
      <c r="BM65" s="332"/>
      <c r="BN65" s="332"/>
      <c r="BO65" s="332"/>
      <c r="BP65" s="332"/>
      <c r="BQ65" s="332"/>
      <c r="BR65" s="332"/>
      <c r="BS65" s="332"/>
      <c r="BT65" s="332"/>
      <c r="BU65" s="332"/>
      <c r="BV65" s="332"/>
      <c r="BW65" s="332"/>
      <c r="BX65" s="332"/>
      <c r="BY65" s="332"/>
      <c r="BZ65" s="332"/>
      <c r="CA65" s="332"/>
      <c r="CB65" s="332"/>
      <c r="CC65" s="332"/>
      <c r="CD65" s="332"/>
      <c r="CE65" s="332"/>
      <c r="CF65" s="332"/>
      <c r="CG65" s="332"/>
      <c r="CH65" s="332"/>
      <c r="CI65" s="332"/>
      <c r="CJ65" s="332"/>
      <c r="CK65" s="332"/>
      <c r="CL65" s="332"/>
      <c r="CM65" s="332"/>
    </row>
    <row r="66" outlineLevel="1">
      <c r="A66" s="375" t="s">
        <v>525</v>
      </c>
      <c r="B66" s="158" t="str">
        <f t="shared" ref="B66:B68" si="9">IF(F66="","",$D$3&amp;"."&amp;COUNTA($F$8:F66)&amp;"")</f>
        <v>TC_02.49</v>
      </c>
      <c r="C66" s="267" t="s">
        <v>73</v>
      </c>
      <c r="D66" s="265" t="s">
        <v>2740</v>
      </c>
      <c r="E66" s="265" t="s">
        <v>2741</v>
      </c>
      <c r="F66" s="375" t="s">
        <v>2742</v>
      </c>
      <c r="G66" s="265" t="s">
        <v>2743</v>
      </c>
      <c r="H66" s="265"/>
      <c r="I66" s="265"/>
      <c r="J66" s="273"/>
      <c r="K66" s="273"/>
      <c r="L66" s="273"/>
      <c r="M66" s="273"/>
      <c r="N66" s="273"/>
      <c r="O66" s="273"/>
      <c r="P66" s="273"/>
      <c r="Q66" s="273"/>
      <c r="R66" s="273"/>
      <c r="S66" s="273"/>
      <c r="T66" s="265"/>
      <c r="U66" s="273"/>
      <c r="V66" s="273"/>
      <c r="W66" s="273"/>
      <c r="X66" s="273"/>
      <c r="Y66" s="273"/>
      <c r="Z66" s="273"/>
      <c r="AA66" s="273"/>
      <c r="AB66" s="332"/>
      <c r="AC66" s="332"/>
      <c r="AD66" s="332"/>
      <c r="AE66" s="332"/>
      <c r="AF66" s="332"/>
      <c r="AG66" s="332"/>
      <c r="AH66" s="332"/>
      <c r="AI66" s="332"/>
      <c r="AJ66" s="332"/>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2"/>
      <c r="BL66" s="332"/>
      <c r="BM66" s="332"/>
      <c r="BN66" s="332"/>
      <c r="BO66" s="332"/>
      <c r="BP66" s="332"/>
      <c r="BQ66" s="332"/>
      <c r="BR66" s="332"/>
      <c r="BS66" s="332"/>
      <c r="BT66" s="332"/>
      <c r="BU66" s="332"/>
      <c r="BV66" s="332"/>
      <c r="BW66" s="332"/>
      <c r="BX66" s="332"/>
      <c r="BY66" s="332"/>
      <c r="BZ66" s="332"/>
      <c r="CA66" s="332"/>
      <c r="CB66" s="332"/>
      <c r="CC66" s="332"/>
      <c r="CD66" s="332"/>
      <c r="CE66" s="332"/>
      <c r="CF66" s="332"/>
      <c r="CG66" s="332"/>
      <c r="CH66" s="332"/>
      <c r="CI66" s="332"/>
      <c r="CJ66" s="332"/>
      <c r="CK66" s="332"/>
      <c r="CL66" s="332"/>
      <c r="CM66" s="332"/>
    </row>
    <row r="67" outlineLevel="1">
      <c r="A67" s="375" t="s">
        <v>525</v>
      </c>
      <c r="B67" s="158" t="str">
        <f t="shared" si="9"/>
        <v>TC_02.50</v>
      </c>
      <c r="C67" s="267" t="s">
        <v>75</v>
      </c>
      <c r="D67" s="265" t="s">
        <v>2744</v>
      </c>
      <c r="E67" s="265" t="s">
        <v>2168</v>
      </c>
      <c r="F67" s="265" t="s">
        <v>2745</v>
      </c>
      <c r="G67" s="265" t="s">
        <v>2746</v>
      </c>
      <c r="H67" s="265"/>
      <c r="I67" s="265"/>
      <c r="J67" s="273"/>
      <c r="K67" s="273"/>
      <c r="L67" s="273"/>
      <c r="M67" s="273"/>
      <c r="N67" s="273"/>
      <c r="O67" s="273"/>
      <c r="P67" s="273"/>
      <c r="Q67" s="273"/>
      <c r="R67" s="273"/>
      <c r="S67" s="273"/>
      <c r="T67" s="265"/>
      <c r="U67" s="273"/>
      <c r="V67" s="273"/>
      <c r="W67" s="273"/>
      <c r="X67" s="273"/>
      <c r="Y67" s="273"/>
      <c r="Z67" s="273"/>
      <c r="AA67" s="273"/>
      <c r="AB67" s="332"/>
      <c r="AC67" s="332"/>
      <c r="AD67" s="332"/>
      <c r="AE67" s="332"/>
      <c r="AF67" s="332"/>
      <c r="AG67" s="332"/>
      <c r="AH67" s="332"/>
      <c r="AI67" s="332"/>
      <c r="AJ67" s="332"/>
      <c r="AK67" s="332"/>
      <c r="AL67" s="332"/>
      <c r="AM67" s="332"/>
      <c r="AN67" s="332"/>
      <c r="AO67" s="332"/>
      <c r="AP67" s="332"/>
      <c r="AQ67" s="332"/>
      <c r="AR67" s="332"/>
      <c r="AS67" s="332"/>
      <c r="AT67" s="332"/>
      <c r="AU67" s="332"/>
      <c r="AV67" s="332"/>
      <c r="AW67" s="332"/>
      <c r="AX67" s="332"/>
      <c r="AY67" s="332"/>
      <c r="AZ67" s="332"/>
      <c r="BA67" s="332"/>
      <c r="BB67" s="332"/>
      <c r="BC67" s="332"/>
      <c r="BD67" s="332"/>
      <c r="BE67" s="332"/>
      <c r="BF67" s="332"/>
      <c r="BG67" s="332"/>
      <c r="BH67" s="332"/>
      <c r="BI67" s="332"/>
      <c r="BJ67" s="332"/>
      <c r="BK67" s="332"/>
      <c r="BL67" s="332"/>
      <c r="BM67" s="332"/>
      <c r="BN67" s="332"/>
      <c r="BO67" s="332"/>
      <c r="BP67" s="332"/>
      <c r="BQ67" s="332"/>
      <c r="BR67" s="332"/>
      <c r="BS67" s="332"/>
      <c r="BT67" s="332"/>
      <c r="BU67" s="332"/>
      <c r="BV67" s="332"/>
      <c r="BW67" s="332"/>
      <c r="BX67" s="332"/>
      <c r="BY67" s="332"/>
      <c r="BZ67" s="332"/>
      <c r="CA67" s="332"/>
      <c r="CB67" s="332"/>
      <c r="CC67" s="332"/>
      <c r="CD67" s="332"/>
      <c r="CE67" s="332"/>
      <c r="CF67" s="332"/>
      <c r="CG67" s="332"/>
      <c r="CH67" s="332"/>
      <c r="CI67" s="332"/>
      <c r="CJ67" s="332"/>
      <c r="CK67" s="332"/>
      <c r="CL67" s="332"/>
      <c r="CM67" s="332"/>
    </row>
    <row r="68" outlineLevel="1">
      <c r="A68" s="375" t="s">
        <v>525</v>
      </c>
      <c r="B68" s="158" t="str">
        <f t="shared" si="9"/>
        <v>TC_02.51</v>
      </c>
      <c r="C68" s="267" t="s">
        <v>77</v>
      </c>
      <c r="D68" s="265" t="s">
        <v>2747</v>
      </c>
      <c r="E68" s="265" t="s">
        <v>2748</v>
      </c>
      <c r="F68" s="265" t="s">
        <v>2749</v>
      </c>
      <c r="G68" s="265" t="s">
        <v>2750</v>
      </c>
      <c r="H68" s="265"/>
      <c r="I68" s="265"/>
      <c r="J68" s="273"/>
      <c r="K68" s="273"/>
      <c r="L68" s="273"/>
      <c r="M68" s="273"/>
      <c r="N68" s="273"/>
      <c r="O68" s="273"/>
      <c r="P68" s="273"/>
      <c r="Q68" s="273"/>
      <c r="R68" s="273"/>
      <c r="S68" s="273"/>
      <c r="T68" s="265"/>
      <c r="U68" s="273"/>
      <c r="V68" s="273"/>
      <c r="W68" s="273"/>
      <c r="X68" s="273"/>
      <c r="Y68" s="273"/>
      <c r="Z68" s="273"/>
      <c r="AA68" s="273"/>
      <c r="AB68" s="332"/>
      <c r="AC68" s="332"/>
      <c r="AD68" s="332"/>
      <c r="AE68" s="332"/>
      <c r="AF68" s="332"/>
      <c r="AG68" s="332"/>
      <c r="AH68" s="332"/>
      <c r="AI68" s="332"/>
      <c r="AJ68" s="332"/>
      <c r="AK68" s="332"/>
      <c r="AL68" s="332"/>
      <c r="AM68" s="332"/>
      <c r="AN68" s="332"/>
      <c r="AO68" s="332"/>
      <c r="AP68" s="332"/>
      <c r="AQ68" s="332"/>
      <c r="AR68" s="332"/>
      <c r="AS68" s="332"/>
      <c r="AT68" s="332"/>
      <c r="AU68" s="332"/>
      <c r="AV68" s="332"/>
      <c r="AW68" s="332"/>
      <c r="AX68" s="332"/>
      <c r="AY68" s="332"/>
      <c r="AZ68" s="332"/>
      <c r="BA68" s="332"/>
      <c r="BB68" s="332"/>
      <c r="BC68" s="332"/>
      <c r="BD68" s="332"/>
      <c r="BE68" s="332"/>
      <c r="BF68" s="332"/>
      <c r="BG68" s="332"/>
      <c r="BH68" s="332"/>
      <c r="BI68" s="332"/>
      <c r="BJ68" s="332"/>
      <c r="BK68" s="332"/>
      <c r="BL68" s="332"/>
      <c r="BM68" s="332"/>
      <c r="BN68" s="332"/>
      <c r="BO68" s="332"/>
      <c r="BP68" s="332"/>
      <c r="BQ68" s="332"/>
      <c r="BR68" s="332"/>
      <c r="BS68" s="332"/>
      <c r="BT68" s="332"/>
      <c r="BU68" s="332"/>
      <c r="BV68" s="332"/>
      <c r="BW68" s="332"/>
      <c r="BX68" s="332"/>
      <c r="BY68" s="332"/>
      <c r="BZ68" s="332"/>
      <c r="CA68" s="332"/>
      <c r="CB68" s="332"/>
      <c r="CC68" s="332"/>
      <c r="CD68" s="332"/>
      <c r="CE68" s="332"/>
      <c r="CF68" s="332"/>
      <c r="CG68" s="332"/>
      <c r="CH68" s="332"/>
      <c r="CI68" s="332"/>
      <c r="CJ68" s="332"/>
      <c r="CK68" s="332"/>
      <c r="CL68" s="332"/>
      <c r="CM68" s="332"/>
    </row>
    <row r="69">
      <c r="A69" s="593"/>
      <c r="B69" s="325"/>
      <c r="C69" s="372"/>
      <c r="D69" s="351"/>
      <c r="E69" s="345"/>
      <c r="F69" s="345"/>
      <c r="G69" s="345"/>
      <c r="H69" s="411"/>
      <c r="I69" s="323"/>
      <c r="J69" s="331"/>
      <c r="K69" s="331"/>
      <c r="L69" s="331"/>
      <c r="M69" s="331"/>
      <c r="N69" s="331"/>
      <c r="O69" s="331"/>
      <c r="P69" s="331"/>
      <c r="Q69" s="331"/>
      <c r="R69" s="331"/>
      <c r="S69" s="331"/>
      <c r="T69" s="347"/>
      <c r="U69" s="331"/>
      <c r="V69" s="331"/>
      <c r="W69" s="331"/>
      <c r="X69" s="332"/>
      <c r="Y69" s="332"/>
      <c r="Z69" s="332"/>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2"/>
      <c r="BN69" s="332"/>
      <c r="BO69" s="332"/>
      <c r="BP69" s="332"/>
      <c r="BQ69" s="332"/>
      <c r="BR69" s="332"/>
      <c r="BS69" s="332"/>
      <c r="BT69" s="332"/>
      <c r="BU69" s="332"/>
      <c r="BV69" s="332"/>
      <c r="BW69" s="332"/>
      <c r="BX69" s="332"/>
      <c r="BY69" s="332"/>
      <c r="BZ69" s="332"/>
      <c r="CA69" s="332"/>
      <c r="CB69" s="332"/>
      <c r="CC69" s="332"/>
      <c r="CD69" s="332"/>
      <c r="CE69" s="332"/>
      <c r="CF69" s="332"/>
      <c r="CG69" s="332"/>
      <c r="CH69" s="332"/>
      <c r="CI69" s="332"/>
      <c r="CJ69" s="332"/>
      <c r="CK69" s="332"/>
      <c r="CL69" s="332"/>
      <c r="CM69" s="332"/>
    </row>
  </sheetData>
  <autoFilter ref="$H$1:$K$69"/>
  <mergeCells count="25">
    <mergeCell ref="C7:C8"/>
    <mergeCell ref="D7:D8"/>
    <mergeCell ref="E7:E8"/>
    <mergeCell ref="F7:F8"/>
    <mergeCell ref="G7:G8"/>
    <mergeCell ref="H7:K7"/>
    <mergeCell ref="L7:O7"/>
    <mergeCell ref="P7:S7"/>
    <mergeCell ref="T7:W7"/>
    <mergeCell ref="C2:F2"/>
    <mergeCell ref="B3:C3"/>
    <mergeCell ref="D3:E3"/>
    <mergeCell ref="B4:C4"/>
    <mergeCell ref="D4:E4"/>
    <mergeCell ref="A7:A8"/>
    <mergeCell ref="B7:B8"/>
    <mergeCell ref="B59:G59"/>
    <mergeCell ref="B65:G65"/>
    <mergeCell ref="B9:G9"/>
    <mergeCell ref="B15:G15"/>
    <mergeCell ref="B19:G19"/>
    <mergeCell ref="B28:G28"/>
    <mergeCell ref="B40:G40"/>
    <mergeCell ref="B44:G44"/>
    <mergeCell ref="B52:G52"/>
  </mergeCells>
  <conditionalFormatting sqref="H9:H29 L9:L69 P9:P69 T9:T69 X15:X18 AB15:AB18 AF15:AF18 AJ15:AJ18 AN15:AN18 AR15:AR18 AV15:AV18 AZ15:AZ18 H40:H68 X41:X64 AB41:AB64 AF41:AF64 AJ41:AJ64 AN41:AN64 AR41:AR64 AV41:AV64 AZ41:AZ64">
    <cfRule type="cellIs" dxfId="0" priority="1" operator="equal">
      <formula>"Block"</formula>
    </cfRule>
  </conditionalFormatting>
  <conditionalFormatting sqref="H9:H29 L9:L69 P9:P69 T9:T69 X15:X18 AB15:AB18 AF15:AF18 AJ15:AJ18 AN15:AN18 AR15:AR18 AV15:AV18 AZ15:AZ18 H40:H68 X41:X64 AB41:AB64 AF41:AF64 AJ41:AJ64 AN41:AN64 AR41:AR64 AV41:AV64 AZ41:AZ64">
    <cfRule type="cellIs" dxfId="1" priority="2" operator="equal">
      <formula>"Fail"</formula>
    </cfRule>
  </conditionalFormatting>
  <conditionalFormatting sqref="H9:H29 L9:L69 P9:P69 T9:T69 X15:X18 AB15:AB18 AF15:AF18 AJ15:AJ18 AN15:AN18 AR15:AR18 AV15:AV18 AZ15:AZ18 H40:H68 X41:X64 AB41:AB64 AF41:AF64 AJ41:AJ64 AN41:AN64 AR41:AR64 AV41:AV64 AZ41:AZ64">
    <cfRule type="cellIs" dxfId="2" priority="3" operator="equal">
      <formula>"Pass"</formula>
    </cfRule>
  </conditionalFormatting>
  <conditionalFormatting sqref="H9:H29 L9:L69 P9:P69 T9:T69 X15:X18 AB15:AB18 AF15:AF18 AJ15:AJ18 AN15:AN18 AR15:AR18 AV15:AV18 AZ15:AZ18 H40:H68 X41:X64 AB41:AB64 AF41:AF64 AJ41:AJ64 AN41:AN64 AR41:AR64 AV41:AV64 AZ41:AZ64">
    <cfRule type="cellIs" dxfId="3" priority="4" operator="equal">
      <formula>"N/A"</formula>
    </cfRule>
  </conditionalFormatting>
  <conditionalFormatting sqref="H9:H69 L9:L69 P9:P69 T9:T69">
    <cfRule type="cellIs" dxfId="4" priority="5" operator="equal">
      <formula>"Block"</formula>
    </cfRule>
  </conditionalFormatting>
  <conditionalFormatting sqref="H9:H69 L9:L69 P9:P69 T9:T69">
    <cfRule type="cellIs" dxfId="5" priority="6" operator="equal">
      <formula>"Fail"</formula>
    </cfRule>
  </conditionalFormatting>
  <conditionalFormatting sqref="H9:H69 L9:L69 P9:P69 T9:T69">
    <cfRule type="cellIs" dxfId="6" priority="7" operator="equal">
      <formula>"Pass"</formula>
    </cfRule>
  </conditionalFormatting>
  <conditionalFormatting sqref="H9:H69 L9:L69 P9:P69 T9:T69">
    <cfRule type="cellIs" dxfId="7" priority="8" operator="equal">
      <formula>"N/A"</formula>
    </cfRule>
  </conditionalFormatting>
  <conditionalFormatting sqref="H15:H18 H60:H64">
    <cfRule type="cellIs" dxfId="4" priority="9" operator="equal">
      <formula>"Block"</formula>
    </cfRule>
  </conditionalFormatting>
  <conditionalFormatting sqref="H15:H18 H60:H64">
    <cfRule type="cellIs" dxfId="5" priority="10" operator="equal">
      <formula>"Fail"</formula>
    </cfRule>
  </conditionalFormatting>
  <conditionalFormatting sqref="H15:H18 H60:H64">
    <cfRule type="cellIs" dxfId="6" priority="11" operator="equal">
      <formula>"Pass"</formula>
    </cfRule>
  </conditionalFormatting>
  <conditionalFormatting sqref="H15:H18 H60:H64">
    <cfRule type="cellIs" dxfId="7" priority="12" operator="equal">
      <formula>"N/A"</formula>
    </cfRule>
  </conditionalFormatting>
  <conditionalFormatting sqref="H9:H69 L9:L69 P9:P69 T9:T69">
    <cfRule type="cellIs" dxfId="0" priority="13" operator="equal">
      <formula>"Block"</formula>
    </cfRule>
  </conditionalFormatting>
  <conditionalFormatting sqref="H9:H69 L9:L69 P9:P69 T9:T69">
    <cfRule type="cellIs" dxfId="1" priority="14" operator="equal">
      <formula>"Fail"</formula>
    </cfRule>
  </conditionalFormatting>
  <conditionalFormatting sqref="H9:H69 L9:L69 P9:P69 T9:T69">
    <cfRule type="cellIs" dxfId="2" priority="15" operator="equal">
      <formula>"Pass"</formula>
    </cfRule>
  </conditionalFormatting>
  <conditionalFormatting sqref="H9:H69 L9:L69 P9:P69 T9:T69">
    <cfRule type="cellIs" dxfId="3" priority="16" operator="equal">
      <formula>"N/A"</formula>
    </cfRule>
  </conditionalFormatting>
  <dataValidations>
    <dataValidation type="list" allowBlank="1" showErrorMessage="1" sqref="X15:X18 AB15:AB18 AF15:AF18 AJ15:AJ18 AN15:AN18 AR15:AR18 AV15:AV18 AZ15:AZ18 X41:X43 AB41:AB43 AF41:AF43 AJ41:AJ43 AN41:AN43 AR41:AR43 AV41:AV43 AZ41:AZ43 X45:X51 AB45:AB51 AF45:AF51 AJ45:AJ51 AN45:AN51 AR45:AR51 AV45:AV51 AZ45:AZ51 X53:X58 AB53:AB58 AF53:AF58 AJ53:AJ58 AN53:AN58 AR53:AR58 AV53:AV58 AZ53:AZ58 X61:X64 AB61:AB64 AF61:AF64 AJ61:AJ64 AN61:AN64 AR61:AR64 AV61:AV64 AZ61:AZ64 H9:H69 L9:L69 P9:P69 T9:T69">
      <formula1>"Pass,Fail,Block,N/A"</formula1>
    </dataValidation>
    <dataValidation type="list" allowBlank="1" showErrorMessage="1" sqref="A10:A39 A41:A68">
      <formula1>"QC,AI"</formula1>
    </dataValidation>
    <dataValidation type="list" allowBlank="1" showErrorMessage="1" sqref="C10:C13 C16:C18 C20:C27 C29:C36 C38 C41:C43 C45:C51 C53:C58 C61:C64 C66:C69">
      <formula1>"High,Medium,Low"</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17.63"/>
    <col customWidth="1" min="5" max="5" width="40.38"/>
    <col customWidth="1" min="6" max="6" width="53.38"/>
    <col customWidth="1" min="7" max="7" width="8.38"/>
    <col customWidth="1" min="8" max="8" width="12.25"/>
    <col customWidth="1" min="9" max="9" width="13.5"/>
    <col customWidth="1" min="10" max="10" width="14.88"/>
    <col customWidth="1" min="11" max="90" width="8.38"/>
  </cols>
  <sheetData>
    <row r="1" outlineLevel="1">
      <c r="A1" s="233"/>
      <c r="B1" s="234"/>
      <c r="C1" s="304"/>
      <c r="D1" s="235"/>
      <c r="E1" s="236"/>
      <c r="F1" s="237"/>
      <c r="G1" s="238"/>
      <c r="H1" s="239"/>
      <c r="I1" s="240"/>
      <c r="J1" s="241"/>
      <c r="K1" s="238"/>
      <c r="L1" s="239"/>
      <c r="M1" s="239"/>
      <c r="N1" s="456"/>
      <c r="O1" s="238"/>
      <c r="P1" s="239"/>
      <c r="Q1" s="239"/>
      <c r="R1" s="456"/>
      <c r="S1" s="238"/>
      <c r="T1" s="239"/>
      <c r="U1" s="239"/>
      <c r="V1" s="456"/>
      <c r="W1" s="456"/>
      <c r="X1" s="456"/>
      <c r="Y1" s="456"/>
      <c r="Z1" s="456"/>
      <c r="AA1" s="456"/>
      <c r="AB1" s="456"/>
      <c r="AC1" s="456"/>
      <c r="AD1" s="456"/>
      <c r="AE1" s="456"/>
      <c r="AF1" s="456"/>
      <c r="AG1" s="456"/>
      <c r="AH1" s="456"/>
      <c r="AI1" s="456"/>
      <c r="AJ1" s="456"/>
      <c r="AK1" s="456"/>
      <c r="AL1" s="456"/>
      <c r="AM1" s="456"/>
      <c r="AN1" s="456"/>
      <c r="AO1" s="456"/>
      <c r="AP1" s="456"/>
      <c r="AQ1" s="456"/>
      <c r="AR1" s="456"/>
      <c r="AS1" s="456"/>
      <c r="AT1" s="456"/>
      <c r="AU1" s="456"/>
      <c r="AV1" s="456"/>
      <c r="AW1" s="456"/>
      <c r="AX1" s="456"/>
      <c r="AY1" s="456"/>
      <c r="AZ1" s="456"/>
      <c r="BA1" s="456"/>
      <c r="BB1" s="456"/>
      <c r="BC1" s="456"/>
      <c r="BD1" s="456"/>
      <c r="BE1" s="456"/>
      <c r="BF1" s="456"/>
      <c r="BG1" s="456"/>
      <c r="BH1" s="456"/>
      <c r="BI1" s="456"/>
      <c r="BJ1" s="456"/>
      <c r="BK1" s="456"/>
      <c r="BL1" s="456"/>
      <c r="BM1" s="456"/>
      <c r="BN1" s="456"/>
      <c r="BO1" s="456"/>
      <c r="BP1" s="456"/>
      <c r="BQ1" s="456"/>
      <c r="BR1" s="456"/>
      <c r="BS1" s="456"/>
      <c r="BT1" s="456"/>
      <c r="BU1" s="456"/>
      <c r="BV1" s="456"/>
      <c r="BW1" s="456"/>
      <c r="BX1" s="456"/>
      <c r="BY1" s="456"/>
      <c r="BZ1" s="456"/>
      <c r="CA1" s="456"/>
      <c r="CB1" s="456"/>
      <c r="CC1" s="456"/>
      <c r="CD1" s="456"/>
      <c r="CE1" s="456"/>
      <c r="CF1" s="456"/>
      <c r="CG1" s="456"/>
      <c r="CH1" s="456"/>
      <c r="CI1" s="456"/>
      <c r="CJ1" s="456"/>
      <c r="CK1" s="456"/>
      <c r="CL1" s="456"/>
    </row>
    <row r="2" outlineLevel="1">
      <c r="A2" s="242"/>
      <c r="B2" s="243"/>
      <c r="C2" s="182"/>
      <c r="D2" s="182"/>
      <c r="E2" s="182"/>
      <c r="F2" s="244"/>
      <c r="G2" s="238"/>
      <c r="H2" s="239"/>
      <c r="I2" s="240"/>
      <c r="J2" s="241"/>
      <c r="K2" s="238"/>
      <c r="L2" s="239"/>
      <c r="M2" s="239"/>
      <c r="N2" s="456"/>
      <c r="O2" s="238"/>
      <c r="P2" s="239"/>
      <c r="Q2" s="239"/>
      <c r="R2" s="456"/>
      <c r="S2" s="238"/>
      <c r="T2" s="239"/>
      <c r="U2" s="239"/>
      <c r="V2" s="456"/>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c r="CG2" s="456"/>
      <c r="CH2" s="456"/>
      <c r="CI2" s="456"/>
      <c r="CJ2" s="456"/>
      <c r="CK2" s="456"/>
      <c r="CL2" s="456"/>
    </row>
    <row r="3" outlineLevel="1">
      <c r="A3" s="246" t="s">
        <v>122</v>
      </c>
      <c r="B3" s="122"/>
      <c r="C3" s="250" t="s">
        <v>3066</v>
      </c>
      <c r="D3" s="122"/>
      <c r="E3" s="248"/>
      <c r="F3" s="249"/>
      <c r="G3" s="238"/>
      <c r="H3" s="239"/>
      <c r="I3" s="240"/>
      <c r="J3" s="248"/>
      <c r="K3" s="238"/>
      <c r="L3" s="239"/>
      <c r="M3" s="239"/>
      <c r="N3" s="458"/>
      <c r="O3" s="238"/>
      <c r="P3" s="239"/>
      <c r="Q3" s="239"/>
      <c r="R3" s="458"/>
      <c r="S3" s="238"/>
      <c r="T3" s="239"/>
      <c r="U3" s="239"/>
      <c r="V3" s="458"/>
      <c r="W3" s="458"/>
      <c r="X3" s="458"/>
      <c r="Y3" s="458"/>
      <c r="Z3" s="458"/>
      <c r="AA3" s="458"/>
      <c r="AB3" s="458"/>
      <c r="AC3" s="458"/>
      <c r="AD3" s="458"/>
      <c r="AE3" s="458"/>
      <c r="AF3" s="458"/>
      <c r="AG3" s="458"/>
      <c r="AH3" s="458"/>
      <c r="AI3" s="458"/>
      <c r="AJ3" s="458"/>
      <c r="AK3" s="458"/>
      <c r="AL3" s="458"/>
      <c r="AM3" s="458"/>
      <c r="AN3" s="458"/>
      <c r="AO3" s="458"/>
      <c r="AP3" s="458"/>
      <c r="AQ3" s="458"/>
      <c r="AR3" s="458"/>
      <c r="AS3" s="458"/>
      <c r="AT3" s="458"/>
      <c r="AU3" s="458"/>
      <c r="AV3" s="458"/>
      <c r="AW3" s="458"/>
      <c r="AX3" s="458"/>
      <c r="AY3" s="458"/>
      <c r="AZ3" s="458"/>
      <c r="BA3" s="458"/>
      <c r="BB3" s="458"/>
      <c r="BC3" s="458"/>
      <c r="BD3" s="458"/>
      <c r="BE3" s="458"/>
      <c r="BF3" s="458"/>
      <c r="BG3" s="458"/>
      <c r="BH3" s="458"/>
      <c r="BI3" s="458"/>
      <c r="BJ3" s="458"/>
      <c r="BK3" s="458"/>
      <c r="BL3" s="458"/>
      <c r="BM3" s="458"/>
      <c r="BN3" s="458"/>
      <c r="BO3" s="458"/>
      <c r="BP3" s="458"/>
      <c r="BQ3" s="458"/>
      <c r="BR3" s="458"/>
      <c r="BS3" s="458"/>
      <c r="BT3" s="458"/>
      <c r="BU3" s="458"/>
      <c r="BV3" s="458"/>
      <c r="BW3" s="458"/>
      <c r="BX3" s="458"/>
      <c r="BY3" s="458"/>
      <c r="BZ3" s="458"/>
      <c r="CA3" s="458"/>
      <c r="CB3" s="458"/>
      <c r="CC3" s="458"/>
      <c r="CD3" s="458"/>
      <c r="CE3" s="458"/>
      <c r="CF3" s="458"/>
      <c r="CG3" s="458"/>
      <c r="CH3" s="458"/>
      <c r="CI3" s="458"/>
      <c r="CJ3" s="458"/>
      <c r="CK3" s="458"/>
      <c r="CL3" s="458"/>
    </row>
    <row r="4" outlineLevel="1">
      <c r="A4" s="246" t="s">
        <v>123</v>
      </c>
      <c r="B4" s="122"/>
      <c r="C4" s="250" t="s">
        <v>3067</v>
      </c>
      <c r="D4" s="122"/>
      <c r="E4" s="248"/>
      <c r="F4" s="249"/>
      <c r="G4" s="238"/>
      <c r="H4" s="239"/>
      <c r="I4" s="240"/>
      <c r="J4" s="248"/>
      <c r="K4" s="238"/>
      <c r="L4" s="239"/>
      <c r="M4" s="239"/>
      <c r="N4" s="458"/>
      <c r="O4" s="238"/>
      <c r="P4" s="239"/>
      <c r="Q4" s="239"/>
      <c r="R4" s="458"/>
      <c r="S4" s="238"/>
      <c r="T4" s="239"/>
      <c r="U4" s="239"/>
      <c r="V4" s="458"/>
      <c r="W4" s="458"/>
      <c r="X4" s="458"/>
      <c r="Y4" s="458"/>
      <c r="Z4" s="458"/>
      <c r="AA4" s="458"/>
      <c r="AB4" s="458"/>
      <c r="AC4" s="458"/>
      <c r="AD4" s="458"/>
      <c r="AE4" s="458"/>
      <c r="AF4" s="458"/>
      <c r="AG4" s="458"/>
      <c r="AH4" s="458"/>
      <c r="AI4" s="458"/>
      <c r="AJ4" s="458"/>
      <c r="AK4" s="458"/>
      <c r="AL4" s="458"/>
      <c r="AM4" s="458"/>
      <c r="AN4" s="458"/>
      <c r="AO4" s="458"/>
      <c r="AP4" s="458"/>
      <c r="AQ4" s="458"/>
      <c r="AR4" s="458"/>
      <c r="AS4" s="458"/>
      <c r="AT4" s="458"/>
      <c r="AU4" s="458"/>
      <c r="AV4" s="458"/>
      <c r="AW4" s="458"/>
      <c r="AX4" s="458"/>
      <c r="AY4" s="458"/>
      <c r="AZ4" s="458"/>
      <c r="BA4" s="458"/>
      <c r="BB4" s="458"/>
      <c r="BC4" s="458"/>
      <c r="BD4" s="458"/>
      <c r="BE4" s="458"/>
      <c r="BF4" s="458"/>
      <c r="BG4" s="458"/>
      <c r="BH4" s="458"/>
      <c r="BI4" s="458"/>
      <c r="BJ4" s="458"/>
      <c r="BK4" s="458"/>
      <c r="BL4" s="458"/>
      <c r="BM4" s="458"/>
      <c r="BN4" s="458"/>
      <c r="BO4" s="458"/>
      <c r="BP4" s="458"/>
      <c r="BQ4" s="458"/>
      <c r="BR4" s="458"/>
      <c r="BS4" s="458"/>
      <c r="BT4" s="458"/>
      <c r="BU4" s="458"/>
      <c r="BV4" s="458"/>
      <c r="BW4" s="458"/>
      <c r="BX4" s="458"/>
      <c r="BY4" s="458"/>
      <c r="BZ4" s="458"/>
      <c r="CA4" s="458"/>
      <c r="CB4" s="458"/>
      <c r="CC4" s="458"/>
      <c r="CD4" s="458"/>
      <c r="CE4" s="458"/>
      <c r="CF4" s="458"/>
      <c r="CG4" s="458"/>
      <c r="CH4" s="458"/>
      <c r="CI4" s="458"/>
      <c r="CJ4" s="458"/>
      <c r="CK4" s="458"/>
      <c r="CL4" s="458"/>
    </row>
    <row r="5" outlineLevel="1">
      <c r="A5" s="251"/>
      <c r="B5" s="251"/>
      <c r="C5" s="251"/>
      <c r="D5" s="251"/>
      <c r="E5" s="252"/>
      <c r="F5" s="253"/>
      <c r="G5" s="238"/>
      <c r="H5" s="239"/>
      <c r="I5" s="240"/>
      <c r="J5" s="241"/>
      <c r="K5" s="238"/>
      <c r="L5" s="239"/>
      <c r="M5" s="239"/>
      <c r="N5" s="456"/>
      <c r="O5" s="238"/>
      <c r="P5" s="239"/>
      <c r="Q5" s="239"/>
      <c r="R5" s="456"/>
      <c r="S5" s="238"/>
      <c r="T5" s="239"/>
      <c r="U5" s="239"/>
      <c r="V5" s="456"/>
      <c r="W5" s="456"/>
      <c r="X5" s="456"/>
      <c r="Y5" s="456"/>
      <c r="Z5" s="456"/>
      <c r="AA5" s="456"/>
      <c r="AB5" s="456"/>
      <c r="AC5" s="456"/>
      <c r="AD5" s="456"/>
      <c r="AE5" s="456"/>
      <c r="AF5" s="456"/>
      <c r="AG5" s="456"/>
      <c r="AH5" s="456"/>
      <c r="AI5" s="456"/>
      <c r="AJ5" s="456"/>
      <c r="AK5" s="456"/>
      <c r="AL5" s="456"/>
      <c r="AM5" s="456"/>
      <c r="AN5" s="456"/>
      <c r="AO5" s="456"/>
      <c r="AP5" s="456"/>
      <c r="AQ5" s="456"/>
      <c r="AR5" s="456"/>
      <c r="AS5" s="456"/>
      <c r="AT5" s="456"/>
      <c r="AU5" s="456"/>
      <c r="AV5" s="456"/>
      <c r="AW5" s="456"/>
      <c r="AX5" s="456"/>
      <c r="AY5" s="456"/>
      <c r="AZ5" s="456"/>
      <c r="BA5" s="456"/>
      <c r="BB5" s="456"/>
      <c r="BC5" s="456"/>
      <c r="BD5" s="456"/>
      <c r="BE5" s="456"/>
      <c r="BF5" s="456"/>
      <c r="BG5" s="456"/>
      <c r="BH5" s="456"/>
      <c r="BI5" s="456"/>
      <c r="BJ5" s="456"/>
      <c r="BK5" s="456"/>
      <c r="BL5" s="456"/>
      <c r="BM5" s="456"/>
      <c r="BN5" s="456"/>
      <c r="BO5" s="456"/>
      <c r="BP5" s="456"/>
      <c r="BQ5" s="456"/>
      <c r="BR5" s="456"/>
      <c r="BS5" s="456"/>
      <c r="BT5" s="456"/>
      <c r="BU5" s="456"/>
      <c r="BV5" s="456"/>
      <c r="BW5" s="456"/>
      <c r="BX5" s="456"/>
      <c r="BY5" s="456"/>
      <c r="BZ5" s="456"/>
      <c r="CA5" s="456"/>
      <c r="CB5" s="456"/>
      <c r="CC5" s="456"/>
      <c r="CD5" s="456"/>
      <c r="CE5" s="456"/>
      <c r="CF5" s="456"/>
      <c r="CG5" s="456"/>
      <c r="CH5" s="456"/>
      <c r="CI5" s="456"/>
      <c r="CJ5" s="456"/>
      <c r="CK5" s="456"/>
      <c r="CL5" s="456"/>
    </row>
    <row r="6" outlineLevel="1">
      <c r="A6" s="254"/>
      <c r="B6" s="254"/>
      <c r="C6" s="254"/>
      <c r="D6" s="254"/>
      <c r="E6" s="255"/>
      <c r="F6" s="253"/>
      <c r="G6" s="238"/>
      <c r="H6" s="239"/>
      <c r="I6" s="240"/>
      <c r="J6" s="241"/>
      <c r="K6" s="238"/>
      <c r="L6" s="239"/>
      <c r="M6" s="239"/>
      <c r="N6" s="456"/>
      <c r="O6" s="238"/>
      <c r="P6" s="239"/>
      <c r="Q6" s="239"/>
      <c r="R6" s="456"/>
      <c r="S6" s="238"/>
      <c r="T6" s="239"/>
      <c r="U6" s="239"/>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row>
    <row r="7">
      <c r="A7" s="146" t="s">
        <v>126</v>
      </c>
      <c r="B7" s="146" t="s">
        <v>127</v>
      </c>
      <c r="C7" s="146" t="s">
        <v>128</v>
      </c>
      <c r="D7" s="146" t="s">
        <v>129</v>
      </c>
      <c r="E7" s="146" t="s">
        <v>130</v>
      </c>
      <c r="F7" s="311" t="s">
        <v>131</v>
      </c>
      <c r="G7" s="312" t="str">
        <f>Summary!G8</f>
        <v>Round 1 (09/04/2026 - 15/04/2026)</v>
      </c>
      <c r="H7" s="313"/>
      <c r="I7" s="313"/>
      <c r="J7" s="314"/>
      <c r="K7" s="312" t="str">
        <f>Summary!L8</f>
        <v>Round 2 (dd/mm/yyyy - dd/mm/yyyy)</v>
      </c>
      <c r="L7" s="313"/>
      <c r="M7" s="313"/>
      <c r="N7" s="314"/>
      <c r="O7" s="315" t="str">
        <f>Summary!Q8</f>
        <v>Round 3(dd/mm/yyyy - dd/mm/yyyy)</v>
      </c>
      <c r="P7" s="148"/>
      <c r="Q7" s="148"/>
      <c r="R7" s="171"/>
      <c r="S7" s="315" t="str">
        <f>Summary!V8</f>
        <v>Round 4 (dd/mm/yyyy - dd/mm/yyyy)</v>
      </c>
      <c r="T7" s="148"/>
      <c r="U7" s="148"/>
      <c r="V7" s="171"/>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c r="BO7" s="316"/>
      <c r="BP7" s="316"/>
      <c r="BQ7" s="316"/>
      <c r="BR7" s="316"/>
      <c r="BS7" s="316"/>
      <c r="BT7" s="316"/>
      <c r="BU7" s="316"/>
      <c r="BV7" s="316"/>
      <c r="BW7" s="316"/>
      <c r="BX7" s="316"/>
      <c r="BY7" s="316"/>
      <c r="BZ7" s="316"/>
      <c r="CA7" s="316"/>
      <c r="CB7" s="316"/>
      <c r="CC7" s="316"/>
      <c r="CD7" s="316"/>
      <c r="CE7" s="316"/>
      <c r="CF7" s="316"/>
      <c r="CG7" s="316"/>
      <c r="CH7" s="316"/>
      <c r="CI7" s="316"/>
      <c r="CJ7" s="316"/>
      <c r="CK7" s="316"/>
      <c r="CL7" s="316"/>
    </row>
    <row r="8">
      <c r="A8" s="56"/>
      <c r="B8" s="56"/>
      <c r="C8" s="56"/>
      <c r="D8" s="56"/>
      <c r="E8" s="56"/>
      <c r="F8" s="56"/>
      <c r="G8" s="317" t="s">
        <v>132</v>
      </c>
      <c r="H8" s="317" t="s">
        <v>133</v>
      </c>
      <c r="I8" s="317" t="s">
        <v>134</v>
      </c>
      <c r="J8" s="317" t="s">
        <v>135</v>
      </c>
      <c r="K8" s="317" t="s">
        <v>132</v>
      </c>
      <c r="L8" s="317" t="s">
        <v>133</v>
      </c>
      <c r="M8" s="317" t="s">
        <v>134</v>
      </c>
      <c r="N8" s="317" t="s">
        <v>135</v>
      </c>
      <c r="O8" s="317" t="s">
        <v>132</v>
      </c>
      <c r="P8" s="317" t="s">
        <v>133</v>
      </c>
      <c r="Q8" s="317" t="s">
        <v>134</v>
      </c>
      <c r="R8" s="317" t="s">
        <v>135</v>
      </c>
      <c r="S8" s="317" t="s">
        <v>132</v>
      </c>
      <c r="T8" s="317" t="s">
        <v>133</v>
      </c>
      <c r="U8" s="317" t="s">
        <v>134</v>
      </c>
      <c r="V8" s="317" t="s">
        <v>135</v>
      </c>
      <c r="W8" s="316"/>
      <c r="X8" s="316"/>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6"/>
      <c r="BK8" s="316"/>
      <c r="BL8" s="316"/>
      <c r="BM8" s="316"/>
      <c r="BN8" s="316"/>
      <c r="BO8" s="316"/>
      <c r="BP8" s="316"/>
      <c r="BQ8" s="316"/>
      <c r="BR8" s="316"/>
      <c r="BS8" s="316"/>
      <c r="BT8" s="316"/>
      <c r="BU8" s="316"/>
      <c r="BV8" s="316"/>
      <c r="BW8" s="316"/>
      <c r="BX8" s="316"/>
      <c r="BY8" s="316"/>
      <c r="BZ8" s="316"/>
      <c r="CA8" s="316"/>
      <c r="CB8" s="316"/>
      <c r="CC8" s="316"/>
      <c r="CD8" s="316"/>
      <c r="CE8" s="316"/>
      <c r="CF8" s="316"/>
      <c r="CG8" s="316"/>
      <c r="CH8" s="316"/>
      <c r="CI8" s="316"/>
      <c r="CJ8" s="316"/>
      <c r="CK8" s="316"/>
      <c r="CL8" s="316"/>
    </row>
    <row r="9">
      <c r="A9" s="570" t="s">
        <v>3068</v>
      </c>
      <c r="B9" s="148"/>
      <c r="C9" s="148"/>
      <c r="D9" s="148"/>
      <c r="E9" s="148"/>
      <c r="F9" s="171"/>
      <c r="G9" s="265"/>
      <c r="H9" s="273"/>
      <c r="I9" s="273"/>
      <c r="J9" s="273"/>
      <c r="K9" s="273"/>
      <c r="L9" s="273"/>
      <c r="M9" s="273"/>
      <c r="N9" s="273"/>
      <c r="O9" s="273"/>
      <c r="P9" s="273"/>
      <c r="Q9" s="273"/>
      <c r="R9" s="273"/>
      <c r="S9" s="265"/>
      <c r="T9" s="273"/>
      <c r="U9" s="273"/>
      <c r="V9" s="273"/>
      <c r="W9" s="273"/>
      <c r="X9" s="273"/>
      <c r="Y9" s="273"/>
      <c r="Z9" s="273"/>
      <c r="AA9" s="556"/>
      <c r="AB9" s="556"/>
      <c r="AC9" s="556"/>
      <c r="AD9" s="556"/>
      <c r="AE9" s="556"/>
      <c r="AF9" s="556"/>
      <c r="AG9" s="556"/>
      <c r="AH9" s="556"/>
      <c r="AI9" s="556"/>
      <c r="AJ9" s="556"/>
      <c r="AK9" s="556"/>
      <c r="AL9" s="556"/>
      <c r="AM9" s="556"/>
      <c r="AN9" s="556"/>
      <c r="AO9" s="556"/>
      <c r="AP9" s="556"/>
      <c r="AQ9" s="355"/>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row>
    <row r="10" outlineLevel="1">
      <c r="A10" s="571" t="s">
        <v>3069</v>
      </c>
      <c r="B10" s="565" t="s">
        <v>75</v>
      </c>
      <c r="C10" s="566" t="s">
        <v>3070</v>
      </c>
      <c r="D10" s="566" t="s">
        <v>3071</v>
      </c>
      <c r="E10" s="566" t="s">
        <v>3072</v>
      </c>
      <c r="F10" s="561" t="s">
        <v>3073</v>
      </c>
      <c r="G10" s="265"/>
      <c r="H10" s="273"/>
      <c r="I10" s="273"/>
      <c r="J10" s="273"/>
      <c r="K10" s="273"/>
      <c r="L10" s="273"/>
      <c r="M10" s="273"/>
      <c r="N10" s="273"/>
      <c r="O10" s="273"/>
      <c r="P10" s="273"/>
      <c r="Q10" s="273"/>
      <c r="R10" s="273"/>
      <c r="S10" s="265"/>
      <c r="T10" s="273"/>
      <c r="U10" s="273"/>
      <c r="V10" s="273"/>
      <c r="W10" s="273"/>
      <c r="X10" s="273"/>
      <c r="Y10" s="273"/>
      <c r="Z10" s="273"/>
      <c r="AA10" s="556"/>
      <c r="AB10" s="556"/>
      <c r="AC10" s="556"/>
      <c r="AD10" s="556"/>
      <c r="AE10" s="556"/>
      <c r="AF10" s="556"/>
      <c r="AG10" s="556"/>
      <c r="AH10" s="556"/>
      <c r="AI10" s="556"/>
      <c r="AJ10" s="556"/>
      <c r="AK10" s="556"/>
      <c r="AL10" s="556"/>
      <c r="AM10" s="556"/>
      <c r="AN10" s="556"/>
      <c r="AO10" s="556"/>
      <c r="AP10" s="556"/>
      <c r="AQ10" s="355"/>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row>
    <row r="11" outlineLevel="1">
      <c r="A11" s="571" t="s">
        <v>3074</v>
      </c>
      <c r="B11" s="565" t="s">
        <v>73</v>
      </c>
      <c r="C11" s="566" t="s">
        <v>3075</v>
      </c>
      <c r="D11" s="566" t="s">
        <v>3076</v>
      </c>
      <c r="E11" s="566" t="s">
        <v>3077</v>
      </c>
      <c r="F11" s="566" t="s">
        <v>2152</v>
      </c>
      <c r="G11" s="265"/>
      <c r="H11" s="273"/>
      <c r="I11" s="273"/>
      <c r="J11" s="273"/>
      <c r="K11" s="273"/>
      <c r="L11" s="273"/>
      <c r="M11" s="273"/>
      <c r="N11" s="273"/>
      <c r="O11" s="273"/>
      <c r="P11" s="273"/>
      <c r="Q11" s="273"/>
      <c r="R11" s="273"/>
      <c r="S11" s="265"/>
      <c r="T11" s="273"/>
      <c r="U11" s="273"/>
      <c r="V11" s="273"/>
      <c r="W11" s="273"/>
      <c r="X11" s="273"/>
      <c r="Y11" s="273"/>
      <c r="Z11" s="273"/>
      <c r="AA11" s="556"/>
      <c r="AB11" s="556"/>
      <c r="AC11" s="556"/>
      <c r="AD11" s="556"/>
      <c r="AE11" s="556"/>
      <c r="AF11" s="556"/>
      <c r="AG11" s="556"/>
      <c r="AH11" s="556"/>
      <c r="AI11" s="556"/>
      <c r="AJ11" s="556"/>
      <c r="AK11" s="556"/>
      <c r="AL11" s="556"/>
      <c r="AM11" s="556"/>
      <c r="AN11" s="556"/>
      <c r="AO11" s="556"/>
      <c r="AP11" s="556"/>
      <c r="AQ11" s="355"/>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row>
    <row r="12" outlineLevel="1">
      <c r="A12" s="571" t="s">
        <v>3078</v>
      </c>
      <c r="B12" s="565" t="s">
        <v>75</v>
      </c>
      <c r="C12" s="566" t="s">
        <v>3079</v>
      </c>
      <c r="D12" s="566" t="s">
        <v>2154</v>
      </c>
      <c r="E12" s="566" t="s">
        <v>3080</v>
      </c>
      <c r="F12" s="566" t="s">
        <v>3081</v>
      </c>
      <c r="G12" s="265"/>
      <c r="H12" s="273"/>
      <c r="I12" s="273"/>
      <c r="J12" s="273"/>
      <c r="K12" s="273"/>
      <c r="L12" s="273"/>
      <c r="M12" s="273"/>
      <c r="N12" s="273"/>
      <c r="O12" s="273"/>
      <c r="P12" s="273"/>
      <c r="Q12" s="273"/>
      <c r="R12" s="273"/>
      <c r="S12" s="265"/>
      <c r="T12" s="273"/>
      <c r="U12" s="273"/>
      <c r="V12" s="273"/>
      <c r="W12" s="273"/>
      <c r="X12" s="273"/>
      <c r="Y12" s="273"/>
      <c r="Z12" s="273"/>
      <c r="AA12" s="556"/>
      <c r="AB12" s="556"/>
      <c r="AC12" s="556"/>
      <c r="AD12" s="556"/>
      <c r="AE12" s="556"/>
      <c r="AF12" s="556"/>
      <c r="AG12" s="556"/>
      <c r="AH12" s="556"/>
      <c r="AI12" s="556"/>
      <c r="AJ12" s="556"/>
      <c r="AK12" s="556"/>
      <c r="AL12" s="556"/>
      <c r="AM12" s="556"/>
      <c r="AN12" s="556"/>
      <c r="AO12" s="556"/>
      <c r="AP12" s="556"/>
      <c r="AQ12" s="355"/>
      <c r="AR12" s="355"/>
      <c r="AS12" s="355"/>
      <c r="AT12" s="355"/>
      <c r="AU12" s="355"/>
      <c r="AV12" s="355"/>
      <c r="AW12" s="355"/>
      <c r="AX12" s="355"/>
      <c r="AY12" s="355"/>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row>
    <row r="13" outlineLevel="1">
      <c r="A13" s="565" t="s">
        <v>3082</v>
      </c>
      <c r="B13" s="565" t="s">
        <v>75</v>
      </c>
      <c r="C13" s="566" t="s">
        <v>2161</v>
      </c>
      <c r="D13" s="566" t="s">
        <v>2162</v>
      </c>
      <c r="E13" s="566" t="s">
        <v>3083</v>
      </c>
      <c r="F13" s="566" t="s">
        <v>2164</v>
      </c>
      <c r="G13" s="265"/>
      <c r="H13" s="273"/>
      <c r="I13" s="273"/>
      <c r="J13" s="273"/>
      <c r="K13" s="273"/>
      <c r="L13" s="273"/>
      <c r="M13" s="273"/>
      <c r="N13" s="273"/>
      <c r="O13" s="273"/>
      <c r="P13" s="273"/>
      <c r="Q13" s="273"/>
      <c r="R13" s="273"/>
      <c r="S13" s="265"/>
      <c r="T13" s="273"/>
      <c r="U13" s="273"/>
      <c r="V13" s="273"/>
      <c r="W13" s="273"/>
      <c r="X13" s="273"/>
      <c r="Y13" s="273"/>
      <c r="Z13" s="273"/>
      <c r="AA13" s="556"/>
      <c r="AB13" s="556"/>
      <c r="AC13" s="556"/>
      <c r="AD13" s="556"/>
      <c r="AE13" s="556"/>
      <c r="AF13" s="556"/>
      <c r="AG13" s="556"/>
      <c r="AH13" s="556"/>
      <c r="AI13" s="556"/>
      <c r="AJ13" s="556"/>
      <c r="AK13" s="556"/>
      <c r="AL13" s="556"/>
      <c r="AM13" s="556"/>
      <c r="AN13" s="556"/>
      <c r="AO13" s="556"/>
      <c r="AP13" s="556"/>
      <c r="AQ13" s="355"/>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row>
    <row r="14">
      <c r="A14" s="570" t="s">
        <v>3084</v>
      </c>
      <c r="B14" s="148"/>
      <c r="C14" s="148"/>
      <c r="D14" s="148"/>
      <c r="E14" s="148"/>
      <c r="F14" s="171"/>
      <c r="G14" s="265"/>
      <c r="H14" s="273"/>
      <c r="I14" s="273"/>
      <c r="J14" s="273"/>
      <c r="K14" s="273"/>
      <c r="L14" s="273"/>
      <c r="M14" s="273"/>
      <c r="N14" s="273"/>
      <c r="O14" s="273"/>
      <c r="P14" s="273"/>
      <c r="Q14" s="273"/>
      <c r="R14" s="273"/>
      <c r="S14" s="265"/>
      <c r="T14" s="273"/>
      <c r="U14" s="273"/>
      <c r="V14" s="273"/>
      <c r="W14" s="273"/>
      <c r="X14" s="273"/>
      <c r="Y14" s="273"/>
      <c r="Z14" s="273"/>
      <c r="AA14" s="556"/>
      <c r="AB14" s="556"/>
      <c r="AC14" s="556"/>
      <c r="AD14" s="556"/>
      <c r="AE14" s="556"/>
      <c r="AF14" s="556"/>
      <c r="AG14" s="556"/>
      <c r="AH14" s="556"/>
      <c r="AI14" s="556"/>
      <c r="AJ14" s="556"/>
      <c r="AK14" s="556"/>
      <c r="AL14" s="556"/>
      <c r="AM14" s="556"/>
      <c r="AN14" s="556"/>
      <c r="AO14" s="556"/>
      <c r="AP14" s="556"/>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row>
    <row r="15" outlineLevel="1">
      <c r="A15" s="565" t="s">
        <v>3085</v>
      </c>
      <c r="B15" s="565" t="s">
        <v>75</v>
      </c>
      <c r="C15" s="566" t="s">
        <v>2760</v>
      </c>
      <c r="D15" s="566" t="s">
        <v>3086</v>
      </c>
      <c r="E15" s="561" t="s">
        <v>3087</v>
      </c>
      <c r="F15" s="566" t="s">
        <v>3088</v>
      </c>
      <c r="G15" s="265"/>
      <c r="H15" s="273"/>
      <c r="I15" s="273"/>
      <c r="J15" s="273"/>
      <c r="K15" s="273"/>
      <c r="L15" s="273"/>
      <c r="M15" s="273"/>
      <c r="N15" s="273"/>
      <c r="O15" s="273"/>
      <c r="P15" s="273"/>
      <c r="Q15" s="273"/>
      <c r="R15" s="273"/>
      <c r="S15" s="265"/>
      <c r="T15" s="273"/>
      <c r="U15" s="273"/>
      <c r="V15" s="273"/>
      <c r="W15" s="273"/>
      <c r="X15" s="273"/>
      <c r="Y15" s="273"/>
      <c r="Z15" s="273"/>
      <c r="AA15" s="556"/>
      <c r="AB15" s="556"/>
      <c r="AC15" s="556"/>
      <c r="AD15" s="556"/>
      <c r="AE15" s="556"/>
      <c r="AF15" s="556"/>
      <c r="AG15" s="556"/>
      <c r="AH15" s="556"/>
      <c r="AI15" s="556"/>
      <c r="AJ15" s="556"/>
      <c r="AK15" s="556"/>
      <c r="AL15" s="556"/>
      <c r="AM15" s="556"/>
      <c r="AN15" s="556"/>
      <c r="AO15" s="556"/>
      <c r="AP15" s="556"/>
      <c r="AQ15" s="355"/>
      <c r="AR15" s="355"/>
      <c r="AS15" s="355"/>
      <c r="AT15" s="355"/>
      <c r="AU15" s="355"/>
      <c r="AV15" s="355"/>
      <c r="AW15" s="355"/>
      <c r="AX15" s="355"/>
      <c r="AY15" s="355"/>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row>
    <row r="16">
      <c r="A16" s="570" t="s">
        <v>3089</v>
      </c>
      <c r="B16" s="148"/>
      <c r="C16" s="148"/>
      <c r="D16" s="148"/>
      <c r="E16" s="148"/>
      <c r="F16" s="171"/>
      <c r="G16" s="265"/>
      <c r="H16" s="265"/>
      <c r="I16" s="273"/>
      <c r="J16" s="273"/>
      <c r="K16" s="273"/>
      <c r="L16" s="273"/>
      <c r="M16" s="273"/>
      <c r="N16" s="273"/>
      <c r="O16" s="273"/>
      <c r="P16" s="273"/>
      <c r="Q16" s="273"/>
      <c r="R16" s="273"/>
      <c r="S16" s="265"/>
      <c r="T16" s="273"/>
      <c r="U16" s="273"/>
      <c r="V16" s="273"/>
      <c r="W16" s="273"/>
      <c r="X16" s="273"/>
      <c r="Y16" s="273"/>
      <c r="Z16" s="273"/>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32"/>
      <c r="BO16" s="332"/>
      <c r="BP16" s="332"/>
      <c r="BQ16" s="332"/>
      <c r="BR16" s="332"/>
      <c r="BS16" s="332"/>
      <c r="BT16" s="332"/>
      <c r="BU16" s="332"/>
      <c r="BV16" s="332"/>
      <c r="BW16" s="332"/>
      <c r="BX16" s="332"/>
      <c r="BY16" s="332"/>
      <c r="BZ16" s="332"/>
      <c r="CA16" s="332"/>
      <c r="CB16" s="332"/>
      <c r="CC16" s="332"/>
      <c r="CD16" s="332"/>
      <c r="CE16" s="332"/>
      <c r="CF16" s="332"/>
      <c r="CG16" s="332"/>
      <c r="CH16" s="332"/>
      <c r="CI16" s="332"/>
      <c r="CJ16" s="332"/>
      <c r="CK16" s="332"/>
      <c r="CL16" s="332"/>
    </row>
    <row r="17" outlineLevel="1">
      <c r="A17" s="571" t="s">
        <v>3090</v>
      </c>
      <c r="B17" s="565" t="s">
        <v>75</v>
      </c>
      <c r="C17" s="566" t="s">
        <v>3091</v>
      </c>
      <c r="D17" s="561" t="s">
        <v>3092</v>
      </c>
      <c r="E17" s="566" t="s">
        <v>3093</v>
      </c>
      <c r="F17" s="566" t="s">
        <v>3094</v>
      </c>
      <c r="G17" s="265"/>
      <c r="H17" s="265"/>
      <c r="I17" s="273"/>
      <c r="J17" s="273"/>
      <c r="K17" s="273"/>
      <c r="L17" s="273"/>
      <c r="M17" s="273"/>
      <c r="N17" s="273"/>
      <c r="O17" s="273"/>
      <c r="P17" s="273"/>
      <c r="Q17" s="273"/>
      <c r="R17" s="273"/>
      <c r="S17" s="265"/>
      <c r="T17" s="273"/>
      <c r="U17" s="273"/>
      <c r="V17" s="273"/>
      <c r="W17" s="273"/>
      <c r="X17" s="273"/>
      <c r="Y17" s="273"/>
      <c r="Z17" s="273"/>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2"/>
      <c r="BR17" s="332"/>
      <c r="BS17" s="332"/>
      <c r="BT17" s="332"/>
      <c r="BU17" s="332"/>
      <c r="BV17" s="332"/>
      <c r="BW17" s="332"/>
      <c r="BX17" s="332"/>
      <c r="BY17" s="332"/>
      <c r="BZ17" s="332"/>
      <c r="CA17" s="332"/>
      <c r="CB17" s="332"/>
      <c r="CC17" s="332"/>
      <c r="CD17" s="332"/>
      <c r="CE17" s="332"/>
      <c r="CF17" s="332"/>
      <c r="CG17" s="332"/>
      <c r="CH17" s="332"/>
      <c r="CI17" s="332"/>
      <c r="CJ17" s="332"/>
      <c r="CK17" s="332"/>
      <c r="CL17" s="332"/>
    </row>
    <row r="18" outlineLevel="1">
      <c r="A18" s="571" t="s">
        <v>3095</v>
      </c>
      <c r="B18" s="565" t="s">
        <v>73</v>
      </c>
      <c r="C18" s="566" t="s">
        <v>3096</v>
      </c>
      <c r="D18" s="566" t="s">
        <v>3097</v>
      </c>
      <c r="E18" s="566" t="s">
        <v>3098</v>
      </c>
      <c r="F18" s="566" t="s">
        <v>3099</v>
      </c>
      <c r="G18" s="265"/>
      <c r="H18" s="265"/>
      <c r="I18" s="273"/>
      <c r="J18" s="273"/>
      <c r="K18" s="273"/>
      <c r="L18" s="273"/>
      <c r="M18" s="273"/>
      <c r="N18" s="273"/>
      <c r="O18" s="273"/>
      <c r="P18" s="273"/>
      <c r="Q18" s="273"/>
      <c r="R18" s="273"/>
      <c r="S18" s="265"/>
      <c r="T18" s="273"/>
      <c r="U18" s="273"/>
      <c r="V18" s="273"/>
      <c r="W18" s="273"/>
      <c r="X18" s="273"/>
      <c r="Y18" s="273"/>
      <c r="Z18" s="273"/>
      <c r="AA18" s="332"/>
      <c r="AB18" s="332"/>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32"/>
      <c r="BO18" s="332"/>
      <c r="BP18" s="332"/>
      <c r="BQ18" s="332"/>
      <c r="BR18" s="332"/>
      <c r="BS18" s="332"/>
      <c r="BT18" s="332"/>
      <c r="BU18" s="332"/>
      <c r="BV18" s="332"/>
      <c r="BW18" s="332"/>
      <c r="BX18" s="332"/>
      <c r="BY18" s="332"/>
      <c r="BZ18" s="332"/>
      <c r="CA18" s="332"/>
      <c r="CB18" s="332"/>
      <c r="CC18" s="332"/>
      <c r="CD18" s="332"/>
      <c r="CE18" s="332"/>
      <c r="CF18" s="332"/>
      <c r="CG18" s="332"/>
      <c r="CH18" s="332"/>
      <c r="CI18" s="332"/>
      <c r="CJ18" s="332"/>
      <c r="CK18" s="332"/>
      <c r="CL18" s="332"/>
    </row>
    <row r="19" outlineLevel="1">
      <c r="A19" s="571" t="s">
        <v>3100</v>
      </c>
      <c r="B19" s="571" t="s">
        <v>73</v>
      </c>
      <c r="C19" s="584" t="s">
        <v>3101</v>
      </c>
      <c r="D19" s="584" t="s">
        <v>3102</v>
      </c>
      <c r="E19" s="584" t="s">
        <v>3103</v>
      </c>
      <c r="F19" s="584" t="s">
        <v>3104</v>
      </c>
      <c r="G19" s="265"/>
      <c r="H19" s="265"/>
      <c r="I19" s="273"/>
      <c r="J19" s="273"/>
      <c r="K19" s="273"/>
      <c r="L19" s="273"/>
      <c r="M19" s="273"/>
      <c r="N19" s="273"/>
      <c r="O19" s="273"/>
      <c r="P19" s="273"/>
      <c r="Q19" s="273"/>
      <c r="R19" s="273"/>
      <c r="S19" s="265"/>
      <c r="T19" s="273"/>
      <c r="U19" s="273"/>
      <c r="V19" s="273"/>
      <c r="W19" s="273"/>
      <c r="X19" s="273"/>
      <c r="Y19" s="273"/>
      <c r="Z19" s="273"/>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2"/>
      <c r="AX19" s="332"/>
      <c r="AY19" s="332"/>
      <c r="AZ19" s="332"/>
      <c r="BA19" s="332"/>
      <c r="BB19" s="332"/>
      <c r="BC19" s="332"/>
      <c r="BD19" s="332"/>
      <c r="BE19" s="332"/>
      <c r="BF19" s="332"/>
      <c r="BG19" s="332"/>
      <c r="BH19" s="332"/>
      <c r="BI19" s="332"/>
      <c r="BJ19" s="332"/>
      <c r="BK19" s="332"/>
      <c r="BL19" s="332"/>
      <c r="BM19" s="332"/>
      <c r="BN19" s="332"/>
      <c r="BO19" s="332"/>
      <c r="BP19" s="332"/>
      <c r="BQ19" s="332"/>
      <c r="BR19" s="332"/>
      <c r="BS19" s="332"/>
      <c r="BT19" s="332"/>
      <c r="BU19" s="332"/>
      <c r="BV19" s="332"/>
      <c r="BW19" s="332"/>
      <c r="BX19" s="332"/>
      <c r="BY19" s="332"/>
      <c r="BZ19" s="332"/>
      <c r="CA19" s="332"/>
      <c r="CB19" s="332"/>
      <c r="CC19" s="332"/>
      <c r="CD19" s="332"/>
      <c r="CE19" s="332"/>
      <c r="CF19" s="332"/>
      <c r="CG19" s="332"/>
      <c r="CH19" s="332"/>
      <c r="CI19" s="332"/>
      <c r="CJ19" s="332"/>
      <c r="CK19" s="332"/>
      <c r="CL19" s="332"/>
    </row>
    <row r="20">
      <c r="A20" s="570" t="s">
        <v>3105</v>
      </c>
      <c r="B20" s="148"/>
      <c r="C20" s="148"/>
      <c r="D20" s="148"/>
      <c r="E20" s="148"/>
      <c r="F20" s="171"/>
      <c r="G20" s="265"/>
      <c r="H20" s="273"/>
      <c r="I20" s="273"/>
      <c r="J20" s="273"/>
      <c r="K20" s="273"/>
      <c r="L20" s="273"/>
      <c r="M20" s="273"/>
      <c r="N20" s="273"/>
      <c r="O20" s="273"/>
      <c r="P20" s="273"/>
      <c r="Q20" s="273"/>
      <c r="R20" s="273"/>
      <c r="S20" s="265"/>
      <c r="T20" s="273"/>
      <c r="U20" s="273"/>
      <c r="V20" s="273"/>
      <c r="W20" s="273"/>
      <c r="X20" s="273"/>
      <c r="Y20" s="273"/>
      <c r="Z20" s="273"/>
      <c r="AA20" s="355"/>
      <c r="AB20" s="355"/>
      <c r="AC20" s="355"/>
      <c r="AD20" s="355"/>
      <c r="AE20" s="355"/>
      <c r="AF20" s="355"/>
      <c r="AG20" s="355"/>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5"/>
      <c r="BL20" s="355"/>
      <c r="BM20" s="355"/>
      <c r="BN20" s="355"/>
      <c r="BO20" s="355"/>
      <c r="BP20" s="355"/>
      <c r="BQ20" s="355"/>
      <c r="BR20" s="355"/>
      <c r="BS20" s="355"/>
      <c r="BT20" s="355"/>
      <c r="BU20" s="355"/>
      <c r="BV20" s="355"/>
      <c r="BW20" s="355"/>
      <c r="BX20" s="355"/>
      <c r="BY20" s="355"/>
      <c r="BZ20" s="355"/>
      <c r="CA20" s="355"/>
      <c r="CB20" s="355"/>
      <c r="CC20" s="355"/>
      <c r="CD20" s="355"/>
      <c r="CE20" s="355"/>
      <c r="CF20" s="355"/>
      <c r="CG20" s="355"/>
      <c r="CH20" s="355"/>
      <c r="CI20" s="355"/>
      <c r="CJ20" s="355"/>
      <c r="CK20" s="355"/>
      <c r="CL20" s="355"/>
    </row>
    <row r="21" outlineLevel="1">
      <c r="A21" s="571" t="s">
        <v>3106</v>
      </c>
      <c r="B21" s="565" t="s">
        <v>75</v>
      </c>
      <c r="C21" s="566" t="s">
        <v>3107</v>
      </c>
      <c r="D21" s="566" t="s">
        <v>3108</v>
      </c>
      <c r="E21" s="566" t="s">
        <v>3109</v>
      </c>
      <c r="F21" s="566" t="s">
        <v>3110</v>
      </c>
      <c r="G21" s="265"/>
      <c r="H21" s="273"/>
      <c r="I21" s="273"/>
      <c r="J21" s="273"/>
      <c r="K21" s="273"/>
      <c r="L21" s="273"/>
      <c r="M21" s="273"/>
      <c r="N21" s="273"/>
      <c r="O21" s="273"/>
      <c r="P21" s="273"/>
      <c r="Q21" s="273"/>
      <c r="R21" s="273"/>
      <c r="S21" s="265"/>
      <c r="T21" s="273"/>
      <c r="U21" s="273"/>
      <c r="V21" s="273"/>
      <c r="W21" s="273"/>
      <c r="X21" s="273"/>
      <c r="Y21" s="273"/>
      <c r="Z21" s="273"/>
      <c r="AA21" s="355"/>
      <c r="AB21" s="355"/>
      <c r="AC21" s="355"/>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c r="BW21" s="355"/>
      <c r="BX21" s="355"/>
      <c r="BY21" s="355"/>
      <c r="BZ21" s="355"/>
      <c r="CA21" s="355"/>
      <c r="CB21" s="355"/>
      <c r="CC21" s="355"/>
      <c r="CD21" s="355"/>
      <c r="CE21" s="355"/>
      <c r="CF21" s="355"/>
      <c r="CG21" s="355"/>
      <c r="CH21" s="355"/>
      <c r="CI21" s="355"/>
      <c r="CJ21" s="355"/>
      <c r="CK21" s="355"/>
      <c r="CL21" s="355"/>
    </row>
    <row r="22" outlineLevel="1">
      <c r="A22" s="571" t="s">
        <v>3111</v>
      </c>
      <c r="B22" s="565" t="s">
        <v>73</v>
      </c>
      <c r="C22" s="566" t="s">
        <v>3112</v>
      </c>
      <c r="D22" s="566" t="s">
        <v>3113</v>
      </c>
      <c r="E22" s="566" t="s">
        <v>3114</v>
      </c>
      <c r="F22" s="566" t="s">
        <v>3115</v>
      </c>
      <c r="G22" s="265"/>
      <c r="H22" s="265"/>
      <c r="I22" s="273"/>
      <c r="J22" s="273"/>
      <c r="K22" s="273"/>
      <c r="L22" s="273"/>
      <c r="M22" s="273"/>
      <c r="N22" s="273"/>
      <c r="O22" s="273"/>
      <c r="P22" s="273"/>
      <c r="Q22" s="273"/>
      <c r="R22" s="273"/>
      <c r="S22" s="265"/>
      <c r="T22" s="273"/>
      <c r="U22" s="273"/>
      <c r="V22" s="273"/>
      <c r="W22" s="273"/>
      <c r="X22" s="273"/>
      <c r="Y22" s="273"/>
      <c r="Z22" s="273"/>
      <c r="AA22" s="355"/>
      <c r="AB22" s="355"/>
      <c r="AC22" s="355"/>
      <c r="AD22" s="355"/>
      <c r="AE22" s="355"/>
      <c r="AF22" s="355"/>
      <c r="AG22" s="355"/>
      <c r="AH22" s="355"/>
      <c r="AI22" s="355"/>
      <c r="AJ22" s="355"/>
      <c r="AK22" s="355"/>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5"/>
      <c r="BL22" s="355"/>
      <c r="BM22" s="355"/>
      <c r="BN22" s="355"/>
      <c r="BO22" s="355"/>
      <c r="BP22" s="355"/>
      <c r="BQ22" s="355"/>
      <c r="BR22" s="355"/>
      <c r="BS22" s="355"/>
      <c r="BT22" s="355"/>
      <c r="BU22" s="355"/>
      <c r="BV22" s="355"/>
      <c r="BW22" s="355"/>
      <c r="BX22" s="355"/>
      <c r="BY22" s="355"/>
      <c r="BZ22" s="355"/>
      <c r="CA22" s="355"/>
      <c r="CB22" s="355"/>
      <c r="CC22" s="355"/>
      <c r="CD22" s="355"/>
      <c r="CE22" s="355"/>
      <c r="CF22" s="355"/>
      <c r="CG22" s="355"/>
      <c r="CH22" s="355"/>
      <c r="CI22" s="355"/>
      <c r="CJ22" s="355"/>
      <c r="CK22" s="355"/>
      <c r="CL22" s="355"/>
    </row>
    <row r="23" outlineLevel="1">
      <c r="A23" s="571" t="s">
        <v>3116</v>
      </c>
      <c r="B23" s="565" t="s">
        <v>73</v>
      </c>
      <c r="C23" s="566" t="s">
        <v>2818</v>
      </c>
      <c r="D23" s="566" t="s">
        <v>3117</v>
      </c>
      <c r="E23" s="566" t="s">
        <v>3118</v>
      </c>
      <c r="F23" s="566" t="s">
        <v>3119</v>
      </c>
      <c r="G23" s="265"/>
      <c r="H23" s="273"/>
      <c r="I23" s="273"/>
      <c r="J23" s="273"/>
      <c r="K23" s="273"/>
      <c r="L23" s="273"/>
      <c r="M23" s="273"/>
      <c r="N23" s="273"/>
      <c r="O23" s="273"/>
      <c r="P23" s="273"/>
      <c r="Q23" s="273"/>
      <c r="R23" s="273"/>
      <c r="S23" s="265"/>
      <c r="T23" s="273"/>
      <c r="U23" s="273"/>
      <c r="V23" s="273"/>
      <c r="W23" s="273"/>
      <c r="X23" s="273"/>
      <c r="Y23" s="273"/>
      <c r="Z23" s="273"/>
      <c r="AA23" s="355"/>
      <c r="AB23" s="355"/>
      <c r="AC23" s="355"/>
      <c r="AD23" s="355"/>
      <c r="AE23" s="355"/>
      <c r="AF23" s="355"/>
      <c r="AG23" s="355"/>
      <c r="AH23" s="355"/>
      <c r="AI23" s="355"/>
      <c r="AJ23" s="355"/>
      <c r="AK23" s="355"/>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5"/>
      <c r="BL23" s="355"/>
      <c r="BM23" s="355"/>
      <c r="BN23" s="355"/>
      <c r="BO23" s="355"/>
      <c r="BP23" s="355"/>
      <c r="BQ23" s="355"/>
      <c r="BR23" s="355"/>
      <c r="BS23" s="355"/>
      <c r="BT23" s="355"/>
      <c r="BU23" s="355"/>
      <c r="BV23" s="355"/>
      <c r="BW23" s="355"/>
      <c r="BX23" s="355"/>
      <c r="BY23" s="355"/>
      <c r="BZ23" s="355"/>
      <c r="CA23" s="355"/>
      <c r="CB23" s="355"/>
      <c r="CC23" s="355"/>
      <c r="CD23" s="355"/>
      <c r="CE23" s="355"/>
      <c r="CF23" s="355"/>
      <c r="CG23" s="355"/>
      <c r="CH23" s="355"/>
      <c r="CI23" s="355"/>
      <c r="CJ23" s="355"/>
      <c r="CK23" s="355"/>
      <c r="CL23" s="355"/>
    </row>
    <row r="24" outlineLevel="1">
      <c r="A24" s="571" t="s">
        <v>3120</v>
      </c>
      <c r="B24" s="571" t="s">
        <v>73</v>
      </c>
      <c r="C24" s="566" t="s">
        <v>3121</v>
      </c>
      <c r="D24" s="584" t="s">
        <v>3122</v>
      </c>
      <c r="E24" s="566" t="s">
        <v>3123</v>
      </c>
      <c r="F24" s="566" t="s">
        <v>3124</v>
      </c>
      <c r="G24" s="265"/>
      <c r="H24" s="265"/>
      <c r="I24" s="273"/>
      <c r="J24" s="273"/>
      <c r="K24" s="265"/>
      <c r="L24" s="265"/>
      <c r="M24" s="273"/>
      <c r="N24" s="273"/>
      <c r="O24" s="265"/>
      <c r="P24" s="265"/>
      <c r="Q24" s="273"/>
      <c r="R24" s="273"/>
      <c r="S24" s="265"/>
      <c r="T24" s="265"/>
      <c r="U24" s="273"/>
      <c r="V24" s="273"/>
      <c r="W24" s="265"/>
      <c r="X24" s="265"/>
      <c r="Y24" s="273"/>
      <c r="Z24" s="273"/>
      <c r="AA24" s="359"/>
      <c r="AB24" s="356"/>
      <c r="AC24" s="357"/>
      <c r="AD24" s="358"/>
      <c r="AE24" s="43"/>
      <c r="AF24" s="356"/>
      <c r="AG24" s="572"/>
      <c r="AH24" s="364"/>
      <c r="AI24" s="43"/>
      <c r="AJ24" s="356"/>
      <c r="AK24" s="353"/>
      <c r="AL24" s="364"/>
      <c r="AM24" s="43"/>
      <c r="AN24" s="356"/>
      <c r="AO24" s="353"/>
      <c r="AP24" s="364"/>
      <c r="AQ24" s="468"/>
      <c r="AR24" s="357"/>
      <c r="AS24" s="357"/>
      <c r="AT24" s="358"/>
      <c r="AU24" s="468"/>
      <c r="AV24" s="357"/>
      <c r="AW24" s="357"/>
      <c r="AX24" s="358"/>
      <c r="AY24" s="468"/>
      <c r="AZ24" s="357"/>
      <c r="BA24" s="357"/>
      <c r="BB24" s="573"/>
      <c r="BC24" s="574"/>
      <c r="BD24" s="574"/>
      <c r="BE24" s="574"/>
      <c r="BF24" s="574"/>
      <c r="BG24" s="574"/>
      <c r="BH24" s="574"/>
      <c r="BI24" s="574"/>
      <c r="BJ24" s="574"/>
      <c r="BK24" s="574"/>
      <c r="BL24" s="574"/>
      <c r="BM24" s="574"/>
      <c r="BN24" s="574"/>
      <c r="BO24" s="574"/>
      <c r="BP24" s="574"/>
      <c r="BQ24" s="574"/>
      <c r="BR24" s="574"/>
      <c r="BS24" s="574"/>
      <c r="BT24" s="574"/>
      <c r="BU24" s="574"/>
      <c r="BV24" s="574"/>
      <c r="BW24" s="574"/>
      <c r="BX24" s="574"/>
      <c r="BY24" s="574"/>
      <c r="BZ24" s="574"/>
      <c r="CA24" s="574"/>
      <c r="CB24" s="574"/>
      <c r="CC24" s="574"/>
      <c r="CD24" s="574"/>
      <c r="CE24" s="574"/>
      <c r="CF24" s="574"/>
      <c r="CG24" s="574"/>
      <c r="CH24" s="574"/>
      <c r="CI24" s="574"/>
      <c r="CJ24" s="574"/>
      <c r="CK24" s="574"/>
      <c r="CL24" s="574"/>
    </row>
    <row r="25" outlineLevel="1">
      <c r="A25" s="571" t="s">
        <v>3125</v>
      </c>
      <c r="B25" s="565" t="s">
        <v>75</v>
      </c>
      <c r="C25" s="566" t="s">
        <v>3126</v>
      </c>
      <c r="D25" s="566" t="s">
        <v>3117</v>
      </c>
      <c r="E25" s="566" t="s">
        <v>3127</v>
      </c>
      <c r="F25" s="566" t="s">
        <v>3128</v>
      </c>
      <c r="G25" s="265"/>
      <c r="H25" s="265"/>
      <c r="I25" s="273"/>
      <c r="J25" s="273"/>
      <c r="K25" s="265"/>
      <c r="L25" s="265"/>
      <c r="M25" s="265"/>
      <c r="N25" s="273"/>
      <c r="O25" s="265"/>
      <c r="P25" s="265"/>
      <c r="Q25" s="265"/>
      <c r="R25" s="273"/>
      <c r="S25" s="265"/>
      <c r="T25" s="265"/>
      <c r="U25" s="265"/>
      <c r="V25" s="265"/>
      <c r="W25" s="265"/>
      <c r="X25" s="265"/>
      <c r="Y25" s="265"/>
      <c r="Z25" s="265"/>
      <c r="AA25" s="43"/>
      <c r="AB25" s="356"/>
      <c r="AC25" s="575"/>
      <c r="AD25" s="364"/>
      <c r="AE25" s="43"/>
      <c r="AF25" s="356"/>
      <c r="AG25" s="572"/>
      <c r="AH25" s="364"/>
      <c r="AI25" s="43"/>
      <c r="AJ25" s="356"/>
      <c r="AK25" s="353"/>
      <c r="AL25" s="364"/>
      <c r="AM25" s="43"/>
      <c r="AN25" s="356"/>
      <c r="AO25" s="353"/>
      <c r="AP25" s="364"/>
      <c r="AQ25" s="61"/>
      <c r="AR25" s="353"/>
      <c r="AS25" s="353"/>
      <c r="AT25" s="354"/>
      <c r="AU25" s="61"/>
      <c r="AV25" s="353"/>
      <c r="AW25" s="353"/>
      <c r="AX25" s="354"/>
      <c r="AY25" s="61"/>
      <c r="AZ25" s="353"/>
      <c r="BA25" s="353"/>
      <c r="BB25" s="576"/>
      <c r="BC25" s="369"/>
      <c r="BD25" s="369"/>
      <c r="BE25" s="369"/>
      <c r="BF25" s="369"/>
      <c r="BG25" s="369"/>
      <c r="BH25" s="369"/>
      <c r="BI25" s="369"/>
      <c r="BJ25" s="369"/>
      <c r="BK25" s="369"/>
      <c r="BL25" s="369"/>
      <c r="BM25" s="369"/>
      <c r="BN25" s="369"/>
      <c r="BO25" s="369"/>
      <c r="BP25" s="369"/>
      <c r="BQ25" s="369"/>
      <c r="BR25" s="369"/>
      <c r="BS25" s="369"/>
      <c r="BT25" s="369"/>
      <c r="BU25" s="369"/>
      <c r="BV25" s="369"/>
      <c r="BW25" s="369"/>
      <c r="BX25" s="369"/>
      <c r="BY25" s="369"/>
      <c r="BZ25" s="369"/>
      <c r="CA25" s="369"/>
      <c r="CB25" s="369"/>
      <c r="CC25" s="369"/>
      <c r="CD25" s="369"/>
      <c r="CE25" s="369"/>
      <c r="CF25" s="369"/>
      <c r="CG25" s="369"/>
      <c r="CH25" s="369"/>
      <c r="CI25" s="369"/>
      <c r="CJ25" s="369"/>
      <c r="CK25" s="369"/>
      <c r="CL25" s="369"/>
    </row>
    <row r="26" outlineLevel="1">
      <c r="A26" s="571" t="s">
        <v>3129</v>
      </c>
      <c r="B26" s="565" t="s">
        <v>75</v>
      </c>
      <c r="C26" s="566" t="s">
        <v>3130</v>
      </c>
      <c r="D26" s="566" t="s">
        <v>3122</v>
      </c>
      <c r="E26" s="566" t="s">
        <v>3131</v>
      </c>
      <c r="F26" s="566" t="s">
        <v>3132</v>
      </c>
      <c r="G26" s="265"/>
      <c r="H26" s="265"/>
      <c r="I26" s="273"/>
      <c r="J26" s="273"/>
      <c r="K26" s="265"/>
      <c r="L26" s="265"/>
      <c r="M26" s="265"/>
      <c r="N26" s="273"/>
      <c r="O26" s="265"/>
      <c r="P26" s="265"/>
      <c r="Q26" s="265"/>
      <c r="R26" s="273"/>
      <c r="S26" s="265"/>
      <c r="T26" s="265"/>
      <c r="U26" s="265"/>
      <c r="V26" s="265"/>
      <c r="W26" s="265"/>
      <c r="X26" s="265"/>
      <c r="Y26" s="265"/>
      <c r="Z26" s="265"/>
      <c r="AA26" s="43"/>
      <c r="AB26" s="356"/>
      <c r="AC26" s="575"/>
      <c r="AD26" s="364"/>
      <c r="AE26" s="43"/>
      <c r="AF26" s="356"/>
      <c r="AG26" s="572"/>
      <c r="AH26" s="364"/>
      <c r="AI26" s="43"/>
      <c r="AJ26" s="356"/>
      <c r="AK26" s="353"/>
      <c r="AL26" s="364"/>
      <c r="AM26" s="43"/>
      <c r="AN26" s="356"/>
      <c r="AO26" s="353"/>
      <c r="AP26" s="364"/>
      <c r="AQ26" s="61"/>
      <c r="AR26" s="353"/>
      <c r="AS26" s="353"/>
      <c r="AT26" s="354"/>
      <c r="AU26" s="61"/>
      <c r="AV26" s="353"/>
      <c r="AW26" s="353"/>
      <c r="AX26" s="354"/>
      <c r="AY26" s="61"/>
      <c r="AZ26" s="353"/>
      <c r="BA26" s="353"/>
      <c r="BB26" s="576"/>
      <c r="BC26" s="369"/>
      <c r="BD26" s="369"/>
      <c r="BE26" s="369"/>
      <c r="BF26" s="369"/>
      <c r="BG26" s="369"/>
      <c r="BH26" s="369"/>
      <c r="BI26" s="369"/>
      <c r="BJ26" s="369"/>
      <c r="BK26" s="369"/>
      <c r="BL26" s="369"/>
      <c r="BM26" s="369"/>
      <c r="BN26" s="369"/>
      <c r="BO26" s="369"/>
      <c r="BP26" s="369"/>
      <c r="BQ26" s="369"/>
      <c r="BR26" s="369"/>
      <c r="BS26" s="369"/>
      <c r="BT26" s="369"/>
      <c r="BU26" s="369"/>
      <c r="BV26" s="369"/>
      <c r="BW26" s="369"/>
      <c r="BX26" s="369"/>
      <c r="BY26" s="369"/>
      <c r="BZ26" s="369"/>
      <c r="CA26" s="369"/>
      <c r="CB26" s="369"/>
      <c r="CC26" s="369"/>
      <c r="CD26" s="369"/>
      <c r="CE26" s="369"/>
      <c r="CF26" s="369"/>
      <c r="CG26" s="369"/>
      <c r="CH26" s="369"/>
      <c r="CI26" s="369"/>
      <c r="CJ26" s="369"/>
      <c r="CK26" s="369"/>
      <c r="CL26" s="369"/>
    </row>
    <row r="27" outlineLevel="1">
      <c r="A27" s="571" t="s">
        <v>3133</v>
      </c>
      <c r="B27" s="571" t="s">
        <v>73</v>
      </c>
      <c r="C27" s="584" t="s">
        <v>3134</v>
      </c>
      <c r="D27" s="584" t="s">
        <v>3117</v>
      </c>
      <c r="E27" s="584" t="s">
        <v>3135</v>
      </c>
      <c r="F27" s="584" t="s">
        <v>3136</v>
      </c>
      <c r="G27" s="265"/>
      <c r="H27" s="273"/>
      <c r="I27" s="273"/>
      <c r="J27" s="273"/>
      <c r="K27" s="273"/>
      <c r="L27" s="273"/>
      <c r="M27" s="273"/>
      <c r="N27" s="273"/>
      <c r="O27" s="273"/>
      <c r="P27" s="273"/>
      <c r="Q27" s="273"/>
      <c r="R27" s="273"/>
      <c r="S27" s="265"/>
      <c r="T27" s="273"/>
      <c r="U27" s="273"/>
      <c r="V27" s="273"/>
      <c r="W27" s="273"/>
      <c r="X27" s="273"/>
      <c r="Y27" s="273"/>
      <c r="Z27" s="273"/>
      <c r="AA27" s="355"/>
      <c r="AB27" s="355"/>
      <c r="AC27" s="355"/>
      <c r="AD27" s="355"/>
      <c r="AE27" s="355"/>
      <c r="AF27" s="355"/>
      <c r="AG27" s="355"/>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5"/>
      <c r="BL27" s="355"/>
      <c r="BM27" s="355"/>
      <c r="BN27" s="355"/>
      <c r="BO27" s="355"/>
      <c r="BP27" s="355"/>
      <c r="BQ27" s="355"/>
      <c r="BR27" s="355"/>
      <c r="BS27" s="355"/>
      <c r="BT27" s="355"/>
      <c r="BU27" s="355"/>
      <c r="BV27" s="355"/>
      <c r="BW27" s="355"/>
      <c r="BX27" s="355"/>
      <c r="BY27" s="355"/>
      <c r="BZ27" s="355"/>
      <c r="CA27" s="355"/>
      <c r="CB27" s="355"/>
      <c r="CC27" s="355"/>
      <c r="CD27" s="355"/>
      <c r="CE27" s="355"/>
      <c r="CF27" s="355"/>
      <c r="CG27" s="355"/>
      <c r="CH27" s="355"/>
      <c r="CI27" s="355"/>
      <c r="CJ27" s="355"/>
      <c r="CK27" s="355"/>
      <c r="CL27" s="355"/>
    </row>
    <row r="28" outlineLevel="1">
      <c r="A28" s="571" t="s">
        <v>3137</v>
      </c>
      <c r="B28" s="571" t="s">
        <v>73</v>
      </c>
      <c r="C28" s="566" t="s">
        <v>3138</v>
      </c>
      <c r="D28" s="584" t="s">
        <v>3117</v>
      </c>
      <c r="E28" s="566" t="s">
        <v>3139</v>
      </c>
      <c r="F28" s="566" t="s">
        <v>3140</v>
      </c>
      <c r="G28" s="265"/>
      <c r="H28" s="265"/>
      <c r="I28" s="273"/>
      <c r="J28" s="273"/>
      <c r="K28" s="265"/>
      <c r="L28" s="265"/>
      <c r="M28" s="273"/>
      <c r="N28" s="273"/>
      <c r="O28" s="265"/>
      <c r="P28" s="265"/>
      <c r="Q28" s="273"/>
      <c r="R28" s="273"/>
      <c r="S28" s="265"/>
      <c r="T28" s="265"/>
      <c r="U28" s="273"/>
      <c r="V28" s="273"/>
      <c r="W28" s="265"/>
      <c r="X28" s="265"/>
      <c r="Y28" s="273"/>
      <c r="Z28" s="273"/>
      <c r="AA28" s="359"/>
      <c r="AB28" s="356"/>
      <c r="AC28" s="357"/>
      <c r="AD28" s="358"/>
      <c r="AE28" s="43"/>
      <c r="AF28" s="356"/>
      <c r="AG28" s="572"/>
      <c r="AH28" s="364"/>
      <c r="AI28" s="43"/>
      <c r="AJ28" s="356"/>
      <c r="AK28" s="353"/>
      <c r="AL28" s="364"/>
      <c r="AM28" s="43"/>
      <c r="AN28" s="356"/>
      <c r="AO28" s="353"/>
      <c r="AP28" s="364"/>
      <c r="AQ28" s="468"/>
      <c r="AR28" s="357"/>
      <c r="AS28" s="357"/>
      <c r="AT28" s="358"/>
      <c r="AU28" s="468"/>
      <c r="AV28" s="357"/>
      <c r="AW28" s="357"/>
      <c r="AX28" s="358"/>
      <c r="AY28" s="468"/>
      <c r="AZ28" s="357"/>
      <c r="BA28" s="357"/>
      <c r="BB28" s="573"/>
      <c r="BC28" s="574"/>
      <c r="BD28" s="574"/>
      <c r="BE28" s="574"/>
      <c r="BF28" s="574"/>
      <c r="BG28" s="574"/>
      <c r="BH28" s="574"/>
      <c r="BI28" s="574"/>
      <c r="BJ28" s="574"/>
      <c r="BK28" s="574"/>
      <c r="BL28" s="574"/>
      <c r="BM28" s="574"/>
      <c r="BN28" s="574"/>
      <c r="BO28" s="574"/>
      <c r="BP28" s="574"/>
      <c r="BQ28" s="574"/>
      <c r="BR28" s="574"/>
      <c r="BS28" s="574"/>
      <c r="BT28" s="574"/>
      <c r="BU28" s="574"/>
      <c r="BV28" s="574"/>
      <c r="BW28" s="574"/>
      <c r="BX28" s="574"/>
      <c r="BY28" s="574"/>
      <c r="BZ28" s="574"/>
      <c r="CA28" s="574"/>
      <c r="CB28" s="574"/>
      <c r="CC28" s="574"/>
      <c r="CD28" s="574"/>
      <c r="CE28" s="574"/>
      <c r="CF28" s="574"/>
      <c r="CG28" s="574"/>
      <c r="CH28" s="574"/>
      <c r="CI28" s="574"/>
      <c r="CJ28" s="574"/>
      <c r="CK28" s="574"/>
      <c r="CL28" s="574"/>
    </row>
    <row r="29" outlineLevel="1">
      <c r="A29" s="571" t="s">
        <v>3141</v>
      </c>
      <c r="B29" s="571" t="s">
        <v>75</v>
      </c>
      <c r="C29" s="566" t="s">
        <v>3142</v>
      </c>
      <c r="D29" s="566" t="s">
        <v>3117</v>
      </c>
      <c r="E29" s="566" t="s">
        <v>3143</v>
      </c>
      <c r="F29" s="566" t="s">
        <v>3144</v>
      </c>
      <c r="G29" s="265"/>
      <c r="H29" s="265"/>
      <c r="I29" s="273"/>
      <c r="J29" s="265"/>
      <c r="K29" s="265"/>
      <c r="L29" s="265"/>
      <c r="M29" s="265"/>
      <c r="N29" s="273"/>
      <c r="O29" s="265"/>
      <c r="P29" s="265"/>
      <c r="Q29" s="265"/>
      <c r="R29" s="273"/>
      <c r="S29" s="265"/>
      <c r="T29" s="265"/>
      <c r="U29" s="265"/>
      <c r="V29" s="265"/>
      <c r="W29" s="265"/>
      <c r="X29" s="265"/>
      <c r="Y29" s="265"/>
      <c r="Z29" s="265"/>
      <c r="AA29" s="43"/>
      <c r="AB29" s="356"/>
      <c r="AC29" s="366"/>
      <c r="AD29" s="364"/>
      <c r="AE29" s="43"/>
      <c r="AF29" s="356"/>
      <c r="AG29" s="366"/>
      <c r="AH29" s="364"/>
      <c r="AI29" s="43"/>
      <c r="AJ29" s="356"/>
      <c r="AK29" s="366"/>
      <c r="AL29" s="364"/>
      <c r="AM29" s="43"/>
      <c r="AN29" s="356"/>
      <c r="AO29" s="366"/>
      <c r="AP29" s="364"/>
      <c r="AQ29" s="61"/>
      <c r="AR29" s="353"/>
      <c r="AS29" s="353"/>
      <c r="AT29" s="354"/>
      <c r="AU29" s="61"/>
      <c r="AV29" s="353"/>
      <c r="AW29" s="353"/>
      <c r="AX29" s="354"/>
      <c r="AY29" s="61"/>
      <c r="AZ29" s="353"/>
      <c r="BA29" s="353"/>
      <c r="BB29" s="576"/>
      <c r="BC29" s="369"/>
      <c r="BD29" s="369"/>
      <c r="BE29" s="369"/>
      <c r="BF29" s="369"/>
      <c r="BG29" s="369"/>
      <c r="BH29" s="369"/>
      <c r="BI29" s="369"/>
      <c r="BJ29" s="369"/>
      <c r="BK29" s="369"/>
      <c r="BL29" s="369"/>
      <c r="BM29" s="369"/>
      <c r="BN29" s="369"/>
      <c r="BO29" s="369"/>
      <c r="BP29" s="369"/>
      <c r="BQ29" s="369"/>
      <c r="BR29" s="369"/>
      <c r="BS29" s="369"/>
      <c r="BT29" s="369"/>
      <c r="BU29" s="369"/>
      <c r="BV29" s="369"/>
      <c r="BW29" s="369"/>
      <c r="BX29" s="369"/>
      <c r="BY29" s="369"/>
      <c r="BZ29" s="369"/>
      <c r="CA29" s="369"/>
      <c r="CB29" s="369"/>
      <c r="CC29" s="369"/>
      <c r="CD29" s="369"/>
      <c r="CE29" s="369"/>
      <c r="CF29" s="369"/>
      <c r="CG29" s="369"/>
      <c r="CH29" s="369"/>
      <c r="CI29" s="369"/>
      <c r="CJ29" s="369"/>
      <c r="CK29" s="369"/>
      <c r="CL29" s="369"/>
    </row>
    <row r="30" outlineLevel="1">
      <c r="A30" s="571" t="s">
        <v>3145</v>
      </c>
      <c r="B30" s="571" t="s">
        <v>75</v>
      </c>
      <c r="C30" s="566" t="s">
        <v>3146</v>
      </c>
      <c r="D30" s="566" t="s">
        <v>3147</v>
      </c>
      <c r="E30" s="566" t="s">
        <v>3148</v>
      </c>
      <c r="F30" s="566" t="s">
        <v>3149</v>
      </c>
      <c r="G30" s="265"/>
      <c r="H30" s="265"/>
      <c r="I30" s="273"/>
      <c r="J30" s="273"/>
      <c r="K30" s="265"/>
      <c r="L30" s="265"/>
      <c r="M30" s="273"/>
      <c r="N30" s="273"/>
      <c r="O30" s="265"/>
      <c r="P30" s="265"/>
      <c r="Q30" s="265"/>
      <c r="R30" s="273"/>
      <c r="S30" s="265"/>
      <c r="T30" s="265"/>
      <c r="U30" s="273"/>
      <c r="V30" s="273"/>
      <c r="W30" s="265"/>
      <c r="X30" s="265"/>
      <c r="Y30" s="273"/>
      <c r="Z30" s="273"/>
      <c r="AA30" s="359"/>
      <c r="AB30" s="356"/>
      <c r="AC30" s="357"/>
      <c r="AD30" s="358"/>
      <c r="AE30" s="43"/>
      <c r="AF30" s="356"/>
      <c r="AG30" s="572"/>
      <c r="AH30" s="364"/>
      <c r="AI30" s="43"/>
      <c r="AJ30" s="356"/>
      <c r="AK30" s="353"/>
      <c r="AL30" s="364"/>
      <c r="AM30" s="43"/>
      <c r="AN30" s="356"/>
      <c r="AO30" s="353"/>
      <c r="AP30" s="364"/>
      <c r="AQ30" s="468"/>
      <c r="AR30" s="357"/>
      <c r="AS30" s="357"/>
      <c r="AT30" s="358"/>
      <c r="AU30" s="468"/>
      <c r="AV30" s="357"/>
      <c r="AW30" s="357"/>
      <c r="AX30" s="358"/>
      <c r="AY30" s="468"/>
      <c r="AZ30" s="357"/>
      <c r="BA30" s="357"/>
      <c r="BB30" s="573"/>
      <c r="BC30" s="574"/>
      <c r="BD30" s="574"/>
      <c r="BE30" s="574"/>
      <c r="BF30" s="574"/>
      <c r="BG30" s="574"/>
      <c r="BH30" s="574"/>
      <c r="BI30" s="574"/>
      <c r="BJ30" s="574"/>
      <c r="BK30" s="574"/>
      <c r="BL30" s="574"/>
      <c r="BM30" s="574"/>
      <c r="BN30" s="574"/>
      <c r="BO30" s="574"/>
      <c r="BP30" s="574"/>
      <c r="BQ30" s="574"/>
      <c r="BR30" s="574"/>
      <c r="BS30" s="574"/>
      <c r="BT30" s="574"/>
      <c r="BU30" s="574"/>
      <c r="BV30" s="574"/>
      <c r="BW30" s="574"/>
      <c r="BX30" s="574"/>
      <c r="BY30" s="574"/>
      <c r="BZ30" s="574"/>
      <c r="CA30" s="574"/>
      <c r="CB30" s="574"/>
      <c r="CC30" s="574"/>
      <c r="CD30" s="574"/>
      <c r="CE30" s="574"/>
      <c r="CF30" s="574"/>
      <c r="CG30" s="574"/>
      <c r="CH30" s="574"/>
      <c r="CI30" s="574"/>
      <c r="CJ30" s="574"/>
      <c r="CK30" s="574"/>
      <c r="CL30" s="574"/>
    </row>
    <row r="31" outlineLevel="1">
      <c r="A31" s="571" t="s">
        <v>3150</v>
      </c>
      <c r="B31" s="571" t="s">
        <v>73</v>
      </c>
      <c r="C31" s="566" t="s">
        <v>3151</v>
      </c>
      <c r="D31" s="584" t="s">
        <v>3152</v>
      </c>
      <c r="E31" s="566" t="s">
        <v>3153</v>
      </c>
      <c r="F31" s="566" t="s">
        <v>3154</v>
      </c>
      <c r="G31" s="265"/>
      <c r="H31" s="265"/>
      <c r="I31" s="273"/>
      <c r="J31" s="265"/>
      <c r="K31" s="265"/>
      <c r="L31" s="265"/>
      <c r="M31" s="273"/>
      <c r="N31" s="273"/>
      <c r="O31" s="265"/>
      <c r="P31" s="265"/>
      <c r="Q31" s="273"/>
      <c r="R31" s="273"/>
      <c r="S31" s="265"/>
      <c r="T31" s="265"/>
      <c r="U31" s="265"/>
      <c r="V31" s="265"/>
      <c r="W31" s="265"/>
      <c r="X31" s="265"/>
      <c r="Y31" s="265"/>
      <c r="Z31" s="265"/>
      <c r="AA31" s="43"/>
      <c r="AB31" s="356"/>
      <c r="AC31" s="366"/>
      <c r="AD31" s="364"/>
      <c r="AE31" s="43"/>
      <c r="AF31" s="356"/>
      <c r="AG31" s="572"/>
      <c r="AH31" s="364"/>
      <c r="AI31" s="43"/>
      <c r="AJ31" s="356"/>
      <c r="AK31" s="353"/>
      <c r="AL31" s="364"/>
      <c r="AM31" s="43"/>
      <c r="AN31" s="356"/>
      <c r="AO31" s="353"/>
      <c r="AP31" s="364"/>
      <c r="AQ31" s="61"/>
      <c r="AR31" s="353"/>
      <c r="AS31" s="353"/>
      <c r="AT31" s="354"/>
      <c r="AU31" s="61"/>
      <c r="AV31" s="353"/>
      <c r="AW31" s="353"/>
      <c r="AX31" s="354"/>
      <c r="AY31" s="61"/>
      <c r="AZ31" s="353"/>
      <c r="BA31" s="353"/>
      <c r="BB31" s="576"/>
      <c r="BC31" s="369"/>
      <c r="BD31" s="369"/>
      <c r="BE31" s="369"/>
      <c r="BF31" s="369"/>
      <c r="BG31" s="369"/>
      <c r="BH31" s="369"/>
      <c r="BI31" s="369"/>
      <c r="BJ31" s="369"/>
      <c r="BK31" s="369"/>
      <c r="BL31" s="369"/>
      <c r="BM31" s="369"/>
      <c r="BN31" s="369"/>
      <c r="BO31" s="369"/>
      <c r="BP31" s="369"/>
      <c r="BQ31" s="369"/>
      <c r="BR31" s="369"/>
      <c r="BS31" s="369"/>
      <c r="BT31" s="369"/>
      <c r="BU31" s="369"/>
      <c r="BV31" s="369"/>
      <c r="BW31" s="369"/>
      <c r="BX31" s="369"/>
      <c r="BY31" s="369"/>
      <c r="BZ31" s="369"/>
      <c r="CA31" s="369"/>
      <c r="CB31" s="369"/>
      <c r="CC31" s="369"/>
      <c r="CD31" s="369"/>
      <c r="CE31" s="369"/>
      <c r="CF31" s="369"/>
      <c r="CG31" s="369"/>
      <c r="CH31" s="369"/>
      <c r="CI31" s="369"/>
      <c r="CJ31" s="369"/>
      <c r="CK31" s="369"/>
      <c r="CL31" s="369"/>
    </row>
    <row r="32" outlineLevel="1">
      <c r="A32" s="571" t="s">
        <v>3155</v>
      </c>
      <c r="B32" s="571" t="s">
        <v>75</v>
      </c>
      <c r="C32" s="566" t="s">
        <v>3156</v>
      </c>
      <c r="D32" s="584" t="s">
        <v>3157</v>
      </c>
      <c r="E32" s="566" t="s">
        <v>3158</v>
      </c>
      <c r="F32" s="566" t="s">
        <v>3159</v>
      </c>
      <c r="G32" s="265"/>
      <c r="H32" s="265"/>
      <c r="I32" s="273"/>
      <c r="J32" s="273"/>
      <c r="K32" s="265"/>
      <c r="L32" s="265"/>
      <c r="M32" s="273"/>
      <c r="N32" s="273"/>
      <c r="O32" s="265"/>
      <c r="P32" s="265"/>
      <c r="Q32" s="273"/>
      <c r="R32" s="273"/>
      <c r="S32" s="265"/>
      <c r="T32" s="265"/>
      <c r="U32" s="273"/>
      <c r="V32" s="273"/>
      <c r="W32" s="265"/>
      <c r="X32" s="265"/>
      <c r="Y32" s="273"/>
      <c r="Z32" s="273"/>
      <c r="AA32" s="43"/>
      <c r="AB32" s="356"/>
      <c r="AC32" s="353"/>
      <c r="AD32" s="354"/>
      <c r="AE32" s="43"/>
      <c r="AF32" s="356"/>
      <c r="AG32" s="572"/>
      <c r="AH32" s="364"/>
      <c r="AI32" s="43"/>
      <c r="AJ32" s="356"/>
      <c r="AK32" s="353"/>
      <c r="AL32" s="364"/>
      <c r="AM32" s="43"/>
      <c r="AN32" s="356"/>
      <c r="AO32" s="353"/>
      <c r="AP32" s="364"/>
      <c r="AQ32" s="61"/>
      <c r="AR32" s="353"/>
      <c r="AS32" s="353"/>
      <c r="AT32" s="354"/>
      <c r="AU32" s="61"/>
      <c r="AV32" s="353"/>
      <c r="AW32" s="353"/>
      <c r="AX32" s="354"/>
      <c r="AY32" s="61"/>
      <c r="AZ32" s="353"/>
      <c r="BA32" s="353"/>
      <c r="BB32" s="576"/>
      <c r="BC32" s="369"/>
      <c r="BD32" s="369"/>
      <c r="BE32" s="369"/>
      <c r="BF32" s="369"/>
      <c r="BG32" s="369"/>
      <c r="BH32" s="369"/>
      <c r="BI32" s="369"/>
      <c r="BJ32" s="369"/>
      <c r="BK32" s="369"/>
      <c r="BL32" s="369"/>
      <c r="BM32" s="369"/>
      <c r="BN32" s="369"/>
      <c r="BO32" s="369"/>
      <c r="BP32" s="369"/>
      <c r="BQ32" s="369"/>
      <c r="BR32" s="369"/>
      <c r="BS32" s="369"/>
      <c r="BT32" s="369"/>
      <c r="BU32" s="369"/>
      <c r="BV32" s="369"/>
      <c r="BW32" s="369"/>
      <c r="BX32" s="369"/>
      <c r="BY32" s="369"/>
      <c r="BZ32" s="369"/>
      <c r="CA32" s="369"/>
      <c r="CB32" s="369"/>
      <c r="CC32" s="369"/>
      <c r="CD32" s="369"/>
      <c r="CE32" s="369"/>
      <c r="CF32" s="369"/>
      <c r="CG32" s="369"/>
      <c r="CH32" s="369"/>
      <c r="CI32" s="369"/>
      <c r="CJ32" s="369"/>
      <c r="CK32" s="369"/>
      <c r="CL32" s="369"/>
    </row>
    <row r="33" outlineLevel="1">
      <c r="A33" s="571" t="s">
        <v>3160</v>
      </c>
      <c r="B33" s="571" t="s">
        <v>73</v>
      </c>
      <c r="C33" s="584" t="s">
        <v>3161</v>
      </c>
      <c r="D33" s="584" t="s">
        <v>3162</v>
      </c>
      <c r="E33" s="566" t="s">
        <v>3163</v>
      </c>
      <c r="F33" s="566" t="s">
        <v>2837</v>
      </c>
      <c r="G33" s="265"/>
      <c r="H33" s="265"/>
      <c r="I33" s="273"/>
      <c r="J33" s="273"/>
      <c r="K33" s="265"/>
      <c r="L33" s="265"/>
      <c r="M33" s="273"/>
      <c r="N33" s="273"/>
      <c r="O33" s="265"/>
      <c r="P33" s="265"/>
      <c r="Q33" s="273"/>
      <c r="R33" s="273"/>
      <c r="S33" s="265"/>
      <c r="T33" s="265"/>
      <c r="U33" s="273"/>
      <c r="V33" s="273"/>
      <c r="W33" s="265"/>
      <c r="X33" s="265"/>
      <c r="Y33" s="273"/>
      <c r="Z33" s="273"/>
      <c r="AA33" s="43"/>
      <c r="AB33" s="356"/>
      <c r="AC33" s="353"/>
      <c r="AD33" s="354"/>
      <c r="AE33" s="43"/>
      <c r="AF33" s="356"/>
      <c r="AG33" s="572"/>
      <c r="AH33" s="364"/>
      <c r="AI33" s="43"/>
      <c r="AJ33" s="356"/>
      <c r="AK33" s="353"/>
      <c r="AL33" s="364"/>
      <c r="AM33" s="43"/>
      <c r="AN33" s="356"/>
      <c r="AO33" s="353"/>
      <c r="AP33" s="364"/>
      <c r="AQ33" s="61"/>
      <c r="AR33" s="353"/>
      <c r="AS33" s="353"/>
      <c r="AT33" s="354"/>
      <c r="AU33" s="61"/>
      <c r="AV33" s="353"/>
      <c r="AW33" s="353"/>
      <c r="AX33" s="354"/>
      <c r="AY33" s="61"/>
      <c r="AZ33" s="353"/>
      <c r="BA33" s="353"/>
      <c r="BB33" s="576"/>
      <c r="BC33" s="369"/>
      <c r="BD33" s="369"/>
      <c r="BE33" s="369"/>
      <c r="BF33" s="369"/>
      <c r="BG33" s="369"/>
      <c r="BH33" s="369"/>
      <c r="BI33" s="369"/>
      <c r="BJ33" s="369"/>
      <c r="BK33" s="369"/>
      <c r="BL33" s="369"/>
      <c r="BM33" s="369"/>
      <c r="BN33" s="369"/>
      <c r="BO33" s="369"/>
      <c r="BP33" s="369"/>
      <c r="BQ33" s="369"/>
      <c r="BR33" s="369"/>
      <c r="BS33" s="369"/>
      <c r="BT33" s="369"/>
      <c r="BU33" s="369"/>
      <c r="BV33" s="369"/>
      <c r="BW33" s="369"/>
      <c r="BX33" s="369"/>
      <c r="BY33" s="369"/>
      <c r="BZ33" s="369"/>
      <c r="CA33" s="369"/>
      <c r="CB33" s="369"/>
      <c r="CC33" s="369"/>
      <c r="CD33" s="369"/>
      <c r="CE33" s="369"/>
      <c r="CF33" s="369"/>
      <c r="CG33" s="369"/>
      <c r="CH33" s="369"/>
      <c r="CI33" s="369"/>
      <c r="CJ33" s="369"/>
      <c r="CK33" s="369"/>
      <c r="CL33" s="369"/>
    </row>
    <row r="34">
      <c r="A34" s="570" t="s">
        <v>3164</v>
      </c>
      <c r="B34" s="148"/>
      <c r="C34" s="148"/>
      <c r="D34" s="148"/>
      <c r="E34" s="148"/>
      <c r="F34" s="171"/>
      <c r="G34" s="265"/>
      <c r="H34" s="265"/>
      <c r="I34" s="273"/>
      <c r="J34" s="273"/>
      <c r="K34" s="273"/>
      <c r="L34" s="273"/>
      <c r="M34" s="273"/>
      <c r="N34" s="273"/>
      <c r="O34" s="273"/>
      <c r="P34" s="273"/>
      <c r="Q34" s="273"/>
      <c r="R34" s="273"/>
      <c r="S34" s="265"/>
      <c r="T34" s="273"/>
      <c r="U34" s="273"/>
      <c r="V34" s="273"/>
      <c r="W34" s="273"/>
      <c r="X34" s="273"/>
      <c r="Y34" s="273"/>
      <c r="Z34" s="273"/>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c r="BR34" s="355"/>
      <c r="BS34" s="355"/>
      <c r="BT34" s="355"/>
      <c r="BU34" s="355"/>
      <c r="BV34" s="355"/>
      <c r="BW34" s="355"/>
      <c r="BX34" s="355"/>
      <c r="BY34" s="355"/>
      <c r="BZ34" s="355"/>
      <c r="CA34" s="355"/>
      <c r="CB34" s="355"/>
      <c r="CC34" s="355"/>
      <c r="CD34" s="355"/>
      <c r="CE34" s="355"/>
      <c r="CF34" s="355"/>
      <c r="CG34" s="355"/>
      <c r="CH34" s="355"/>
      <c r="CI34" s="355"/>
      <c r="CJ34" s="355"/>
      <c r="CK34" s="355"/>
      <c r="CL34" s="355"/>
    </row>
    <row r="35" outlineLevel="1">
      <c r="A35" s="571" t="s">
        <v>3165</v>
      </c>
      <c r="B35" s="565" t="s">
        <v>75</v>
      </c>
      <c r="C35" s="566" t="s">
        <v>3166</v>
      </c>
      <c r="D35" s="566" t="s">
        <v>3167</v>
      </c>
      <c r="E35" s="566" t="s">
        <v>3168</v>
      </c>
      <c r="F35" s="566" t="s">
        <v>3169</v>
      </c>
      <c r="G35" s="265"/>
      <c r="H35" s="265"/>
      <c r="I35" s="265"/>
      <c r="J35" s="265"/>
      <c r="K35" s="273"/>
      <c r="L35" s="273"/>
      <c r="M35" s="273"/>
      <c r="N35" s="273"/>
      <c r="O35" s="273"/>
      <c r="P35" s="273"/>
      <c r="Q35" s="273"/>
      <c r="R35" s="273"/>
      <c r="S35" s="265"/>
      <c r="T35" s="273"/>
      <c r="U35" s="273"/>
      <c r="V35" s="273"/>
      <c r="W35" s="273"/>
      <c r="X35" s="273"/>
      <c r="Y35" s="273"/>
      <c r="Z35" s="273"/>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c r="BR35" s="355"/>
      <c r="BS35" s="355"/>
      <c r="BT35" s="355"/>
      <c r="BU35" s="355"/>
      <c r="BV35" s="355"/>
      <c r="BW35" s="355"/>
      <c r="BX35" s="355"/>
      <c r="BY35" s="355"/>
      <c r="BZ35" s="355"/>
      <c r="CA35" s="355"/>
      <c r="CB35" s="355"/>
      <c r="CC35" s="355"/>
      <c r="CD35" s="355"/>
      <c r="CE35" s="355"/>
      <c r="CF35" s="355"/>
      <c r="CG35" s="355"/>
      <c r="CH35" s="355"/>
      <c r="CI35" s="355"/>
      <c r="CJ35" s="355"/>
      <c r="CK35" s="355"/>
      <c r="CL35" s="355"/>
    </row>
    <row r="36" outlineLevel="1">
      <c r="A36" s="571" t="s">
        <v>3170</v>
      </c>
      <c r="B36" s="565" t="s">
        <v>75</v>
      </c>
      <c r="C36" s="566" t="s">
        <v>3171</v>
      </c>
      <c r="D36" s="566" t="s">
        <v>3172</v>
      </c>
      <c r="E36" s="566" t="s">
        <v>3173</v>
      </c>
      <c r="F36" s="566" t="s">
        <v>3174</v>
      </c>
      <c r="G36" s="265"/>
      <c r="H36" s="265"/>
      <c r="I36" s="273"/>
      <c r="J36" s="273"/>
      <c r="K36" s="273"/>
      <c r="L36" s="273"/>
      <c r="M36" s="273"/>
      <c r="N36" s="273"/>
      <c r="O36" s="273"/>
      <c r="P36" s="273"/>
      <c r="Q36" s="273"/>
      <c r="R36" s="273"/>
      <c r="S36" s="265"/>
      <c r="T36" s="273"/>
      <c r="U36" s="273"/>
      <c r="V36" s="273"/>
      <c r="W36" s="273"/>
      <c r="X36" s="273"/>
      <c r="Y36" s="273"/>
      <c r="Z36" s="273"/>
      <c r="AA36" s="249"/>
      <c r="AB36" s="249"/>
      <c r="AC36" s="249"/>
      <c r="AD36" s="249"/>
      <c r="AE36" s="249"/>
      <c r="AF36" s="249"/>
      <c r="AG36" s="249"/>
      <c r="AH36" s="249"/>
      <c r="AI36" s="249"/>
      <c r="AJ36" s="249"/>
      <c r="AK36" s="249"/>
      <c r="AL36" s="249"/>
      <c r="AM36" s="249"/>
      <c r="AN36" s="249"/>
      <c r="AO36" s="249"/>
      <c r="AP36" s="249"/>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c r="BR36" s="355"/>
      <c r="BS36" s="355"/>
      <c r="BT36" s="355"/>
      <c r="BU36" s="355"/>
      <c r="BV36" s="355"/>
      <c r="BW36" s="355"/>
      <c r="BX36" s="355"/>
      <c r="BY36" s="355"/>
      <c r="BZ36" s="355"/>
      <c r="CA36" s="355"/>
      <c r="CB36" s="355"/>
      <c r="CC36" s="355"/>
      <c r="CD36" s="355"/>
      <c r="CE36" s="355"/>
      <c r="CF36" s="355"/>
      <c r="CG36" s="355"/>
      <c r="CH36" s="355"/>
      <c r="CI36" s="355"/>
      <c r="CJ36" s="355"/>
      <c r="CK36" s="355"/>
      <c r="CL36" s="355"/>
    </row>
    <row r="37" outlineLevel="1">
      <c r="A37" s="571" t="s">
        <v>3175</v>
      </c>
      <c r="B37" s="571" t="s">
        <v>75</v>
      </c>
      <c r="C37" s="584" t="s">
        <v>3176</v>
      </c>
      <c r="D37" s="584" t="s">
        <v>3177</v>
      </c>
      <c r="E37" s="584" t="s">
        <v>3178</v>
      </c>
      <c r="F37" s="584" t="s">
        <v>3179</v>
      </c>
      <c r="G37" s="265"/>
      <c r="H37" s="265"/>
      <c r="I37" s="273"/>
      <c r="J37" s="273"/>
      <c r="K37" s="273"/>
      <c r="L37" s="273"/>
      <c r="M37" s="273"/>
      <c r="N37" s="273"/>
      <c r="O37" s="273"/>
      <c r="P37" s="273"/>
      <c r="Q37" s="273"/>
      <c r="R37" s="273"/>
      <c r="S37" s="265"/>
      <c r="T37" s="273"/>
      <c r="U37" s="273"/>
      <c r="V37" s="273"/>
      <c r="W37" s="273"/>
      <c r="X37" s="273"/>
      <c r="Y37" s="273"/>
      <c r="Z37" s="273"/>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row>
    <row r="38" outlineLevel="1">
      <c r="A38" s="565" t="s">
        <v>3180</v>
      </c>
      <c r="B38" s="565" t="s">
        <v>75</v>
      </c>
      <c r="C38" s="566" t="s">
        <v>3181</v>
      </c>
      <c r="D38" s="566" t="s">
        <v>3182</v>
      </c>
      <c r="E38" s="566" t="s">
        <v>3183</v>
      </c>
      <c r="F38" s="566" t="s">
        <v>3184</v>
      </c>
      <c r="G38" s="265"/>
      <c r="H38" s="273"/>
      <c r="I38" s="273"/>
      <c r="J38" s="273"/>
      <c r="K38" s="273"/>
      <c r="L38" s="273"/>
      <c r="M38" s="273"/>
      <c r="N38" s="273"/>
      <c r="O38" s="273"/>
      <c r="P38" s="273"/>
      <c r="Q38" s="273"/>
      <c r="R38" s="273"/>
      <c r="S38" s="265"/>
      <c r="T38" s="273"/>
      <c r="U38" s="273"/>
      <c r="V38" s="273"/>
      <c r="W38" s="273"/>
      <c r="X38" s="273"/>
      <c r="Y38" s="273"/>
      <c r="Z38" s="273"/>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c r="BW38" s="355"/>
      <c r="BX38" s="355"/>
      <c r="BY38" s="355"/>
      <c r="BZ38" s="355"/>
      <c r="CA38" s="355"/>
      <c r="CB38" s="355"/>
      <c r="CC38" s="355"/>
      <c r="CD38" s="355"/>
      <c r="CE38" s="355"/>
      <c r="CF38" s="355"/>
      <c r="CG38" s="355"/>
      <c r="CH38" s="355"/>
      <c r="CI38" s="355"/>
      <c r="CJ38" s="355"/>
      <c r="CK38" s="355"/>
      <c r="CL38" s="355"/>
    </row>
    <row r="39" outlineLevel="1">
      <c r="A39" s="571" t="s">
        <v>3185</v>
      </c>
      <c r="B39" s="565" t="s">
        <v>73</v>
      </c>
      <c r="C39" s="586" t="s">
        <v>3186</v>
      </c>
      <c r="D39" s="586" t="s">
        <v>3187</v>
      </c>
      <c r="E39" s="566" t="s">
        <v>3188</v>
      </c>
      <c r="F39" s="586" t="s">
        <v>3189</v>
      </c>
      <c r="G39" s="265"/>
      <c r="H39" s="265"/>
      <c r="I39" s="273"/>
      <c r="J39" s="265"/>
      <c r="K39" s="273"/>
      <c r="L39" s="273"/>
      <c r="M39" s="273"/>
      <c r="N39" s="273"/>
      <c r="O39" s="273"/>
      <c r="P39" s="273"/>
      <c r="Q39" s="273"/>
      <c r="R39" s="273"/>
      <c r="S39" s="273"/>
      <c r="T39" s="273"/>
      <c r="U39" s="273"/>
      <c r="V39" s="273"/>
      <c r="W39" s="273"/>
      <c r="X39" s="273"/>
      <c r="Y39" s="273"/>
      <c r="Z39" s="273"/>
      <c r="AA39" s="157"/>
      <c r="AB39" s="594"/>
      <c r="AC39" s="157"/>
      <c r="AD39" s="157"/>
      <c r="AE39" s="157"/>
      <c r="AF39" s="157"/>
      <c r="AG39" s="157"/>
      <c r="AH39" s="157"/>
      <c r="AI39" s="157"/>
      <c r="AJ39" s="157"/>
      <c r="AK39" s="157"/>
      <c r="AL39" s="157"/>
      <c r="AM39" s="157"/>
      <c r="AN39" s="594"/>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row>
    <row r="40">
      <c r="A40" s="570" t="s">
        <v>3190</v>
      </c>
      <c r="B40" s="148"/>
      <c r="C40" s="148"/>
      <c r="D40" s="148"/>
      <c r="E40" s="148"/>
      <c r="F40" s="171"/>
      <c r="G40" s="265"/>
      <c r="H40" s="265"/>
      <c r="I40" s="265"/>
      <c r="J40" s="265"/>
      <c r="K40" s="273"/>
      <c r="L40" s="273"/>
      <c r="M40" s="273"/>
      <c r="N40" s="273"/>
      <c r="O40" s="273"/>
      <c r="P40" s="273"/>
      <c r="Q40" s="273"/>
      <c r="R40" s="273"/>
      <c r="S40" s="273"/>
      <c r="T40" s="273"/>
      <c r="U40" s="273"/>
      <c r="V40" s="273"/>
      <c r="W40" s="273"/>
      <c r="X40" s="273"/>
      <c r="Y40" s="273"/>
      <c r="Z40" s="273"/>
      <c r="AA40" s="157"/>
      <c r="AB40" s="594"/>
      <c r="AC40" s="157"/>
      <c r="AD40" s="157"/>
      <c r="AE40" s="157"/>
      <c r="AF40" s="157"/>
      <c r="AG40" s="157"/>
      <c r="AH40" s="157"/>
      <c r="AI40" s="157"/>
      <c r="AJ40" s="157"/>
      <c r="AK40" s="157"/>
      <c r="AL40" s="157"/>
      <c r="AM40" s="157"/>
      <c r="AN40" s="594"/>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row>
    <row r="41" outlineLevel="1">
      <c r="A41" s="571" t="s">
        <v>3191</v>
      </c>
      <c r="B41" s="565" t="s">
        <v>73</v>
      </c>
      <c r="C41" s="566" t="s">
        <v>3192</v>
      </c>
      <c r="D41" s="566" t="s">
        <v>2741</v>
      </c>
      <c r="E41" s="566" t="s">
        <v>3193</v>
      </c>
      <c r="F41" s="566" t="s">
        <v>3194</v>
      </c>
      <c r="G41" s="265"/>
      <c r="H41" s="265"/>
      <c r="I41" s="273"/>
      <c r="J41" s="265"/>
      <c r="K41" s="273"/>
      <c r="L41" s="273"/>
      <c r="M41" s="273"/>
      <c r="N41" s="273"/>
      <c r="O41" s="273"/>
      <c r="P41" s="273"/>
      <c r="Q41" s="273"/>
      <c r="R41" s="273"/>
      <c r="S41" s="273"/>
      <c r="T41" s="273"/>
      <c r="U41" s="273"/>
      <c r="V41" s="273"/>
      <c r="W41" s="273"/>
      <c r="X41" s="273"/>
      <c r="Y41" s="273"/>
      <c r="Z41" s="273"/>
      <c r="AA41" s="157"/>
      <c r="AB41" s="594"/>
      <c r="AC41" s="157"/>
      <c r="AD41" s="157"/>
      <c r="AE41" s="157"/>
      <c r="AF41" s="157"/>
      <c r="AG41" s="157"/>
      <c r="AH41" s="157"/>
      <c r="AI41" s="157"/>
      <c r="AJ41" s="157"/>
      <c r="AK41" s="157"/>
      <c r="AL41" s="157"/>
      <c r="AM41" s="157"/>
      <c r="AN41" s="594"/>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row>
    <row r="42" outlineLevel="1">
      <c r="A42" s="571" t="s">
        <v>3195</v>
      </c>
      <c r="B42" s="565" t="s">
        <v>75</v>
      </c>
      <c r="C42" s="566" t="s">
        <v>3196</v>
      </c>
      <c r="D42" s="566" t="s">
        <v>3197</v>
      </c>
      <c r="E42" s="566" t="s">
        <v>3198</v>
      </c>
      <c r="F42" s="566" t="s">
        <v>3199</v>
      </c>
      <c r="G42" s="265"/>
      <c r="H42" s="265"/>
      <c r="I42" s="273"/>
      <c r="J42" s="265"/>
      <c r="K42" s="273"/>
      <c r="L42" s="273"/>
      <c r="M42" s="273"/>
      <c r="N42" s="273"/>
      <c r="O42" s="273"/>
      <c r="P42" s="273"/>
      <c r="Q42" s="273"/>
      <c r="R42" s="273"/>
      <c r="S42" s="273"/>
      <c r="T42" s="273"/>
      <c r="U42" s="273"/>
      <c r="V42" s="273"/>
      <c r="W42" s="273"/>
      <c r="X42" s="273"/>
      <c r="Y42" s="273"/>
      <c r="Z42" s="273"/>
      <c r="AA42" s="157"/>
      <c r="AB42" s="594"/>
      <c r="AC42" s="157"/>
      <c r="AD42" s="157"/>
      <c r="AE42" s="157"/>
      <c r="AF42" s="157"/>
      <c r="AG42" s="157"/>
      <c r="AH42" s="157"/>
      <c r="AI42" s="157"/>
      <c r="AJ42" s="157"/>
      <c r="AK42" s="157"/>
      <c r="AL42" s="157"/>
      <c r="AM42" s="157"/>
      <c r="AN42" s="594"/>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row>
    <row r="43" outlineLevel="1">
      <c r="A43" s="571" t="s">
        <v>3200</v>
      </c>
      <c r="B43" s="571" t="s">
        <v>75</v>
      </c>
      <c r="C43" s="584" t="s">
        <v>2744</v>
      </c>
      <c r="D43" s="584" t="s">
        <v>3201</v>
      </c>
      <c r="E43" s="584" t="s">
        <v>3202</v>
      </c>
      <c r="F43" s="584" t="s">
        <v>2746</v>
      </c>
      <c r="G43" s="265"/>
      <c r="H43" s="265"/>
      <c r="I43" s="273"/>
      <c r="J43" s="265"/>
      <c r="K43" s="273"/>
      <c r="L43" s="273"/>
      <c r="M43" s="273"/>
      <c r="N43" s="273"/>
      <c r="O43" s="273"/>
      <c r="P43" s="273"/>
      <c r="Q43" s="273"/>
      <c r="R43" s="273"/>
      <c r="S43" s="273"/>
      <c r="T43" s="273"/>
      <c r="U43" s="273"/>
      <c r="V43" s="273"/>
      <c r="W43" s="273"/>
      <c r="X43" s="273"/>
      <c r="Y43" s="273"/>
      <c r="Z43" s="273"/>
      <c r="AA43" s="157"/>
      <c r="AB43" s="594"/>
      <c r="AC43" s="157"/>
      <c r="AD43" s="157"/>
      <c r="AE43" s="157"/>
      <c r="AF43" s="157"/>
      <c r="AG43" s="157"/>
      <c r="AH43" s="157"/>
      <c r="AI43" s="157"/>
      <c r="AJ43" s="157"/>
      <c r="AK43" s="157"/>
      <c r="AL43" s="157"/>
      <c r="AM43" s="157"/>
      <c r="AN43" s="594"/>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row>
    <row r="44" outlineLevel="1">
      <c r="A44" s="571" t="s">
        <v>3203</v>
      </c>
      <c r="B44" s="565" t="s">
        <v>77</v>
      </c>
      <c r="C44" s="566" t="s">
        <v>2747</v>
      </c>
      <c r="D44" s="566" t="s">
        <v>3204</v>
      </c>
      <c r="E44" s="566" t="s">
        <v>3205</v>
      </c>
      <c r="F44" s="566" t="s">
        <v>3206</v>
      </c>
      <c r="G44" s="265"/>
      <c r="H44" s="265"/>
      <c r="I44" s="273"/>
      <c r="J44" s="265"/>
      <c r="K44" s="273"/>
      <c r="L44" s="273"/>
      <c r="M44" s="273"/>
      <c r="N44" s="273"/>
      <c r="O44" s="273"/>
      <c r="P44" s="273"/>
      <c r="Q44" s="273"/>
      <c r="R44" s="273"/>
      <c r="S44" s="273"/>
      <c r="T44" s="273"/>
      <c r="U44" s="273"/>
      <c r="V44" s="273"/>
      <c r="W44" s="273"/>
      <c r="X44" s="273"/>
      <c r="Y44" s="273"/>
      <c r="Z44" s="273"/>
      <c r="AA44" s="157"/>
      <c r="AB44" s="594"/>
      <c r="AC44" s="157"/>
      <c r="AD44" s="157"/>
      <c r="AE44" s="157"/>
      <c r="AF44" s="157"/>
      <c r="AG44" s="157"/>
      <c r="AH44" s="157"/>
      <c r="AI44" s="157"/>
      <c r="AJ44" s="157"/>
      <c r="AK44" s="157"/>
      <c r="AL44" s="157"/>
      <c r="AM44" s="157"/>
      <c r="AN44" s="594"/>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row>
    <row r="45" outlineLevel="1">
      <c r="A45" s="571"/>
      <c r="B45" s="565"/>
      <c r="C45" s="566"/>
      <c r="D45" s="566"/>
      <c r="E45" s="566"/>
      <c r="F45" s="566"/>
      <c r="G45" s="265"/>
      <c r="H45" s="265"/>
      <c r="I45" s="273"/>
      <c r="J45" s="265"/>
      <c r="K45" s="273"/>
      <c r="L45" s="273"/>
      <c r="M45" s="273"/>
      <c r="N45" s="273"/>
      <c r="O45" s="273"/>
      <c r="P45" s="273"/>
      <c r="Q45" s="273"/>
      <c r="R45" s="273"/>
      <c r="S45" s="273"/>
      <c r="T45" s="273"/>
      <c r="U45" s="273"/>
      <c r="V45" s="273"/>
      <c r="W45" s="273"/>
      <c r="X45" s="273"/>
      <c r="Y45" s="273"/>
      <c r="Z45" s="273"/>
      <c r="AA45" s="157"/>
      <c r="AB45" s="594"/>
      <c r="AC45" s="157"/>
      <c r="AD45" s="157"/>
      <c r="AE45" s="157"/>
      <c r="AF45" s="157"/>
      <c r="AG45" s="157"/>
      <c r="AH45" s="157"/>
      <c r="AI45" s="157"/>
      <c r="AJ45" s="157"/>
      <c r="AK45" s="157"/>
      <c r="AL45" s="157"/>
      <c r="AM45" s="157"/>
      <c r="AN45" s="594"/>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row>
    <row r="46">
      <c r="A46" s="571"/>
      <c r="B46" s="565"/>
      <c r="C46" s="566"/>
      <c r="D46" s="566"/>
      <c r="E46" s="566"/>
      <c r="F46" s="566"/>
      <c r="G46" s="265"/>
      <c r="H46" s="265"/>
      <c r="I46" s="273"/>
      <c r="J46" s="265"/>
      <c r="K46" s="273"/>
      <c r="L46" s="273"/>
      <c r="M46" s="273"/>
      <c r="N46" s="273"/>
      <c r="O46" s="273"/>
      <c r="P46" s="273"/>
      <c r="Q46" s="273"/>
      <c r="R46" s="273"/>
      <c r="S46" s="273"/>
      <c r="T46" s="273"/>
      <c r="U46" s="273"/>
      <c r="V46" s="273"/>
      <c r="W46" s="273"/>
      <c r="X46" s="273"/>
      <c r="Y46" s="273"/>
      <c r="Z46" s="273"/>
      <c r="AA46" s="157"/>
      <c r="AB46" s="594"/>
      <c r="AC46" s="157"/>
      <c r="AD46" s="157"/>
      <c r="AE46" s="157"/>
      <c r="AF46" s="157"/>
      <c r="AG46" s="157"/>
      <c r="AH46" s="157"/>
      <c r="AI46" s="157"/>
      <c r="AJ46" s="157"/>
      <c r="AK46" s="157"/>
      <c r="AL46" s="157"/>
      <c r="AM46" s="157"/>
      <c r="AN46" s="594"/>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row>
    <row r="47">
      <c r="A47" s="571"/>
      <c r="B47" s="565"/>
      <c r="C47" s="566"/>
      <c r="D47" s="566"/>
      <c r="E47" s="566"/>
      <c r="F47" s="566"/>
      <c r="G47" s="265"/>
      <c r="H47" s="273"/>
      <c r="I47" s="273"/>
      <c r="J47" s="273"/>
      <c r="K47" s="273"/>
      <c r="L47" s="273"/>
      <c r="M47" s="273"/>
      <c r="N47" s="273"/>
      <c r="O47" s="273"/>
      <c r="P47" s="273"/>
      <c r="Q47" s="273"/>
      <c r="R47" s="273"/>
      <c r="S47" s="265"/>
      <c r="T47" s="273"/>
      <c r="U47" s="273"/>
      <c r="V47" s="273"/>
      <c r="W47" s="273"/>
      <c r="X47" s="273"/>
      <c r="Y47" s="273"/>
      <c r="Z47" s="273"/>
      <c r="AA47" s="157"/>
      <c r="AB47" s="157"/>
      <c r="AC47" s="157"/>
      <c r="AD47" s="157"/>
      <c r="AE47" s="157"/>
      <c r="AF47" s="157"/>
      <c r="AG47" s="157"/>
      <c r="AH47" s="157"/>
      <c r="AI47" s="157"/>
      <c r="AJ47" s="157"/>
      <c r="AK47" s="157"/>
      <c r="AL47" s="157"/>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row>
    <row r="48">
      <c r="A48" s="325"/>
      <c r="B48" s="372"/>
      <c r="C48" s="351"/>
      <c r="D48" s="587"/>
      <c r="E48" s="345"/>
      <c r="F48" s="345"/>
      <c r="G48" s="480"/>
      <c r="H48" s="44"/>
      <c r="I48" s="331"/>
      <c r="J48" s="331"/>
      <c r="K48" s="465"/>
      <c r="L48" s="465"/>
      <c r="M48" s="465"/>
      <c r="N48" s="465"/>
      <c r="O48" s="465"/>
      <c r="P48" s="465"/>
      <c r="Q48" s="465"/>
      <c r="R48" s="465"/>
      <c r="S48" s="466"/>
      <c r="T48" s="465"/>
      <c r="U48" s="465"/>
      <c r="V48" s="46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c r="BC48" s="145"/>
      <c r="BD48" s="145"/>
      <c r="BE48" s="145"/>
      <c r="BF48" s="145"/>
      <c r="BG48" s="145"/>
      <c r="BH48" s="145"/>
      <c r="BI48" s="145"/>
      <c r="BJ48" s="145"/>
      <c r="BK48" s="145"/>
      <c r="BL48" s="145"/>
      <c r="BM48" s="145"/>
      <c r="BN48" s="145"/>
      <c r="BO48" s="145"/>
      <c r="BP48" s="145"/>
      <c r="BQ48" s="145"/>
      <c r="BR48" s="145"/>
      <c r="BS48" s="145"/>
      <c r="BT48" s="145"/>
      <c r="BU48" s="145"/>
      <c r="BV48" s="145"/>
      <c r="BW48" s="145"/>
      <c r="BX48" s="145"/>
      <c r="BY48" s="145"/>
      <c r="BZ48" s="145"/>
      <c r="CA48" s="145"/>
      <c r="CB48" s="145"/>
      <c r="CC48" s="145"/>
      <c r="CD48" s="145"/>
      <c r="CE48" s="145"/>
      <c r="CF48" s="145"/>
      <c r="CG48" s="145"/>
      <c r="CH48" s="145"/>
      <c r="CI48" s="145"/>
      <c r="CJ48" s="145"/>
      <c r="CK48" s="145"/>
      <c r="CL48" s="145"/>
    </row>
  </sheetData>
  <autoFilter ref="$G$1:$J$48"/>
  <mergeCells count="21">
    <mergeCell ref="C7:C8"/>
    <mergeCell ref="D7:D8"/>
    <mergeCell ref="F7:F8"/>
    <mergeCell ref="G7:J7"/>
    <mergeCell ref="K7:N7"/>
    <mergeCell ref="O7:R7"/>
    <mergeCell ref="S7:V7"/>
    <mergeCell ref="E7:E8"/>
    <mergeCell ref="A9:F9"/>
    <mergeCell ref="A14:F14"/>
    <mergeCell ref="A16:F16"/>
    <mergeCell ref="A20:F20"/>
    <mergeCell ref="A34:F34"/>
    <mergeCell ref="A40:F40"/>
    <mergeCell ref="B2:E2"/>
    <mergeCell ref="A3:B3"/>
    <mergeCell ref="C3:D3"/>
    <mergeCell ref="A4:B4"/>
    <mergeCell ref="C4:D4"/>
    <mergeCell ref="A7:A8"/>
    <mergeCell ref="B7:B8"/>
  </mergeCells>
  <conditionalFormatting sqref="G9:G19 K9:K48 O9:O48 S9:S48 G24:G46 W24:W46 AA24:AA46 AE24:AE46 AI24:AI46 AM24:AM46 AQ24:AQ46 AU24:AU46 AY24:AY46">
    <cfRule type="cellIs" dxfId="0" priority="1" operator="equal">
      <formula>"Block"</formula>
    </cfRule>
  </conditionalFormatting>
  <conditionalFormatting sqref="G9:G19 K9:K48 O9:O48 S9:S48 G24:G46 W24:W46 AA24:AA46 AE24:AE46 AI24:AI46 AM24:AM46 AQ24:AQ46 AU24:AU46 AY24:AY46">
    <cfRule type="cellIs" dxfId="1" priority="2" operator="equal">
      <formula>"Fail"</formula>
    </cfRule>
  </conditionalFormatting>
  <conditionalFormatting sqref="G9:G19 K9:K48 O9:O48 S9:S48 G24:G46 W24:W46 AA24:AA46 AE24:AE46 AI24:AI46 AM24:AM46 AQ24:AQ46 AU24:AU46 AY24:AY46">
    <cfRule type="cellIs" dxfId="2" priority="3" operator="equal">
      <formula>"Pass"</formula>
    </cfRule>
  </conditionalFormatting>
  <conditionalFormatting sqref="G9:G19 K9:K48 O9:O48 S9:S48 G24:G46 W24:W46 AA24:AA46 AE24:AE46 AI24:AI46 AM24:AM46 AQ24:AQ46 AU24:AU46 AY24:AY46">
    <cfRule type="cellIs" dxfId="3" priority="4" operator="equal">
      <formula>"N/A"</formula>
    </cfRule>
  </conditionalFormatting>
  <conditionalFormatting sqref="G9:G48 K9:K48 O9:O48 S9:S48">
    <cfRule type="cellIs" dxfId="4" priority="5" operator="equal">
      <formula>"Block"</formula>
    </cfRule>
  </conditionalFormatting>
  <conditionalFormatting sqref="G9:G48 K9:K48 O9:O48 S9:S48">
    <cfRule type="cellIs" dxfId="5" priority="6" operator="equal">
      <formula>"Fail"</formula>
    </cfRule>
  </conditionalFormatting>
  <conditionalFormatting sqref="G9:G48 K9:K48 O9:O48 S9:S48">
    <cfRule type="cellIs" dxfId="6" priority="7" operator="equal">
      <formula>"Pass"</formula>
    </cfRule>
  </conditionalFormatting>
  <conditionalFormatting sqref="G9:G48 K9:K48 O9:O48 S9:S48">
    <cfRule type="cellIs" dxfId="7" priority="8" operator="equal">
      <formula>"N/A"</formula>
    </cfRule>
  </conditionalFormatting>
  <conditionalFormatting sqref="G38:G46">
    <cfRule type="cellIs" dxfId="4" priority="9" operator="equal">
      <formula>"Block"</formula>
    </cfRule>
  </conditionalFormatting>
  <conditionalFormatting sqref="G38:G46">
    <cfRule type="cellIs" dxfId="5" priority="10" operator="equal">
      <formula>"Fail"</formula>
    </cfRule>
  </conditionalFormatting>
  <conditionalFormatting sqref="G38:G46">
    <cfRule type="cellIs" dxfId="6" priority="11" operator="equal">
      <formula>"Pass"</formula>
    </cfRule>
  </conditionalFormatting>
  <conditionalFormatting sqref="G38:G46">
    <cfRule type="cellIs" dxfId="7" priority="12" operator="equal">
      <formula>"N/A"</formula>
    </cfRule>
  </conditionalFormatting>
  <conditionalFormatting sqref="G9:G48 K9:K48 O9:O48 S9:S48">
    <cfRule type="cellIs" dxfId="0" priority="13" operator="equal">
      <formula>"Block"</formula>
    </cfRule>
  </conditionalFormatting>
  <conditionalFormatting sqref="G9:G48 K9:K48 O9:O48 S9:S48">
    <cfRule type="cellIs" dxfId="1" priority="14" operator="equal">
      <formula>"Fail"</formula>
    </cfRule>
  </conditionalFormatting>
  <conditionalFormatting sqref="G9:G48 K9:K48 O9:O48 S9:S48">
    <cfRule type="cellIs" dxfId="2" priority="15" operator="equal">
      <formula>"Pass"</formula>
    </cfRule>
  </conditionalFormatting>
  <conditionalFormatting sqref="G9:G48 K9:K48 O9:O48 S9:S48">
    <cfRule type="cellIs" dxfId="3" priority="16" operator="equal">
      <formula>"N/A"</formula>
    </cfRule>
  </conditionalFormatting>
  <dataValidations>
    <dataValidation type="list" allowBlank="1" showErrorMessage="1" sqref="W24:W26 AA24:AA26 AE24:AE26 AI24:AI26 AM24:AM26 AQ24:AQ26 AU24:AU26 AY24:AY26 W28:W33 AA28:AA33 AE28:AE33 AI28:AI33 AM28:AM33 AQ28:AQ33 AU28:AU33 AY28:AY33 W36 AA36 AE36 AI36 AM36 W39:W46 AA39:AA46 AE39:AE46 AI39:AI46 AM39:AM46 AQ39:AQ46 AU39:AU46 AY39:AY46 G9:G48 K9:K48 O9:O48 S9:S48">
      <formula1>"Pass,Fail,Block,N/A"</formula1>
    </dataValidation>
    <dataValidation type="list" allowBlank="1" showErrorMessage="1" sqref="B10:B13 B17:B18 B22 B24:B26 B28:B33 B35 B39 B41:B42 B44:B48">
      <formula1>"High,Medium,Low"</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2" width="11.38"/>
    <col customWidth="1" min="3" max="3" width="10.88"/>
    <col customWidth="1" min="4" max="4" width="35.5"/>
    <col customWidth="1" min="5" max="5" width="17.63"/>
    <col customWidth="1" min="6" max="6" width="40.38"/>
    <col customWidth="1" min="7" max="7" width="53.38"/>
    <col customWidth="1" min="8" max="8" width="8.38"/>
    <col customWidth="1" min="9" max="9" width="12.25"/>
    <col customWidth="1" min="10" max="10" width="13.5"/>
    <col customWidth="1" min="11" max="11" width="14.88"/>
    <col customWidth="1" min="12" max="91" width="8.38"/>
  </cols>
  <sheetData>
    <row r="1" outlineLevel="1">
      <c r="A1" s="595"/>
      <c r="B1" s="233"/>
      <c r="C1" s="234"/>
      <c r="D1" s="304"/>
      <c r="E1" s="235"/>
      <c r="F1" s="236"/>
      <c r="G1" s="237"/>
      <c r="H1" s="238"/>
      <c r="I1" s="239"/>
      <c r="J1" s="240"/>
      <c r="K1" s="241"/>
      <c r="L1" s="238"/>
      <c r="M1" s="239"/>
      <c r="N1" s="239"/>
      <c r="O1" s="456"/>
      <c r="P1" s="238"/>
      <c r="Q1" s="239"/>
      <c r="R1" s="239"/>
      <c r="S1" s="456"/>
      <c r="T1" s="238"/>
      <c r="U1" s="239"/>
      <c r="V1" s="239"/>
      <c r="W1" s="456"/>
      <c r="X1" s="456"/>
      <c r="Y1" s="456"/>
      <c r="Z1" s="456"/>
      <c r="AA1" s="456"/>
      <c r="AB1" s="456"/>
      <c r="AC1" s="456"/>
      <c r="AD1" s="456"/>
      <c r="AE1" s="456"/>
      <c r="AF1" s="456"/>
      <c r="AG1" s="456"/>
      <c r="AH1" s="456"/>
      <c r="AI1" s="456"/>
      <c r="AJ1" s="456"/>
      <c r="AK1" s="456"/>
      <c r="AL1" s="456"/>
      <c r="AM1" s="456"/>
      <c r="AN1" s="456"/>
      <c r="AO1" s="456"/>
      <c r="AP1" s="456"/>
      <c r="AQ1" s="456"/>
      <c r="AR1" s="456"/>
      <c r="AS1" s="456"/>
      <c r="AT1" s="456"/>
      <c r="AU1" s="456"/>
      <c r="AV1" s="456"/>
      <c r="AW1" s="456"/>
      <c r="AX1" s="456"/>
      <c r="AY1" s="456"/>
      <c r="AZ1" s="456"/>
      <c r="BA1" s="456"/>
      <c r="BB1" s="456"/>
      <c r="BC1" s="456"/>
      <c r="BD1" s="456"/>
      <c r="BE1" s="456"/>
      <c r="BF1" s="456"/>
      <c r="BG1" s="456"/>
      <c r="BH1" s="456"/>
      <c r="BI1" s="456"/>
      <c r="BJ1" s="456"/>
      <c r="BK1" s="456"/>
      <c r="BL1" s="456"/>
      <c r="BM1" s="456"/>
      <c r="BN1" s="456"/>
      <c r="BO1" s="456"/>
      <c r="BP1" s="456"/>
      <c r="BQ1" s="456"/>
      <c r="BR1" s="456"/>
      <c r="BS1" s="456"/>
      <c r="BT1" s="456"/>
      <c r="BU1" s="456"/>
      <c r="BV1" s="456"/>
      <c r="BW1" s="456"/>
      <c r="BX1" s="456"/>
      <c r="BY1" s="456"/>
      <c r="BZ1" s="456"/>
      <c r="CA1" s="456"/>
      <c r="CB1" s="456"/>
      <c r="CC1" s="456"/>
      <c r="CD1" s="456"/>
      <c r="CE1" s="456"/>
      <c r="CF1" s="456"/>
      <c r="CG1" s="456"/>
      <c r="CH1" s="456"/>
      <c r="CI1" s="456"/>
      <c r="CJ1" s="456"/>
      <c r="CK1" s="456"/>
      <c r="CL1" s="456"/>
      <c r="CM1" s="456"/>
    </row>
    <row r="2" outlineLevel="1">
      <c r="A2" s="595"/>
      <c r="B2" s="242"/>
      <c r="C2" s="243"/>
      <c r="D2" s="182"/>
      <c r="E2" s="182"/>
      <c r="F2" s="182"/>
      <c r="G2" s="244"/>
      <c r="H2" s="238"/>
      <c r="I2" s="239"/>
      <c r="J2" s="240"/>
      <c r="K2" s="241"/>
      <c r="L2" s="238"/>
      <c r="M2" s="239"/>
      <c r="N2" s="239"/>
      <c r="O2" s="456"/>
      <c r="P2" s="238"/>
      <c r="Q2" s="239"/>
      <c r="R2" s="239"/>
      <c r="S2" s="456"/>
      <c r="T2" s="238"/>
      <c r="U2" s="239"/>
      <c r="V2" s="239"/>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c r="CG2" s="456"/>
      <c r="CH2" s="456"/>
      <c r="CI2" s="456"/>
      <c r="CJ2" s="456"/>
      <c r="CK2" s="456"/>
      <c r="CL2" s="456"/>
      <c r="CM2" s="456"/>
    </row>
    <row r="3" outlineLevel="1">
      <c r="A3" s="245"/>
      <c r="B3" s="246" t="s">
        <v>122</v>
      </c>
      <c r="C3" s="122"/>
      <c r="D3" s="250" t="s">
        <v>3066</v>
      </c>
      <c r="E3" s="122"/>
      <c r="F3" s="248"/>
      <c r="G3" s="249"/>
      <c r="H3" s="238"/>
      <c r="I3" s="239"/>
      <c r="J3" s="240"/>
      <c r="K3" s="248"/>
      <c r="L3" s="238"/>
      <c r="M3" s="239"/>
      <c r="N3" s="239"/>
      <c r="O3" s="458"/>
      <c r="P3" s="238"/>
      <c r="Q3" s="239"/>
      <c r="R3" s="239"/>
      <c r="S3" s="458"/>
      <c r="T3" s="238"/>
      <c r="U3" s="239"/>
      <c r="V3" s="239"/>
      <c r="W3" s="458"/>
      <c r="X3" s="458"/>
      <c r="Y3" s="458"/>
      <c r="Z3" s="458"/>
      <c r="AA3" s="458"/>
      <c r="AB3" s="458"/>
      <c r="AC3" s="458"/>
      <c r="AD3" s="458"/>
      <c r="AE3" s="458"/>
      <c r="AF3" s="458"/>
      <c r="AG3" s="458"/>
      <c r="AH3" s="458"/>
      <c r="AI3" s="458"/>
      <c r="AJ3" s="458"/>
      <c r="AK3" s="458"/>
      <c r="AL3" s="458"/>
      <c r="AM3" s="458"/>
      <c r="AN3" s="458"/>
      <c r="AO3" s="458"/>
      <c r="AP3" s="458"/>
      <c r="AQ3" s="458"/>
      <c r="AR3" s="458"/>
      <c r="AS3" s="458"/>
      <c r="AT3" s="458"/>
      <c r="AU3" s="458"/>
      <c r="AV3" s="458"/>
      <c r="AW3" s="458"/>
      <c r="AX3" s="458"/>
      <c r="AY3" s="458"/>
      <c r="AZ3" s="458"/>
      <c r="BA3" s="458"/>
      <c r="BB3" s="458"/>
      <c r="BC3" s="458"/>
      <c r="BD3" s="458"/>
      <c r="BE3" s="458"/>
      <c r="BF3" s="458"/>
      <c r="BG3" s="458"/>
      <c r="BH3" s="458"/>
      <c r="BI3" s="458"/>
      <c r="BJ3" s="458"/>
      <c r="BK3" s="458"/>
      <c r="BL3" s="458"/>
      <c r="BM3" s="458"/>
      <c r="BN3" s="458"/>
      <c r="BO3" s="458"/>
      <c r="BP3" s="458"/>
      <c r="BQ3" s="458"/>
      <c r="BR3" s="458"/>
      <c r="BS3" s="458"/>
      <c r="BT3" s="458"/>
      <c r="BU3" s="458"/>
      <c r="BV3" s="458"/>
      <c r="BW3" s="458"/>
      <c r="BX3" s="458"/>
      <c r="BY3" s="458"/>
      <c r="BZ3" s="458"/>
      <c r="CA3" s="458"/>
      <c r="CB3" s="458"/>
      <c r="CC3" s="458"/>
      <c r="CD3" s="458"/>
      <c r="CE3" s="458"/>
      <c r="CF3" s="458"/>
      <c r="CG3" s="458"/>
      <c r="CH3" s="458"/>
      <c r="CI3" s="458"/>
      <c r="CJ3" s="458"/>
      <c r="CK3" s="458"/>
      <c r="CL3" s="458"/>
      <c r="CM3" s="458"/>
    </row>
    <row r="4" outlineLevel="1">
      <c r="A4" s="245"/>
      <c r="B4" s="246" t="s">
        <v>123</v>
      </c>
      <c r="C4" s="122"/>
      <c r="D4" s="250" t="s">
        <v>3067</v>
      </c>
      <c r="E4" s="122"/>
      <c r="F4" s="248"/>
      <c r="G4" s="249"/>
      <c r="H4" s="238"/>
      <c r="I4" s="239"/>
      <c r="J4" s="240"/>
      <c r="K4" s="248"/>
      <c r="L4" s="238"/>
      <c r="M4" s="239"/>
      <c r="N4" s="239"/>
      <c r="O4" s="458"/>
      <c r="P4" s="238"/>
      <c r="Q4" s="239"/>
      <c r="R4" s="239"/>
      <c r="S4" s="458"/>
      <c r="T4" s="238"/>
      <c r="U4" s="239"/>
      <c r="V4" s="239"/>
      <c r="W4" s="458"/>
      <c r="X4" s="458"/>
      <c r="Y4" s="458"/>
      <c r="Z4" s="458"/>
      <c r="AA4" s="458"/>
      <c r="AB4" s="458"/>
      <c r="AC4" s="458"/>
      <c r="AD4" s="458"/>
      <c r="AE4" s="458"/>
      <c r="AF4" s="458"/>
      <c r="AG4" s="458"/>
      <c r="AH4" s="458"/>
      <c r="AI4" s="458"/>
      <c r="AJ4" s="458"/>
      <c r="AK4" s="458"/>
      <c r="AL4" s="458"/>
      <c r="AM4" s="458"/>
      <c r="AN4" s="458"/>
      <c r="AO4" s="458"/>
      <c r="AP4" s="458"/>
      <c r="AQ4" s="458"/>
      <c r="AR4" s="458"/>
      <c r="AS4" s="458"/>
      <c r="AT4" s="458"/>
      <c r="AU4" s="458"/>
      <c r="AV4" s="458"/>
      <c r="AW4" s="458"/>
      <c r="AX4" s="458"/>
      <c r="AY4" s="458"/>
      <c r="AZ4" s="458"/>
      <c r="BA4" s="458"/>
      <c r="BB4" s="458"/>
      <c r="BC4" s="458"/>
      <c r="BD4" s="458"/>
      <c r="BE4" s="458"/>
      <c r="BF4" s="458"/>
      <c r="BG4" s="458"/>
      <c r="BH4" s="458"/>
      <c r="BI4" s="458"/>
      <c r="BJ4" s="458"/>
      <c r="BK4" s="458"/>
      <c r="BL4" s="458"/>
      <c r="BM4" s="458"/>
      <c r="BN4" s="458"/>
      <c r="BO4" s="458"/>
      <c r="BP4" s="458"/>
      <c r="BQ4" s="458"/>
      <c r="BR4" s="458"/>
      <c r="BS4" s="458"/>
      <c r="BT4" s="458"/>
      <c r="BU4" s="458"/>
      <c r="BV4" s="458"/>
      <c r="BW4" s="458"/>
      <c r="BX4" s="458"/>
      <c r="BY4" s="458"/>
      <c r="BZ4" s="458"/>
      <c r="CA4" s="458"/>
      <c r="CB4" s="458"/>
      <c r="CC4" s="458"/>
      <c r="CD4" s="458"/>
      <c r="CE4" s="458"/>
      <c r="CF4" s="458"/>
      <c r="CG4" s="458"/>
      <c r="CH4" s="458"/>
      <c r="CI4" s="458"/>
      <c r="CJ4" s="458"/>
      <c r="CK4" s="458"/>
      <c r="CL4" s="458"/>
      <c r="CM4" s="458"/>
    </row>
    <row r="5" outlineLevel="1">
      <c r="A5" s="595"/>
      <c r="B5" s="251"/>
      <c r="C5" s="251"/>
      <c r="D5" s="251"/>
      <c r="E5" s="251"/>
      <c r="F5" s="252"/>
      <c r="G5" s="253"/>
      <c r="H5" s="238"/>
      <c r="I5" s="239"/>
      <c r="J5" s="240"/>
      <c r="K5" s="241"/>
      <c r="L5" s="238"/>
      <c r="M5" s="239"/>
      <c r="N5" s="239"/>
      <c r="O5" s="456"/>
      <c r="P5" s="238"/>
      <c r="Q5" s="239"/>
      <c r="R5" s="239"/>
      <c r="S5" s="456"/>
      <c r="T5" s="238"/>
      <c r="U5" s="239"/>
      <c r="V5" s="239"/>
      <c r="W5" s="456"/>
      <c r="X5" s="456"/>
      <c r="Y5" s="456"/>
      <c r="Z5" s="456"/>
      <c r="AA5" s="456"/>
      <c r="AB5" s="456"/>
      <c r="AC5" s="456"/>
      <c r="AD5" s="456"/>
      <c r="AE5" s="456"/>
      <c r="AF5" s="456"/>
      <c r="AG5" s="456"/>
      <c r="AH5" s="456"/>
      <c r="AI5" s="456"/>
      <c r="AJ5" s="456"/>
      <c r="AK5" s="456"/>
      <c r="AL5" s="456"/>
      <c r="AM5" s="456"/>
      <c r="AN5" s="456"/>
      <c r="AO5" s="456"/>
      <c r="AP5" s="456"/>
      <c r="AQ5" s="456"/>
      <c r="AR5" s="456"/>
      <c r="AS5" s="456"/>
      <c r="AT5" s="456"/>
      <c r="AU5" s="456"/>
      <c r="AV5" s="456"/>
      <c r="AW5" s="456"/>
      <c r="AX5" s="456"/>
      <c r="AY5" s="456"/>
      <c r="AZ5" s="456"/>
      <c r="BA5" s="456"/>
      <c r="BB5" s="456"/>
      <c r="BC5" s="456"/>
      <c r="BD5" s="456"/>
      <c r="BE5" s="456"/>
      <c r="BF5" s="456"/>
      <c r="BG5" s="456"/>
      <c r="BH5" s="456"/>
      <c r="BI5" s="456"/>
      <c r="BJ5" s="456"/>
      <c r="BK5" s="456"/>
      <c r="BL5" s="456"/>
      <c r="BM5" s="456"/>
      <c r="BN5" s="456"/>
      <c r="BO5" s="456"/>
      <c r="BP5" s="456"/>
      <c r="BQ5" s="456"/>
      <c r="BR5" s="456"/>
      <c r="BS5" s="456"/>
      <c r="BT5" s="456"/>
      <c r="BU5" s="456"/>
      <c r="BV5" s="456"/>
      <c r="BW5" s="456"/>
      <c r="BX5" s="456"/>
      <c r="BY5" s="456"/>
      <c r="BZ5" s="456"/>
      <c r="CA5" s="456"/>
      <c r="CB5" s="456"/>
      <c r="CC5" s="456"/>
      <c r="CD5" s="456"/>
      <c r="CE5" s="456"/>
      <c r="CF5" s="456"/>
      <c r="CG5" s="456"/>
      <c r="CH5" s="456"/>
      <c r="CI5" s="456"/>
      <c r="CJ5" s="456"/>
      <c r="CK5" s="456"/>
      <c r="CL5" s="456"/>
      <c r="CM5" s="456"/>
    </row>
    <row r="6" outlineLevel="1">
      <c r="A6" s="595"/>
      <c r="B6" s="254"/>
      <c r="C6" s="254"/>
      <c r="D6" s="254"/>
      <c r="E6" s="254"/>
      <c r="F6" s="255"/>
      <c r="G6" s="253"/>
      <c r="H6" s="238"/>
      <c r="I6" s="239"/>
      <c r="J6" s="240"/>
      <c r="K6" s="241"/>
      <c r="L6" s="238"/>
      <c r="M6" s="239"/>
      <c r="N6" s="239"/>
      <c r="O6" s="456"/>
      <c r="P6" s="238"/>
      <c r="Q6" s="239"/>
      <c r="R6" s="239"/>
      <c r="S6" s="456"/>
      <c r="T6" s="238"/>
      <c r="U6" s="239"/>
      <c r="V6" s="239"/>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c r="CM6" s="456"/>
    </row>
    <row r="7">
      <c r="A7" s="256" t="s">
        <v>125</v>
      </c>
      <c r="B7" s="146" t="s">
        <v>126</v>
      </c>
      <c r="C7" s="146" t="s">
        <v>127</v>
      </c>
      <c r="D7" s="146" t="s">
        <v>128</v>
      </c>
      <c r="E7" s="146" t="s">
        <v>129</v>
      </c>
      <c r="F7" s="146" t="s">
        <v>130</v>
      </c>
      <c r="G7" s="311" t="s">
        <v>131</v>
      </c>
      <c r="H7" s="312" t="str">
        <f>Summary!G8</f>
        <v>Round 1 (09/04/2026 - 15/04/2026)</v>
      </c>
      <c r="I7" s="313"/>
      <c r="J7" s="313"/>
      <c r="K7" s="314"/>
      <c r="L7" s="312" t="str">
        <f>Summary!L8</f>
        <v>Round 2 (dd/mm/yyyy - dd/mm/yyyy)</v>
      </c>
      <c r="M7" s="313"/>
      <c r="N7" s="313"/>
      <c r="O7" s="314"/>
      <c r="P7" s="315" t="str">
        <f>Summary!Q8</f>
        <v>Round 3(dd/mm/yyyy - dd/mm/yyyy)</v>
      </c>
      <c r="Q7" s="148"/>
      <c r="R7" s="148"/>
      <c r="S7" s="171"/>
      <c r="T7" s="315" t="str">
        <f>Summary!V8</f>
        <v>Round 4 (dd/mm/yyyy - dd/mm/yyyy)</v>
      </c>
      <c r="U7" s="148"/>
      <c r="V7" s="148"/>
      <c r="W7" s="171"/>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c r="BM7" s="316"/>
      <c r="BN7" s="316"/>
      <c r="BO7" s="316"/>
      <c r="BP7" s="316"/>
      <c r="BQ7" s="316"/>
      <c r="BR7" s="316"/>
      <c r="BS7" s="316"/>
      <c r="BT7" s="316"/>
      <c r="BU7" s="316"/>
      <c r="BV7" s="316"/>
      <c r="BW7" s="316"/>
      <c r="BX7" s="316"/>
      <c r="BY7" s="316"/>
      <c r="BZ7" s="316"/>
      <c r="CA7" s="316"/>
      <c r="CB7" s="316"/>
      <c r="CC7" s="316"/>
      <c r="CD7" s="316"/>
      <c r="CE7" s="316"/>
      <c r="CF7" s="316"/>
      <c r="CG7" s="316"/>
      <c r="CH7" s="316"/>
      <c r="CI7" s="316"/>
      <c r="CJ7" s="316"/>
      <c r="CK7" s="316"/>
      <c r="CL7" s="316"/>
      <c r="CM7" s="316"/>
    </row>
    <row r="8">
      <c r="A8" s="56"/>
      <c r="B8" s="56"/>
      <c r="C8" s="56"/>
      <c r="D8" s="56"/>
      <c r="E8" s="56"/>
      <c r="F8" s="56"/>
      <c r="G8" s="56"/>
      <c r="H8" s="317" t="s">
        <v>132</v>
      </c>
      <c r="I8" s="317" t="s">
        <v>133</v>
      </c>
      <c r="J8" s="317" t="s">
        <v>134</v>
      </c>
      <c r="K8" s="317" t="s">
        <v>135</v>
      </c>
      <c r="L8" s="317" t="s">
        <v>132</v>
      </c>
      <c r="M8" s="317" t="s">
        <v>133</v>
      </c>
      <c r="N8" s="317" t="s">
        <v>134</v>
      </c>
      <c r="O8" s="317" t="s">
        <v>135</v>
      </c>
      <c r="P8" s="317" t="s">
        <v>132</v>
      </c>
      <c r="Q8" s="317" t="s">
        <v>133</v>
      </c>
      <c r="R8" s="317" t="s">
        <v>134</v>
      </c>
      <c r="S8" s="317" t="s">
        <v>135</v>
      </c>
      <c r="T8" s="317" t="s">
        <v>132</v>
      </c>
      <c r="U8" s="317" t="s">
        <v>133</v>
      </c>
      <c r="V8" s="317" t="s">
        <v>134</v>
      </c>
      <c r="W8" s="317" t="s">
        <v>135</v>
      </c>
      <c r="X8" s="316"/>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6"/>
      <c r="BK8" s="316"/>
      <c r="BL8" s="316"/>
      <c r="BM8" s="316"/>
      <c r="BN8" s="316"/>
      <c r="BO8" s="316"/>
      <c r="BP8" s="316"/>
      <c r="BQ8" s="316"/>
      <c r="BR8" s="316"/>
      <c r="BS8" s="316"/>
      <c r="BT8" s="316"/>
      <c r="BU8" s="316"/>
      <c r="BV8" s="316"/>
      <c r="BW8" s="316"/>
      <c r="BX8" s="316"/>
      <c r="BY8" s="316"/>
      <c r="BZ8" s="316"/>
      <c r="CA8" s="316"/>
      <c r="CB8" s="316"/>
      <c r="CC8" s="316"/>
      <c r="CD8" s="316"/>
      <c r="CE8" s="316"/>
      <c r="CF8" s="316"/>
      <c r="CG8" s="316"/>
      <c r="CH8" s="316"/>
      <c r="CI8" s="316"/>
      <c r="CJ8" s="316"/>
      <c r="CK8" s="316"/>
      <c r="CL8" s="316"/>
      <c r="CM8" s="316"/>
    </row>
    <row r="9">
      <c r="A9" s="594"/>
      <c r="B9" s="570" t="s">
        <v>3068</v>
      </c>
      <c r="C9" s="148"/>
      <c r="D9" s="148"/>
      <c r="E9" s="148"/>
      <c r="F9" s="148"/>
      <c r="G9" s="171"/>
      <c r="H9" s="265"/>
      <c r="I9" s="273"/>
      <c r="J9" s="273"/>
      <c r="K9" s="273"/>
      <c r="L9" s="273"/>
      <c r="M9" s="273"/>
      <c r="N9" s="273"/>
      <c r="O9" s="273"/>
      <c r="P9" s="273"/>
      <c r="Q9" s="273"/>
      <c r="R9" s="273"/>
      <c r="S9" s="273"/>
      <c r="T9" s="265"/>
      <c r="U9" s="273"/>
      <c r="V9" s="273"/>
      <c r="W9" s="273"/>
      <c r="X9" s="273"/>
      <c r="Y9" s="273"/>
      <c r="Z9" s="273"/>
      <c r="AA9" s="273"/>
      <c r="AB9" s="249"/>
      <c r="AC9" s="249"/>
      <c r="AD9" s="249"/>
      <c r="AE9" s="249"/>
      <c r="AF9" s="249"/>
      <c r="AG9" s="249"/>
      <c r="AH9" s="249"/>
      <c r="AI9" s="249"/>
      <c r="AJ9" s="249"/>
      <c r="AK9" s="249"/>
      <c r="AL9" s="249"/>
      <c r="AM9" s="249"/>
      <c r="AN9" s="249"/>
      <c r="AO9" s="249"/>
      <c r="AP9" s="249"/>
      <c r="AQ9" s="249"/>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c r="CM9" s="355"/>
    </row>
    <row r="10" outlineLevel="1">
      <c r="A10" s="569" t="s">
        <v>525</v>
      </c>
      <c r="B10" s="325" t="str">
        <f>IF(F10="","",$D$3&amp;"."&amp;COUNTA($F10:F$10)&amp;"")</f>
        <v>TC_07.1</v>
      </c>
      <c r="C10" s="565" t="s">
        <v>75</v>
      </c>
      <c r="D10" s="566" t="s">
        <v>3070</v>
      </c>
      <c r="E10" s="566" t="s">
        <v>3071</v>
      </c>
      <c r="F10" s="566" t="s">
        <v>3072</v>
      </c>
      <c r="G10" s="561" t="s">
        <v>3207</v>
      </c>
      <c r="H10" s="265"/>
      <c r="I10" s="273"/>
      <c r="J10" s="273"/>
      <c r="K10" s="273"/>
      <c r="L10" s="273"/>
      <c r="M10" s="273"/>
      <c r="N10" s="273"/>
      <c r="O10" s="273"/>
      <c r="P10" s="273"/>
      <c r="Q10" s="273"/>
      <c r="R10" s="273"/>
      <c r="S10" s="273"/>
      <c r="T10" s="265"/>
      <c r="U10" s="273"/>
      <c r="V10" s="273"/>
      <c r="W10" s="273"/>
      <c r="X10" s="273"/>
      <c r="Y10" s="273"/>
      <c r="Z10" s="273"/>
      <c r="AA10" s="273"/>
      <c r="AB10" s="249"/>
      <c r="AC10" s="249"/>
      <c r="AD10" s="249"/>
      <c r="AE10" s="249"/>
      <c r="AF10" s="249"/>
      <c r="AG10" s="249"/>
      <c r="AH10" s="249"/>
      <c r="AI10" s="249"/>
      <c r="AJ10" s="249"/>
      <c r="AK10" s="249"/>
      <c r="AL10" s="249"/>
      <c r="AM10" s="249"/>
      <c r="AN10" s="249"/>
      <c r="AO10" s="249"/>
      <c r="AP10" s="249"/>
      <c r="AQ10" s="249"/>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c r="CM10" s="355"/>
    </row>
    <row r="11" outlineLevel="1">
      <c r="A11" s="569" t="s">
        <v>525</v>
      </c>
      <c r="B11" s="325" t="str">
        <f t="shared" ref="B11:B13" si="1">IF(F11="","",$D$3&amp;"."&amp;COUNTA($F$10:F11)&amp;"")</f>
        <v>TC_07.2</v>
      </c>
      <c r="C11" s="565" t="s">
        <v>73</v>
      </c>
      <c r="D11" s="566" t="s">
        <v>3075</v>
      </c>
      <c r="E11" s="566" t="s">
        <v>3076</v>
      </c>
      <c r="F11" s="566" t="s">
        <v>3077</v>
      </c>
      <c r="G11" s="566" t="s">
        <v>2152</v>
      </c>
      <c r="H11" s="265"/>
      <c r="I11" s="273"/>
      <c r="J11" s="273"/>
      <c r="K11" s="273"/>
      <c r="L11" s="273"/>
      <c r="M11" s="273"/>
      <c r="N11" s="273"/>
      <c r="O11" s="273"/>
      <c r="P11" s="273"/>
      <c r="Q11" s="273"/>
      <c r="R11" s="273"/>
      <c r="S11" s="273"/>
      <c r="T11" s="265"/>
      <c r="U11" s="273"/>
      <c r="V11" s="273"/>
      <c r="W11" s="273"/>
      <c r="X11" s="273"/>
      <c r="Y11" s="273"/>
      <c r="Z11" s="273"/>
      <c r="AA11" s="273"/>
      <c r="AB11" s="249"/>
      <c r="AC11" s="249"/>
      <c r="AD11" s="249"/>
      <c r="AE11" s="249"/>
      <c r="AF11" s="249"/>
      <c r="AG11" s="249"/>
      <c r="AH11" s="249"/>
      <c r="AI11" s="249"/>
      <c r="AJ11" s="249"/>
      <c r="AK11" s="249"/>
      <c r="AL11" s="249"/>
      <c r="AM11" s="249"/>
      <c r="AN11" s="249"/>
      <c r="AO11" s="249"/>
      <c r="AP11" s="249"/>
      <c r="AQ11" s="249"/>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c r="CM11" s="355"/>
    </row>
    <row r="12" outlineLevel="1">
      <c r="A12" s="569" t="s">
        <v>525</v>
      </c>
      <c r="B12" s="325" t="str">
        <f t="shared" si="1"/>
        <v>TC_07.3</v>
      </c>
      <c r="C12" s="565" t="s">
        <v>75</v>
      </c>
      <c r="D12" s="566" t="s">
        <v>3079</v>
      </c>
      <c r="E12" s="566" t="s">
        <v>2154</v>
      </c>
      <c r="F12" s="566" t="s">
        <v>3080</v>
      </c>
      <c r="G12" s="566" t="s">
        <v>3081</v>
      </c>
      <c r="H12" s="265"/>
      <c r="I12" s="273"/>
      <c r="J12" s="273"/>
      <c r="K12" s="273"/>
      <c r="L12" s="273"/>
      <c r="M12" s="273"/>
      <c r="N12" s="273"/>
      <c r="O12" s="273"/>
      <c r="P12" s="273"/>
      <c r="Q12" s="273"/>
      <c r="R12" s="273"/>
      <c r="S12" s="273"/>
      <c r="T12" s="265"/>
      <c r="U12" s="273"/>
      <c r="V12" s="273"/>
      <c r="W12" s="273"/>
      <c r="X12" s="273"/>
      <c r="Y12" s="273"/>
      <c r="Z12" s="273"/>
      <c r="AA12" s="273"/>
      <c r="AB12" s="249"/>
      <c r="AC12" s="249"/>
      <c r="AD12" s="249"/>
      <c r="AE12" s="249"/>
      <c r="AF12" s="249"/>
      <c r="AG12" s="249"/>
      <c r="AH12" s="249"/>
      <c r="AI12" s="249"/>
      <c r="AJ12" s="249"/>
      <c r="AK12" s="249"/>
      <c r="AL12" s="249"/>
      <c r="AM12" s="249"/>
      <c r="AN12" s="249"/>
      <c r="AO12" s="249"/>
      <c r="AP12" s="249"/>
      <c r="AQ12" s="249"/>
      <c r="AR12" s="355"/>
      <c r="AS12" s="355"/>
      <c r="AT12" s="355"/>
      <c r="AU12" s="355"/>
      <c r="AV12" s="355"/>
      <c r="AW12" s="355"/>
      <c r="AX12" s="355"/>
      <c r="AY12" s="355"/>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c r="CM12" s="355"/>
    </row>
    <row r="13" outlineLevel="1">
      <c r="A13" s="569" t="s">
        <v>525</v>
      </c>
      <c r="B13" s="325" t="str">
        <f t="shared" si="1"/>
        <v>TC_07.4</v>
      </c>
      <c r="C13" s="565" t="s">
        <v>75</v>
      </c>
      <c r="D13" s="566" t="s">
        <v>2161</v>
      </c>
      <c r="E13" s="566" t="s">
        <v>2162</v>
      </c>
      <c r="F13" s="566" t="s">
        <v>3083</v>
      </c>
      <c r="G13" s="566" t="s">
        <v>2164</v>
      </c>
      <c r="H13" s="265"/>
      <c r="I13" s="273"/>
      <c r="J13" s="273"/>
      <c r="K13" s="273"/>
      <c r="L13" s="273"/>
      <c r="M13" s="273"/>
      <c r="N13" s="273"/>
      <c r="O13" s="273"/>
      <c r="P13" s="273"/>
      <c r="Q13" s="273"/>
      <c r="R13" s="273"/>
      <c r="S13" s="273"/>
      <c r="T13" s="265"/>
      <c r="U13" s="273"/>
      <c r="V13" s="273"/>
      <c r="W13" s="273"/>
      <c r="X13" s="273"/>
      <c r="Y13" s="273"/>
      <c r="Z13" s="273"/>
      <c r="AA13" s="273"/>
      <c r="AB13" s="249"/>
      <c r="AC13" s="249"/>
      <c r="AD13" s="249"/>
      <c r="AE13" s="249"/>
      <c r="AF13" s="249"/>
      <c r="AG13" s="249"/>
      <c r="AH13" s="249"/>
      <c r="AI13" s="249"/>
      <c r="AJ13" s="249"/>
      <c r="AK13" s="249"/>
      <c r="AL13" s="249"/>
      <c r="AM13" s="249"/>
      <c r="AN13" s="249"/>
      <c r="AO13" s="249"/>
      <c r="AP13" s="249"/>
      <c r="AQ13" s="249"/>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c r="CM13" s="355"/>
    </row>
    <row r="14">
      <c r="A14" s="273"/>
      <c r="B14" s="570" t="s">
        <v>3208</v>
      </c>
      <c r="C14" s="148"/>
      <c r="D14" s="148"/>
      <c r="E14" s="148"/>
      <c r="F14" s="148"/>
      <c r="G14" s="171"/>
      <c r="H14" s="265"/>
      <c r="I14" s="273"/>
      <c r="J14" s="273"/>
      <c r="K14" s="273"/>
      <c r="L14" s="273"/>
      <c r="M14" s="273"/>
      <c r="N14" s="273"/>
      <c r="O14" s="273"/>
      <c r="P14" s="273"/>
      <c r="Q14" s="273"/>
      <c r="R14" s="273"/>
      <c r="S14" s="273"/>
      <c r="T14" s="265"/>
      <c r="U14" s="273"/>
      <c r="V14" s="273"/>
      <c r="W14" s="273"/>
      <c r="X14" s="273"/>
      <c r="Y14" s="273"/>
      <c r="Z14" s="273"/>
      <c r="AA14" s="273"/>
      <c r="AB14" s="249"/>
      <c r="AC14" s="249"/>
      <c r="AD14" s="249"/>
      <c r="AE14" s="249"/>
      <c r="AF14" s="249"/>
      <c r="AG14" s="249"/>
      <c r="AH14" s="249"/>
      <c r="AI14" s="249"/>
      <c r="AJ14" s="249"/>
      <c r="AK14" s="249"/>
      <c r="AL14" s="249"/>
      <c r="AM14" s="249"/>
      <c r="AN14" s="249"/>
      <c r="AO14" s="249"/>
      <c r="AP14" s="249"/>
      <c r="AQ14" s="249"/>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c r="CM14" s="355"/>
    </row>
    <row r="15">
      <c r="A15" s="569" t="s">
        <v>381</v>
      </c>
      <c r="B15" s="325" t="str">
        <f t="shared" ref="B15:B17" si="2">IF(F15="","",$D$3&amp;"."&amp;COUNTA($F$10:F15)&amp;"")</f>
        <v>TC_07.5</v>
      </c>
      <c r="C15" s="557" t="s">
        <v>73</v>
      </c>
      <c r="D15" s="558" t="s">
        <v>3209</v>
      </c>
      <c r="E15" s="558" t="s">
        <v>3210</v>
      </c>
      <c r="F15" s="558" t="s">
        <v>3211</v>
      </c>
      <c r="G15" s="558" t="s">
        <v>3212</v>
      </c>
      <c r="H15" s="265"/>
      <c r="I15" s="375"/>
      <c r="J15" s="273"/>
      <c r="K15" s="273"/>
      <c r="L15" s="273"/>
      <c r="M15" s="273"/>
      <c r="N15" s="273"/>
      <c r="O15" s="273"/>
      <c r="P15" s="273"/>
      <c r="Q15" s="273"/>
      <c r="R15" s="273"/>
      <c r="S15" s="273"/>
      <c r="T15" s="265"/>
      <c r="U15" s="273"/>
      <c r="V15" s="273"/>
      <c r="W15" s="273"/>
      <c r="X15" s="273"/>
      <c r="Y15" s="273"/>
      <c r="Z15" s="273"/>
      <c r="AA15" s="273"/>
      <c r="AB15" s="249"/>
      <c r="AC15" s="249"/>
      <c r="AD15" s="249"/>
      <c r="AE15" s="249"/>
      <c r="AF15" s="249"/>
      <c r="AG15" s="249"/>
      <c r="AH15" s="249"/>
      <c r="AI15" s="249"/>
      <c r="AJ15" s="249"/>
      <c r="AK15" s="249"/>
      <c r="AL15" s="249"/>
      <c r="AM15" s="249"/>
      <c r="AN15" s="249"/>
      <c r="AO15" s="249"/>
      <c r="AP15" s="249"/>
      <c r="AQ15" s="249"/>
      <c r="AR15" s="355"/>
      <c r="AS15" s="355"/>
      <c r="AT15" s="355"/>
      <c r="AU15" s="355"/>
      <c r="AV15" s="355"/>
      <c r="AW15" s="355"/>
      <c r="AX15" s="355"/>
      <c r="AY15" s="355"/>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c r="CM15" s="355"/>
    </row>
    <row r="16">
      <c r="A16" s="569" t="s">
        <v>381</v>
      </c>
      <c r="B16" s="325" t="str">
        <f t="shared" si="2"/>
        <v>TC_07.6</v>
      </c>
      <c r="C16" s="557" t="s">
        <v>75</v>
      </c>
      <c r="D16" s="558" t="s">
        <v>3213</v>
      </c>
      <c r="E16" s="558" t="s">
        <v>3210</v>
      </c>
      <c r="F16" s="558" t="s">
        <v>3214</v>
      </c>
      <c r="G16" s="558" t="s">
        <v>2915</v>
      </c>
      <c r="H16" s="265"/>
      <c r="I16" s="375"/>
      <c r="J16" s="273"/>
      <c r="K16" s="273"/>
      <c r="L16" s="273"/>
      <c r="M16" s="273"/>
      <c r="N16" s="273"/>
      <c r="O16" s="273"/>
      <c r="P16" s="273"/>
      <c r="Q16" s="273"/>
      <c r="R16" s="273"/>
      <c r="S16" s="273"/>
      <c r="T16" s="265"/>
      <c r="U16" s="273"/>
      <c r="V16" s="273"/>
      <c r="W16" s="273"/>
      <c r="X16" s="273"/>
      <c r="Y16" s="273"/>
      <c r="Z16" s="273"/>
      <c r="AA16" s="273"/>
      <c r="AB16" s="249"/>
      <c r="AC16" s="249"/>
      <c r="AD16" s="249"/>
      <c r="AE16" s="249"/>
      <c r="AF16" s="249"/>
      <c r="AG16" s="249"/>
      <c r="AH16" s="249"/>
      <c r="AI16" s="249"/>
      <c r="AJ16" s="249"/>
      <c r="AK16" s="249"/>
      <c r="AL16" s="249"/>
      <c r="AM16" s="249"/>
      <c r="AN16" s="249"/>
      <c r="AO16" s="249"/>
      <c r="AP16" s="249"/>
      <c r="AQ16" s="249"/>
      <c r="AR16" s="355"/>
      <c r="AS16" s="355"/>
      <c r="AT16" s="355"/>
      <c r="AU16" s="355"/>
      <c r="AV16" s="355"/>
      <c r="AW16" s="355"/>
      <c r="AX16" s="355"/>
      <c r="AY16" s="355"/>
      <c r="AZ16" s="355"/>
      <c r="BA16" s="355"/>
      <c r="BB16" s="355"/>
      <c r="BC16" s="355"/>
      <c r="BD16" s="355"/>
      <c r="BE16" s="355"/>
      <c r="BF16" s="355"/>
      <c r="BG16" s="355"/>
      <c r="BH16" s="355"/>
      <c r="BI16" s="355"/>
      <c r="BJ16" s="355"/>
      <c r="BK16" s="355"/>
      <c r="BL16" s="355"/>
      <c r="BM16" s="355"/>
      <c r="BN16" s="355"/>
      <c r="BO16" s="355"/>
      <c r="BP16" s="355"/>
      <c r="BQ16" s="355"/>
      <c r="BR16" s="355"/>
      <c r="BS16" s="355"/>
      <c r="BT16" s="355"/>
      <c r="BU16" s="355"/>
      <c r="BV16" s="355"/>
      <c r="BW16" s="355"/>
      <c r="BX16" s="355"/>
      <c r="BY16" s="355"/>
      <c r="BZ16" s="355"/>
      <c r="CA16" s="355"/>
      <c r="CB16" s="355"/>
      <c r="CC16" s="355"/>
      <c r="CD16" s="355"/>
      <c r="CE16" s="355"/>
      <c r="CF16" s="355"/>
      <c r="CG16" s="355"/>
      <c r="CH16" s="355"/>
      <c r="CI16" s="355"/>
      <c r="CJ16" s="355"/>
      <c r="CK16" s="355"/>
      <c r="CL16" s="355"/>
      <c r="CM16" s="355"/>
    </row>
    <row r="17">
      <c r="A17" s="569" t="s">
        <v>381</v>
      </c>
      <c r="B17" s="325" t="str">
        <f t="shared" si="2"/>
        <v>TC_07.7</v>
      </c>
      <c r="C17" s="557" t="s">
        <v>75</v>
      </c>
      <c r="D17" s="558" t="s">
        <v>3215</v>
      </c>
      <c r="E17" s="558" t="s">
        <v>2917</v>
      </c>
      <c r="F17" s="558" t="s">
        <v>3216</v>
      </c>
      <c r="G17" s="558" t="s">
        <v>3217</v>
      </c>
      <c r="H17" s="265"/>
      <c r="I17" s="375"/>
      <c r="J17" s="273"/>
      <c r="K17" s="273"/>
      <c r="L17" s="273"/>
      <c r="M17" s="273"/>
      <c r="N17" s="273"/>
      <c r="O17" s="273"/>
      <c r="P17" s="273"/>
      <c r="Q17" s="273"/>
      <c r="R17" s="273"/>
      <c r="S17" s="273"/>
      <c r="T17" s="265"/>
      <c r="U17" s="273"/>
      <c r="V17" s="273"/>
      <c r="W17" s="273"/>
      <c r="X17" s="273"/>
      <c r="Y17" s="273"/>
      <c r="Z17" s="273"/>
      <c r="AA17" s="273"/>
      <c r="AB17" s="249"/>
      <c r="AC17" s="249"/>
      <c r="AD17" s="249"/>
      <c r="AE17" s="249"/>
      <c r="AF17" s="249"/>
      <c r="AG17" s="249"/>
      <c r="AH17" s="249"/>
      <c r="AI17" s="249"/>
      <c r="AJ17" s="249"/>
      <c r="AK17" s="249"/>
      <c r="AL17" s="249"/>
      <c r="AM17" s="249"/>
      <c r="AN17" s="249"/>
      <c r="AO17" s="249"/>
      <c r="AP17" s="249"/>
      <c r="AQ17" s="249"/>
      <c r="AR17" s="355"/>
      <c r="AS17" s="355"/>
      <c r="AT17" s="355"/>
      <c r="AU17" s="355"/>
      <c r="AV17" s="355"/>
      <c r="AW17" s="355"/>
      <c r="AX17" s="355"/>
      <c r="AY17" s="355"/>
      <c r="AZ17" s="355"/>
      <c r="BA17" s="355"/>
      <c r="BB17" s="355"/>
      <c r="BC17" s="355"/>
      <c r="BD17" s="355"/>
      <c r="BE17" s="355"/>
      <c r="BF17" s="355"/>
      <c r="BG17" s="355"/>
      <c r="BH17" s="355"/>
      <c r="BI17" s="355"/>
      <c r="BJ17" s="355"/>
      <c r="BK17" s="355"/>
      <c r="BL17" s="355"/>
      <c r="BM17" s="355"/>
      <c r="BN17" s="355"/>
      <c r="BO17" s="355"/>
      <c r="BP17" s="355"/>
      <c r="BQ17" s="355"/>
      <c r="BR17" s="355"/>
      <c r="BS17" s="355"/>
      <c r="BT17" s="355"/>
      <c r="BU17" s="355"/>
      <c r="BV17" s="355"/>
      <c r="BW17" s="355"/>
      <c r="BX17" s="355"/>
      <c r="BY17" s="355"/>
      <c r="BZ17" s="355"/>
      <c r="CA17" s="355"/>
      <c r="CB17" s="355"/>
      <c r="CC17" s="355"/>
      <c r="CD17" s="355"/>
      <c r="CE17" s="355"/>
      <c r="CF17" s="355"/>
      <c r="CG17" s="355"/>
      <c r="CH17" s="355"/>
      <c r="CI17" s="355"/>
      <c r="CJ17" s="355"/>
      <c r="CK17" s="355"/>
      <c r="CL17" s="355"/>
      <c r="CM17" s="355"/>
    </row>
    <row r="18">
      <c r="A18" s="273"/>
      <c r="B18" s="570" t="s">
        <v>3084</v>
      </c>
      <c r="C18" s="148"/>
      <c r="D18" s="148"/>
      <c r="E18" s="148"/>
      <c r="F18" s="148"/>
      <c r="G18" s="171"/>
      <c r="H18" s="265"/>
      <c r="I18" s="273"/>
      <c r="J18" s="273"/>
      <c r="K18" s="273"/>
      <c r="L18" s="273"/>
      <c r="M18" s="273"/>
      <c r="N18" s="273"/>
      <c r="O18" s="273"/>
      <c r="P18" s="273"/>
      <c r="Q18" s="273"/>
      <c r="R18" s="273"/>
      <c r="S18" s="273"/>
      <c r="T18" s="265"/>
      <c r="U18" s="273"/>
      <c r="V18" s="273"/>
      <c r="W18" s="273"/>
      <c r="X18" s="273"/>
      <c r="Y18" s="273"/>
      <c r="Z18" s="273"/>
      <c r="AA18" s="273"/>
      <c r="AB18" s="249"/>
      <c r="AC18" s="249"/>
      <c r="AD18" s="249"/>
      <c r="AE18" s="249"/>
      <c r="AF18" s="249"/>
      <c r="AG18" s="249"/>
      <c r="AH18" s="249"/>
      <c r="AI18" s="249"/>
      <c r="AJ18" s="249"/>
      <c r="AK18" s="249"/>
      <c r="AL18" s="249"/>
      <c r="AM18" s="249"/>
      <c r="AN18" s="249"/>
      <c r="AO18" s="249"/>
      <c r="AP18" s="249"/>
      <c r="AQ18" s="249"/>
      <c r="AR18" s="355"/>
      <c r="AS18" s="355"/>
      <c r="AT18" s="355"/>
      <c r="AU18" s="355"/>
      <c r="AV18" s="355"/>
      <c r="AW18" s="355"/>
      <c r="AX18" s="355"/>
      <c r="AY18" s="355"/>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c r="BW18" s="355"/>
      <c r="BX18" s="355"/>
      <c r="BY18" s="355"/>
      <c r="BZ18" s="355"/>
      <c r="CA18" s="355"/>
      <c r="CB18" s="355"/>
      <c r="CC18" s="355"/>
      <c r="CD18" s="355"/>
      <c r="CE18" s="355"/>
      <c r="CF18" s="355"/>
      <c r="CG18" s="355"/>
      <c r="CH18" s="355"/>
      <c r="CI18" s="355"/>
      <c r="CJ18" s="355"/>
      <c r="CK18" s="355"/>
      <c r="CL18" s="355"/>
      <c r="CM18" s="355"/>
    </row>
    <row r="19" outlineLevel="1">
      <c r="A19" s="569" t="s">
        <v>381</v>
      </c>
      <c r="B19" s="325" t="str">
        <f t="shared" ref="B19:B23" si="3">IF(F19="","",$D$3&amp;"."&amp;COUNTA($F$10:F19)&amp;"")</f>
        <v>TC_07.8</v>
      </c>
      <c r="C19" s="557" t="s">
        <v>73</v>
      </c>
      <c r="D19" s="558" t="s">
        <v>3218</v>
      </c>
      <c r="E19" s="558" t="s">
        <v>3219</v>
      </c>
      <c r="F19" s="558" t="s">
        <v>3220</v>
      </c>
      <c r="G19" s="558" t="s">
        <v>3221</v>
      </c>
      <c r="H19" s="265"/>
      <c r="I19" s="375"/>
      <c r="J19" s="273"/>
      <c r="K19" s="273"/>
      <c r="L19" s="273"/>
      <c r="M19" s="273"/>
      <c r="N19" s="273"/>
      <c r="O19" s="273"/>
      <c r="P19" s="273"/>
      <c r="Q19" s="273"/>
      <c r="R19" s="273"/>
      <c r="S19" s="273"/>
      <c r="T19" s="265"/>
      <c r="U19" s="273"/>
      <c r="V19" s="273"/>
      <c r="W19" s="273"/>
      <c r="X19" s="273"/>
      <c r="Y19" s="273"/>
      <c r="Z19" s="273"/>
      <c r="AA19" s="273"/>
      <c r="AB19" s="249"/>
      <c r="AC19" s="249"/>
      <c r="AD19" s="249"/>
      <c r="AE19" s="249"/>
      <c r="AF19" s="249"/>
      <c r="AG19" s="249"/>
      <c r="AH19" s="249"/>
      <c r="AI19" s="249"/>
      <c r="AJ19" s="249"/>
      <c r="AK19" s="249"/>
      <c r="AL19" s="249"/>
      <c r="AM19" s="249"/>
      <c r="AN19" s="249"/>
      <c r="AO19" s="249"/>
      <c r="AP19" s="249"/>
      <c r="AQ19" s="249"/>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55"/>
      <c r="BR19" s="355"/>
      <c r="BS19" s="355"/>
      <c r="BT19" s="355"/>
      <c r="BU19" s="355"/>
      <c r="BV19" s="355"/>
      <c r="BW19" s="355"/>
      <c r="BX19" s="355"/>
      <c r="BY19" s="355"/>
      <c r="BZ19" s="355"/>
      <c r="CA19" s="355"/>
      <c r="CB19" s="355"/>
      <c r="CC19" s="355"/>
      <c r="CD19" s="355"/>
      <c r="CE19" s="355"/>
      <c r="CF19" s="355"/>
      <c r="CG19" s="355"/>
      <c r="CH19" s="355"/>
      <c r="CI19" s="355"/>
      <c r="CJ19" s="355"/>
      <c r="CK19" s="355"/>
      <c r="CL19" s="355"/>
      <c r="CM19" s="355"/>
    </row>
    <row r="20" outlineLevel="1">
      <c r="A20" s="569" t="s">
        <v>381</v>
      </c>
      <c r="B20" s="325" t="str">
        <f t="shared" si="3"/>
        <v>TC_07.9</v>
      </c>
      <c r="C20" s="557" t="s">
        <v>75</v>
      </c>
      <c r="D20" s="558" t="s">
        <v>3222</v>
      </c>
      <c r="E20" s="558" t="s">
        <v>3223</v>
      </c>
      <c r="F20" s="558" t="s">
        <v>3224</v>
      </c>
      <c r="G20" s="558" t="s">
        <v>3225</v>
      </c>
      <c r="H20" s="265"/>
      <c r="I20" s="375"/>
      <c r="J20" s="273"/>
      <c r="K20" s="273"/>
      <c r="L20" s="273"/>
      <c r="M20" s="273"/>
      <c r="N20" s="273"/>
      <c r="O20" s="273"/>
      <c r="P20" s="273"/>
      <c r="Q20" s="273"/>
      <c r="R20" s="273"/>
      <c r="S20" s="273"/>
      <c r="T20" s="265"/>
      <c r="U20" s="273"/>
      <c r="V20" s="273"/>
      <c r="W20" s="273"/>
      <c r="X20" s="273"/>
      <c r="Y20" s="273"/>
      <c r="Z20" s="273"/>
      <c r="AA20" s="273"/>
      <c r="AB20" s="249"/>
      <c r="AC20" s="249"/>
      <c r="AD20" s="249"/>
      <c r="AE20" s="249"/>
      <c r="AF20" s="249"/>
      <c r="AG20" s="249"/>
      <c r="AH20" s="249"/>
      <c r="AI20" s="249"/>
      <c r="AJ20" s="249"/>
      <c r="AK20" s="249"/>
      <c r="AL20" s="249"/>
      <c r="AM20" s="249"/>
      <c r="AN20" s="249"/>
      <c r="AO20" s="249"/>
      <c r="AP20" s="249"/>
      <c r="AQ20" s="249"/>
      <c r="AR20" s="355"/>
      <c r="AS20" s="355"/>
      <c r="AT20" s="355"/>
      <c r="AU20" s="355"/>
      <c r="AV20" s="355"/>
      <c r="AW20" s="355"/>
      <c r="AX20" s="355"/>
      <c r="AY20" s="355"/>
      <c r="AZ20" s="355"/>
      <c r="BA20" s="355"/>
      <c r="BB20" s="355"/>
      <c r="BC20" s="355"/>
      <c r="BD20" s="355"/>
      <c r="BE20" s="355"/>
      <c r="BF20" s="355"/>
      <c r="BG20" s="355"/>
      <c r="BH20" s="355"/>
      <c r="BI20" s="355"/>
      <c r="BJ20" s="355"/>
      <c r="BK20" s="355"/>
      <c r="BL20" s="355"/>
      <c r="BM20" s="355"/>
      <c r="BN20" s="355"/>
      <c r="BO20" s="355"/>
      <c r="BP20" s="355"/>
      <c r="BQ20" s="355"/>
      <c r="BR20" s="355"/>
      <c r="BS20" s="355"/>
      <c r="BT20" s="355"/>
      <c r="BU20" s="355"/>
      <c r="BV20" s="355"/>
      <c r="BW20" s="355"/>
      <c r="BX20" s="355"/>
      <c r="BY20" s="355"/>
      <c r="BZ20" s="355"/>
      <c r="CA20" s="355"/>
      <c r="CB20" s="355"/>
      <c r="CC20" s="355"/>
      <c r="CD20" s="355"/>
      <c r="CE20" s="355"/>
      <c r="CF20" s="355"/>
      <c r="CG20" s="355"/>
      <c r="CH20" s="355"/>
      <c r="CI20" s="355"/>
      <c r="CJ20" s="355"/>
      <c r="CK20" s="355"/>
      <c r="CL20" s="355"/>
      <c r="CM20" s="355"/>
    </row>
    <row r="21" outlineLevel="1">
      <c r="A21" s="569" t="s">
        <v>381</v>
      </c>
      <c r="B21" s="325" t="str">
        <f t="shared" si="3"/>
        <v>TC_07.10</v>
      </c>
      <c r="C21" s="557" t="s">
        <v>75</v>
      </c>
      <c r="D21" s="558" t="s">
        <v>2940</v>
      </c>
      <c r="E21" s="558" t="s">
        <v>2941</v>
      </c>
      <c r="F21" s="558" t="s">
        <v>3226</v>
      </c>
      <c r="G21" s="558" t="s">
        <v>2943</v>
      </c>
      <c r="H21" s="265"/>
      <c r="I21" s="375"/>
      <c r="J21" s="273"/>
      <c r="K21" s="273"/>
      <c r="L21" s="273"/>
      <c r="M21" s="273"/>
      <c r="N21" s="273"/>
      <c r="O21" s="273"/>
      <c r="P21" s="273"/>
      <c r="Q21" s="273"/>
      <c r="R21" s="273"/>
      <c r="S21" s="273"/>
      <c r="T21" s="265"/>
      <c r="U21" s="273"/>
      <c r="V21" s="273"/>
      <c r="W21" s="273"/>
      <c r="X21" s="273"/>
      <c r="Y21" s="273"/>
      <c r="Z21" s="273"/>
      <c r="AA21" s="273"/>
      <c r="AB21" s="249"/>
      <c r="AC21" s="249"/>
      <c r="AD21" s="249"/>
      <c r="AE21" s="249"/>
      <c r="AF21" s="249"/>
      <c r="AG21" s="249"/>
      <c r="AH21" s="249"/>
      <c r="AI21" s="249"/>
      <c r="AJ21" s="249"/>
      <c r="AK21" s="249"/>
      <c r="AL21" s="249"/>
      <c r="AM21" s="249"/>
      <c r="AN21" s="249"/>
      <c r="AO21" s="249"/>
      <c r="AP21" s="249"/>
      <c r="AQ21" s="249"/>
      <c r="AR21" s="355"/>
      <c r="AS21" s="355"/>
      <c r="AT21" s="355"/>
      <c r="AU21" s="355"/>
      <c r="AV21" s="355"/>
      <c r="AW21" s="355"/>
      <c r="AX21" s="355"/>
      <c r="AY21" s="355"/>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c r="BW21" s="355"/>
      <c r="BX21" s="355"/>
      <c r="BY21" s="355"/>
      <c r="BZ21" s="355"/>
      <c r="CA21" s="355"/>
      <c r="CB21" s="355"/>
      <c r="CC21" s="355"/>
      <c r="CD21" s="355"/>
      <c r="CE21" s="355"/>
      <c r="CF21" s="355"/>
      <c r="CG21" s="355"/>
      <c r="CH21" s="355"/>
      <c r="CI21" s="355"/>
      <c r="CJ21" s="355"/>
      <c r="CK21" s="355"/>
      <c r="CL21" s="355"/>
      <c r="CM21" s="355"/>
    </row>
    <row r="22" outlineLevel="1">
      <c r="A22" s="569" t="s">
        <v>381</v>
      </c>
      <c r="B22" s="325" t="str">
        <f t="shared" si="3"/>
        <v>TC_07.11</v>
      </c>
      <c r="C22" s="557" t="s">
        <v>77</v>
      </c>
      <c r="D22" s="558" t="s">
        <v>2944</v>
      </c>
      <c r="E22" s="558" t="s">
        <v>2945</v>
      </c>
      <c r="F22" s="558" t="s">
        <v>3227</v>
      </c>
      <c r="G22" s="561" t="s">
        <v>2947</v>
      </c>
      <c r="H22" s="265"/>
      <c r="I22" s="375"/>
      <c r="J22" s="273"/>
      <c r="K22" s="273"/>
      <c r="L22" s="273"/>
      <c r="M22" s="273"/>
      <c r="N22" s="273"/>
      <c r="O22" s="273"/>
      <c r="P22" s="273"/>
      <c r="Q22" s="273"/>
      <c r="R22" s="273"/>
      <c r="S22" s="273"/>
      <c r="T22" s="265"/>
      <c r="U22" s="273"/>
      <c r="V22" s="273"/>
      <c r="W22" s="273"/>
      <c r="X22" s="273"/>
      <c r="Y22" s="273"/>
      <c r="Z22" s="273"/>
      <c r="AA22" s="273"/>
      <c r="AB22" s="249"/>
      <c r="AC22" s="249"/>
      <c r="AD22" s="249"/>
      <c r="AE22" s="249"/>
      <c r="AF22" s="249"/>
      <c r="AG22" s="249"/>
      <c r="AH22" s="249"/>
      <c r="AI22" s="249"/>
      <c r="AJ22" s="249"/>
      <c r="AK22" s="249"/>
      <c r="AL22" s="249"/>
      <c r="AM22" s="249"/>
      <c r="AN22" s="249"/>
      <c r="AO22" s="249"/>
      <c r="AP22" s="249"/>
      <c r="AQ22" s="249"/>
      <c r="AR22" s="355"/>
      <c r="AS22" s="355"/>
      <c r="AT22" s="355"/>
      <c r="AU22" s="355"/>
      <c r="AV22" s="355"/>
      <c r="AW22" s="355"/>
      <c r="AX22" s="355"/>
      <c r="AY22" s="355"/>
      <c r="AZ22" s="355"/>
      <c r="BA22" s="355"/>
      <c r="BB22" s="355"/>
      <c r="BC22" s="355"/>
      <c r="BD22" s="355"/>
      <c r="BE22" s="355"/>
      <c r="BF22" s="355"/>
      <c r="BG22" s="355"/>
      <c r="BH22" s="355"/>
      <c r="BI22" s="355"/>
      <c r="BJ22" s="355"/>
      <c r="BK22" s="355"/>
      <c r="BL22" s="355"/>
      <c r="BM22" s="355"/>
      <c r="BN22" s="355"/>
      <c r="BO22" s="355"/>
      <c r="BP22" s="355"/>
      <c r="BQ22" s="355"/>
      <c r="BR22" s="355"/>
      <c r="BS22" s="355"/>
      <c r="BT22" s="355"/>
      <c r="BU22" s="355"/>
      <c r="BV22" s="355"/>
      <c r="BW22" s="355"/>
      <c r="BX22" s="355"/>
      <c r="BY22" s="355"/>
      <c r="BZ22" s="355"/>
      <c r="CA22" s="355"/>
      <c r="CB22" s="355"/>
      <c r="CC22" s="355"/>
      <c r="CD22" s="355"/>
      <c r="CE22" s="355"/>
      <c r="CF22" s="355"/>
      <c r="CG22" s="355"/>
      <c r="CH22" s="355"/>
      <c r="CI22" s="355"/>
      <c r="CJ22" s="355"/>
      <c r="CK22" s="355"/>
      <c r="CL22" s="355"/>
      <c r="CM22" s="355"/>
    </row>
    <row r="23" outlineLevel="1">
      <c r="A23" s="569" t="s">
        <v>381</v>
      </c>
      <c r="B23" s="325" t="str">
        <f t="shared" si="3"/>
        <v>TC_07.12</v>
      </c>
      <c r="C23" s="557" t="s">
        <v>77</v>
      </c>
      <c r="D23" s="558" t="s">
        <v>2948</v>
      </c>
      <c r="E23" s="558" t="s">
        <v>3228</v>
      </c>
      <c r="F23" s="558" t="s">
        <v>3229</v>
      </c>
      <c r="G23" s="558" t="s">
        <v>2951</v>
      </c>
      <c r="H23" s="265"/>
      <c r="I23" s="375"/>
      <c r="J23" s="273"/>
      <c r="K23" s="273"/>
      <c r="L23" s="273"/>
      <c r="M23" s="273"/>
      <c r="N23" s="273"/>
      <c r="O23" s="273"/>
      <c r="P23" s="273"/>
      <c r="Q23" s="273"/>
      <c r="R23" s="273"/>
      <c r="S23" s="273"/>
      <c r="T23" s="265"/>
      <c r="U23" s="273"/>
      <c r="V23" s="273"/>
      <c r="W23" s="273"/>
      <c r="X23" s="273"/>
      <c r="Y23" s="273"/>
      <c r="Z23" s="273"/>
      <c r="AA23" s="273"/>
      <c r="AB23" s="249"/>
      <c r="AC23" s="249"/>
      <c r="AD23" s="249"/>
      <c r="AE23" s="249"/>
      <c r="AF23" s="249"/>
      <c r="AG23" s="249"/>
      <c r="AH23" s="249"/>
      <c r="AI23" s="249"/>
      <c r="AJ23" s="249"/>
      <c r="AK23" s="249"/>
      <c r="AL23" s="249"/>
      <c r="AM23" s="249"/>
      <c r="AN23" s="249"/>
      <c r="AO23" s="249"/>
      <c r="AP23" s="249"/>
      <c r="AQ23" s="249"/>
      <c r="AR23" s="355"/>
      <c r="AS23" s="355"/>
      <c r="AT23" s="355"/>
      <c r="AU23" s="355"/>
      <c r="AV23" s="355"/>
      <c r="AW23" s="355"/>
      <c r="AX23" s="355"/>
      <c r="AY23" s="355"/>
      <c r="AZ23" s="355"/>
      <c r="BA23" s="355"/>
      <c r="BB23" s="355"/>
      <c r="BC23" s="355"/>
      <c r="BD23" s="355"/>
      <c r="BE23" s="355"/>
      <c r="BF23" s="355"/>
      <c r="BG23" s="355"/>
      <c r="BH23" s="355"/>
      <c r="BI23" s="355"/>
      <c r="BJ23" s="355"/>
      <c r="BK23" s="355"/>
      <c r="BL23" s="355"/>
      <c r="BM23" s="355"/>
      <c r="BN23" s="355"/>
      <c r="BO23" s="355"/>
      <c r="BP23" s="355"/>
      <c r="BQ23" s="355"/>
      <c r="BR23" s="355"/>
      <c r="BS23" s="355"/>
      <c r="BT23" s="355"/>
      <c r="BU23" s="355"/>
      <c r="BV23" s="355"/>
      <c r="BW23" s="355"/>
      <c r="BX23" s="355"/>
      <c r="BY23" s="355"/>
      <c r="BZ23" s="355"/>
      <c r="CA23" s="355"/>
      <c r="CB23" s="355"/>
      <c r="CC23" s="355"/>
      <c r="CD23" s="355"/>
      <c r="CE23" s="355"/>
      <c r="CF23" s="355"/>
      <c r="CG23" s="355"/>
      <c r="CH23" s="355"/>
      <c r="CI23" s="355"/>
      <c r="CJ23" s="355"/>
      <c r="CK23" s="355"/>
      <c r="CL23" s="355"/>
      <c r="CM23" s="355"/>
    </row>
    <row r="24">
      <c r="A24" s="273"/>
      <c r="B24" s="570" t="s">
        <v>2288</v>
      </c>
      <c r="C24" s="148"/>
      <c r="D24" s="148"/>
      <c r="E24" s="148"/>
      <c r="F24" s="148"/>
      <c r="G24" s="171"/>
      <c r="H24" s="265"/>
      <c r="I24" s="265"/>
      <c r="J24" s="273"/>
      <c r="K24" s="273"/>
      <c r="L24" s="273"/>
      <c r="M24" s="273"/>
      <c r="N24" s="273"/>
      <c r="O24" s="273"/>
      <c r="P24" s="273"/>
      <c r="Q24" s="273"/>
      <c r="R24" s="273"/>
      <c r="S24" s="273"/>
      <c r="T24" s="265"/>
      <c r="U24" s="273"/>
      <c r="V24" s="273"/>
      <c r="W24" s="273"/>
      <c r="X24" s="273"/>
      <c r="Y24" s="273"/>
      <c r="Z24" s="273"/>
      <c r="AA24" s="273"/>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2"/>
      <c r="BX24" s="332"/>
      <c r="BY24" s="332"/>
      <c r="BZ24" s="332"/>
      <c r="CA24" s="332"/>
      <c r="CB24" s="332"/>
      <c r="CC24" s="332"/>
      <c r="CD24" s="332"/>
      <c r="CE24" s="332"/>
      <c r="CF24" s="332"/>
      <c r="CG24" s="332"/>
      <c r="CH24" s="332"/>
      <c r="CI24" s="332"/>
      <c r="CJ24" s="332"/>
      <c r="CK24" s="332"/>
      <c r="CL24" s="332"/>
      <c r="CM24" s="332"/>
    </row>
    <row r="25" outlineLevel="1">
      <c r="A25" s="569" t="s">
        <v>381</v>
      </c>
      <c r="B25" s="325" t="str">
        <f t="shared" ref="B25:B35" si="4">IF(F25="","",$D$3&amp;"."&amp;COUNTA($F$10:F25)&amp;"")</f>
        <v>TC_07.13</v>
      </c>
      <c r="C25" s="557" t="s">
        <v>73</v>
      </c>
      <c r="D25" s="558" t="s">
        <v>3230</v>
      </c>
      <c r="E25" s="558" t="s">
        <v>3231</v>
      </c>
      <c r="F25" s="558" t="s">
        <v>3232</v>
      </c>
      <c r="G25" s="558" t="s">
        <v>3233</v>
      </c>
      <c r="H25" s="265"/>
      <c r="I25" s="375"/>
      <c r="J25" s="273"/>
      <c r="K25" s="273"/>
      <c r="L25" s="273"/>
      <c r="M25" s="273"/>
      <c r="N25" s="273"/>
      <c r="O25" s="273"/>
      <c r="P25" s="273"/>
      <c r="Q25" s="273"/>
      <c r="R25" s="273"/>
      <c r="S25" s="273"/>
      <c r="T25" s="265"/>
      <c r="U25" s="273"/>
      <c r="V25" s="273"/>
      <c r="W25" s="273"/>
      <c r="X25" s="273"/>
      <c r="Y25" s="273"/>
      <c r="Z25" s="273"/>
      <c r="AA25" s="273"/>
      <c r="AB25" s="332"/>
      <c r="AC25" s="332"/>
      <c r="AD25" s="332"/>
      <c r="AE25" s="332"/>
      <c r="AF25" s="332"/>
      <c r="AG25" s="332"/>
      <c r="AH25" s="332"/>
      <c r="AI25" s="332"/>
      <c r="AJ25" s="332"/>
      <c r="AK25" s="332"/>
      <c r="AL25" s="332"/>
      <c r="AM25" s="332"/>
      <c r="AN25" s="332"/>
      <c r="AO25" s="332"/>
      <c r="AP25" s="332"/>
      <c r="AQ25" s="332"/>
      <c r="AR25" s="332"/>
      <c r="AS25" s="332"/>
      <c r="AT25" s="332"/>
      <c r="AU25" s="332"/>
      <c r="AV25" s="332"/>
      <c r="AW25" s="332"/>
      <c r="AX25" s="332"/>
      <c r="AY25" s="332"/>
      <c r="AZ25" s="332"/>
      <c r="BA25" s="332"/>
      <c r="BB25" s="332"/>
      <c r="BC25" s="332"/>
      <c r="BD25" s="332"/>
      <c r="BE25" s="332"/>
      <c r="BF25" s="332"/>
      <c r="BG25" s="332"/>
      <c r="BH25" s="332"/>
      <c r="BI25" s="332"/>
      <c r="BJ25" s="332"/>
      <c r="BK25" s="332"/>
      <c r="BL25" s="332"/>
      <c r="BM25" s="332"/>
      <c r="BN25" s="332"/>
      <c r="BO25" s="332"/>
      <c r="BP25" s="332"/>
      <c r="BQ25" s="332"/>
      <c r="BR25" s="332"/>
      <c r="BS25" s="332"/>
      <c r="BT25" s="332"/>
      <c r="BU25" s="332"/>
      <c r="BV25" s="332"/>
      <c r="BW25" s="332"/>
      <c r="BX25" s="332"/>
      <c r="BY25" s="332"/>
      <c r="BZ25" s="332"/>
      <c r="CA25" s="332"/>
      <c r="CB25" s="332"/>
      <c r="CC25" s="332"/>
      <c r="CD25" s="332"/>
      <c r="CE25" s="332"/>
      <c r="CF25" s="332"/>
      <c r="CG25" s="332"/>
      <c r="CH25" s="332"/>
      <c r="CI25" s="332"/>
      <c r="CJ25" s="332"/>
      <c r="CK25" s="332"/>
      <c r="CL25" s="332"/>
      <c r="CM25" s="332"/>
    </row>
    <row r="26" outlineLevel="1">
      <c r="A26" s="569" t="s">
        <v>381</v>
      </c>
      <c r="B26" s="325" t="str">
        <f t="shared" si="4"/>
        <v>TC_07.14</v>
      </c>
      <c r="C26" s="557" t="s">
        <v>73</v>
      </c>
      <c r="D26" s="558" t="s">
        <v>3234</v>
      </c>
      <c r="E26" s="558" t="s">
        <v>3235</v>
      </c>
      <c r="F26" s="558" t="s">
        <v>3236</v>
      </c>
      <c r="G26" s="558" t="s">
        <v>3237</v>
      </c>
      <c r="H26" s="265"/>
      <c r="I26" s="375"/>
      <c r="J26" s="273"/>
      <c r="K26" s="273"/>
      <c r="L26" s="273"/>
      <c r="M26" s="273"/>
      <c r="N26" s="273"/>
      <c r="O26" s="273"/>
      <c r="P26" s="273"/>
      <c r="Q26" s="273"/>
      <c r="R26" s="273"/>
      <c r="S26" s="273"/>
      <c r="T26" s="265"/>
      <c r="U26" s="273"/>
      <c r="V26" s="273"/>
      <c r="W26" s="273"/>
      <c r="X26" s="273"/>
      <c r="Y26" s="273"/>
      <c r="Z26" s="273"/>
      <c r="AA26" s="273"/>
      <c r="AB26" s="332"/>
      <c r="AC26" s="332"/>
      <c r="AD26" s="332"/>
      <c r="AE26" s="332"/>
      <c r="AF26" s="332"/>
      <c r="AG26" s="332"/>
      <c r="AH26" s="332"/>
      <c r="AI26" s="332"/>
      <c r="AJ26" s="332"/>
      <c r="AK26" s="332"/>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2"/>
      <c r="BL26" s="332"/>
      <c r="BM26" s="332"/>
      <c r="BN26" s="332"/>
      <c r="BO26" s="332"/>
      <c r="BP26" s="332"/>
      <c r="BQ26" s="332"/>
      <c r="BR26" s="332"/>
      <c r="BS26" s="332"/>
      <c r="BT26" s="332"/>
      <c r="BU26" s="332"/>
      <c r="BV26" s="332"/>
      <c r="BW26" s="332"/>
      <c r="BX26" s="332"/>
      <c r="BY26" s="332"/>
      <c r="BZ26" s="332"/>
      <c r="CA26" s="332"/>
      <c r="CB26" s="332"/>
      <c r="CC26" s="332"/>
      <c r="CD26" s="332"/>
      <c r="CE26" s="332"/>
      <c r="CF26" s="332"/>
      <c r="CG26" s="332"/>
      <c r="CH26" s="332"/>
      <c r="CI26" s="332"/>
      <c r="CJ26" s="332"/>
      <c r="CK26" s="332"/>
      <c r="CL26" s="332"/>
      <c r="CM26" s="332"/>
    </row>
    <row r="27" outlineLevel="1">
      <c r="A27" s="569" t="s">
        <v>525</v>
      </c>
      <c r="B27" s="325" t="str">
        <f t="shared" si="4"/>
        <v>TC_07.15</v>
      </c>
      <c r="C27" s="592" t="s">
        <v>75</v>
      </c>
      <c r="D27" s="375" t="s">
        <v>2789</v>
      </c>
      <c r="E27" s="375" t="s">
        <v>2961</v>
      </c>
      <c r="F27" s="375" t="s">
        <v>2962</v>
      </c>
      <c r="G27" s="265" t="s">
        <v>2305</v>
      </c>
      <c r="H27" s="265"/>
      <c r="I27" s="375"/>
      <c r="J27" s="273"/>
      <c r="K27" s="273"/>
      <c r="L27" s="273"/>
      <c r="M27" s="273"/>
      <c r="N27" s="273"/>
      <c r="O27" s="273"/>
      <c r="P27" s="273"/>
      <c r="Q27" s="273"/>
      <c r="R27" s="273"/>
      <c r="S27" s="273"/>
      <c r="T27" s="265"/>
      <c r="U27" s="273"/>
      <c r="V27" s="273"/>
      <c r="W27" s="273"/>
      <c r="X27" s="273"/>
      <c r="Y27" s="273"/>
      <c r="Z27" s="273"/>
      <c r="AA27" s="273"/>
      <c r="AB27" s="332"/>
      <c r="AC27" s="332"/>
      <c r="AD27" s="332"/>
      <c r="AE27" s="332"/>
      <c r="AF27" s="332"/>
      <c r="AG27" s="332"/>
      <c r="AH27" s="332"/>
      <c r="AI27" s="332"/>
      <c r="AJ27" s="332"/>
      <c r="AK27" s="332"/>
      <c r="AL27" s="332"/>
      <c r="AM27" s="332"/>
      <c r="AN27" s="332"/>
      <c r="AO27" s="332"/>
      <c r="AP27" s="332"/>
      <c r="AQ27" s="332"/>
      <c r="AR27" s="332"/>
      <c r="AS27" s="332"/>
      <c r="AT27" s="332"/>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332"/>
      <c r="BU27" s="332"/>
      <c r="BV27" s="332"/>
      <c r="BW27" s="332"/>
      <c r="BX27" s="332"/>
      <c r="BY27" s="332"/>
      <c r="BZ27" s="332"/>
      <c r="CA27" s="332"/>
      <c r="CB27" s="332"/>
      <c r="CC27" s="332"/>
      <c r="CD27" s="332"/>
      <c r="CE27" s="332"/>
      <c r="CF27" s="332"/>
      <c r="CG27" s="332"/>
      <c r="CH27" s="332"/>
      <c r="CI27" s="332"/>
      <c r="CJ27" s="332"/>
      <c r="CK27" s="332"/>
      <c r="CL27" s="332"/>
      <c r="CM27" s="332"/>
    </row>
    <row r="28" outlineLevel="1">
      <c r="A28" s="569" t="s">
        <v>525</v>
      </c>
      <c r="B28" s="325" t="str">
        <f t="shared" si="4"/>
        <v>TC_07.16</v>
      </c>
      <c r="C28" s="592" t="s">
        <v>75</v>
      </c>
      <c r="D28" s="375" t="s">
        <v>2791</v>
      </c>
      <c r="E28" s="375" t="s">
        <v>2961</v>
      </c>
      <c r="F28" s="375" t="s">
        <v>3238</v>
      </c>
      <c r="G28" s="265" t="s">
        <v>2308</v>
      </c>
      <c r="H28" s="265"/>
      <c r="I28" s="375"/>
      <c r="J28" s="273"/>
      <c r="K28" s="273"/>
      <c r="L28" s="273"/>
      <c r="M28" s="273"/>
      <c r="N28" s="273"/>
      <c r="O28" s="273"/>
      <c r="P28" s="273"/>
      <c r="Q28" s="273"/>
      <c r="R28" s="273"/>
      <c r="S28" s="273"/>
      <c r="T28" s="265"/>
      <c r="U28" s="273"/>
      <c r="V28" s="273"/>
      <c r="W28" s="273"/>
      <c r="X28" s="273"/>
      <c r="Y28" s="273"/>
      <c r="Z28" s="273"/>
      <c r="AA28" s="273"/>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c r="BA28" s="332"/>
      <c r="BB28" s="332"/>
      <c r="BC28" s="332"/>
      <c r="BD28" s="332"/>
      <c r="BE28" s="332"/>
      <c r="BF28" s="332"/>
      <c r="BG28" s="332"/>
      <c r="BH28" s="332"/>
      <c r="BI28" s="332"/>
      <c r="BJ28" s="332"/>
      <c r="BK28" s="332"/>
      <c r="BL28" s="332"/>
      <c r="BM28" s="332"/>
      <c r="BN28" s="332"/>
      <c r="BO28" s="332"/>
      <c r="BP28" s="332"/>
      <c r="BQ28" s="332"/>
      <c r="BR28" s="332"/>
      <c r="BS28" s="332"/>
      <c r="BT28" s="332"/>
      <c r="BU28" s="332"/>
      <c r="BV28" s="332"/>
      <c r="BW28" s="332"/>
      <c r="BX28" s="332"/>
      <c r="BY28" s="332"/>
      <c r="BZ28" s="332"/>
      <c r="CA28" s="332"/>
      <c r="CB28" s="332"/>
      <c r="CC28" s="332"/>
      <c r="CD28" s="332"/>
      <c r="CE28" s="332"/>
      <c r="CF28" s="332"/>
      <c r="CG28" s="332"/>
      <c r="CH28" s="332"/>
      <c r="CI28" s="332"/>
      <c r="CJ28" s="332"/>
      <c r="CK28" s="332"/>
      <c r="CL28" s="332"/>
      <c r="CM28" s="332"/>
    </row>
    <row r="29" outlineLevel="1">
      <c r="A29" s="569" t="s">
        <v>525</v>
      </c>
      <c r="B29" s="325" t="str">
        <f t="shared" si="4"/>
        <v>TC_07.17</v>
      </c>
      <c r="C29" s="592" t="s">
        <v>75</v>
      </c>
      <c r="D29" s="375" t="s">
        <v>2793</v>
      </c>
      <c r="E29" s="375" t="s">
        <v>2961</v>
      </c>
      <c r="F29" s="375" t="s">
        <v>3239</v>
      </c>
      <c r="G29" s="265" t="s">
        <v>2311</v>
      </c>
      <c r="H29" s="265"/>
      <c r="I29" s="375"/>
      <c r="J29" s="273"/>
      <c r="K29" s="273"/>
      <c r="L29" s="273"/>
      <c r="M29" s="273"/>
      <c r="N29" s="273"/>
      <c r="O29" s="273"/>
      <c r="P29" s="273"/>
      <c r="Q29" s="273"/>
      <c r="R29" s="273"/>
      <c r="S29" s="273"/>
      <c r="T29" s="265"/>
      <c r="U29" s="273"/>
      <c r="V29" s="273"/>
      <c r="W29" s="273"/>
      <c r="X29" s="273"/>
      <c r="Y29" s="273"/>
      <c r="Z29" s="273"/>
      <c r="AA29" s="273"/>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32"/>
      <c r="BO29" s="332"/>
      <c r="BP29" s="332"/>
      <c r="BQ29" s="332"/>
      <c r="BR29" s="332"/>
      <c r="BS29" s="332"/>
      <c r="BT29" s="332"/>
      <c r="BU29" s="332"/>
      <c r="BV29" s="332"/>
      <c r="BW29" s="332"/>
      <c r="BX29" s="332"/>
      <c r="BY29" s="332"/>
      <c r="BZ29" s="332"/>
      <c r="CA29" s="332"/>
      <c r="CB29" s="332"/>
      <c r="CC29" s="332"/>
      <c r="CD29" s="332"/>
      <c r="CE29" s="332"/>
      <c r="CF29" s="332"/>
      <c r="CG29" s="332"/>
      <c r="CH29" s="332"/>
      <c r="CI29" s="332"/>
      <c r="CJ29" s="332"/>
      <c r="CK29" s="332"/>
      <c r="CL29" s="332"/>
      <c r="CM29" s="332"/>
    </row>
    <row r="30" outlineLevel="1">
      <c r="A30" s="569" t="s">
        <v>525</v>
      </c>
      <c r="B30" s="325" t="str">
        <f t="shared" si="4"/>
        <v>TC_07.18</v>
      </c>
      <c r="C30" s="592" t="s">
        <v>75</v>
      </c>
      <c r="D30" s="375" t="s">
        <v>2795</v>
      </c>
      <c r="E30" s="375" t="s">
        <v>2961</v>
      </c>
      <c r="F30" s="375" t="s">
        <v>3240</v>
      </c>
      <c r="G30" s="375" t="s">
        <v>2797</v>
      </c>
      <c r="H30" s="265"/>
      <c r="I30" s="375"/>
      <c r="J30" s="273"/>
      <c r="K30" s="273"/>
      <c r="L30" s="273"/>
      <c r="M30" s="273"/>
      <c r="N30" s="273"/>
      <c r="O30" s="273"/>
      <c r="P30" s="273"/>
      <c r="Q30" s="273"/>
      <c r="R30" s="273"/>
      <c r="S30" s="273"/>
      <c r="T30" s="265"/>
      <c r="U30" s="273"/>
      <c r="V30" s="273"/>
      <c r="W30" s="273"/>
      <c r="X30" s="273"/>
      <c r="Y30" s="273"/>
      <c r="Z30" s="273"/>
      <c r="AA30" s="273"/>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c r="BA30" s="332"/>
      <c r="BB30" s="332"/>
      <c r="BC30" s="332"/>
      <c r="BD30" s="332"/>
      <c r="BE30" s="332"/>
      <c r="BF30" s="332"/>
      <c r="BG30" s="332"/>
      <c r="BH30" s="332"/>
      <c r="BI30" s="332"/>
      <c r="BJ30" s="332"/>
      <c r="BK30" s="332"/>
      <c r="BL30" s="332"/>
      <c r="BM30" s="332"/>
      <c r="BN30" s="332"/>
      <c r="BO30" s="332"/>
      <c r="BP30" s="332"/>
      <c r="BQ30" s="332"/>
      <c r="BR30" s="332"/>
      <c r="BS30" s="332"/>
      <c r="BT30" s="332"/>
      <c r="BU30" s="332"/>
      <c r="BV30" s="332"/>
      <c r="BW30" s="332"/>
      <c r="BX30" s="332"/>
      <c r="BY30" s="332"/>
      <c r="BZ30" s="332"/>
      <c r="CA30" s="332"/>
      <c r="CB30" s="332"/>
      <c r="CC30" s="332"/>
      <c r="CD30" s="332"/>
      <c r="CE30" s="332"/>
      <c r="CF30" s="332"/>
      <c r="CG30" s="332"/>
      <c r="CH30" s="332"/>
      <c r="CI30" s="332"/>
      <c r="CJ30" s="332"/>
      <c r="CK30" s="332"/>
      <c r="CL30" s="332"/>
      <c r="CM30" s="332"/>
    </row>
    <row r="31" outlineLevel="1">
      <c r="A31" s="569" t="s">
        <v>525</v>
      </c>
      <c r="B31" s="325" t="str">
        <f t="shared" si="4"/>
        <v>TC_07.19</v>
      </c>
      <c r="C31" s="592" t="s">
        <v>75</v>
      </c>
      <c r="D31" s="375" t="s">
        <v>2798</v>
      </c>
      <c r="E31" s="375" t="s">
        <v>2961</v>
      </c>
      <c r="F31" s="375" t="s">
        <v>3241</v>
      </c>
      <c r="G31" s="375" t="s">
        <v>2800</v>
      </c>
      <c r="H31" s="265"/>
      <c r="I31" s="375"/>
      <c r="J31" s="273"/>
      <c r="K31" s="273"/>
      <c r="L31" s="273"/>
      <c r="M31" s="273"/>
      <c r="N31" s="273"/>
      <c r="O31" s="273"/>
      <c r="P31" s="273"/>
      <c r="Q31" s="273"/>
      <c r="R31" s="273"/>
      <c r="S31" s="273"/>
      <c r="T31" s="265"/>
      <c r="U31" s="273"/>
      <c r="V31" s="273"/>
      <c r="W31" s="273"/>
      <c r="X31" s="273"/>
      <c r="Y31" s="273"/>
      <c r="Z31" s="273"/>
      <c r="AA31" s="273"/>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2"/>
      <c r="BA31" s="332"/>
      <c r="BB31" s="332"/>
      <c r="BC31" s="332"/>
      <c r="BD31" s="332"/>
      <c r="BE31" s="332"/>
      <c r="BF31" s="332"/>
      <c r="BG31" s="332"/>
      <c r="BH31" s="332"/>
      <c r="BI31" s="332"/>
      <c r="BJ31" s="332"/>
      <c r="BK31" s="332"/>
      <c r="BL31" s="332"/>
      <c r="BM31" s="332"/>
      <c r="BN31" s="332"/>
      <c r="BO31" s="332"/>
      <c r="BP31" s="332"/>
      <c r="BQ31" s="332"/>
      <c r="BR31" s="332"/>
      <c r="BS31" s="332"/>
      <c r="BT31" s="332"/>
      <c r="BU31" s="332"/>
      <c r="BV31" s="332"/>
      <c r="BW31" s="332"/>
      <c r="BX31" s="332"/>
      <c r="BY31" s="332"/>
      <c r="BZ31" s="332"/>
      <c r="CA31" s="332"/>
      <c r="CB31" s="332"/>
      <c r="CC31" s="332"/>
      <c r="CD31" s="332"/>
      <c r="CE31" s="332"/>
      <c r="CF31" s="332"/>
      <c r="CG31" s="332"/>
      <c r="CH31" s="332"/>
      <c r="CI31" s="332"/>
      <c r="CJ31" s="332"/>
      <c r="CK31" s="332"/>
      <c r="CL31" s="332"/>
      <c r="CM31" s="332"/>
    </row>
    <row r="32" outlineLevel="1">
      <c r="A32" s="569" t="s">
        <v>525</v>
      </c>
      <c r="B32" s="325" t="str">
        <f t="shared" si="4"/>
        <v>TC_07.20</v>
      </c>
      <c r="C32" s="557" t="s">
        <v>73</v>
      </c>
      <c r="D32" s="375" t="s">
        <v>2801</v>
      </c>
      <c r="E32" s="375" t="s">
        <v>2961</v>
      </c>
      <c r="F32" s="375" t="s">
        <v>3242</v>
      </c>
      <c r="G32" s="375" t="s">
        <v>2968</v>
      </c>
      <c r="H32" s="265"/>
      <c r="I32" s="375"/>
      <c r="J32" s="273"/>
      <c r="K32" s="273"/>
      <c r="L32" s="273"/>
      <c r="M32" s="273"/>
      <c r="N32" s="273"/>
      <c r="O32" s="273"/>
      <c r="P32" s="273"/>
      <c r="Q32" s="273"/>
      <c r="R32" s="273"/>
      <c r="S32" s="273"/>
      <c r="T32" s="265"/>
      <c r="U32" s="273"/>
      <c r="V32" s="273"/>
      <c r="W32" s="273"/>
      <c r="X32" s="273"/>
      <c r="Y32" s="273"/>
      <c r="Z32" s="273"/>
      <c r="AA32" s="273"/>
      <c r="AB32" s="332"/>
      <c r="AC32" s="332"/>
      <c r="AD32" s="332"/>
      <c r="AE32" s="332"/>
      <c r="AF32" s="332"/>
      <c r="AG32" s="332"/>
      <c r="AH32" s="332"/>
      <c r="AI32" s="332"/>
      <c r="AJ32" s="332"/>
      <c r="AK32" s="332"/>
      <c r="AL32" s="332"/>
      <c r="AM32" s="332"/>
      <c r="AN32" s="332"/>
      <c r="AO32" s="332"/>
      <c r="AP32" s="332"/>
      <c r="AQ32" s="332"/>
      <c r="AR32" s="332"/>
      <c r="AS32" s="332"/>
      <c r="AT32" s="332"/>
      <c r="AU32" s="332"/>
      <c r="AV32" s="332"/>
      <c r="AW32" s="332"/>
      <c r="AX32" s="332"/>
      <c r="AY32" s="332"/>
      <c r="AZ32" s="332"/>
      <c r="BA32" s="332"/>
      <c r="BB32" s="332"/>
      <c r="BC32" s="332"/>
      <c r="BD32" s="332"/>
      <c r="BE32" s="332"/>
      <c r="BF32" s="332"/>
      <c r="BG32" s="332"/>
      <c r="BH32" s="332"/>
      <c r="BI32" s="332"/>
      <c r="BJ32" s="332"/>
      <c r="BK32" s="332"/>
      <c r="BL32" s="332"/>
      <c r="BM32" s="332"/>
      <c r="BN32" s="332"/>
      <c r="BO32" s="332"/>
      <c r="BP32" s="332"/>
      <c r="BQ32" s="332"/>
      <c r="BR32" s="332"/>
      <c r="BS32" s="332"/>
      <c r="BT32" s="332"/>
      <c r="BU32" s="332"/>
      <c r="BV32" s="332"/>
      <c r="BW32" s="332"/>
      <c r="BX32" s="332"/>
      <c r="BY32" s="332"/>
      <c r="BZ32" s="332"/>
      <c r="CA32" s="332"/>
      <c r="CB32" s="332"/>
      <c r="CC32" s="332"/>
      <c r="CD32" s="332"/>
      <c r="CE32" s="332"/>
      <c r="CF32" s="332"/>
      <c r="CG32" s="332"/>
      <c r="CH32" s="332"/>
      <c r="CI32" s="332"/>
      <c r="CJ32" s="332"/>
      <c r="CK32" s="332"/>
      <c r="CL32" s="332"/>
      <c r="CM32" s="332"/>
    </row>
    <row r="33" outlineLevel="1">
      <c r="A33" s="569" t="s">
        <v>525</v>
      </c>
      <c r="B33" s="325" t="str">
        <f t="shared" si="4"/>
        <v>TC_07.21</v>
      </c>
      <c r="C33" s="557" t="s">
        <v>73</v>
      </c>
      <c r="D33" s="558" t="s">
        <v>2969</v>
      </c>
      <c r="E33" s="558" t="s">
        <v>3243</v>
      </c>
      <c r="F33" s="558" t="s">
        <v>3244</v>
      </c>
      <c r="G33" s="561" t="s">
        <v>3245</v>
      </c>
      <c r="H33" s="265"/>
      <c r="I33" s="375"/>
      <c r="J33" s="273"/>
      <c r="K33" s="273"/>
      <c r="L33" s="273"/>
      <c r="M33" s="273"/>
      <c r="N33" s="273"/>
      <c r="O33" s="273"/>
      <c r="P33" s="273"/>
      <c r="Q33" s="273"/>
      <c r="R33" s="273"/>
      <c r="S33" s="273"/>
      <c r="T33" s="265"/>
      <c r="U33" s="273"/>
      <c r="V33" s="273"/>
      <c r="W33" s="273"/>
      <c r="X33" s="273"/>
      <c r="Y33" s="273"/>
      <c r="Z33" s="273"/>
      <c r="AA33" s="273"/>
      <c r="AB33" s="332"/>
      <c r="AC33" s="332"/>
      <c r="AD33" s="332"/>
      <c r="AE33" s="332"/>
      <c r="AF33" s="332"/>
      <c r="AG33" s="332"/>
      <c r="AH33" s="332"/>
      <c r="AI33" s="332"/>
      <c r="AJ33" s="332"/>
      <c r="AK33" s="332"/>
      <c r="AL33" s="332"/>
      <c r="AM33" s="332"/>
      <c r="AN33" s="332"/>
      <c r="AO33" s="332"/>
      <c r="AP33" s="332"/>
      <c r="AQ33" s="332"/>
      <c r="AR33" s="332"/>
      <c r="AS33" s="332"/>
      <c r="AT33" s="332"/>
      <c r="AU33" s="332"/>
      <c r="AV33" s="332"/>
      <c r="AW33" s="332"/>
      <c r="AX33" s="332"/>
      <c r="AY33" s="332"/>
      <c r="AZ33" s="332"/>
      <c r="BA33" s="332"/>
      <c r="BB33" s="332"/>
      <c r="BC33" s="332"/>
      <c r="BD33" s="332"/>
      <c r="BE33" s="332"/>
      <c r="BF33" s="332"/>
      <c r="BG33" s="332"/>
      <c r="BH33" s="332"/>
      <c r="BI33" s="332"/>
      <c r="BJ33" s="332"/>
      <c r="BK33" s="332"/>
      <c r="BL33" s="332"/>
      <c r="BM33" s="332"/>
      <c r="BN33" s="332"/>
      <c r="BO33" s="332"/>
      <c r="BP33" s="332"/>
      <c r="BQ33" s="332"/>
      <c r="BR33" s="332"/>
      <c r="BS33" s="332"/>
      <c r="BT33" s="332"/>
      <c r="BU33" s="332"/>
      <c r="BV33" s="332"/>
      <c r="BW33" s="332"/>
      <c r="BX33" s="332"/>
      <c r="BY33" s="332"/>
      <c r="BZ33" s="332"/>
      <c r="CA33" s="332"/>
      <c r="CB33" s="332"/>
      <c r="CC33" s="332"/>
      <c r="CD33" s="332"/>
      <c r="CE33" s="332"/>
      <c r="CF33" s="332"/>
      <c r="CG33" s="332"/>
      <c r="CH33" s="332"/>
      <c r="CI33" s="332"/>
      <c r="CJ33" s="332"/>
      <c r="CK33" s="332"/>
      <c r="CL33" s="332"/>
      <c r="CM33" s="332"/>
    </row>
    <row r="34" outlineLevel="1">
      <c r="A34" s="569" t="s">
        <v>381</v>
      </c>
      <c r="B34" s="325" t="str">
        <f t="shared" si="4"/>
        <v>TC_07.22</v>
      </c>
      <c r="C34" s="557" t="s">
        <v>75</v>
      </c>
      <c r="D34" s="558" t="s">
        <v>2973</v>
      </c>
      <c r="E34" s="558" t="s">
        <v>2974</v>
      </c>
      <c r="F34" s="558" t="s">
        <v>3246</v>
      </c>
      <c r="G34" s="558" t="s">
        <v>2976</v>
      </c>
      <c r="H34" s="265"/>
      <c r="I34" s="375"/>
      <c r="J34" s="273"/>
      <c r="K34" s="273"/>
      <c r="L34" s="273"/>
      <c r="M34" s="273"/>
      <c r="N34" s="273"/>
      <c r="O34" s="273"/>
      <c r="P34" s="273"/>
      <c r="Q34" s="273"/>
      <c r="R34" s="273"/>
      <c r="S34" s="273"/>
      <c r="T34" s="265"/>
      <c r="U34" s="273"/>
      <c r="V34" s="273"/>
      <c r="W34" s="273"/>
      <c r="X34" s="273"/>
      <c r="Y34" s="273"/>
      <c r="Z34" s="273"/>
      <c r="AA34" s="273"/>
      <c r="AB34" s="332"/>
      <c r="AC34" s="332"/>
      <c r="AD34" s="332"/>
      <c r="AE34" s="332"/>
      <c r="AF34" s="332"/>
      <c r="AG34" s="332"/>
      <c r="AH34" s="332"/>
      <c r="AI34" s="332"/>
      <c r="AJ34" s="332"/>
      <c r="AK34" s="332"/>
      <c r="AL34" s="332"/>
      <c r="AM34" s="332"/>
      <c r="AN34" s="332"/>
      <c r="AO34" s="332"/>
      <c r="AP34" s="332"/>
      <c r="AQ34" s="332"/>
      <c r="AR34" s="332"/>
      <c r="AS34" s="332"/>
      <c r="AT34" s="332"/>
      <c r="AU34" s="332"/>
      <c r="AV34" s="332"/>
      <c r="AW34" s="332"/>
      <c r="AX34" s="332"/>
      <c r="AY34" s="332"/>
      <c r="AZ34" s="332"/>
      <c r="BA34" s="332"/>
      <c r="BB34" s="332"/>
      <c r="BC34" s="332"/>
      <c r="BD34" s="332"/>
      <c r="BE34" s="332"/>
      <c r="BF34" s="332"/>
      <c r="BG34" s="332"/>
      <c r="BH34" s="332"/>
      <c r="BI34" s="332"/>
      <c r="BJ34" s="332"/>
      <c r="BK34" s="332"/>
      <c r="BL34" s="332"/>
      <c r="BM34" s="332"/>
      <c r="BN34" s="332"/>
      <c r="BO34" s="332"/>
      <c r="BP34" s="332"/>
      <c r="BQ34" s="332"/>
      <c r="BR34" s="332"/>
      <c r="BS34" s="332"/>
      <c r="BT34" s="332"/>
      <c r="BU34" s="332"/>
      <c r="BV34" s="332"/>
      <c r="BW34" s="332"/>
      <c r="BX34" s="332"/>
      <c r="BY34" s="332"/>
      <c r="BZ34" s="332"/>
      <c r="CA34" s="332"/>
      <c r="CB34" s="332"/>
      <c r="CC34" s="332"/>
      <c r="CD34" s="332"/>
      <c r="CE34" s="332"/>
      <c r="CF34" s="332"/>
      <c r="CG34" s="332"/>
      <c r="CH34" s="332"/>
      <c r="CI34" s="332"/>
      <c r="CJ34" s="332"/>
      <c r="CK34" s="332"/>
      <c r="CL34" s="332"/>
      <c r="CM34" s="332"/>
    </row>
    <row r="35" outlineLevel="1">
      <c r="A35" s="569" t="s">
        <v>381</v>
      </c>
      <c r="B35" s="325" t="str">
        <f t="shared" si="4"/>
        <v>TC_07.23</v>
      </c>
      <c r="C35" s="563" t="s">
        <v>77</v>
      </c>
      <c r="D35" s="564" t="s">
        <v>2977</v>
      </c>
      <c r="E35" s="564" t="s">
        <v>2937</v>
      </c>
      <c r="F35" s="564" t="s">
        <v>3247</v>
      </c>
      <c r="G35" s="564" t="s">
        <v>2979</v>
      </c>
      <c r="H35" s="265"/>
      <c r="I35" s="375"/>
      <c r="J35" s="273"/>
      <c r="K35" s="273"/>
      <c r="L35" s="273"/>
      <c r="M35" s="273"/>
      <c r="N35" s="273"/>
      <c r="O35" s="273"/>
      <c r="P35" s="273"/>
      <c r="Q35" s="273"/>
      <c r="R35" s="273"/>
      <c r="S35" s="273"/>
      <c r="T35" s="265"/>
      <c r="U35" s="273"/>
      <c r="V35" s="273"/>
      <c r="W35" s="273"/>
      <c r="X35" s="273"/>
      <c r="Y35" s="273"/>
      <c r="Z35" s="273"/>
      <c r="AA35" s="273"/>
      <c r="AB35" s="332"/>
      <c r="AC35" s="332"/>
      <c r="AD35" s="332"/>
      <c r="AE35" s="332"/>
      <c r="AF35" s="332"/>
      <c r="AG35" s="332"/>
      <c r="AH35" s="332"/>
      <c r="AI35" s="332"/>
      <c r="AJ35" s="332"/>
      <c r="AK35" s="332"/>
      <c r="AL35" s="332"/>
      <c r="AM35" s="332"/>
      <c r="AN35" s="332"/>
      <c r="AO35" s="332"/>
      <c r="AP35" s="332"/>
      <c r="AQ35" s="332"/>
      <c r="AR35" s="332"/>
      <c r="AS35" s="332"/>
      <c r="AT35" s="332"/>
      <c r="AU35" s="332"/>
      <c r="AV35" s="332"/>
      <c r="AW35" s="332"/>
      <c r="AX35" s="332"/>
      <c r="AY35" s="332"/>
      <c r="AZ35" s="332"/>
      <c r="BA35" s="332"/>
      <c r="BB35" s="332"/>
      <c r="BC35" s="332"/>
      <c r="BD35" s="332"/>
      <c r="BE35" s="332"/>
      <c r="BF35" s="332"/>
      <c r="BG35" s="332"/>
      <c r="BH35" s="332"/>
      <c r="BI35" s="332"/>
      <c r="BJ35" s="332"/>
      <c r="BK35" s="332"/>
      <c r="BL35" s="332"/>
      <c r="BM35" s="332"/>
      <c r="BN35" s="332"/>
      <c r="BO35" s="332"/>
      <c r="BP35" s="332"/>
      <c r="BQ35" s="332"/>
      <c r="BR35" s="332"/>
      <c r="BS35" s="332"/>
      <c r="BT35" s="332"/>
      <c r="BU35" s="332"/>
      <c r="BV35" s="332"/>
      <c r="BW35" s="332"/>
      <c r="BX35" s="332"/>
      <c r="BY35" s="332"/>
      <c r="BZ35" s="332"/>
      <c r="CA35" s="332"/>
      <c r="CB35" s="332"/>
      <c r="CC35" s="332"/>
      <c r="CD35" s="332"/>
      <c r="CE35" s="332"/>
      <c r="CF35" s="332"/>
      <c r="CG35" s="332"/>
      <c r="CH35" s="332"/>
      <c r="CI35" s="332"/>
      <c r="CJ35" s="332"/>
      <c r="CK35" s="332"/>
      <c r="CL35" s="332"/>
      <c r="CM35" s="332"/>
    </row>
    <row r="36">
      <c r="A36" s="273"/>
      <c r="B36" s="570" t="s">
        <v>3248</v>
      </c>
      <c r="C36" s="148"/>
      <c r="D36" s="148"/>
      <c r="E36" s="148"/>
      <c r="F36" s="148"/>
      <c r="G36" s="171"/>
      <c r="H36" s="265"/>
      <c r="I36" s="273"/>
      <c r="J36" s="273"/>
      <c r="K36" s="273"/>
      <c r="L36" s="273"/>
      <c r="M36" s="273"/>
      <c r="N36" s="273"/>
      <c r="O36" s="273"/>
      <c r="P36" s="273"/>
      <c r="Q36" s="273"/>
      <c r="R36" s="273"/>
      <c r="S36" s="273"/>
      <c r="T36" s="265"/>
      <c r="U36" s="273"/>
      <c r="V36" s="273"/>
      <c r="W36" s="273"/>
      <c r="X36" s="273"/>
      <c r="Y36" s="273"/>
      <c r="Z36" s="273"/>
      <c r="AA36" s="273"/>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c r="BR36" s="355"/>
      <c r="BS36" s="355"/>
      <c r="BT36" s="355"/>
      <c r="BU36" s="355"/>
      <c r="BV36" s="355"/>
      <c r="BW36" s="355"/>
      <c r="BX36" s="355"/>
      <c r="BY36" s="355"/>
      <c r="BZ36" s="355"/>
      <c r="CA36" s="355"/>
      <c r="CB36" s="355"/>
      <c r="CC36" s="355"/>
      <c r="CD36" s="355"/>
      <c r="CE36" s="355"/>
      <c r="CF36" s="355"/>
      <c r="CG36" s="355"/>
      <c r="CH36" s="355"/>
      <c r="CI36" s="355"/>
      <c r="CJ36" s="355"/>
      <c r="CK36" s="355"/>
      <c r="CL36" s="355"/>
      <c r="CM36" s="355"/>
    </row>
    <row r="37" outlineLevel="1">
      <c r="A37" s="569" t="s">
        <v>381</v>
      </c>
      <c r="B37" s="325" t="str">
        <f t="shared" ref="B37:B39" si="5">IF(F37="","",$D$3&amp;"."&amp;COUNTA($F$10:F37)&amp;"")</f>
        <v>TC_07.24</v>
      </c>
      <c r="C37" s="557" t="s">
        <v>73</v>
      </c>
      <c r="D37" s="558" t="s">
        <v>3249</v>
      </c>
      <c r="E37" s="558" t="s">
        <v>3250</v>
      </c>
      <c r="F37" s="558" t="s">
        <v>3251</v>
      </c>
      <c r="G37" s="558" t="s">
        <v>3252</v>
      </c>
      <c r="H37" s="265"/>
      <c r="I37" s="375"/>
      <c r="J37" s="273"/>
      <c r="K37" s="273"/>
      <c r="L37" s="273"/>
      <c r="M37" s="273"/>
      <c r="N37" s="273"/>
      <c r="O37" s="273"/>
      <c r="P37" s="273"/>
      <c r="Q37" s="273"/>
      <c r="R37" s="273"/>
      <c r="S37" s="273"/>
      <c r="T37" s="265"/>
      <c r="U37" s="273"/>
      <c r="V37" s="273"/>
      <c r="W37" s="273"/>
      <c r="X37" s="273"/>
      <c r="Y37" s="273"/>
      <c r="Z37" s="273"/>
      <c r="AA37" s="273"/>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c r="CM37" s="355"/>
    </row>
    <row r="38" outlineLevel="1">
      <c r="A38" s="569" t="s">
        <v>381</v>
      </c>
      <c r="B38" s="325" t="str">
        <f t="shared" si="5"/>
        <v>TC_07.25</v>
      </c>
      <c r="C38" s="557" t="s">
        <v>73</v>
      </c>
      <c r="D38" s="558" t="s">
        <v>3253</v>
      </c>
      <c r="E38" s="558" t="s">
        <v>3254</v>
      </c>
      <c r="F38" s="558" t="s">
        <v>3255</v>
      </c>
      <c r="G38" s="558" t="s">
        <v>2988</v>
      </c>
      <c r="H38" s="265"/>
      <c r="I38" s="375"/>
      <c r="J38" s="273"/>
      <c r="K38" s="273"/>
      <c r="L38" s="273"/>
      <c r="M38" s="273"/>
      <c r="N38" s="273"/>
      <c r="O38" s="273"/>
      <c r="P38" s="273"/>
      <c r="Q38" s="273"/>
      <c r="R38" s="273"/>
      <c r="S38" s="273"/>
      <c r="T38" s="265"/>
      <c r="U38" s="273"/>
      <c r="V38" s="273"/>
      <c r="W38" s="273"/>
      <c r="X38" s="273"/>
      <c r="Y38" s="273"/>
      <c r="Z38" s="273"/>
      <c r="AA38" s="273"/>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c r="BW38" s="355"/>
      <c r="BX38" s="355"/>
      <c r="BY38" s="355"/>
      <c r="BZ38" s="355"/>
      <c r="CA38" s="355"/>
      <c r="CB38" s="355"/>
      <c r="CC38" s="355"/>
      <c r="CD38" s="355"/>
      <c r="CE38" s="355"/>
      <c r="CF38" s="355"/>
      <c r="CG38" s="355"/>
      <c r="CH38" s="355"/>
      <c r="CI38" s="355"/>
      <c r="CJ38" s="355"/>
      <c r="CK38" s="355"/>
      <c r="CL38" s="355"/>
      <c r="CM38" s="355"/>
    </row>
    <row r="39" outlineLevel="1">
      <c r="A39" s="569" t="s">
        <v>381</v>
      </c>
      <c r="B39" s="325" t="str">
        <f t="shared" si="5"/>
        <v>TC_07.26</v>
      </c>
      <c r="C39" s="557" t="s">
        <v>73</v>
      </c>
      <c r="D39" s="558" t="s">
        <v>3256</v>
      </c>
      <c r="E39" s="558" t="s">
        <v>3257</v>
      </c>
      <c r="F39" s="558" t="s">
        <v>3258</v>
      </c>
      <c r="G39" s="558" t="s">
        <v>3259</v>
      </c>
      <c r="H39" s="265"/>
      <c r="I39" s="375"/>
      <c r="J39" s="273"/>
      <c r="K39" s="273"/>
      <c r="L39" s="273"/>
      <c r="M39" s="273"/>
      <c r="N39" s="273"/>
      <c r="O39" s="273"/>
      <c r="P39" s="273"/>
      <c r="Q39" s="273"/>
      <c r="R39" s="273"/>
      <c r="S39" s="273"/>
      <c r="T39" s="265"/>
      <c r="U39" s="273"/>
      <c r="V39" s="273"/>
      <c r="W39" s="273"/>
      <c r="X39" s="273"/>
      <c r="Y39" s="273"/>
      <c r="Z39" s="273"/>
      <c r="AA39" s="273"/>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c r="BW39" s="355"/>
      <c r="BX39" s="355"/>
      <c r="BY39" s="355"/>
      <c r="BZ39" s="355"/>
      <c r="CA39" s="355"/>
      <c r="CB39" s="355"/>
      <c r="CC39" s="355"/>
      <c r="CD39" s="355"/>
      <c r="CE39" s="355"/>
      <c r="CF39" s="355"/>
      <c r="CG39" s="355"/>
      <c r="CH39" s="355"/>
      <c r="CI39" s="355"/>
      <c r="CJ39" s="355"/>
      <c r="CK39" s="355"/>
      <c r="CL39" s="355"/>
      <c r="CM39" s="355"/>
    </row>
    <row r="40">
      <c r="A40" s="273"/>
      <c r="B40" s="570" t="s">
        <v>3260</v>
      </c>
      <c r="C40" s="148"/>
      <c r="D40" s="148"/>
      <c r="E40" s="148"/>
      <c r="F40" s="148"/>
      <c r="G40" s="171"/>
      <c r="H40" s="265"/>
      <c r="I40" s="273"/>
      <c r="J40" s="273"/>
      <c r="K40" s="273"/>
      <c r="L40" s="273"/>
      <c r="M40" s="273"/>
      <c r="N40" s="273"/>
      <c r="O40" s="273"/>
      <c r="P40" s="273"/>
      <c r="Q40" s="273"/>
      <c r="R40" s="273"/>
      <c r="S40" s="273"/>
      <c r="T40" s="265"/>
      <c r="U40" s="273"/>
      <c r="V40" s="273"/>
      <c r="W40" s="273"/>
      <c r="X40" s="273"/>
      <c r="Y40" s="273"/>
      <c r="Z40" s="273"/>
      <c r="AA40" s="273"/>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c r="BW40" s="355"/>
      <c r="BX40" s="355"/>
      <c r="BY40" s="355"/>
      <c r="BZ40" s="355"/>
      <c r="CA40" s="355"/>
      <c r="CB40" s="355"/>
      <c r="CC40" s="355"/>
      <c r="CD40" s="355"/>
      <c r="CE40" s="355"/>
      <c r="CF40" s="355"/>
      <c r="CG40" s="355"/>
      <c r="CH40" s="355"/>
      <c r="CI40" s="355"/>
      <c r="CJ40" s="355"/>
      <c r="CK40" s="355"/>
      <c r="CL40" s="355"/>
      <c r="CM40" s="355"/>
    </row>
    <row r="41" outlineLevel="1">
      <c r="A41" s="569" t="s">
        <v>381</v>
      </c>
      <c r="B41" s="325" t="str">
        <f t="shared" ref="B41:B47" si="6">IF(F41="","",$D$3&amp;"."&amp;COUNTA($F$10:F41)&amp;"")</f>
        <v>TC_07.27</v>
      </c>
      <c r="C41" s="563" t="s">
        <v>73</v>
      </c>
      <c r="D41" s="558" t="s">
        <v>3261</v>
      </c>
      <c r="E41" s="564" t="s">
        <v>3262</v>
      </c>
      <c r="F41" s="558" t="s">
        <v>3263</v>
      </c>
      <c r="G41" s="558" t="s">
        <v>3264</v>
      </c>
      <c r="H41" s="265"/>
      <c r="I41" s="375"/>
      <c r="J41" s="273"/>
      <c r="K41" s="273"/>
      <c r="L41" s="265"/>
      <c r="M41" s="265"/>
      <c r="N41" s="273"/>
      <c r="O41" s="273"/>
      <c r="P41" s="265"/>
      <c r="Q41" s="265"/>
      <c r="R41" s="273"/>
      <c r="S41" s="273"/>
      <c r="T41" s="265"/>
      <c r="U41" s="265"/>
      <c r="V41" s="273"/>
      <c r="W41" s="273"/>
      <c r="X41" s="265"/>
      <c r="Y41" s="265"/>
      <c r="Z41" s="273"/>
      <c r="AA41" s="273"/>
      <c r="AB41" s="359"/>
      <c r="AC41" s="356"/>
      <c r="AD41" s="357"/>
      <c r="AE41" s="358"/>
      <c r="AF41" s="43"/>
      <c r="AG41" s="356"/>
      <c r="AH41" s="572"/>
      <c r="AI41" s="364"/>
      <c r="AJ41" s="43"/>
      <c r="AK41" s="356"/>
      <c r="AL41" s="353"/>
      <c r="AM41" s="364"/>
      <c r="AN41" s="43"/>
      <c r="AO41" s="356"/>
      <c r="AP41" s="353"/>
      <c r="AQ41" s="364"/>
      <c r="AR41" s="468"/>
      <c r="AS41" s="357"/>
      <c r="AT41" s="357"/>
      <c r="AU41" s="358"/>
      <c r="AV41" s="468"/>
      <c r="AW41" s="357"/>
      <c r="AX41" s="357"/>
      <c r="AY41" s="358"/>
      <c r="AZ41" s="468"/>
      <c r="BA41" s="357"/>
      <c r="BB41" s="357"/>
      <c r="BC41" s="573"/>
      <c r="BD41" s="574"/>
      <c r="BE41" s="574"/>
      <c r="BF41" s="574"/>
      <c r="BG41" s="574"/>
      <c r="BH41" s="574"/>
      <c r="BI41" s="574"/>
      <c r="BJ41" s="574"/>
      <c r="BK41" s="574"/>
      <c r="BL41" s="574"/>
      <c r="BM41" s="574"/>
      <c r="BN41" s="574"/>
      <c r="BO41" s="574"/>
      <c r="BP41" s="574"/>
      <c r="BQ41" s="574"/>
      <c r="BR41" s="574"/>
      <c r="BS41" s="574"/>
      <c r="BT41" s="574"/>
      <c r="BU41" s="574"/>
      <c r="BV41" s="574"/>
      <c r="BW41" s="574"/>
      <c r="BX41" s="574"/>
      <c r="BY41" s="574"/>
      <c r="BZ41" s="574"/>
      <c r="CA41" s="574"/>
      <c r="CB41" s="574"/>
      <c r="CC41" s="574"/>
      <c r="CD41" s="574"/>
      <c r="CE41" s="574"/>
      <c r="CF41" s="574"/>
      <c r="CG41" s="574"/>
      <c r="CH41" s="574"/>
      <c r="CI41" s="574"/>
      <c r="CJ41" s="574"/>
      <c r="CK41" s="574"/>
      <c r="CL41" s="574"/>
      <c r="CM41" s="574"/>
    </row>
    <row r="42" outlineLevel="1">
      <c r="A42" s="569" t="s">
        <v>381</v>
      </c>
      <c r="B42" s="325" t="str">
        <f t="shared" si="6"/>
        <v>TC_07.28</v>
      </c>
      <c r="C42" s="557" t="s">
        <v>75</v>
      </c>
      <c r="D42" s="558" t="s">
        <v>3265</v>
      </c>
      <c r="E42" s="558" t="s">
        <v>3266</v>
      </c>
      <c r="F42" s="558" t="s">
        <v>3267</v>
      </c>
      <c r="G42" s="558" t="s">
        <v>3268</v>
      </c>
      <c r="H42" s="265"/>
      <c r="I42" s="375"/>
      <c r="J42" s="273"/>
      <c r="K42" s="273"/>
      <c r="L42" s="265"/>
      <c r="M42" s="265"/>
      <c r="N42" s="265"/>
      <c r="O42" s="273"/>
      <c r="P42" s="265"/>
      <c r="Q42" s="265"/>
      <c r="R42" s="265"/>
      <c r="S42" s="273"/>
      <c r="T42" s="265"/>
      <c r="U42" s="265"/>
      <c r="V42" s="265"/>
      <c r="W42" s="265"/>
      <c r="X42" s="265"/>
      <c r="Y42" s="265"/>
      <c r="Z42" s="265"/>
      <c r="AA42" s="265"/>
      <c r="AB42" s="43"/>
      <c r="AC42" s="356"/>
      <c r="AD42" s="575"/>
      <c r="AE42" s="364"/>
      <c r="AF42" s="43"/>
      <c r="AG42" s="356"/>
      <c r="AH42" s="572"/>
      <c r="AI42" s="364"/>
      <c r="AJ42" s="43"/>
      <c r="AK42" s="356"/>
      <c r="AL42" s="353"/>
      <c r="AM42" s="364"/>
      <c r="AN42" s="43"/>
      <c r="AO42" s="356"/>
      <c r="AP42" s="353"/>
      <c r="AQ42" s="364"/>
      <c r="AR42" s="61"/>
      <c r="AS42" s="353"/>
      <c r="AT42" s="353"/>
      <c r="AU42" s="354"/>
      <c r="AV42" s="61"/>
      <c r="AW42" s="353"/>
      <c r="AX42" s="353"/>
      <c r="AY42" s="354"/>
      <c r="AZ42" s="61"/>
      <c r="BA42" s="353"/>
      <c r="BB42" s="353"/>
      <c r="BC42" s="576"/>
      <c r="BD42" s="369"/>
      <c r="BE42" s="369"/>
      <c r="BF42" s="369"/>
      <c r="BG42" s="369"/>
      <c r="BH42" s="369"/>
      <c r="BI42" s="369"/>
      <c r="BJ42" s="369"/>
      <c r="BK42" s="369"/>
      <c r="BL42" s="369"/>
      <c r="BM42" s="369"/>
      <c r="BN42" s="369"/>
      <c r="BO42" s="369"/>
      <c r="BP42" s="369"/>
      <c r="BQ42" s="369"/>
      <c r="BR42" s="369"/>
      <c r="BS42" s="369"/>
      <c r="BT42" s="369"/>
      <c r="BU42" s="369"/>
      <c r="BV42" s="369"/>
      <c r="BW42" s="369"/>
      <c r="BX42" s="369"/>
      <c r="BY42" s="369"/>
      <c r="BZ42" s="369"/>
      <c r="CA42" s="369"/>
      <c r="CB42" s="369"/>
      <c r="CC42" s="369"/>
      <c r="CD42" s="369"/>
      <c r="CE42" s="369"/>
      <c r="CF42" s="369"/>
      <c r="CG42" s="369"/>
      <c r="CH42" s="369"/>
      <c r="CI42" s="369"/>
      <c r="CJ42" s="369"/>
      <c r="CK42" s="369"/>
      <c r="CL42" s="369"/>
      <c r="CM42" s="369"/>
    </row>
    <row r="43" outlineLevel="1">
      <c r="A43" s="569" t="s">
        <v>381</v>
      </c>
      <c r="B43" s="325" t="str">
        <f t="shared" si="6"/>
        <v>TC_07.29</v>
      </c>
      <c r="C43" s="557" t="s">
        <v>73</v>
      </c>
      <c r="D43" s="558" t="s">
        <v>3269</v>
      </c>
      <c r="E43" s="558" t="s">
        <v>3270</v>
      </c>
      <c r="F43" s="558" t="s">
        <v>3271</v>
      </c>
      <c r="G43" s="558" t="s">
        <v>3272</v>
      </c>
      <c r="H43" s="265"/>
      <c r="I43" s="375"/>
      <c r="J43" s="273"/>
      <c r="K43" s="273"/>
      <c r="L43" s="265"/>
      <c r="M43" s="265"/>
      <c r="N43" s="265"/>
      <c r="O43" s="273"/>
      <c r="P43" s="265"/>
      <c r="Q43" s="265"/>
      <c r="R43" s="265"/>
      <c r="S43" s="273"/>
      <c r="T43" s="265"/>
      <c r="U43" s="265"/>
      <c r="V43" s="265"/>
      <c r="W43" s="265"/>
      <c r="X43" s="265"/>
      <c r="Y43" s="265"/>
      <c r="Z43" s="265"/>
      <c r="AA43" s="265"/>
      <c r="AB43" s="43"/>
      <c r="AC43" s="356"/>
      <c r="AD43" s="575"/>
      <c r="AE43" s="364"/>
      <c r="AF43" s="43"/>
      <c r="AG43" s="356"/>
      <c r="AH43" s="572"/>
      <c r="AI43" s="364"/>
      <c r="AJ43" s="43"/>
      <c r="AK43" s="356"/>
      <c r="AL43" s="353"/>
      <c r="AM43" s="364"/>
      <c r="AN43" s="43"/>
      <c r="AO43" s="356"/>
      <c r="AP43" s="353"/>
      <c r="AQ43" s="364"/>
      <c r="AR43" s="61"/>
      <c r="AS43" s="353"/>
      <c r="AT43" s="353"/>
      <c r="AU43" s="354"/>
      <c r="AV43" s="61"/>
      <c r="AW43" s="353"/>
      <c r="AX43" s="353"/>
      <c r="AY43" s="354"/>
      <c r="AZ43" s="61"/>
      <c r="BA43" s="353"/>
      <c r="BB43" s="353"/>
      <c r="BC43" s="576"/>
      <c r="BD43" s="369"/>
      <c r="BE43" s="369"/>
      <c r="BF43" s="369"/>
      <c r="BG43" s="369"/>
      <c r="BH43" s="369"/>
      <c r="BI43" s="369"/>
      <c r="BJ43" s="369"/>
      <c r="BK43" s="369"/>
      <c r="BL43" s="369"/>
      <c r="BM43" s="369"/>
      <c r="BN43" s="369"/>
      <c r="BO43" s="369"/>
      <c r="BP43" s="369"/>
      <c r="BQ43" s="369"/>
      <c r="BR43" s="369"/>
      <c r="BS43" s="369"/>
      <c r="BT43" s="369"/>
      <c r="BU43" s="369"/>
      <c r="BV43" s="369"/>
      <c r="BW43" s="369"/>
      <c r="BX43" s="369"/>
      <c r="BY43" s="369"/>
      <c r="BZ43" s="369"/>
      <c r="CA43" s="369"/>
      <c r="CB43" s="369"/>
      <c r="CC43" s="369"/>
      <c r="CD43" s="369"/>
      <c r="CE43" s="369"/>
      <c r="CF43" s="369"/>
      <c r="CG43" s="369"/>
      <c r="CH43" s="369"/>
      <c r="CI43" s="369"/>
      <c r="CJ43" s="369"/>
      <c r="CK43" s="369"/>
      <c r="CL43" s="369"/>
      <c r="CM43" s="369"/>
    </row>
    <row r="44" outlineLevel="1">
      <c r="A44" s="569" t="s">
        <v>381</v>
      </c>
      <c r="B44" s="325" t="str">
        <f t="shared" si="6"/>
        <v>TC_07.30</v>
      </c>
      <c r="C44" s="563" t="s">
        <v>73</v>
      </c>
      <c r="D44" s="564" t="s">
        <v>3273</v>
      </c>
      <c r="E44" s="564" t="s">
        <v>3274</v>
      </c>
      <c r="F44" s="564" t="s">
        <v>3275</v>
      </c>
      <c r="G44" s="564" t="s">
        <v>3276</v>
      </c>
      <c r="H44" s="265"/>
      <c r="I44" s="375"/>
      <c r="J44" s="273"/>
      <c r="K44" s="273"/>
      <c r="L44" s="273"/>
      <c r="M44" s="273"/>
      <c r="N44" s="273"/>
      <c r="O44" s="273"/>
      <c r="P44" s="273"/>
      <c r="Q44" s="273"/>
      <c r="R44" s="273"/>
      <c r="S44" s="273"/>
      <c r="T44" s="265"/>
      <c r="U44" s="273"/>
      <c r="V44" s="273"/>
      <c r="W44" s="273"/>
      <c r="X44" s="273"/>
      <c r="Y44" s="273"/>
      <c r="Z44" s="273"/>
      <c r="AA44" s="273"/>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c r="BW44" s="355"/>
      <c r="BX44" s="355"/>
      <c r="BY44" s="355"/>
      <c r="BZ44" s="355"/>
      <c r="CA44" s="355"/>
      <c r="CB44" s="355"/>
      <c r="CC44" s="355"/>
      <c r="CD44" s="355"/>
      <c r="CE44" s="355"/>
      <c r="CF44" s="355"/>
      <c r="CG44" s="355"/>
      <c r="CH44" s="355"/>
      <c r="CI44" s="355"/>
      <c r="CJ44" s="355"/>
      <c r="CK44" s="355"/>
      <c r="CL44" s="355"/>
      <c r="CM44" s="355"/>
    </row>
    <row r="45" outlineLevel="1">
      <c r="A45" s="569" t="s">
        <v>381</v>
      </c>
      <c r="B45" s="325" t="str">
        <f t="shared" si="6"/>
        <v>TC_07.31</v>
      </c>
      <c r="C45" s="563" t="s">
        <v>73</v>
      </c>
      <c r="D45" s="558" t="s">
        <v>3277</v>
      </c>
      <c r="E45" s="564" t="s">
        <v>3274</v>
      </c>
      <c r="F45" s="558" t="s">
        <v>3278</v>
      </c>
      <c r="G45" s="558" t="s">
        <v>3279</v>
      </c>
      <c r="H45" s="265"/>
      <c r="I45" s="375"/>
      <c r="J45" s="273"/>
      <c r="K45" s="273"/>
      <c r="L45" s="265"/>
      <c r="M45" s="265"/>
      <c r="N45" s="273"/>
      <c r="O45" s="273"/>
      <c r="P45" s="265"/>
      <c r="Q45" s="265"/>
      <c r="R45" s="273"/>
      <c r="S45" s="273"/>
      <c r="T45" s="265"/>
      <c r="U45" s="265"/>
      <c r="V45" s="273"/>
      <c r="W45" s="273"/>
      <c r="X45" s="265"/>
      <c r="Y45" s="265"/>
      <c r="Z45" s="273"/>
      <c r="AA45" s="273"/>
      <c r="AB45" s="359"/>
      <c r="AC45" s="356"/>
      <c r="AD45" s="357"/>
      <c r="AE45" s="358"/>
      <c r="AF45" s="43"/>
      <c r="AG45" s="356"/>
      <c r="AH45" s="572"/>
      <c r="AI45" s="364"/>
      <c r="AJ45" s="43"/>
      <c r="AK45" s="356"/>
      <c r="AL45" s="353"/>
      <c r="AM45" s="364"/>
      <c r="AN45" s="43"/>
      <c r="AO45" s="356"/>
      <c r="AP45" s="353"/>
      <c r="AQ45" s="364"/>
      <c r="AR45" s="468"/>
      <c r="AS45" s="357"/>
      <c r="AT45" s="357"/>
      <c r="AU45" s="358"/>
      <c r="AV45" s="468"/>
      <c r="AW45" s="357"/>
      <c r="AX45" s="357"/>
      <c r="AY45" s="358"/>
      <c r="AZ45" s="468"/>
      <c r="BA45" s="357"/>
      <c r="BB45" s="357"/>
      <c r="BC45" s="573"/>
      <c r="BD45" s="574"/>
      <c r="BE45" s="574"/>
      <c r="BF45" s="574"/>
      <c r="BG45" s="574"/>
      <c r="BH45" s="574"/>
      <c r="BI45" s="574"/>
      <c r="BJ45" s="574"/>
      <c r="BK45" s="574"/>
      <c r="BL45" s="574"/>
      <c r="BM45" s="574"/>
      <c r="BN45" s="574"/>
      <c r="BO45" s="574"/>
      <c r="BP45" s="574"/>
      <c r="BQ45" s="574"/>
      <c r="BR45" s="574"/>
      <c r="BS45" s="574"/>
      <c r="BT45" s="574"/>
      <c r="BU45" s="574"/>
      <c r="BV45" s="574"/>
      <c r="BW45" s="574"/>
      <c r="BX45" s="574"/>
      <c r="BY45" s="574"/>
      <c r="BZ45" s="574"/>
      <c r="CA45" s="574"/>
      <c r="CB45" s="574"/>
      <c r="CC45" s="574"/>
      <c r="CD45" s="574"/>
      <c r="CE45" s="574"/>
      <c r="CF45" s="574"/>
      <c r="CG45" s="574"/>
      <c r="CH45" s="574"/>
      <c r="CI45" s="574"/>
      <c r="CJ45" s="574"/>
      <c r="CK45" s="574"/>
      <c r="CL45" s="574"/>
      <c r="CM45" s="574"/>
    </row>
    <row r="46" outlineLevel="1">
      <c r="A46" s="569" t="s">
        <v>381</v>
      </c>
      <c r="B46" s="325" t="str">
        <f t="shared" si="6"/>
        <v>TC_07.32</v>
      </c>
      <c r="C46" s="563" t="s">
        <v>75</v>
      </c>
      <c r="D46" s="558" t="s">
        <v>3280</v>
      </c>
      <c r="E46" s="558" t="s">
        <v>3281</v>
      </c>
      <c r="F46" s="558" t="s">
        <v>3282</v>
      </c>
      <c r="G46" s="558" t="s">
        <v>3283</v>
      </c>
      <c r="H46" s="265"/>
      <c r="I46" s="375"/>
      <c r="J46" s="273"/>
      <c r="K46" s="265"/>
      <c r="L46" s="265"/>
      <c r="M46" s="265"/>
      <c r="N46" s="265"/>
      <c r="O46" s="273"/>
      <c r="P46" s="265"/>
      <c r="Q46" s="265"/>
      <c r="R46" s="265"/>
      <c r="S46" s="273"/>
      <c r="T46" s="265"/>
      <c r="U46" s="265"/>
      <c r="V46" s="265"/>
      <c r="W46" s="265"/>
      <c r="X46" s="265"/>
      <c r="Y46" s="265"/>
      <c r="Z46" s="265"/>
      <c r="AA46" s="265"/>
      <c r="AB46" s="43"/>
      <c r="AC46" s="356"/>
      <c r="AD46" s="366"/>
      <c r="AE46" s="364"/>
      <c r="AF46" s="43"/>
      <c r="AG46" s="356"/>
      <c r="AH46" s="366"/>
      <c r="AI46" s="364"/>
      <c r="AJ46" s="43"/>
      <c r="AK46" s="356"/>
      <c r="AL46" s="366"/>
      <c r="AM46" s="364"/>
      <c r="AN46" s="43"/>
      <c r="AO46" s="356"/>
      <c r="AP46" s="366"/>
      <c r="AQ46" s="364"/>
      <c r="AR46" s="61"/>
      <c r="AS46" s="353"/>
      <c r="AT46" s="353"/>
      <c r="AU46" s="354"/>
      <c r="AV46" s="61"/>
      <c r="AW46" s="353"/>
      <c r="AX46" s="353"/>
      <c r="AY46" s="354"/>
      <c r="AZ46" s="61"/>
      <c r="BA46" s="353"/>
      <c r="BB46" s="353"/>
      <c r="BC46" s="576"/>
      <c r="BD46" s="369"/>
      <c r="BE46" s="369"/>
      <c r="BF46" s="369"/>
      <c r="BG46" s="369"/>
      <c r="BH46" s="369"/>
      <c r="BI46" s="369"/>
      <c r="BJ46" s="369"/>
      <c r="BK46" s="369"/>
      <c r="BL46" s="369"/>
      <c r="BM46" s="369"/>
      <c r="BN46" s="369"/>
      <c r="BO46" s="369"/>
      <c r="BP46" s="369"/>
      <c r="BQ46" s="369"/>
      <c r="BR46" s="369"/>
      <c r="BS46" s="369"/>
      <c r="BT46" s="369"/>
      <c r="BU46" s="369"/>
      <c r="BV46" s="369"/>
      <c r="BW46" s="369"/>
      <c r="BX46" s="369"/>
      <c r="BY46" s="369"/>
      <c r="BZ46" s="369"/>
      <c r="CA46" s="369"/>
      <c r="CB46" s="369"/>
      <c r="CC46" s="369"/>
      <c r="CD46" s="369"/>
      <c r="CE46" s="369"/>
      <c r="CF46" s="369"/>
      <c r="CG46" s="369"/>
      <c r="CH46" s="369"/>
      <c r="CI46" s="369"/>
      <c r="CJ46" s="369"/>
      <c r="CK46" s="369"/>
      <c r="CL46" s="369"/>
      <c r="CM46" s="369"/>
    </row>
    <row r="47" outlineLevel="1">
      <c r="A47" s="569" t="s">
        <v>381</v>
      </c>
      <c r="B47" s="325" t="str">
        <f t="shared" si="6"/>
        <v>TC_07.33</v>
      </c>
      <c r="C47" s="563" t="s">
        <v>75</v>
      </c>
      <c r="D47" s="558" t="s">
        <v>3017</v>
      </c>
      <c r="E47" s="558" t="s">
        <v>3284</v>
      </c>
      <c r="F47" s="558" t="s">
        <v>3285</v>
      </c>
      <c r="G47" s="558" t="s">
        <v>3286</v>
      </c>
      <c r="H47" s="265"/>
      <c r="I47" s="375"/>
      <c r="J47" s="273"/>
      <c r="K47" s="273"/>
      <c r="L47" s="265"/>
      <c r="M47" s="265"/>
      <c r="N47" s="273"/>
      <c r="O47" s="273"/>
      <c r="P47" s="265"/>
      <c r="Q47" s="265"/>
      <c r="R47" s="265"/>
      <c r="S47" s="273"/>
      <c r="T47" s="265"/>
      <c r="U47" s="265"/>
      <c r="V47" s="273"/>
      <c r="W47" s="273"/>
      <c r="X47" s="265"/>
      <c r="Y47" s="265"/>
      <c r="Z47" s="273"/>
      <c r="AA47" s="273"/>
      <c r="AB47" s="359"/>
      <c r="AC47" s="356"/>
      <c r="AD47" s="357"/>
      <c r="AE47" s="358"/>
      <c r="AF47" s="43"/>
      <c r="AG47" s="356"/>
      <c r="AH47" s="572"/>
      <c r="AI47" s="364"/>
      <c r="AJ47" s="43"/>
      <c r="AK47" s="356"/>
      <c r="AL47" s="353"/>
      <c r="AM47" s="364"/>
      <c r="AN47" s="43"/>
      <c r="AO47" s="356"/>
      <c r="AP47" s="353"/>
      <c r="AQ47" s="364"/>
      <c r="AR47" s="468"/>
      <c r="AS47" s="357"/>
      <c r="AT47" s="357"/>
      <c r="AU47" s="358"/>
      <c r="AV47" s="468"/>
      <c r="AW47" s="357"/>
      <c r="AX47" s="357"/>
      <c r="AY47" s="358"/>
      <c r="AZ47" s="468"/>
      <c r="BA47" s="357"/>
      <c r="BB47" s="357"/>
      <c r="BC47" s="573"/>
      <c r="BD47" s="574"/>
      <c r="BE47" s="574"/>
      <c r="BF47" s="574"/>
      <c r="BG47" s="574"/>
      <c r="BH47" s="574"/>
      <c r="BI47" s="574"/>
      <c r="BJ47" s="574"/>
      <c r="BK47" s="574"/>
      <c r="BL47" s="574"/>
      <c r="BM47" s="574"/>
      <c r="BN47" s="574"/>
      <c r="BO47" s="574"/>
      <c r="BP47" s="574"/>
      <c r="BQ47" s="574"/>
      <c r="BR47" s="574"/>
      <c r="BS47" s="574"/>
      <c r="BT47" s="574"/>
      <c r="BU47" s="574"/>
      <c r="BV47" s="574"/>
      <c r="BW47" s="574"/>
      <c r="BX47" s="574"/>
      <c r="BY47" s="574"/>
      <c r="BZ47" s="574"/>
      <c r="CA47" s="574"/>
      <c r="CB47" s="574"/>
      <c r="CC47" s="574"/>
      <c r="CD47" s="574"/>
      <c r="CE47" s="574"/>
      <c r="CF47" s="574"/>
      <c r="CG47" s="574"/>
      <c r="CH47" s="574"/>
      <c r="CI47" s="574"/>
      <c r="CJ47" s="574"/>
      <c r="CK47" s="574"/>
      <c r="CL47" s="574"/>
      <c r="CM47" s="574"/>
    </row>
    <row r="48">
      <c r="A48" s="273"/>
      <c r="B48" s="570" t="s">
        <v>3287</v>
      </c>
      <c r="C48" s="148"/>
      <c r="D48" s="148"/>
      <c r="E48" s="148"/>
      <c r="F48" s="148"/>
      <c r="G48" s="171"/>
      <c r="H48" s="265"/>
      <c r="I48" s="265"/>
      <c r="J48" s="273"/>
      <c r="K48" s="273"/>
      <c r="L48" s="273"/>
      <c r="M48" s="273"/>
      <c r="N48" s="273"/>
      <c r="O48" s="273"/>
      <c r="P48" s="273"/>
      <c r="Q48" s="273"/>
      <c r="R48" s="273"/>
      <c r="S48" s="273"/>
      <c r="T48" s="265"/>
      <c r="U48" s="273"/>
      <c r="V48" s="273"/>
      <c r="W48" s="273"/>
      <c r="X48" s="273"/>
      <c r="Y48" s="273"/>
      <c r="Z48" s="273"/>
      <c r="AA48" s="273"/>
      <c r="AB48" s="355"/>
      <c r="AC48" s="355"/>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5"/>
      <c r="BL48" s="355"/>
      <c r="BM48" s="355"/>
      <c r="BN48" s="355"/>
      <c r="BO48" s="355"/>
      <c r="BP48" s="355"/>
      <c r="BQ48" s="355"/>
      <c r="BR48" s="355"/>
      <c r="BS48" s="355"/>
      <c r="BT48" s="355"/>
      <c r="BU48" s="355"/>
      <c r="BV48" s="355"/>
      <c r="BW48" s="355"/>
      <c r="BX48" s="355"/>
      <c r="BY48" s="355"/>
      <c r="BZ48" s="355"/>
      <c r="CA48" s="355"/>
      <c r="CB48" s="355"/>
      <c r="CC48" s="355"/>
      <c r="CD48" s="355"/>
      <c r="CE48" s="355"/>
      <c r="CF48" s="355"/>
      <c r="CG48" s="355"/>
      <c r="CH48" s="355"/>
      <c r="CI48" s="355"/>
      <c r="CJ48" s="355"/>
      <c r="CK48" s="355"/>
      <c r="CL48" s="355"/>
      <c r="CM48" s="355"/>
    </row>
    <row r="49" outlineLevel="1">
      <c r="A49" s="569" t="s">
        <v>381</v>
      </c>
      <c r="B49" s="325" t="str">
        <f t="shared" ref="B49:B54" si="7">IF(F49="","",$D$3&amp;"."&amp;COUNTA($F$10:F49)&amp;"")</f>
        <v>TC_07.34</v>
      </c>
      <c r="C49" s="557" t="s">
        <v>73</v>
      </c>
      <c r="D49" s="558" t="s">
        <v>3288</v>
      </c>
      <c r="E49" s="558" t="s">
        <v>3289</v>
      </c>
      <c r="F49" s="558" t="s">
        <v>3290</v>
      </c>
      <c r="G49" s="558" t="s">
        <v>3291</v>
      </c>
      <c r="H49" s="265"/>
      <c r="I49" s="375"/>
      <c r="J49" s="265"/>
      <c r="K49" s="265"/>
      <c r="L49" s="273"/>
      <c r="M49" s="273"/>
      <c r="N49" s="273"/>
      <c r="O49" s="273"/>
      <c r="P49" s="273"/>
      <c r="Q49" s="273"/>
      <c r="R49" s="273"/>
      <c r="S49" s="273"/>
      <c r="T49" s="265"/>
      <c r="U49" s="273"/>
      <c r="V49" s="273"/>
      <c r="W49" s="273"/>
      <c r="X49" s="273"/>
      <c r="Y49" s="273"/>
      <c r="Z49" s="273"/>
      <c r="AA49" s="273"/>
      <c r="AB49" s="355"/>
      <c r="AC49" s="355"/>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5"/>
      <c r="BL49" s="355"/>
      <c r="BM49" s="355"/>
      <c r="BN49" s="355"/>
      <c r="BO49" s="355"/>
      <c r="BP49" s="355"/>
      <c r="BQ49" s="355"/>
      <c r="BR49" s="355"/>
      <c r="BS49" s="355"/>
      <c r="BT49" s="355"/>
      <c r="BU49" s="355"/>
      <c r="BV49" s="355"/>
      <c r="BW49" s="355"/>
      <c r="BX49" s="355"/>
      <c r="BY49" s="355"/>
      <c r="BZ49" s="355"/>
      <c r="CA49" s="355"/>
      <c r="CB49" s="355"/>
      <c r="CC49" s="355"/>
      <c r="CD49" s="355"/>
      <c r="CE49" s="355"/>
      <c r="CF49" s="355"/>
      <c r="CG49" s="355"/>
      <c r="CH49" s="355"/>
      <c r="CI49" s="355"/>
      <c r="CJ49" s="355"/>
      <c r="CK49" s="355"/>
      <c r="CL49" s="355"/>
      <c r="CM49" s="355"/>
    </row>
    <row r="50" outlineLevel="1">
      <c r="A50" s="569" t="s">
        <v>381</v>
      </c>
      <c r="B50" s="325" t="str">
        <f t="shared" si="7"/>
        <v>TC_07.35</v>
      </c>
      <c r="C50" s="557" t="s">
        <v>73</v>
      </c>
      <c r="D50" s="558" t="s">
        <v>3292</v>
      </c>
      <c r="E50" s="558" t="s">
        <v>3293</v>
      </c>
      <c r="F50" s="558" t="s">
        <v>3294</v>
      </c>
      <c r="G50" s="558" t="s">
        <v>3295</v>
      </c>
      <c r="H50" s="265"/>
      <c r="I50" s="375"/>
      <c r="J50" s="273"/>
      <c r="K50" s="273"/>
      <c r="L50" s="273"/>
      <c r="M50" s="273"/>
      <c r="N50" s="273"/>
      <c r="O50" s="273"/>
      <c r="P50" s="273"/>
      <c r="Q50" s="273"/>
      <c r="R50" s="273"/>
      <c r="S50" s="273"/>
      <c r="T50" s="265"/>
      <c r="U50" s="273"/>
      <c r="V50" s="273"/>
      <c r="W50" s="273"/>
      <c r="X50" s="273"/>
      <c r="Y50" s="273"/>
      <c r="Z50" s="273"/>
      <c r="AA50" s="273"/>
      <c r="AB50" s="249"/>
      <c r="AC50" s="249"/>
      <c r="AD50" s="249"/>
      <c r="AE50" s="249"/>
      <c r="AF50" s="249"/>
      <c r="AG50" s="249"/>
      <c r="AH50" s="249"/>
      <c r="AI50" s="249"/>
      <c r="AJ50" s="249"/>
      <c r="AK50" s="249"/>
      <c r="AL50" s="249"/>
      <c r="AM50" s="249"/>
      <c r="AN50" s="249"/>
      <c r="AO50" s="249"/>
      <c r="AP50" s="249"/>
      <c r="AQ50" s="249"/>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5"/>
      <c r="CD50" s="355"/>
      <c r="CE50" s="355"/>
      <c r="CF50" s="355"/>
      <c r="CG50" s="355"/>
      <c r="CH50" s="355"/>
      <c r="CI50" s="355"/>
      <c r="CJ50" s="355"/>
      <c r="CK50" s="355"/>
      <c r="CL50" s="355"/>
      <c r="CM50" s="355"/>
    </row>
    <row r="51" outlineLevel="1">
      <c r="A51" s="569" t="s">
        <v>381</v>
      </c>
      <c r="B51" s="325" t="str">
        <f t="shared" si="7"/>
        <v>TC_07.36</v>
      </c>
      <c r="C51" s="563" t="s">
        <v>75</v>
      </c>
      <c r="D51" s="564" t="s">
        <v>3296</v>
      </c>
      <c r="E51" s="564" t="s">
        <v>3297</v>
      </c>
      <c r="F51" s="564" t="s">
        <v>3298</v>
      </c>
      <c r="G51" s="564" t="s">
        <v>3299</v>
      </c>
      <c r="H51" s="265"/>
      <c r="I51" s="375"/>
      <c r="J51" s="273"/>
      <c r="K51" s="273"/>
      <c r="L51" s="273"/>
      <c r="M51" s="273"/>
      <c r="N51" s="273"/>
      <c r="O51" s="273"/>
      <c r="P51" s="273"/>
      <c r="Q51" s="273"/>
      <c r="R51" s="273"/>
      <c r="S51" s="273"/>
      <c r="T51" s="265"/>
      <c r="U51" s="273"/>
      <c r="V51" s="273"/>
      <c r="W51" s="273"/>
      <c r="X51" s="273"/>
      <c r="Y51" s="273"/>
      <c r="Z51" s="273"/>
      <c r="AA51" s="273"/>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c r="BR51" s="355"/>
      <c r="BS51" s="355"/>
      <c r="BT51" s="355"/>
      <c r="BU51" s="355"/>
      <c r="BV51" s="355"/>
      <c r="BW51" s="355"/>
      <c r="BX51" s="355"/>
      <c r="BY51" s="355"/>
      <c r="BZ51" s="355"/>
      <c r="CA51" s="355"/>
      <c r="CB51" s="355"/>
      <c r="CC51" s="355"/>
      <c r="CD51" s="355"/>
      <c r="CE51" s="355"/>
      <c r="CF51" s="355"/>
      <c r="CG51" s="355"/>
      <c r="CH51" s="355"/>
      <c r="CI51" s="355"/>
      <c r="CJ51" s="355"/>
      <c r="CK51" s="355"/>
      <c r="CL51" s="355"/>
      <c r="CM51" s="355"/>
    </row>
    <row r="52" outlineLevel="1">
      <c r="A52" s="266" t="s">
        <v>381</v>
      </c>
      <c r="B52" s="325" t="str">
        <f t="shared" si="7"/>
        <v>TC_07.37</v>
      </c>
      <c r="C52" s="557" t="s">
        <v>75</v>
      </c>
      <c r="D52" s="558" t="s">
        <v>3034</v>
      </c>
      <c r="E52" s="558" t="s">
        <v>3300</v>
      </c>
      <c r="F52" s="558" t="s">
        <v>3301</v>
      </c>
      <c r="G52" s="558" t="s">
        <v>3302</v>
      </c>
      <c r="H52" s="265"/>
      <c r="I52" s="375"/>
      <c r="J52" s="273"/>
      <c r="K52" s="273"/>
      <c r="L52" s="273"/>
      <c r="M52" s="273"/>
      <c r="N52" s="273"/>
      <c r="O52" s="273"/>
      <c r="P52" s="273"/>
      <c r="Q52" s="273"/>
      <c r="R52" s="273"/>
      <c r="S52" s="273"/>
      <c r="T52" s="265"/>
      <c r="U52" s="273"/>
      <c r="V52" s="273"/>
      <c r="W52" s="273"/>
      <c r="X52" s="273"/>
      <c r="Y52" s="273"/>
      <c r="Z52" s="273"/>
      <c r="AA52" s="273"/>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5"/>
      <c r="CD52" s="355"/>
      <c r="CE52" s="355"/>
      <c r="CF52" s="355"/>
      <c r="CG52" s="355"/>
      <c r="CH52" s="355"/>
      <c r="CI52" s="355"/>
      <c r="CJ52" s="355"/>
      <c r="CK52" s="355"/>
      <c r="CL52" s="355"/>
      <c r="CM52" s="355"/>
    </row>
    <row r="53" outlineLevel="1">
      <c r="A53" s="569" t="s">
        <v>525</v>
      </c>
      <c r="B53" s="325" t="str">
        <f t="shared" si="7"/>
        <v>TC_07.38</v>
      </c>
      <c r="C53" s="557" t="s">
        <v>75</v>
      </c>
      <c r="D53" s="558" t="s">
        <v>3303</v>
      </c>
      <c r="E53" s="558" t="s">
        <v>3304</v>
      </c>
      <c r="F53" s="558" t="s">
        <v>3305</v>
      </c>
      <c r="G53" s="561" t="s">
        <v>3306</v>
      </c>
      <c r="H53" s="265"/>
      <c r="I53" s="375"/>
      <c r="J53" s="273"/>
      <c r="K53" s="265"/>
      <c r="L53" s="273"/>
      <c r="M53" s="273"/>
      <c r="N53" s="273"/>
      <c r="O53" s="273"/>
      <c r="P53" s="273"/>
      <c r="Q53" s="273"/>
      <c r="R53" s="273"/>
      <c r="S53" s="273"/>
      <c r="T53" s="273"/>
      <c r="U53" s="273"/>
      <c r="V53" s="273"/>
      <c r="W53" s="273"/>
      <c r="X53" s="273"/>
      <c r="Y53" s="273"/>
      <c r="Z53" s="273"/>
      <c r="AA53" s="273"/>
      <c r="AB53" s="157"/>
      <c r="AC53" s="594"/>
      <c r="AD53" s="157"/>
      <c r="AE53" s="157"/>
      <c r="AF53" s="157"/>
      <c r="AG53" s="157"/>
      <c r="AH53" s="157"/>
      <c r="AI53" s="157"/>
      <c r="AJ53" s="157"/>
      <c r="AK53" s="157"/>
      <c r="AL53" s="157"/>
      <c r="AM53" s="157"/>
      <c r="AN53" s="157"/>
      <c r="AO53" s="594"/>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row>
    <row r="54" outlineLevel="1">
      <c r="A54" s="569" t="s">
        <v>381</v>
      </c>
      <c r="B54" s="325" t="str">
        <f t="shared" si="7"/>
        <v>TC_07.39</v>
      </c>
      <c r="C54" s="557" t="s">
        <v>77</v>
      </c>
      <c r="D54" s="558" t="s">
        <v>3042</v>
      </c>
      <c r="E54" s="558" t="s">
        <v>3307</v>
      </c>
      <c r="F54" s="558" t="s">
        <v>3308</v>
      </c>
      <c r="G54" s="558" t="s">
        <v>3309</v>
      </c>
      <c r="H54" s="265"/>
      <c r="I54" s="375"/>
      <c r="J54" s="273"/>
      <c r="K54" s="265"/>
      <c r="L54" s="273"/>
      <c r="M54" s="273"/>
      <c r="N54" s="273"/>
      <c r="O54" s="273"/>
      <c r="P54" s="273"/>
      <c r="Q54" s="273"/>
      <c r="R54" s="273"/>
      <c r="S54" s="273"/>
      <c r="T54" s="273"/>
      <c r="U54" s="273"/>
      <c r="V54" s="273"/>
      <c r="W54" s="273"/>
      <c r="X54" s="273"/>
      <c r="Y54" s="273"/>
      <c r="Z54" s="273"/>
      <c r="AA54" s="273"/>
      <c r="AB54" s="157"/>
      <c r="AC54" s="594"/>
      <c r="AD54" s="157"/>
      <c r="AE54" s="157"/>
      <c r="AF54" s="157"/>
      <c r="AG54" s="157"/>
      <c r="AH54" s="157"/>
      <c r="AI54" s="157"/>
      <c r="AJ54" s="157"/>
      <c r="AK54" s="157"/>
      <c r="AL54" s="157"/>
      <c r="AM54" s="157"/>
      <c r="AN54" s="157"/>
      <c r="AO54" s="594"/>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row>
    <row r="55">
      <c r="A55" s="263"/>
      <c r="B55" s="570" t="s">
        <v>3310</v>
      </c>
      <c r="C55" s="148"/>
      <c r="D55" s="148"/>
      <c r="E55" s="148"/>
      <c r="F55" s="148"/>
      <c r="G55" s="171"/>
      <c r="H55" s="265"/>
      <c r="I55" s="265"/>
      <c r="J55" s="273"/>
      <c r="K55" s="273"/>
      <c r="L55" s="273"/>
      <c r="M55" s="273"/>
      <c r="N55" s="273"/>
      <c r="O55" s="273"/>
      <c r="P55" s="273"/>
      <c r="Q55" s="273"/>
      <c r="R55" s="273"/>
      <c r="S55" s="273"/>
      <c r="T55" s="265"/>
      <c r="U55" s="273"/>
      <c r="V55" s="273"/>
      <c r="W55" s="273"/>
      <c r="X55" s="273"/>
      <c r="Y55" s="273"/>
      <c r="Z55" s="273"/>
      <c r="AA55" s="273"/>
      <c r="AB55" s="355"/>
      <c r="AC55" s="355"/>
      <c r="AD55" s="355"/>
      <c r="AE55" s="355"/>
      <c r="AF55" s="355"/>
      <c r="AG55" s="355"/>
      <c r="AH55" s="355"/>
      <c r="AI55" s="355"/>
      <c r="AJ55" s="355"/>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5"/>
      <c r="BL55" s="355"/>
      <c r="BM55" s="355"/>
      <c r="BN55" s="355"/>
      <c r="BO55" s="355"/>
      <c r="BP55" s="355"/>
      <c r="BQ55" s="355"/>
      <c r="BR55" s="355"/>
      <c r="BS55" s="355"/>
      <c r="BT55" s="355"/>
      <c r="BU55" s="355"/>
      <c r="BV55" s="355"/>
      <c r="BW55" s="355"/>
      <c r="BX55" s="355"/>
      <c r="BY55" s="355"/>
      <c r="BZ55" s="355"/>
      <c r="CA55" s="355"/>
      <c r="CB55" s="355"/>
      <c r="CC55" s="355"/>
      <c r="CD55" s="355"/>
      <c r="CE55" s="355"/>
      <c r="CF55" s="355"/>
      <c r="CG55" s="355"/>
      <c r="CH55" s="355"/>
      <c r="CI55" s="355"/>
      <c r="CJ55" s="355"/>
      <c r="CK55" s="355"/>
      <c r="CL55" s="355"/>
      <c r="CM55" s="355"/>
    </row>
    <row r="56">
      <c r="A56" s="266" t="s">
        <v>381</v>
      </c>
      <c r="B56" s="325" t="str">
        <f t="shared" ref="B56:B60" si="8">IF(F56="","",$D$3&amp;"."&amp;COUNTA($F$10:F56)&amp;"")</f>
        <v>TC_07.40</v>
      </c>
      <c r="C56" s="557" t="s">
        <v>73</v>
      </c>
      <c r="D56" s="558" t="s">
        <v>3047</v>
      </c>
      <c r="E56" s="558" t="s">
        <v>3311</v>
      </c>
      <c r="F56" s="558" t="s">
        <v>3312</v>
      </c>
      <c r="G56" s="558" t="s">
        <v>3050</v>
      </c>
      <c r="H56" s="265"/>
      <c r="I56" s="375"/>
      <c r="J56" s="273"/>
      <c r="K56" s="265"/>
      <c r="L56" s="273"/>
      <c r="M56" s="273"/>
      <c r="N56" s="273"/>
      <c r="O56" s="273"/>
      <c r="P56" s="273"/>
      <c r="Q56" s="273"/>
      <c r="R56" s="273"/>
      <c r="S56" s="273"/>
      <c r="T56" s="273"/>
      <c r="U56" s="273"/>
      <c r="V56" s="273"/>
      <c r="W56" s="273"/>
      <c r="X56" s="273"/>
      <c r="Y56" s="273"/>
      <c r="Z56" s="273"/>
      <c r="AA56" s="273"/>
      <c r="AB56" s="157"/>
      <c r="AC56" s="594"/>
      <c r="AD56" s="157"/>
      <c r="AE56" s="157"/>
      <c r="AF56" s="157"/>
      <c r="AG56" s="157"/>
      <c r="AH56" s="157"/>
      <c r="AI56" s="157"/>
      <c r="AJ56" s="157"/>
      <c r="AK56" s="157"/>
      <c r="AL56" s="157"/>
      <c r="AM56" s="157"/>
      <c r="AN56" s="157"/>
      <c r="AO56" s="594"/>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row>
    <row r="57">
      <c r="A57" s="263" t="s">
        <v>381</v>
      </c>
      <c r="B57" s="325" t="str">
        <f t="shared" si="8"/>
        <v>TC_07.41</v>
      </c>
      <c r="C57" s="557" t="s">
        <v>73</v>
      </c>
      <c r="D57" s="558" t="s">
        <v>3313</v>
      </c>
      <c r="E57" s="558" t="s">
        <v>3052</v>
      </c>
      <c r="F57" s="558" t="s">
        <v>3314</v>
      </c>
      <c r="G57" s="558" t="s">
        <v>3315</v>
      </c>
      <c r="H57" s="265"/>
      <c r="I57" s="375"/>
      <c r="J57" s="273"/>
      <c r="K57" s="265"/>
      <c r="L57" s="273"/>
      <c r="M57" s="273"/>
      <c r="N57" s="273"/>
      <c r="O57" s="273"/>
      <c r="P57" s="273"/>
      <c r="Q57" s="273"/>
      <c r="R57" s="273"/>
      <c r="S57" s="273"/>
      <c r="T57" s="273"/>
      <c r="U57" s="273"/>
      <c r="V57" s="273"/>
      <c r="W57" s="273"/>
      <c r="X57" s="273"/>
      <c r="Y57" s="273"/>
      <c r="Z57" s="273"/>
      <c r="AA57" s="273"/>
      <c r="AB57" s="157"/>
      <c r="AC57" s="594"/>
      <c r="AD57" s="157"/>
      <c r="AE57" s="157"/>
      <c r="AF57" s="157"/>
      <c r="AG57" s="157"/>
      <c r="AH57" s="157"/>
      <c r="AI57" s="157"/>
      <c r="AJ57" s="157"/>
      <c r="AK57" s="157"/>
      <c r="AL57" s="157"/>
      <c r="AM57" s="157"/>
      <c r="AN57" s="157"/>
      <c r="AO57" s="594"/>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row>
    <row r="58">
      <c r="A58" s="263" t="s">
        <v>381</v>
      </c>
      <c r="B58" s="325" t="str">
        <f t="shared" si="8"/>
        <v>TC_07.42</v>
      </c>
      <c r="C58" s="557" t="s">
        <v>75</v>
      </c>
      <c r="D58" s="558" t="s">
        <v>3055</v>
      </c>
      <c r="E58" s="558" t="s">
        <v>3056</v>
      </c>
      <c r="F58" s="558" t="s">
        <v>3316</v>
      </c>
      <c r="G58" s="558" t="s">
        <v>3317</v>
      </c>
      <c r="H58" s="265"/>
      <c r="I58" s="375"/>
      <c r="J58" s="273"/>
      <c r="K58" s="265"/>
      <c r="L58" s="273"/>
      <c r="M58" s="273"/>
      <c r="N58" s="273"/>
      <c r="O58" s="273"/>
      <c r="P58" s="273"/>
      <c r="Q58" s="273"/>
      <c r="R58" s="273"/>
      <c r="S58" s="273"/>
      <c r="T58" s="273"/>
      <c r="U58" s="273"/>
      <c r="V58" s="273"/>
      <c r="W58" s="273"/>
      <c r="X58" s="273"/>
      <c r="Y58" s="273"/>
      <c r="Z58" s="273"/>
      <c r="AA58" s="273"/>
      <c r="AB58" s="157"/>
      <c r="AC58" s="594"/>
      <c r="AD58" s="157"/>
      <c r="AE58" s="157"/>
      <c r="AF58" s="157"/>
      <c r="AG58" s="157"/>
      <c r="AH58" s="157"/>
      <c r="AI58" s="157"/>
      <c r="AJ58" s="157"/>
      <c r="AK58" s="157"/>
      <c r="AL58" s="157"/>
      <c r="AM58" s="157"/>
      <c r="AN58" s="157"/>
      <c r="AO58" s="594"/>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row>
    <row r="59">
      <c r="A59" s="569" t="s">
        <v>525</v>
      </c>
      <c r="B59" s="325" t="str">
        <f t="shared" si="8"/>
        <v>TC_07.43</v>
      </c>
      <c r="C59" s="557" t="s">
        <v>75</v>
      </c>
      <c r="D59" s="558" t="s">
        <v>3059</v>
      </c>
      <c r="E59" s="558" t="s">
        <v>3060</v>
      </c>
      <c r="F59" s="558" t="s">
        <v>3318</v>
      </c>
      <c r="G59" s="559" t="s">
        <v>3319</v>
      </c>
      <c r="H59" s="265"/>
      <c r="I59" s="375"/>
      <c r="J59" s="273"/>
      <c r="K59" s="265"/>
      <c r="L59" s="273"/>
      <c r="M59" s="273"/>
      <c r="N59" s="273"/>
      <c r="O59" s="273"/>
      <c r="P59" s="273"/>
      <c r="Q59" s="273"/>
      <c r="R59" s="273"/>
      <c r="S59" s="273"/>
      <c r="T59" s="273"/>
      <c r="U59" s="273"/>
      <c r="V59" s="273"/>
      <c r="W59" s="273"/>
      <c r="X59" s="273"/>
      <c r="Y59" s="273"/>
      <c r="Z59" s="273"/>
      <c r="AA59" s="273"/>
      <c r="AB59" s="157"/>
      <c r="AC59" s="594"/>
      <c r="AD59" s="157"/>
      <c r="AE59" s="157"/>
      <c r="AF59" s="157"/>
      <c r="AG59" s="157"/>
      <c r="AH59" s="157"/>
      <c r="AI59" s="157"/>
      <c r="AJ59" s="157"/>
      <c r="AK59" s="157"/>
      <c r="AL59" s="157"/>
      <c r="AM59" s="157"/>
      <c r="AN59" s="157"/>
      <c r="AO59" s="594"/>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row>
    <row r="60">
      <c r="A60" s="266" t="s">
        <v>381</v>
      </c>
      <c r="B60" s="325" t="str">
        <f t="shared" si="8"/>
        <v>TC_07.44</v>
      </c>
      <c r="C60" s="557" t="s">
        <v>77</v>
      </c>
      <c r="D60" s="558" t="s">
        <v>3063</v>
      </c>
      <c r="E60" s="558" t="s">
        <v>2937</v>
      </c>
      <c r="F60" s="558" t="s">
        <v>3320</v>
      </c>
      <c r="G60" s="558" t="s">
        <v>3321</v>
      </c>
      <c r="H60" s="265"/>
      <c r="I60" s="375"/>
      <c r="J60" s="273"/>
      <c r="K60" s="265"/>
      <c r="L60" s="273"/>
      <c r="M60" s="273"/>
      <c r="N60" s="273"/>
      <c r="O60" s="273"/>
      <c r="P60" s="273"/>
      <c r="Q60" s="273"/>
      <c r="R60" s="273"/>
      <c r="S60" s="273"/>
      <c r="T60" s="273"/>
      <c r="U60" s="273"/>
      <c r="V60" s="273"/>
      <c r="W60" s="273"/>
      <c r="X60" s="273"/>
      <c r="Y60" s="273"/>
      <c r="Z60" s="273"/>
      <c r="AA60" s="273"/>
      <c r="AB60" s="157"/>
      <c r="AC60" s="594"/>
      <c r="AD60" s="157"/>
      <c r="AE60" s="157"/>
      <c r="AF60" s="157"/>
      <c r="AG60" s="157"/>
      <c r="AH60" s="157"/>
      <c r="AI60" s="157"/>
      <c r="AJ60" s="157"/>
      <c r="AK60" s="157"/>
      <c r="AL60" s="157"/>
      <c r="AM60" s="157"/>
      <c r="AN60" s="157"/>
      <c r="AO60" s="594"/>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row>
    <row r="61">
      <c r="A61" s="263"/>
      <c r="B61" s="570" t="s">
        <v>3190</v>
      </c>
      <c r="C61" s="148"/>
      <c r="D61" s="148"/>
      <c r="E61" s="148"/>
      <c r="F61" s="148"/>
      <c r="G61" s="171"/>
      <c r="H61" s="265"/>
      <c r="I61" s="265"/>
      <c r="J61" s="265"/>
      <c r="K61" s="265"/>
      <c r="L61" s="273"/>
      <c r="M61" s="273"/>
      <c r="N61" s="273"/>
      <c r="O61" s="273"/>
      <c r="P61" s="273"/>
      <c r="Q61" s="273"/>
      <c r="R61" s="273"/>
      <c r="S61" s="273"/>
      <c r="T61" s="273"/>
      <c r="U61" s="273"/>
      <c r="V61" s="273"/>
      <c r="W61" s="273"/>
      <c r="X61" s="273"/>
      <c r="Y61" s="273"/>
      <c r="Z61" s="273"/>
      <c r="AA61" s="273"/>
      <c r="AB61" s="157"/>
      <c r="AC61" s="594"/>
      <c r="AD61" s="157"/>
      <c r="AE61" s="157"/>
      <c r="AF61" s="157"/>
      <c r="AG61" s="157"/>
      <c r="AH61" s="157"/>
      <c r="AI61" s="157"/>
      <c r="AJ61" s="157"/>
      <c r="AK61" s="157"/>
      <c r="AL61" s="157"/>
      <c r="AM61" s="157"/>
      <c r="AN61" s="157"/>
      <c r="AO61" s="594"/>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row>
    <row r="62" outlineLevel="1">
      <c r="A62" s="569" t="s">
        <v>525</v>
      </c>
      <c r="B62" s="325" t="str">
        <f t="shared" ref="B62:B65" si="9">IF(F62="","",$D$3&amp;"."&amp;COUNTA($F$10:F62)&amp;"")</f>
        <v>TC_07.45</v>
      </c>
      <c r="C62" s="565" t="s">
        <v>73</v>
      </c>
      <c r="D62" s="566" t="s">
        <v>3192</v>
      </c>
      <c r="E62" s="566" t="s">
        <v>2741</v>
      </c>
      <c r="F62" s="566" t="s">
        <v>3193</v>
      </c>
      <c r="G62" s="566" t="s">
        <v>3194</v>
      </c>
      <c r="H62" s="265"/>
      <c r="I62" s="265"/>
      <c r="J62" s="273"/>
      <c r="K62" s="265"/>
      <c r="L62" s="273"/>
      <c r="M62" s="273"/>
      <c r="N62" s="273"/>
      <c r="O62" s="273"/>
      <c r="P62" s="273"/>
      <c r="Q62" s="273"/>
      <c r="R62" s="273"/>
      <c r="S62" s="273"/>
      <c r="T62" s="273"/>
      <c r="U62" s="273"/>
      <c r="V62" s="273"/>
      <c r="W62" s="273"/>
      <c r="X62" s="273"/>
      <c r="Y62" s="273"/>
      <c r="Z62" s="273"/>
      <c r="AA62" s="273"/>
      <c r="AB62" s="157"/>
      <c r="AC62" s="594"/>
      <c r="AD62" s="157"/>
      <c r="AE62" s="157"/>
      <c r="AF62" s="157"/>
      <c r="AG62" s="157"/>
      <c r="AH62" s="157"/>
      <c r="AI62" s="157"/>
      <c r="AJ62" s="157"/>
      <c r="AK62" s="157"/>
      <c r="AL62" s="157"/>
      <c r="AM62" s="157"/>
      <c r="AN62" s="157"/>
      <c r="AO62" s="594"/>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row>
    <row r="63" outlineLevel="1">
      <c r="A63" s="569" t="s">
        <v>525</v>
      </c>
      <c r="B63" s="325" t="str">
        <f t="shared" si="9"/>
        <v>TC_07.46</v>
      </c>
      <c r="C63" s="565" t="s">
        <v>75</v>
      </c>
      <c r="D63" s="566" t="s">
        <v>3196</v>
      </c>
      <c r="E63" s="566" t="s">
        <v>3197</v>
      </c>
      <c r="F63" s="566" t="s">
        <v>3198</v>
      </c>
      <c r="G63" s="566" t="s">
        <v>3199</v>
      </c>
      <c r="H63" s="265"/>
      <c r="I63" s="265"/>
      <c r="J63" s="273"/>
      <c r="K63" s="265"/>
      <c r="L63" s="273"/>
      <c r="M63" s="273"/>
      <c r="N63" s="273"/>
      <c r="O63" s="273"/>
      <c r="P63" s="273"/>
      <c r="Q63" s="273"/>
      <c r="R63" s="273"/>
      <c r="S63" s="273"/>
      <c r="T63" s="273"/>
      <c r="U63" s="273"/>
      <c r="V63" s="273"/>
      <c r="W63" s="273"/>
      <c r="X63" s="273"/>
      <c r="Y63" s="273"/>
      <c r="Z63" s="273"/>
      <c r="AA63" s="273"/>
      <c r="AB63" s="157"/>
      <c r="AC63" s="594"/>
      <c r="AD63" s="157"/>
      <c r="AE63" s="157"/>
      <c r="AF63" s="157"/>
      <c r="AG63" s="157"/>
      <c r="AH63" s="157"/>
      <c r="AI63" s="157"/>
      <c r="AJ63" s="157"/>
      <c r="AK63" s="157"/>
      <c r="AL63" s="157"/>
      <c r="AM63" s="157"/>
      <c r="AN63" s="157"/>
      <c r="AO63" s="594"/>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row>
    <row r="64" outlineLevel="1">
      <c r="A64" s="569" t="s">
        <v>525</v>
      </c>
      <c r="B64" s="325" t="str">
        <f t="shared" si="9"/>
        <v>TC_07.47</v>
      </c>
      <c r="C64" s="571" t="s">
        <v>75</v>
      </c>
      <c r="D64" s="584" t="s">
        <v>2744</v>
      </c>
      <c r="E64" s="584" t="s">
        <v>3201</v>
      </c>
      <c r="F64" s="584" t="s">
        <v>3202</v>
      </c>
      <c r="G64" s="584" t="s">
        <v>2746</v>
      </c>
      <c r="H64" s="265"/>
      <c r="I64" s="265"/>
      <c r="J64" s="273"/>
      <c r="K64" s="265"/>
      <c r="L64" s="273"/>
      <c r="M64" s="273"/>
      <c r="N64" s="273"/>
      <c r="O64" s="273"/>
      <c r="P64" s="273"/>
      <c r="Q64" s="273"/>
      <c r="R64" s="273"/>
      <c r="S64" s="273"/>
      <c r="T64" s="273"/>
      <c r="U64" s="273"/>
      <c r="V64" s="273"/>
      <c r="W64" s="273"/>
      <c r="X64" s="273"/>
      <c r="Y64" s="273"/>
      <c r="Z64" s="273"/>
      <c r="AA64" s="273"/>
      <c r="AB64" s="157"/>
      <c r="AC64" s="594"/>
      <c r="AD64" s="157"/>
      <c r="AE64" s="157"/>
      <c r="AF64" s="157"/>
      <c r="AG64" s="157"/>
      <c r="AH64" s="157"/>
      <c r="AI64" s="157"/>
      <c r="AJ64" s="157"/>
      <c r="AK64" s="157"/>
      <c r="AL64" s="157"/>
      <c r="AM64" s="157"/>
      <c r="AN64" s="157"/>
      <c r="AO64" s="594"/>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row>
    <row r="65" outlineLevel="1">
      <c r="A65" s="569" t="s">
        <v>525</v>
      </c>
      <c r="B65" s="325" t="str">
        <f t="shared" si="9"/>
        <v>TC_07.48</v>
      </c>
      <c r="C65" s="565" t="s">
        <v>77</v>
      </c>
      <c r="D65" s="566" t="s">
        <v>2747</v>
      </c>
      <c r="E65" s="566" t="s">
        <v>3204</v>
      </c>
      <c r="F65" s="566" t="s">
        <v>3205</v>
      </c>
      <c r="G65" s="566" t="s">
        <v>3206</v>
      </c>
      <c r="H65" s="265"/>
      <c r="I65" s="265"/>
      <c r="J65" s="273"/>
      <c r="K65" s="265"/>
      <c r="L65" s="273"/>
      <c r="M65" s="273"/>
      <c r="N65" s="273"/>
      <c r="O65" s="273"/>
      <c r="P65" s="273"/>
      <c r="Q65" s="273"/>
      <c r="R65" s="273"/>
      <c r="S65" s="273"/>
      <c r="T65" s="273"/>
      <c r="U65" s="273"/>
      <c r="V65" s="273"/>
      <c r="W65" s="273"/>
      <c r="X65" s="273"/>
      <c r="Y65" s="273"/>
      <c r="Z65" s="273"/>
      <c r="AA65" s="273"/>
      <c r="AB65" s="157"/>
      <c r="AC65" s="594"/>
      <c r="AD65" s="157"/>
      <c r="AE65" s="157"/>
      <c r="AF65" s="157"/>
      <c r="AG65" s="157"/>
      <c r="AH65" s="157"/>
      <c r="AI65" s="157"/>
      <c r="AJ65" s="157"/>
      <c r="AK65" s="157"/>
      <c r="AL65" s="157"/>
      <c r="AM65" s="157"/>
      <c r="AN65" s="157"/>
      <c r="AO65" s="594"/>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row>
    <row r="66" outlineLevel="1">
      <c r="A66" s="263"/>
      <c r="B66" s="571"/>
      <c r="C66" s="565"/>
      <c r="D66" s="566"/>
      <c r="E66" s="566"/>
      <c r="F66" s="566"/>
      <c r="G66" s="566"/>
      <c r="H66" s="265"/>
      <c r="I66" s="265"/>
      <c r="J66" s="273"/>
      <c r="K66" s="265"/>
      <c r="L66" s="273"/>
      <c r="M66" s="273"/>
      <c r="N66" s="273"/>
      <c r="O66" s="273"/>
      <c r="P66" s="273"/>
      <c r="Q66" s="273"/>
      <c r="R66" s="273"/>
      <c r="S66" s="273"/>
      <c r="T66" s="273"/>
      <c r="U66" s="273"/>
      <c r="V66" s="273"/>
      <c r="W66" s="273"/>
      <c r="X66" s="273"/>
      <c r="Y66" s="273"/>
      <c r="Z66" s="273"/>
      <c r="AA66" s="273"/>
      <c r="AB66" s="157"/>
      <c r="AC66" s="594"/>
      <c r="AD66" s="157"/>
      <c r="AE66" s="157"/>
      <c r="AF66" s="157"/>
      <c r="AG66" s="157"/>
      <c r="AH66" s="157"/>
      <c r="AI66" s="157"/>
      <c r="AJ66" s="157"/>
      <c r="AK66" s="157"/>
      <c r="AL66" s="157"/>
      <c r="AM66" s="157"/>
      <c r="AN66" s="157"/>
      <c r="AO66" s="594"/>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row>
    <row r="67">
      <c r="A67" s="234"/>
      <c r="B67" s="593"/>
      <c r="C67" s="596"/>
      <c r="D67" s="597"/>
      <c r="E67" s="598"/>
      <c r="F67" s="599"/>
      <c r="G67" s="599"/>
      <c r="H67" s="600"/>
      <c r="I67" s="601"/>
      <c r="J67" s="332"/>
      <c r="K67" s="332"/>
      <c r="L67" s="145"/>
      <c r="M67" s="145"/>
      <c r="N67" s="145"/>
      <c r="O67" s="145"/>
      <c r="P67" s="145"/>
      <c r="Q67" s="145"/>
      <c r="R67" s="145"/>
      <c r="S67" s="145"/>
      <c r="T67" s="602"/>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c r="BX67" s="145"/>
      <c r="BY67" s="145"/>
      <c r="BZ67" s="145"/>
      <c r="CA67" s="145"/>
      <c r="CB67" s="145"/>
      <c r="CC67" s="145"/>
      <c r="CD67" s="145"/>
      <c r="CE67" s="145"/>
      <c r="CF67" s="145"/>
      <c r="CG67" s="145"/>
      <c r="CH67" s="145"/>
      <c r="CI67" s="145"/>
      <c r="CJ67" s="145"/>
      <c r="CK67" s="145"/>
      <c r="CL67" s="145"/>
      <c r="CM67" s="145"/>
    </row>
    <row r="68">
      <c r="A68" s="234"/>
      <c r="B68" s="593"/>
      <c r="C68" s="596"/>
      <c r="D68" s="597"/>
      <c r="E68" s="598"/>
      <c r="F68" s="599"/>
      <c r="G68" s="599"/>
      <c r="H68" s="600"/>
      <c r="I68" s="601"/>
      <c r="J68" s="332"/>
      <c r="K68" s="332"/>
      <c r="L68" s="145"/>
      <c r="M68" s="145"/>
      <c r="N68" s="145"/>
      <c r="O68" s="145"/>
      <c r="P68" s="145"/>
      <c r="Q68" s="145"/>
      <c r="R68" s="145"/>
      <c r="S68" s="145"/>
      <c r="T68" s="602"/>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c r="BC68" s="145"/>
      <c r="BD68" s="145"/>
      <c r="BE68" s="145"/>
      <c r="BF68" s="145"/>
      <c r="BG68" s="145"/>
      <c r="BH68" s="145"/>
      <c r="BI68" s="145"/>
      <c r="BJ68" s="145"/>
      <c r="BK68" s="145"/>
      <c r="BL68" s="145"/>
      <c r="BM68" s="145"/>
      <c r="BN68" s="145"/>
      <c r="BO68" s="145"/>
      <c r="BP68" s="145"/>
      <c r="BQ68" s="145"/>
      <c r="BR68" s="145"/>
      <c r="BS68" s="145"/>
      <c r="BT68" s="145"/>
      <c r="BU68" s="145"/>
      <c r="BV68" s="145"/>
      <c r="BW68" s="145"/>
      <c r="BX68" s="145"/>
      <c r="BY68" s="145"/>
      <c r="BZ68" s="145"/>
      <c r="CA68" s="145"/>
      <c r="CB68" s="145"/>
      <c r="CC68" s="145"/>
      <c r="CD68" s="145"/>
      <c r="CE68" s="145"/>
      <c r="CF68" s="145"/>
      <c r="CG68" s="145"/>
      <c r="CH68" s="145"/>
      <c r="CI68" s="145"/>
      <c r="CJ68" s="145"/>
      <c r="CK68" s="145"/>
      <c r="CL68" s="145"/>
      <c r="CM68" s="145"/>
    </row>
  </sheetData>
  <autoFilter ref="$H$1:$K$66"/>
  <mergeCells count="25">
    <mergeCell ref="C7:C8"/>
    <mergeCell ref="D7:D8"/>
    <mergeCell ref="E7:E8"/>
    <mergeCell ref="F7:F8"/>
    <mergeCell ref="G7:G8"/>
    <mergeCell ref="H7:K7"/>
    <mergeCell ref="L7:O7"/>
    <mergeCell ref="P7:S7"/>
    <mergeCell ref="T7:W7"/>
    <mergeCell ref="C2:F2"/>
    <mergeCell ref="B3:C3"/>
    <mergeCell ref="D3:E3"/>
    <mergeCell ref="B4:C4"/>
    <mergeCell ref="D4:E4"/>
    <mergeCell ref="A7:A8"/>
    <mergeCell ref="B7:B8"/>
    <mergeCell ref="B55:G55"/>
    <mergeCell ref="B61:G61"/>
    <mergeCell ref="B9:G9"/>
    <mergeCell ref="B14:G14"/>
    <mergeCell ref="B18:G18"/>
    <mergeCell ref="B24:G24"/>
    <mergeCell ref="B36:G36"/>
    <mergeCell ref="B40:G40"/>
    <mergeCell ref="B48:G48"/>
  </mergeCells>
  <conditionalFormatting sqref="H9:H35 L9:L68 P9:P68 T9:T68 H41:H66 X41:X66 AB41:AB66 AF41:AF66 AJ41:AJ66 AN41:AN66 AR41:AR66 AV41:AV66 AZ41:AZ66">
    <cfRule type="cellIs" dxfId="0" priority="1" operator="equal">
      <formula>"Block"</formula>
    </cfRule>
  </conditionalFormatting>
  <conditionalFormatting sqref="H9:H35 L9:L68 P9:P68 T9:T68 H41:H66 X41:X66 AB41:AB66 AF41:AF66 AJ41:AJ66 AN41:AN66 AR41:AR66 AV41:AV66 AZ41:AZ66">
    <cfRule type="cellIs" dxfId="1" priority="2" operator="equal">
      <formula>"Fail"</formula>
    </cfRule>
  </conditionalFormatting>
  <conditionalFormatting sqref="H9:H35 L9:L68 P9:P68 T9:T68 H41:H66 X41:X66 AB41:AB66 AF41:AF66 AJ41:AJ66 AN41:AN66 AR41:AR66 AV41:AV66 AZ41:AZ66">
    <cfRule type="cellIs" dxfId="2" priority="3" operator="equal">
      <formula>"Pass"</formula>
    </cfRule>
  </conditionalFormatting>
  <conditionalFormatting sqref="H9:H35 L9:L68 P9:P68 T9:T68 H41:H66 X41:X66 AB41:AB66 AF41:AF66 AJ41:AJ66 AN41:AN66 AR41:AR66 AV41:AV66 AZ41:AZ66">
    <cfRule type="cellIs" dxfId="3" priority="4" operator="equal">
      <formula>"N/A"</formula>
    </cfRule>
  </conditionalFormatting>
  <conditionalFormatting sqref="H9:H68 L9:L68 P9:P68 T9:T68">
    <cfRule type="cellIs" dxfId="4" priority="5" operator="equal">
      <formula>"Block"</formula>
    </cfRule>
  </conditionalFormatting>
  <conditionalFormatting sqref="H9:H68 L9:L68 P9:P68 T9:T68">
    <cfRule type="cellIs" dxfId="5" priority="6" operator="equal">
      <formula>"Fail"</formula>
    </cfRule>
  </conditionalFormatting>
  <conditionalFormatting sqref="H9:H68 L9:L68 P9:P68 T9:T68">
    <cfRule type="cellIs" dxfId="6" priority="7" operator="equal">
      <formula>"Pass"</formula>
    </cfRule>
  </conditionalFormatting>
  <conditionalFormatting sqref="H9:H68 L9:L68 P9:P68 T9:T68">
    <cfRule type="cellIs" dxfId="7" priority="8" operator="equal">
      <formula>"N/A"</formula>
    </cfRule>
  </conditionalFormatting>
  <conditionalFormatting sqref="H52:H66">
    <cfRule type="cellIs" dxfId="4" priority="9" operator="equal">
      <formula>"Block"</formula>
    </cfRule>
  </conditionalFormatting>
  <conditionalFormatting sqref="H52:H66">
    <cfRule type="cellIs" dxfId="5" priority="10" operator="equal">
      <formula>"Fail"</formula>
    </cfRule>
  </conditionalFormatting>
  <conditionalFormatting sqref="H52:H66">
    <cfRule type="cellIs" dxfId="6" priority="11" operator="equal">
      <formula>"Pass"</formula>
    </cfRule>
  </conditionalFormatting>
  <conditionalFormatting sqref="H52:H66">
    <cfRule type="cellIs" dxfId="7" priority="12" operator="equal">
      <formula>"N/A"</formula>
    </cfRule>
  </conditionalFormatting>
  <conditionalFormatting sqref="H9:H68 L9:L68 P9:P68 T9:T68">
    <cfRule type="cellIs" dxfId="0" priority="13" operator="equal">
      <formula>"Block"</formula>
    </cfRule>
  </conditionalFormatting>
  <conditionalFormatting sqref="H9:H68 L9:L68 P9:P68 T9:T68">
    <cfRule type="cellIs" dxfId="1" priority="14" operator="equal">
      <formula>"Fail"</formula>
    </cfRule>
  </conditionalFormatting>
  <conditionalFormatting sqref="H9:H68 L9:L68 P9:P68 T9:T68">
    <cfRule type="cellIs" dxfId="2" priority="15" operator="equal">
      <formula>"Pass"</formula>
    </cfRule>
  </conditionalFormatting>
  <conditionalFormatting sqref="H9:H68 L9:L68 P9:P68 T9:T68">
    <cfRule type="cellIs" dxfId="3" priority="16" operator="equal">
      <formula>"N/A"</formula>
    </cfRule>
  </conditionalFormatting>
  <dataValidations>
    <dataValidation type="list" allowBlank="1" showErrorMessage="1" sqref="X41:X43 AB41:AB43 AF41:AF43 AJ41:AJ43 AN41:AN43 AR41:AR43 AV41:AV43 AZ41:AZ43 X45:X47 AB45:AB47 AF45:AF47 AJ45:AJ47 AN45:AN47 AR45:AR47 AV45:AV47 AZ45:AZ47 X50 AB50 AF50 AJ50 AN50 X53:X54 AB53:AB54 AF53:AF54 AJ53:AJ54 AN53:AN54 AR53:AR54 AV53:AV54 AZ53:AZ54 X56:X66 AB56:AB66 AF56:AF66 AJ56:AJ66 AN56:AN66 AR56:AR66 AV56:AV66 AZ56:AZ66 H9:H68 L9:L68 P9:P68 T9:T68">
      <formula1>"Pass,Fail,Block,N/A"</formula1>
    </dataValidation>
    <dataValidation type="list" allowBlank="1" showErrorMessage="1" sqref="A10:A13 A15:A17 A19:A23 A25:A35 A37:A39 A41:A47 A49:A54 A56:A60 A62:A65">
      <formula1>"QC,AI"</formula1>
    </dataValidation>
    <dataValidation type="list" allowBlank="1" showErrorMessage="1" sqref="C10:C13 C15:C17 C25:C34 C38 C41:C43 C45:C47 C49 C53:C54 C56:C60 C62:C63 C65:C68">
      <formula1>"High,Medium,Low"</formula1>
    </dataValidation>
  </dataValidations>
  <printOptions/>
  <pageMargins bottom="0.75" footer="0.0" header="0.0" left="0.7" right="0.7" top="0.75"/>
  <pageSetup orientation="landscape"/>
  <drawing r:id="rId1"/>
</worksheet>
</file>